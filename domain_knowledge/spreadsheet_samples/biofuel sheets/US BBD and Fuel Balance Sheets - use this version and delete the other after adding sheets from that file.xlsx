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RLC Dropbox\RLC Team Folder\RLC-Models\Biofuels\"/>
    </mc:Choice>
  </mc:AlternateContent>
  <xr:revisionPtr revIDLastSave="0" documentId="8_{AACB0FF2-D0FF-4557-BD2F-CC7557549D69}" xr6:coauthVersionLast="47" xr6:coauthVersionMax="47" xr10:uidLastSave="{00000000-0000-0000-0000-000000000000}"/>
  <bookViews>
    <workbookView xWindow="4245" yWindow="2820" windowWidth="21600" windowHeight="11835" activeTab="6" xr2:uid="{B710D46B-8E71-430E-94FB-7AA61EA94BF3}"/>
  </bookViews>
  <sheets>
    <sheet name="Data Sources" sheetId="1" r:id="rId1"/>
    <sheet name="Capacity" sheetId="2" r:id="rId2"/>
    <sheet name="Annual data" sheetId="3" r:id="rId3"/>
    <sheet name="Monthly Data" sheetId="4" r:id="rId4"/>
    <sheet name="BD" sheetId="5" r:id="rId5"/>
    <sheet name="RD" sheetId="6" r:id="rId6"/>
    <sheet name="SAF" sheetId="7" r:id="rId7"/>
    <sheet name="Jet Fuel" sheetId="8" r:id="rId8"/>
    <sheet name="Diesel" sheetId="9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xlnm.Print_Area" localSheetId="4">BD!$A$2:$W$13</definedName>
    <definedName name="_xlnm.Print_Area" localSheetId="5">RD!$A$2:$W$13</definedName>
    <definedName name="Z_11027877_8754_42DF_AEF4_DF91AFC7E3D7_.wvu.PrintArea" localSheetId="4" hidden="1">BD!$A$1:$T$13</definedName>
    <definedName name="Z_11027877_8754_42DF_AEF4_DF91AFC7E3D7_.wvu.PrintArea" localSheetId="5" hidden="1">RD!$A$1:$T$13</definedName>
    <definedName name="Z_2C7BB91D_B6C7_4C7E_824A_AD371B7FEFAE_.wvu.Cols" localSheetId="4" hidden="1">BD!$B:$F</definedName>
    <definedName name="Z_2C7BB91D_B6C7_4C7E_824A_AD371B7FEFAE_.wvu.Cols" localSheetId="5" hidden="1">RD!$B:$F</definedName>
    <definedName name="Z_2C7BB91D_B6C7_4C7E_824A_AD371B7FEFAE_.wvu.PrintArea" localSheetId="4" hidden="1">BD!$A$1:$T$13</definedName>
    <definedName name="Z_2C7BB91D_B6C7_4C7E_824A_AD371B7FEFAE_.wvu.PrintArea" localSheetId="5" hidden="1">RD!$A$1:$T$13</definedName>
    <definedName name="Z_3389ABBF_4A47_4E3C_9E30_013DEA936013_.wvu.PrintArea" localSheetId="4" hidden="1">BD!$A$1:$T$13</definedName>
    <definedName name="Z_3389ABBF_4A47_4E3C_9E30_013DEA936013_.wvu.PrintArea" localSheetId="5" hidden="1">RD!$A$1:$T$13</definedName>
    <definedName name="Z_63FD8648_A18A_466A_B152_26B7B5EB5F8A_.wvu.PrintArea" localSheetId="4" hidden="1">BD!$A$1:$T$13</definedName>
    <definedName name="Z_63FD8648_A18A_466A_B152_26B7B5EB5F8A_.wvu.PrintArea" localSheetId="5" hidden="1">RD!$A$1:$T$13</definedName>
    <definedName name="Z_896AD9BE_343E_4241_9567_E97EA3C7D73E_.wvu.PrintArea" localSheetId="4" hidden="1">BD!$A$1:$T$13</definedName>
    <definedName name="Z_896AD9BE_343E_4241_9567_E97EA3C7D73E_.wvu.PrintArea" localSheetId="5" hidden="1">RD!$A$1:$T$13</definedName>
    <definedName name="Z_8F904101_0CD0_4EB8_918C_6C9451EECAE3_.wvu.PrintArea" localSheetId="4" hidden="1">BD!$A$1:$T$13</definedName>
    <definedName name="Z_8F904101_0CD0_4EB8_918C_6C9451EECAE3_.wvu.PrintArea" localSheetId="5" hidden="1">RD!$A$1:$T$13</definedName>
    <definedName name="Z_A9F82761_E541_4BC7_AF39_E754A8EE4364_.wvu.PrintArea" localSheetId="4" hidden="1">BD!$A$1:$T$13</definedName>
    <definedName name="Z_A9F82761_E541_4BC7_AF39_E754A8EE4364_.wvu.PrintArea" localSheetId="5" hidden="1">RD!$A$1:$T$13</definedName>
    <definedName name="Z_BDBF5671_C3A9_474A_BD59_73FB0F340729_.wvu.PrintArea" localSheetId="4" hidden="1">BD!$A$1:$T$13</definedName>
    <definedName name="Z_BDBF5671_C3A9_474A_BD59_73FB0F340729_.wvu.PrintArea" localSheetId="5" hidden="1">RD!$A$1:$T$13</definedName>
    <definedName name="Z_BE7D4983_2668_442B_8E12_AE767275E8F1_.wvu.PrintArea" localSheetId="4" hidden="1">BD!$A$1:$T$13</definedName>
    <definedName name="Z_BE7D4983_2668_442B_8E12_AE767275E8F1_.wvu.PrintArea" localSheetId="5" hidden="1">RD!$A$1:$T$13</definedName>
    <definedName name="Z_F5DE2E4F_A48B_4F36_85E7_0AB7ADB29149_.wvu.PrintArea" localSheetId="4" hidden="1">BD!$A$1:$T$13</definedName>
    <definedName name="Z_F5DE2E4F_A48B_4F36_85E7_0AB7ADB29149_.wvu.PrintArea" localSheetId="5" hidden="1">RD!$A$1:$T$13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144" i="9" l="1"/>
  <c r="AX144" i="9"/>
  <c r="AW144" i="9"/>
  <c r="AV144" i="9"/>
  <c r="AU144" i="9"/>
  <c r="AT144" i="9"/>
  <c r="AS144" i="9"/>
  <c r="AR144" i="9"/>
  <c r="AQ144" i="9"/>
  <c r="AP144" i="9"/>
  <c r="AO144" i="9"/>
  <c r="AN144" i="9"/>
  <c r="AM144" i="9"/>
  <c r="AL144" i="9"/>
  <c r="AK144" i="9"/>
  <c r="AJ144" i="9"/>
  <c r="AI144" i="9"/>
  <c r="AH144" i="9"/>
  <c r="AG144" i="9"/>
  <c r="AF144" i="9"/>
  <c r="AE144" i="9"/>
  <c r="AD144" i="9"/>
  <c r="AC144" i="9"/>
  <c r="AB144" i="9"/>
  <c r="AA144" i="9"/>
  <c r="Z144" i="9"/>
  <c r="Y144" i="9"/>
  <c r="X144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AY143" i="9"/>
  <c r="AX143" i="9"/>
  <c r="AW143" i="9"/>
  <c r="AV143" i="9"/>
  <c r="AU143" i="9"/>
  <c r="AT143" i="9"/>
  <c r="AS143" i="9"/>
  <c r="AR143" i="9"/>
  <c r="AQ143" i="9"/>
  <c r="AP143" i="9"/>
  <c r="AO143" i="9"/>
  <c r="AN143" i="9"/>
  <c r="AM143" i="9"/>
  <c r="AL143" i="9"/>
  <c r="AK143" i="9"/>
  <c r="AJ143" i="9"/>
  <c r="AI143" i="9"/>
  <c r="AH143" i="9"/>
  <c r="AG143" i="9"/>
  <c r="AF143" i="9"/>
  <c r="AE143" i="9"/>
  <c r="AD143" i="9"/>
  <c r="AC143" i="9"/>
  <c r="AB143" i="9"/>
  <c r="AA143" i="9"/>
  <c r="Z143" i="9"/>
  <c r="Y143" i="9"/>
  <c r="X143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AY142" i="9"/>
  <c r="AX142" i="9"/>
  <c r="AW142" i="9"/>
  <c r="AV142" i="9"/>
  <c r="AU142" i="9"/>
  <c r="AT142" i="9"/>
  <c r="AS142" i="9"/>
  <c r="AR142" i="9"/>
  <c r="AQ142" i="9"/>
  <c r="AP142" i="9"/>
  <c r="AO142" i="9"/>
  <c r="AN142" i="9"/>
  <c r="AM142" i="9"/>
  <c r="AL142" i="9"/>
  <c r="AK142" i="9"/>
  <c r="AJ142" i="9"/>
  <c r="AI142" i="9"/>
  <c r="AH142" i="9"/>
  <c r="AG142" i="9"/>
  <c r="AF142" i="9"/>
  <c r="AE142" i="9"/>
  <c r="AD142" i="9"/>
  <c r="AC142" i="9"/>
  <c r="AB142" i="9"/>
  <c r="AA142" i="9"/>
  <c r="Z142" i="9"/>
  <c r="Y142" i="9"/>
  <c r="X142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AY141" i="9"/>
  <c r="AX141" i="9"/>
  <c r="AW141" i="9"/>
  <c r="AV141" i="9"/>
  <c r="AU141" i="9"/>
  <c r="AT141" i="9"/>
  <c r="AS141" i="9"/>
  <c r="AR141" i="9"/>
  <c r="AQ141" i="9"/>
  <c r="AP141" i="9"/>
  <c r="AO141" i="9"/>
  <c r="AN141" i="9"/>
  <c r="AM141" i="9"/>
  <c r="AL141" i="9"/>
  <c r="AK141" i="9"/>
  <c r="AJ141" i="9"/>
  <c r="AI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AY140" i="9"/>
  <c r="AX140" i="9"/>
  <c r="AW140" i="9"/>
  <c r="AV140" i="9"/>
  <c r="AU140" i="9"/>
  <c r="AT140" i="9"/>
  <c r="AS140" i="9"/>
  <c r="AR140" i="9"/>
  <c r="AQ140" i="9"/>
  <c r="AP140" i="9"/>
  <c r="AO140" i="9"/>
  <c r="AN140" i="9"/>
  <c r="AM140" i="9"/>
  <c r="AL140" i="9"/>
  <c r="AK140" i="9"/>
  <c r="AJ140" i="9"/>
  <c r="AI140" i="9"/>
  <c r="AH140" i="9"/>
  <c r="AG140" i="9"/>
  <c r="AF140" i="9"/>
  <c r="AE140" i="9"/>
  <c r="AD140" i="9"/>
  <c r="AC140" i="9"/>
  <c r="AB140" i="9"/>
  <c r="AA140" i="9"/>
  <c r="Z140" i="9"/>
  <c r="Y140" i="9"/>
  <c r="X140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AY139" i="9"/>
  <c r="AX139" i="9"/>
  <c r="AW139" i="9"/>
  <c r="AV139" i="9"/>
  <c r="AU139" i="9"/>
  <c r="AT139" i="9"/>
  <c r="AS139" i="9"/>
  <c r="AR139" i="9"/>
  <c r="AQ139" i="9"/>
  <c r="AP139" i="9"/>
  <c r="AO139" i="9"/>
  <c r="AN139" i="9"/>
  <c r="AM139" i="9"/>
  <c r="AL139" i="9"/>
  <c r="AK139" i="9"/>
  <c r="AJ139" i="9"/>
  <c r="AI139" i="9"/>
  <c r="AH139" i="9"/>
  <c r="AG139" i="9"/>
  <c r="AF139" i="9"/>
  <c r="AE139" i="9"/>
  <c r="AD139" i="9"/>
  <c r="AC139" i="9"/>
  <c r="AB139" i="9"/>
  <c r="AA139" i="9"/>
  <c r="Z139" i="9"/>
  <c r="Y139" i="9"/>
  <c r="X139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AY138" i="9"/>
  <c r="AX138" i="9"/>
  <c r="AW138" i="9"/>
  <c r="AV138" i="9"/>
  <c r="AU138" i="9"/>
  <c r="AT138" i="9"/>
  <c r="AS138" i="9"/>
  <c r="AR138" i="9"/>
  <c r="AQ138" i="9"/>
  <c r="AP138" i="9"/>
  <c r="AO138" i="9"/>
  <c r="AN138" i="9"/>
  <c r="AM138" i="9"/>
  <c r="AL138" i="9"/>
  <c r="AK138" i="9"/>
  <c r="AJ138" i="9"/>
  <c r="AI138" i="9"/>
  <c r="AH138" i="9"/>
  <c r="AG138" i="9"/>
  <c r="AF138" i="9"/>
  <c r="AE138" i="9"/>
  <c r="AD138" i="9"/>
  <c r="AC138" i="9"/>
  <c r="AB138" i="9"/>
  <c r="AA138" i="9"/>
  <c r="Z138" i="9"/>
  <c r="Y138" i="9"/>
  <c r="X138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AY137" i="9"/>
  <c r="AX137" i="9"/>
  <c r="AW137" i="9"/>
  <c r="AV137" i="9"/>
  <c r="AU137" i="9"/>
  <c r="AT137" i="9"/>
  <c r="AS137" i="9"/>
  <c r="AR137" i="9"/>
  <c r="AQ137" i="9"/>
  <c r="AP137" i="9"/>
  <c r="AO137" i="9"/>
  <c r="AN137" i="9"/>
  <c r="AM137" i="9"/>
  <c r="AL137" i="9"/>
  <c r="AK137" i="9"/>
  <c r="AJ137" i="9"/>
  <c r="AI137" i="9"/>
  <c r="AH137" i="9"/>
  <c r="AG137" i="9"/>
  <c r="AF137" i="9"/>
  <c r="AE137" i="9"/>
  <c r="AD137" i="9"/>
  <c r="AC137" i="9"/>
  <c r="AB137" i="9"/>
  <c r="AA137" i="9"/>
  <c r="Z137" i="9"/>
  <c r="Y137" i="9"/>
  <c r="X137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AY136" i="9"/>
  <c r="AX136" i="9"/>
  <c r="AW136" i="9"/>
  <c r="AV136" i="9"/>
  <c r="AU136" i="9"/>
  <c r="AT136" i="9"/>
  <c r="AS136" i="9"/>
  <c r="AR136" i="9"/>
  <c r="AQ136" i="9"/>
  <c r="AP136" i="9"/>
  <c r="AO136" i="9"/>
  <c r="AN136" i="9"/>
  <c r="AM136" i="9"/>
  <c r="AL136" i="9"/>
  <c r="AK136" i="9"/>
  <c r="AJ136" i="9"/>
  <c r="AI136" i="9"/>
  <c r="AH136" i="9"/>
  <c r="AG136" i="9"/>
  <c r="AF136" i="9"/>
  <c r="AE136" i="9"/>
  <c r="AD136" i="9"/>
  <c r="AC136" i="9"/>
  <c r="AB136" i="9"/>
  <c r="AA136" i="9"/>
  <c r="Z136" i="9"/>
  <c r="Y136" i="9"/>
  <c r="X136" i="9"/>
  <c r="W136" i="9"/>
  <c r="V136" i="9"/>
  <c r="U136" i="9"/>
  <c r="T136" i="9"/>
  <c r="S136" i="9"/>
  <c r="R136" i="9"/>
  <c r="Q136" i="9"/>
  <c r="P136" i="9"/>
  <c r="O136" i="9"/>
  <c r="N136" i="9"/>
  <c r="M136" i="9"/>
  <c r="L136" i="9"/>
  <c r="K136" i="9"/>
  <c r="J136" i="9"/>
  <c r="I136" i="9"/>
  <c r="H136" i="9"/>
  <c r="G136" i="9"/>
  <c r="F136" i="9"/>
  <c r="E136" i="9"/>
  <c r="D136" i="9"/>
  <c r="C136" i="9"/>
  <c r="B136" i="9"/>
  <c r="AY135" i="9"/>
  <c r="AX135" i="9"/>
  <c r="AW135" i="9"/>
  <c r="AV135" i="9"/>
  <c r="AU135" i="9"/>
  <c r="AT135" i="9"/>
  <c r="AS135" i="9"/>
  <c r="AR135" i="9"/>
  <c r="AQ135" i="9"/>
  <c r="AP135" i="9"/>
  <c r="AO135" i="9"/>
  <c r="AN135" i="9"/>
  <c r="AM135" i="9"/>
  <c r="AL135" i="9"/>
  <c r="AK135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V135" i="9"/>
  <c r="U135" i="9"/>
  <c r="T135" i="9"/>
  <c r="S135" i="9"/>
  <c r="R135" i="9"/>
  <c r="Q135" i="9"/>
  <c r="P135" i="9"/>
  <c r="O135" i="9"/>
  <c r="N135" i="9"/>
  <c r="M135" i="9"/>
  <c r="L135" i="9"/>
  <c r="K135" i="9"/>
  <c r="J135" i="9"/>
  <c r="I135" i="9"/>
  <c r="H135" i="9"/>
  <c r="G135" i="9"/>
  <c r="F135" i="9"/>
  <c r="E135" i="9"/>
  <c r="D135" i="9"/>
  <c r="C135" i="9"/>
  <c r="B135" i="9"/>
  <c r="AY134" i="9"/>
  <c r="AX134" i="9"/>
  <c r="AW134" i="9"/>
  <c r="AV134" i="9"/>
  <c r="AU134" i="9"/>
  <c r="AT134" i="9"/>
  <c r="AS134" i="9"/>
  <c r="AR134" i="9"/>
  <c r="AQ134" i="9"/>
  <c r="AP134" i="9"/>
  <c r="AO134" i="9"/>
  <c r="AN134" i="9"/>
  <c r="AM134" i="9"/>
  <c r="AL134" i="9"/>
  <c r="AK134" i="9"/>
  <c r="AJ134" i="9"/>
  <c r="AI134" i="9"/>
  <c r="AH134" i="9"/>
  <c r="AG134" i="9"/>
  <c r="AF134" i="9"/>
  <c r="AE134" i="9"/>
  <c r="AD134" i="9"/>
  <c r="AC134" i="9"/>
  <c r="AB134" i="9"/>
  <c r="AA134" i="9"/>
  <c r="Z134" i="9"/>
  <c r="Y134" i="9"/>
  <c r="X134" i="9"/>
  <c r="W134" i="9"/>
  <c r="V134" i="9"/>
  <c r="U134" i="9"/>
  <c r="T134" i="9"/>
  <c r="S134" i="9"/>
  <c r="R134" i="9"/>
  <c r="Q134" i="9"/>
  <c r="P134" i="9"/>
  <c r="O134" i="9"/>
  <c r="N134" i="9"/>
  <c r="M134" i="9"/>
  <c r="L134" i="9"/>
  <c r="K134" i="9"/>
  <c r="J134" i="9"/>
  <c r="I134" i="9"/>
  <c r="H134" i="9"/>
  <c r="G134" i="9"/>
  <c r="F134" i="9"/>
  <c r="E134" i="9"/>
  <c r="D134" i="9"/>
  <c r="C134" i="9"/>
  <c r="B134" i="9"/>
  <c r="AY133" i="9"/>
  <c r="AX133" i="9"/>
  <c r="AW133" i="9"/>
  <c r="AV133" i="9"/>
  <c r="AU133" i="9"/>
  <c r="AT133" i="9"/>
  <c r="AS133" i="9"/>
  <c r="AR133" i="9"/>
  <c r="AQ133" i="9"/>
  <c r="AP133" i="9"/>
  <c r="AO133" i="9"/>
  <c r="AN133" i="9"/>
  <c r="AM133" i="9"/>
  <c r="AL133" i="9"/>
  <c r="AK133" i="9"/>
  <c r="AJ133" i="9"/>
  <c r="AI133" i="9"/>
  <c r="AH133" i="9"/>
  <c r="AG133" i="9"/>
  <c r="AF133" i="9"/>
  <c r="AE133" i="9"/>
  <c r="AD133" i="9"/>
  <c r="AC133" i="9"/>
  <c r="AB133" i="9"/>
  <c r="AA133" i="9"/>
  <c r="Z133" i="9"/>
  <c r="Y133" i="9"/>
  <c r="X133" i="9"/>
  <c r="W133" i="9"/>
  <c r="V133" i="9"/>
  <c r="U133" i="9"/>
  <c r="T133" i="9"/>
  <c r="S133" i="9"/>
  <c r="R133" i="9"/>
  <c r="Q133" i="9"/>
  <c r="P133" i="9"/>
  <c r="O133" i="9"/>
  <c r="N133" i="9"/>
  <c r="M133" i="9"/>
  <c r="L133" i="9"/>
  <c r="K133" i="9"/>
  <c r="J133" i="9"/>
  <c r="I133" i="9"/>
  <c r="H133" i="9"/>
  <c r="G133" i="9"/>
  <c r="F133" i="9"/>
  <c r="E133" i="9"/>
  <c r="D133" i="9"/>
  <c r="C133" i="9"/>
  <c r="B133" i="9"/>
  <c r="AY132" i="9"/>
  <c r="AX132" i="9"/>
  <c r="AW132" i="9"/>
  <c r="AV132" i="9"/>
  <c r="AU132" i="9"/>
  <c r="AT132" i="9"/>
  <c r="AS132" i="9"/>
  <c r="AR132" i="9"/>
  <c r="AQ132" i="9"/>
  <c r="AP132" i="9"/>
  <c r="AO132" i="9"/>
  <c r="AN132" i="9"/>
  <c r="AM132" i="9"/>
  <c r="AL132" i="9"/>
  <c r="AK132" i="9"/>
  <c r="AJ132" i="9"/>
  <c r="AI132" i="9"/>
  <c r="AH132" i="9"/>
  <c r="AG132" i="9"/>
  <c r="AF132" i="9"/>
  <c r="AE132" i="9"/>
  <c r="AD132" i="9"/>
  <c r="AC132" i="9"/>
  <c r="AB132" i="9"/>
  <c r="AA132" i="9"/>
  <c r="Z132" i="9"/>
  <c r="Y132" i="9"/>
  <c r="X132" i="9"/>
  <c r="W132" i="9"/>
  <c r="V132" i="9"/>
  <c r="U132" i="9"/>
  <c r="T132" i="9"/>
  <c r="S132" i="9"/>
  <c r="R132" i="9"/>
  <c r="Q132" i="9"/>
  <c r="P132" i="9"/>
  <c r="O132" i="9"/>
  <c r="N132" i="9"/>
  <c r="M132" i="9"/>
  <c r="L132" i="9"/>
  <c r="K132" i="9"/>
  <c r="J132" i="9"/>
  <c r="I132" i="9"/>
  <c r="AY129" i="9"/>
  <c r="AX129" i="9"/>
  <c r="AW129" i="9"/>
  <c r="AV129" i="9"/>
  <c r="AU129" i="9"/>
  <c r="AT129" i="9"/>
  <c r="AS129" i="9"/>
  <c r="AR129" i="9"/>
  <c r="AQ129" i="9"/>
  <c r="AP129" i="9"/>
  <c r="AO129" i="9"/>
  <c r="AN129" i="9"/>
  <c r="AM129" i="9"/>
  <c r="AL129" i="9"/>
  <c r="AK129" i="9"/>
  <c r="AJ129" i="9"/>
  <c r="AI129" i="9"/>
  <c r="AH129" i="9"/>
  <c r="AG129" i="9"/>
  <c r="AF129" i="9"/>
  <c r="AE129" i="9"/>
  <c r="AD129" i="9"/>
  <c r="AC129" i="9"/>
  <c r="AB129" i="9"/>
  <c r="AA129" i="9"/>
  <c r="Z129" i="9"/>
  <c r="Y129" i="9"/>
  <c r="X129" i="9"/>
  <c r="W129" i="9"/>
  <c r="V129" i="9"/>
  <c r="U129" i="9"/>
  <c r="T129" i="9"/>
  <c r="S129" i="9"/>
  <c r="R129" i="9"/>
  <c r="Q129" i="9"/>
  <c r="P129" i="9"/>
  <c r="O129" i="9"/>
  <c r="N129" i="9"/>
  <c r="M129" i="9"/>
  <c r="AY128" i="9"/>
  <c r="AX128" i="9"/>
  <c r="AW128" i="9"/>
  <c r="AV128" i="9"/>
  <c r="AU128" i="9"/>
  <c r="AT128" i="9"/>
  <c r="AS128" i="9"/>
  <c r="AR128" i="9"/>
  <c r="AQ128" i="9"/>
  <c r="AP128" i="9"/>
  <c r="AO128" i="9"/>
  <c r="AN128" i="9"/>
  <c r="AM128" i="9"/>
  <c r="AL128" i="9"/>
  <c r="AK128" i="9"/>
  <c r="AJ128" i="9"/>
  <c r="AI128" i="9"/>
  <c r="AH128" i="9"/>
  <c r="AG128" i="9"/>
  <c r="AF128" i="9"/>
  <c r="AE128" i="9"/>
  <c r="AD128" i="9"/>
  <c r="AC128" i="9"/>
  <c r="AB128" i="9"/>
  <c r="AA128" i="9"/>
  <c r="Z128" i="9"/>
  <c r="Y128" i="9"/>
  <c r="X128" i="9"/>
  <c r="W128" i="9"/>
  <c r="V128" i="9"/>
  <c r="U128" i="9"/>
  <c r="T128" i="9"/>
  <c r="S128" i="9"/>
  <c r="R128" i="9"/>
  <c r="Q128" i="9"/>
  <c r="P128" i="9"/>
  <c r="O128" i="9"/>
  <c r="N128" i="9"/>
  <c r="M128" i="9"/>
  <c r="AY127" i="9"/>
  <c r="AX127" i="9"/>
  <c r="AW127" i="9"/>
  <c r="AV127" i="9"/>
  <c r="AU127" i="9"/>
  <c r="AT127" i="9"/>
  <c r="AS127" i="9"/>
  <c r="AR127" i="9"/>
  <c r="AQ127" i="9"/>
  <c r="AP127" i="9"/>
  <c r="AO127" i="9"/>
  <c r="AN127" i="9"/>
  <c r="AM127" i="9"/>
  <c r="AL127" i="9"/>
  <c r="AK127" i="9"/>
  <c r="AJ127" i="9"/>
  <c r="AI127" i="9"/>
  <c r="AH127" i="9"/>
  <c r="AG127" i="9"/>
  <c r="AF127" i="9"/>
  <c r="AE127" i="9"/>
  <c r="AD127" i="9"/>
  <c r="AC127" i="9"/>
  <c r="AB127" i="9"/>
  <c r="AA127" i="9"/>
  <c r="Z127" i="9"/>
  <c r="Y127" i="9"/>
  <c r="X127" i="9"/>
  <c r="W127" i="9"/>
  <c r="V127" i="9"/>
  <c r="U127" i="9"/>
  <c r="T127" i="9"/>
  <c r="S127" i="9"/>
  <c r="R127" i="9"/>
  <c r="Q127" i="9"/>
  <c r="P127" i="9"/>
  <c r="O127" i="9"/>
  <c r="N127" i="9"/>
  <c r="M127" i="9"/>
  <c r="AY126" i="9"/>
  <c r="AX126" i="9"/>
  <c r="AW126" i="9"/>
  <c r="AV126" i="9"/>
  <c r="AU126" i="9"/>
  <c r="AT126" i="9"/>
  <c r="AS126" i="9"/>
  <c r="AR126" i="9"/>
  <c r="AQ126" i="9"/>
  <c r="AP126" i="9"/>
  <c r="AO126" i="9"/>
  <c r="AN126" i="9"/>
  <c r="AM126" i="9"/>
  <c r="AL126" i="9"/>
  <c r="AK126" i="9"/>
  <c r="AJ126" i="9"/>
  <c r="AI126" i="9"/>
  <c r="AH126" i="9"/>
  <c r="AG126" i="9"/>
  <c r="AF126" i="9"/>
  <c r="AE126" i="9"/>
  <c r="AD126" i="9"/>
  <c r="AC126" i="9"/>
  <c r="AB126" i="9"/>
  <c r="AA126" i="9"/>
  <c r="Z126" i="9"/>
  <c r="Y126" i="9"/>
  <c r="X126" i="9"/>
  <c r="W126" i="9"/>
  <c r="V126" i="9"/>
  <c r="U126" i="9"/>
  <c r="T126" i="9"/>
  <c r="S126" i="9"/>
  <c r="R126" i="9"/>
  <c r="Q126" i="9"/>
  <c r="P126" i="9"/>
  <c r="O126" i="9"/>
  <c r="N126" i="9"/>
  <c r="M126" i="9"/>
  <c r="AY125" i="9"/>
  <c r="AX125" i="9"/>
  <c r="AW125" i="9"/>
  <c r="AV125" i="9"/>
  <c r="AU125" i="9"/>
  <c r="AT125" i="9"/>
  <c r="AS125" i="9"/>
  <c r="AR125" i="9"/>
  <c r="AQ125" i="9"/>
  <c r="AP125" i="9"/>
  <c r="AO125" i="9"/>
  <c r="AN125" i="9"/>
  <c r="AM125" i="9"/>
  <c r="AL125" i="9"/>
  <c r="AK125" i="9"/>
  <c r="AJ125" i="9"/>
  <c r="AI125" i="9"/>
  <c r="AH125" i="9"/>
  <c r="AG125" i="9"/>
  <c r="AF125" i="9"/>
  <c r="AE125" i="9"/>
  <c r="AD125" i="9"/>
  <c r="AC125" i="9"/>
  <c r="AB125" i="9"/>
  <c r="AA125" i="9"/>
  <c r="Z125" i="9"/>
  <c r="Y125" i="9"/>
  <c r="X125" i="9"/>
  <c r="W125" i="9"/>
  <c r="V125" i="9"/>
  <c r="U125" i="9"/>
  <c r="T125" i="9"/>
  <c r="S125" i="9"/>
  <c r="R125" i="9"/>
  <c r="Q125" i="9"/>
  <c r="P125" i="9"/>
  <c r="O125" i="9"/>
  <c r="N125" i="9"/>
  <c r="M125" i="9"/>
  <c r="AY124" i="9"/>
  <c r="AX124" i="9"/>
  <c r="AW124" i="9"/>
  <c r="AV124" i="9"/>
  <c r="AU124" i="9"/>
  <c r="AT124" i="9"/>
  <c r="AS124" i="9"/>
  <c r="AR124" i="9"/>
  <c r="AQ124" i="9"/>
  <c r="AP124" i="9"/>
  <c r="AO124" i="9"/>
  <c r="AN124" i="9"/>
  <c r="AM124" i="9"/>
  <c r="AL124" i="9"/>
  <c r="AK124" i="9"/>
  <c r="AJ124" i="9"/>
  <c r="AI124" i="9"/>
  <c r="AH124" i="9"/>
  <c r="AG124" i="9"/>
  <c r="AF124" i="9"/>
  <c r="AE124" i="9"/>
  <c r="AD124" i="9"/>
  <c r="AC124" i="9"/>
  <c r="AB124" i="9"/>
  <c r="AA124" i="9"/>
  <c r="Z124" i="9"/>
  <c r="Y124" i="9"/>
  <c r="X124" i="9"/>
  <c r="W124" i="9"/>
  <c r="V124" i="9"/>
  <c r="U124" i="9"/>
  <c r="T124" i="9"/>
  <c r="S124" i="9"/>
  <c r="R124" i="9"/>
  <c r="Q124" i="9"/>
  <c r="P124" i="9"/>
  <c r="O124" i="9"/>
  <c r="N124" i="9"/>
  <c r="M124" i="9"/>
  <c r="AY123" i="9"/>
  <c r="AX123" i="9"/>
  <c r="AW123" i="9"/>
  <c r="AV123" i="9"/>
  <c r="AU123" i="9"/>
  <c r="AT123" i="9"/>
  <c r="AS123" i="9"/>
  <c r="AR123" i="9"/>
  <c r="AQ123" i="9"/>
  <c r="AP123" i="9"/>
  <c r="AO123" i="9"/>
  <c r="AN123" i="9"/>
  <c r="AM123" i="9"/>
  <c r="AL123" i="9"/>
  <c r="AK123" i="9"/>
  <c r="AJ123" i="9"/>
  <c r="AI123" i="9"/>
  <c r="AH123" i="9"/>
  <c r="AG123" i="9"/>
  <c r="AF123" i="9"/>
  <c r="AE123" i="9"/>
  <c r="AD123" i="9"/>
  <c r="AC123" i="9"/>
  <c r="AB123" i="9"/>
  <c r="AA123" i="9"/>
  <c r="Z123" i="9"/>
  <c r="Y123" i="9"/>
  <c r="X123" i="9"/>
  <c r="W123" i="9"/>
  <c r="V123" i="9"/>
  <c r="U123" i="9"/>
  <c r="T123" i="9"/>
  <c r="S123" i="9"/>
  <c r="R123" i="9"/>
  <c r="Q123" i="9"/>
  <c r="P123" i="9"/>
  <c r="O123" i="9"/>
  <c r="N123" i="9"/>
  <c r="M123" i="9"/>
  <c r="AY122" i="9"/>
  <c r="AX122" i="9"/>
  <c r="AW122" i="9"/>
  <c r="AV122" i="9"/>
  <c r="AU122" i="9"/>
  <c r="AT122" i="9"/>
  <c r="AS122" i="9"/>
  <c r="AR122" i="9"/>
  <c r="AQ122" i="9"/>
  <c r="AP122" i="9"/>
  <c r="AO122" i="9"/>
  <c r="AN122" i="9"/>
  <c r="AM122" i="9"/>
  <c r="AL122" i="9"/>
  <c r="AK122" i="9"/>
  <c r="AJ122" i="9"/>
  <c r="AI122" i="9"/>
  <c r="AH122" i="9"/>
  <c r="AG122" i="9"/>
  <c r="AF122" i="9"/>
  <c r="AE122" i="9"/>
  <c r="AD122" i="9"/>
  <c r="AC122" i="9"/>
  <c r="AB122" i="9"/>
  <c r="AA122" i="9"/>
  <c r="Z122" i="9"/>
  <c r="Y122" i="9"/>
  <c r="X122" i="9"/>
  <c r="W122" i="9"/>
  <c r="V122" i="9"/>
  <c r="U122" i="9"/>
  <c r="T122" i="9"/>
  <c r="S122" i="9"/>
  <c r="R122" i="9"/>
  <c r="Q122" i="9"/>
  <c r="P122" i="9"/>
  <c r="O122" i="9"/>
  <c r="N122" i="9"/>
  <c r="M122" i="9"/>
  <c r="AY121" i="9"/>
  <c r="AX121" i="9"/>
  <c r="AW121" i="9"/>
  <c r="AV121" i="9"/>
  <c r="AU121" i="9"/>
  <c r="AT121" i="9"/>
  <c r="AS121" i="9"/>
  <c r="AR121" i="9"/>
  <c r="AQ121" i="9"/>
  <c r="AP121" i="9"/>
  <c r="AO121" i="9"/>
  <c r="AN121" i="9"/>
  <c r="AM121" i="9"/>
  <c r="AL121" i="9"/>
  <c r="AK121" i="9"/>
  <c r="AJ121" i="9"/>
  <c r="AI121" i="9"/>
  <c r="AH121" i="9"/>
  <c r="AG121" i="9"/>
  <c r="AF121" i="9"/>
  <c r="AE121" i="9"/>
  <c r="AD121" i="9"/>
  <c r="AC121" i="9"/>
  <c r="AB121" i="9"/>
  <c r="AA121" i="9"/>
  <c r="Z121" i="9"/>
  <c r="Y121" i="9"/>
  <c r="X121" i="9"/>
  <c r="W121" i="9"/>
  <c r="V121" i="9"/>
  <c r="U121" i="9"/>
  <c r="T121" i="9"/>
  <c r="S121" i="9"/>
  <c r="R121" i="9"/>
  <c r="Q121" i="9"/>
  <c r="P121" i="9"/>
  <c r="O121" i="9"/>
  <c r="N121" i="9"/>
  <c r="M121" i="9"/>
  <c r="AY120" i="9"/>
  <c r="AX120" i="9"/>
  <c r="AW120" i="9"/>
  <c r="AV120" i="9"/>
  <c r="AU120" i="9"/>
  <c r="AT120" i="9"/>
  <c r="AS120" i="9"/>
  <c r="AR120" i="9"/>
  <c r="AQ120" i="9"/>
  <c r="AP120" i="9"/>
  <c r="AO120" i="9"/>
  <c r="AN120" i="9"/>
  <c r="AM120" i="9"/>
  <c r="AL120" i="9"/>
  <c r="AK120" i="9"/>
  <c r="AJ120" i="9"/>
  <c r="AI120" i="9"/>
  <c r="AH120" i="9"/>
  <c r="AG120" i="9"/>
  <c r="AF120" i="9"/>
  <c r="AE120" i="9"/>
  <c r="AD120" i="9"/>
  <c r="AC120" i="9"/>
  <c r="AB120" i="9"/>
  <c r="AA120" i="9"/>
  <c r="Z120" i="9"/>
  <c r="Y120" i="9"/>
  <c r="X120" i="9"/>
  <c r="W120" i="9"/>
  <c r="V120" i="9"/>
  <c r="U120" i="9"/>
  <c r="T120" i="9"/>
  <c r="S120" i="9"/>
  <c r="R120" i="9"/>
  <c r="Q120" i="9"/>
  <c r="P120" i="9"/>
  <c r="O120" i="9"/>
  <c r="N120" i="9"/>
  <c r="M120" i="9"/>
  <c r="AY119" i="9"/>
  <c r="AX119" i="9"/>
  <c r="AW119" i="9"/>
  <c r="AV119" i="9"/>
  <c r="AU119" i="9"/>
  <c r="AT119" i="9"/>
  <c r="AS119" i="9"/>
  <c r="AR119" i="9"/>
  <c r="AQ119" i="9"/>
  <c r="AP119" i="9"/>
  <c r="AO119" i="9"/>
  <c r="AN119" i="9"/>
  <c r="AM119" i="9"/>
  <c r="AL119" i="9"/>
  <c r="AK119" i="9"/>
  <c r="AJ119" i="9"/>
  <c r="AI119" i="9"/>
  <c r="AH119" i="9"/>
  <c r="AG119" i="9"/>
  <c r="AF119" i="9"/>
  <c r="AE119" i="9"/>
  <c r="AD119" i="9"/>
  <c r="AC119" i="9"/>
  <c r="AB119" i="9"/>
  <c r="AA119" i="9"/>
  <c r="Z119" i="9"/>
  <c r="Y119" i="9"/>
  <c r="X119" i="9"/>
  <c r="W119" i="9"/>
  <c r="V119" i="9"/>
  <c r="U119" i="9"/>
  <c r="T119" i="9"/>
  <c r="S119" i="9"/>
  <c r="R119" i="9"/>
  <c r="Q119" i="9"/>
  <c r="P119" i="9"/>
  <c r="O119" i="9"/>
  <c r="N119" i="9"/>
  <c r="M119" i="9"/>
  <c r="AY118" i="9"/>
  <c r="AX118" i="9"/>
  <c r="AW118" i="9"/>
  <c r="AV118" i="9"/>
  <c r="AU118" i="9"/>
  <c r="AT118" i="9"/>
  <c r="AS118" i="9"/>
  <c r="AR118" i="9"/>
  <c r="AQ118" i="9"/>
  <c r="AP118" i="9"/>
  <c r="AO118" i="9"/>
  <c r="AN118" i="9"/>
  <c r="AM118" i="9"/>
  <c r="AL118" i="9"/>
  <c r="AK118" i="9"/>
  <c r="AJ118" i="9"/>
  <c r="AI118" i="9"/>
  <c r="AH118" i="9"/>
  <c r="AG118" i="9"/>
  <c r="AF118" i="9"/>
  <c r="AE118" i="9"/>
  <c r="AD118" i="9"/>
  <c r="AC118" i="9"/>
  <c r="AB118" i="9"/>
  <c r="AA118" i="9"/>
  <c r="Z118" i="9"/>
  <c r="Y118" i="9"/>
  <c r="X118" i="9"/>
  <c r="W118" i="9"/>
  <c r="V118" i="9"/>
  <c r="U118" i="9"/>
  <c r="T118" i="9"/>
  <c r="S118" i="9"/>
  <c r="R118" i="9"/>
  <c r="Q118" i="9"/>
  <c r="P118" i="9"/>
  <c r="O118" i="9"/>
  <c r="N118" i="9"/>
  <c r="M118" i="9"/>
  <c r="AY117" i="9"/>
  <c r="AX117" i="9"/>
  <c r="AW117" i="9"/>
  <c r="AV117" i="9"/>
  <c r="AU117" i="9"/>
  <c r="AT117" i="9"/>
  <c r="AS117" i="9"/>
  <c r="AR117" i="9"/>
  <c r="AQ117" i="9"/>
  <c r="AP117" i="9"/>
  <c r="AO117" i="9"/>
  <c r="AN117" i="9"/>
  <c r="AM117" i="9"/>
  <c r="AL117" i="9"/>
  <c r="AK117" i="9"/>
  <c r="AJ117" i="9"/>
  <c r="AI117" i="9"/>
  <c r="AH117" i="9"/>
  <c r="AG117" i="9"/>
  <c r="AF117" i="9"/>
  <c r="AE117" i="9"/>
  <c r="AD117" i="9"/>
  <c r="AC117" i="9"/>
  <c r="AB117" i="9"/>
  <c r="AA117" i="9"/>
  <c r="Z117" i="9"/>
  <c r="Y117" i="9"/>
  <c r="X117" i="9"/>
  <c r="W117" i="9"/>
  <c r="V117" i="9"/>
  <c r="U117" i="9"/>
  <c r="T117" i="9"/>
  <c r="S117" i="9"/>
  <c r="R117" i="9"/>
  <c r="Q117" i="9"/>
  <c r="P117" i="9"/>
  <c r="O117" i="9"/>
  <c r="N117" i="9"/>
  <c r="M117" i="9"/>
  <c r="AY113" i="9"/>
  <c r="AX113" i="9"/>
  <c r="AW113" i="9"/>
  <c r="AV113" i="9"/>
  <c r="AU113" i="9"/>
  <c r="AT113" i="9"/>
  <c r="AS113" i="9"/>
  <c r="AR113" i="9"/>
  <c r="AQ113" i="9"/>
  <c r="AP113" i="9"/>
  <c r="AO113" i="9"/>
  <c r="AN113" i="9"/>
  <c r="AM113" i="9"/>
  <c r="AL113" i="9"/>
  <c r="AK113" i="9"/>
  <c r="AJ113" i="9"/>
  <c r="AI113" i="9"/>
  <c r="AH113" i="9"/>
  <c r="AG113" i="9"/>
  <c r="AF113" i="9"/>
  <c r="AE113" i="9"/>
  <c r="AD113" i="9"/>
  <c r="AC113" i="9"/>
  <c r="AB113" i="9"/>
  <c r="AA113" i="9"/>
  <c r="Z113" i="9"/>
  <c r="Y113" i="9"/>
  <c r="X113" i="9"/>
  <c r="W113" i="9"/>
  <c r="V113" i="9"/>
  <c r="U113" i="9"/>
  <c r="T113" i="9"/>
  <c r="S113" i="9"/>
  <c r="AY112" i="9"/>
  <c r="AX112" i="9"/>
  <c r="AW112" i="9"/>
  <c r="AV112" i="9"/>
  <c r="AU112" i="9"/>
  <c r="AT112" i="9"/>
  <c r="AS112" i="9"/>
  <c r="AR112" i="9"/>
  <c r="AQ112" i="9"/>
  <c r="AP112" i="9"/>
  <c r="AO112" i="9"/>
  <c r="AN112" i="9"/>
  <c r="AM112" i="9"/>
  <c r="AL112" i="9"/>
  <c r="AK112" i="9"/>
  <c r="AJ112" i="9"/>
  <c r="AI112" i="9"/>
  <c r="AH112" i="9"/>
  <c r="AG112" i="9"/>
  <c r="AF112" i="9"/>
  <c r="AE112" i="9"/>
  <c r="AD112" i="9"/>
  <c r="AC112" i="9"/>
  <c r="AB112" i="9"/>
  <c r="AA112" i="9"/>
  <c r="Z112" i="9"/>
  <c r="Y112" i="9"/>
  <c r="X112" i="9"/>
  <c r="W112" i="9"/>
  <c r="V112" i="9"/>
  <c r="U112" i="9"/>
  <c r="T112" i="9"/>
  <c r="S112" i="9"/>
  <c r="AY111" i="9"/>
  <c r="AX111" i="9"/>
  <c r="AW111" i="9"/>
  <c r="AV111" i="9"/>
  <c r="AU111" i="9"/>
  <c r="AT111" i="9"/>
  <c r="AS111" i="9"/>
  <c r="AR111" i="9"/>
  <c r="AQ111" i="9"/>
  <c r="AP111" i="9"/>
  <c r="AO111" i="9"/>
  <c r="AN111" i="9"/>
  <c r="AM111" i="9"/>
  <c r="AL111" i="9"/>
  <c r="AK111" i="9"/>
  <c r="AJ111" i="9"/>
  <c r="AI111" i="9"/>
  <c r="AH111" i="9"/>
  <c r="AG111" i="9"/>
  <c r="AF111" i="9"/>
  <c r="AE111" i="9"/>
  <c r="AD111" i="9"/>
  <c r="AC111" i="9"/>
  <c r="AB111" i="9"/>
  <c r="AA111" i="9"/>
  <c r="Z111" i="9"/>
  <c r="Y111" i="9"/>
  <c r="X111" i="9"/>
  <c r="W111" i="9"/>
  <c r="V111" i="9"/>
  <c r="U111" i="9"/>
  <c r="T111" i="9"/>
  <c r="S111" i="9"/>
  <c r="AY110" i="9"/>
  <c r="AX110" i="9"/>
  <c r="AW110" i="9"/>
  <c r="AV110" i="9"/>
  <c r="AU110" i="9"/>
  <c r="AT110" i="9"/>
  <c r="AS110" i="9"/>
  <c r="AR110" i="9"/>
  <c r="AQ110" i="9"/>
  <c r="AP110" i="9"/>
  <c r="AO110" i="9"/>
  <c r="AN110" i="9"/>
  <c r="AM110" i="9"/>
  <c r="AL110" i="9"/>
  <c r="AK110" i="9"/>
  <c r="AJ110" i="9"/>
  <c r="AI110" i="9"/>
  <c r="AH110" i="9"/>
  <c r="AG110" i="9"/>
  <c r="AF110" i="9"/>
  <c r="AE110" i="9"/>
  <c r="AD110" i="9"/>
  <c r="AC110" i="9"/>
  <c r="AB110" i="9"/>
  <c r="AA110" i="9"/>
  <c r="Z110" i="9"/>
  <c r="Y110" i="9"/>
  <c r="X110" i="9"/>
  <c r="W110" i="9"/>
  <c r="V110" i="9"/>
  <c r="U110" i="9"/>
  <c r="T110" i="9"/>
  <c r="S110" i="9"/>
  <c r="AY109" i="9"/>
  <c r="AX109" i="9"/>
  <c r="AW109" i="9"/>
  <c r="AV109" i="9"/>
  <c r="AU109" i="9"/>
  <c r="AT109" i="9"/>
  <c r="AS109" i="9"/>
  <c r="AR109" i="9"/>
  <c r="AQ109" i="9"/>
  <c r="AP109" i="9"/>
  <c r="AO109" i="9"/>
  <c r="AN109" i="9"/>
  <c r="AM109" i="9"/>
  <c r="AL109" i="9"/>
  <c r="AK109" i="9"/>
  <c r="AJ109" i="9"/>
  <c r="AI109" i="9"/>
  <c r="AH109" i="9"/>
  <c r="AG109" i="9"/>
  <c r="AF109" i="9"/>
  <c r="AE109" i="9"/>
  <c r="AD109" i="9"/>
  <c r="AC109" i="9"/>
  <c r="AB109" i="9"/>
  <c r="AA109" i="9"/>
  <c r="Z109" i="9"/>
  <c r="Y109" i="9"/>
  <c r="X109" i="9"/>
  <c r="W109" i="9"/>
  <c r="V109" i="9"/>
  <c r="U109" i="9"/>
  <c r="T109" i="9"/>
  <c r="S109" i="9"/>
  <c r="AY108" i="9"/>
  <c r="AX108" i="9"/>
  <c r="AW108" i="9"/>
  <c r="AV108" i="9"/>
  <c r="AU108" i="9"/>
  <c r="AT108" i="9"/>
  <c r="AS108" i="9"/>
  <c r="AR108" i="9"/>
  <c r="AQ108" i="9"/>
  <c r="AP108" i="9"/>
  <c r="AO108" i="9"/>
  <c r="AN108" i="9"/>
  <c r="AM108" i="9"/>
  <c r="AL108" i="9"/>
  <c r="AK108" i="9"/>
  <c r="AJ108" i="9"/>
  <c r="AI108" i="9"/>
  <c r="AH108" i="9"/>
  <c r="AG108" i="9"/>
  <c r="AF108" i="9"/>
  <c r="AE108" i="9"/>
  <c r="AD108" i="9"/>
  <c r="AC108" i="9"/>
  <c r="AB108" i="9"/>
  <c r="AA108" i="9"/>
  <c r="Z108" i="9"/>
  <c r="Y108" i="9"/>
  <c r="X108" i="9"/>
  <c r="W108" i="9"/>
  <c r="V108" i="9"/>
  <c r="U108" i="9"/>
  <c r="T108" i="9"/>
  <c r="S108" i="9"/>
  <c r="AY107" i="9"/>
  <c r="AX107" i="9"/>
  <c r="AW107" i="9"/>
  <c r="AV107" i="9"/>
  <c r="AU107" i="9"/>
  <c r="AT107" i="9"/>
  <c r="AS107" i="9"/>
  <c r="AR107" i="9"/>
  <c r="AQ107" i="9"/>
  <c r="AP107" i="9"/>
  <c r="AO107" i="9"/>
  <c r="AN107" i="9"/>
  <c r="AM107" i="9"/>
  <c r="AL107" i="9"/>
  <c r="AK107" i="9"/>
  <c r="AJ107" i="9"/>
  <c r="AI107" i="9"/>
  <c r="AH107" i="9"/>
  <c r="AG107" i="9"/>
  <c r="AF107" i="9"/>
  <c r="AE107" i="9"/>
  <c r="AD107" i="9"/>
  <c r="AC107" i="9"/>
  <c r="AB107" i="9"/>
  <c r="AA107" i="9"/>
  <c r="Z107" i="9"/>
  <c r="Y107" i="9"/>
  <c r="X107" i="9"/>
  <c r="W107" i="9"/>
  <c r="V107" i="9"/>
  <c r="U107" i="9"/>
  <c r="T107" i="9"/>
  <c r="S107" i="9"/>
  <c r="AY106" i="9"/>
  <c r="AX106" i="9"/>
  <c r="AW106" i="9"/>
  <c r="AV106" i="9"/>
  <c r="AU106" i="9"/>
  <c r="AT106" i="9"/>
  <c r="AS106" i="9"/>
  <c r="AR106" i="9"/>
  <c r="AQ106" i="9"/>
  <c r="AP106" i="9"/>
  <c r="AO106" i="9"/>
  <c r="AN106" i="9"/>
  <c r="AM106" i="9"/>
  <c r="AL106" i="9"/>
  <c r="AK106" i="9"/>
  <c r="AJ106" i="9"/>
  <c r="AI106" i="9"/>
  <c r="AH106" i="9"/>
  <c r="AG106" i="9"/>
  <c r="AF106" i="9"/>
  <c r="AE106" i="9"/>
  <c r="AD106" i="9"/>
  <c r="AC106" i="9"/>
  <c r="AB106" i="9"/>
  <c r="AA106" i="9"/>
  <c r="Z106" i="9"/>
  <c r="Y106" i="9"/>
  <c r="X106" i="9"/>
  <c r="W106" i="9"/>
  <c r="V106" i="9"/>
  <c r="U106" i="9"/>
  <c r="T106" i="9"/>
  <c r="S106" i="9"/>
  <c r="AY105" i="9"/>
  <c r="AX105" i="9"/>
  <c r="AW105" i="9"/>
  <c r="AV105" i="9"/>
  <c r="AU105" i="9"/>
  <c r="AT105" i="9"/>
  <c r="AS105" i="9"/>
  <c r="AR105" i="9"/>
  <c r="AQ105" i="9"/>
  <c r="AP105" i="9"/>
  <c r="AO105" i="9"/>
  <c r="AN105" i="9"/>
  <c r="AM105" i="9"/>
  <c r="AL105" i="9"/>
  <c r="AK105" i="9"/>
  <c r="AJ105" i="9"/>
  <c r="AI105" i="9"/>
  <c r="AH105" i="9"/>
  <c r="AG105" i="9"/>
  <c r="AF105" i="9"/>
  <c r="AE105" i="9"/>
  <c r="AD105" i="9"/>
  <c r="AC105" i="9"/>
  <c r="AB105" i="9"/>
  <c r="AA105" i="9"/>
  <c r="Z105" i="9"/>
  <c r="Y105" i="9"/>
  <c r="X105" i="9"/>
  <c r="W105" i="9"/>
  <c r="V105" i="9"/>
  <c r="U105" i="9"/>
  <c r="T105" i="9"/>
  <c r="S105" i="9"/>
  <c r="AY104" i="9"/>
  <c r="AX104" i="9"/>
  <c r="AW104" i="9"/>
  <c r="AV104" i="9"/>
  <c r="AU104" i="9"/>
  <c r="AT104" i="9"/>
  <c r="AS104" i="9"/>
  <c r="AR104" i="9"/>
  <c r="AQ104" i="9"/>
  <c r="AP104" i="9"/>
  <c r="AO104" i="9"/>
  <c r="AN104" i="9"/>
  <c r="AM104" i="9"/>
  <c r="AL104" i="9"/>
  <c r="AK104" i="9"/>
  <c r="AJ104" i="9"/>
  <c r="AI104" i="9"/>
  <c r="AH104" i="9"/>
  <c r="AG104" i="9"/>
  <c r="AF104" i="9"/>
  <c r="AE104" i="9"/>
  <c r="AD104" i="9"/>
  <c r="AC104" i="9"/>
  <c r="AB104" i="9"/>
  <c r="AA104" i="9"/>
  <c r="Z104" i="9"/>
  <c r="Y104" i="9"/>
  <c r="X104" i="9"/>
  <c r="W104" i="9"/>
  <c r="V104" i="9"/>
  <c r="U104" i="9"/>
  <c r="T104" i="9"/>
  <c r="S104" i="9"/>
  <c r="AY103" i="9"/>
  <c r="AX103" i="9"/>
  <c r="AW103" i="9"/>
  <c r="AV103" i="9"/>
  <c r="AU103" i="9"/>
  <c r="AT103" i="9"/>
  <c r="AS103" i="9"/>
  <c r="AR103" i="9"/>
  <c r="AQ103" i="9"/>
  <c r="AP103" i="9"/>
  <c r="AO103" i="9"/>
  <c r="AN103" i="9"/>
  <c r="AM103" i="9"/>
  <c r="AL103" i="9"/>
  <c r="AK103" i="9"/>
  <c r="AJ103" i="9"/>
  <c r="AI103" i="9"/>
  <c r="AH103" i="9"/>
  <c r="AG103" i="9"/>
  <c r="AF103" i="9"/>
  <c r="AE103" i="9"/>
  <c r="AD103" i="9"/>
  <c r="AC103" i="9"/>
  <c r="AB103" i="9"/>
  <c r="AA103" i="9"/>
  <c r="Z103" i="9"/>
  <c r="Y103" i="9"/>
  <c r="X103" i="9"/>
  <c r="W103" i="9"/>
  <c r="V103" i="9"/>
  <c r="U103" i="9"/>
  <c r="T103" i="9"/>
  <c r="S103" i="9"/>
  <c r="AY102" i="9"/>
  <c r="AX102" i="9"/>
  <c r="AW102" i="9"/>
  <c r="AV102" i="9"/>
  <c r="AU102" i="9"/>
  <c r="AT102" i="9"/>
  <c r="AS102" i="9"/>
  <c r="AR102" i="9"/>
  <c r="AQ102" i="9"/>
  <c r="AP102" i="9"/>
  <c r="AO102" i="9"/>
  <c r="AN102" i="9"/>
  <c r="AM102" i="9"/>
  <c r="AL102" i="9"/>
  <c r="AK102" i="9"/>
  <c r="AJ102" i="9"/>
  <c r="AI102" i="9"/>
  <c r="AH102" i="9"/>
  <c r="AG102" i="9"/>
  <c r="AF102" i="9"/>
  <c r="AE102" i="9"/>
  <c r="AD102" i="9"/>
  <c r="AC102" i="9"/>
  <c r="AB102" i="9"/>
  <c r="AA102" i="9"/>
  <c r="Z102" i="9"/>
  <c r="Y102" i="9"/>
  <c r="X102" i="9"/>
  <c r="W102" i="9"/>
  <c r="V102" i="9"/>
  <c r="U102" i="9"/>
  <c r="T102" i="9"/>
  <c r="S102" i="9"/>
  <c r="AY101" i="9"/>
  <c r="AX101" i="9"/>
  <c r="AW101" i="9"/>
  <c r="AV101" i="9"/>
  <c r="AU101" i="9"/>
  <c r="AT101" i="9"/>
  <c r="AS101" i="9"/>
  <c r="AR101" i="9"/>
  <c r="AQ101" i="9"/>
  <c r="AP101" i="9"/>
  <c r="AO101" i="9"/>
  <c r="AN101" i="9"/>
  <c r="AM101" i="9"/>
  <c r="AL101" i="9"/>
  <c r="AK101" i="9"/>
  <c r="AJ101" i="9"/>
  <c r="AI101" i="9"/>
  <c r="AH101" i="9"/>
  <c r="AG101" i="9"/>
  <c r="AF101" i="9"/>
  <c r="AE101" i="9"/>
  <c r="AD101" i="9"/>
  <c r="AC101" i="9"/>
  <c r="AB101" i="9"/>
  <c r="AA101" i="9"/>
  <c r="Z101" i="9"/>
  <c r="Y101" i="9"/>
  <c r="X101" i="9"/>
  <c r="W101" i="9"/>
  <c r="V101" i="9"/>
  <c r="U101" i="9"/>
  <c r="T101" i="9"/>
  <c r="S101" i="9"/>
  <c r="AY100" i="9"/>
  <c r="AX100" i="9"/>
  <c r="AW100" i="9"/>
  <c r="AV100" i="9"/>
  <c r="AU100" i="9"/>
  <c r="AT100" i="9"/>
  <c r="AS100" i="9"/>
  <c r="AR100" i="9"/>
  <c r="AQ100" i="9"/>
  <c r="AP100" i="9"/>
  <c r="AO100" i="9"/>
  <c r="AN100" i="9"/>
  <c r="AM100" i="9"/>
  <c r="AL100" i="9"/>
  <c r="AK100" i="9"/>
  <c r="AJ100" i="9"/>
  <c r="AI100" i="9"/>
  <c r="AH100" i="9"/>
  <c r="AG100" i="9"/>
  <c r="AF100" i="9"/>
  <c r="AE100" i="9"/>
  <c r="AD100" i="9"/>
  <c r="AC100" i="9"/>
  <c r="AB100" i="9"/>
  <c r="AA100" i="9"/>
  <c r="Z100" i="9"/>
  <c r="Y100" i="9"/>
  <c r="X100" i="9"/>
  <c r="W100" i="9"/>
  <c r="V100" i="9"/>
  <c r="U100" i="9"/>
  <c r="T100" i="9"/>
  <c r="S100" i="9"/>
  <c r="R100" i="9"/>
  <c r="Q100" i="9"/>
  <c r="P100" i="9"/>
  <c r="O100" i="9"/>
  <c r="N100" i="9"/>
  <c r="M100" i="9"/>
  <c r="L100" i="9"/>
  <c r="K100" i="9"/>
  <c r="J100" i="9"/>
  <c r="I100" i="9"/>
  <c r="H100" i="9"/>
  <c r="G100" i="9"/>
  <c r="F100" i="9"/>
  <c r="E100" i="9"/>
  <c r="D100" i="9"/>
  <c r="C100" i="9"/>
  <c r="B100" i="9"/>
  <c r="Y97" i="9"/>
  <c r="X97" i="9"/>
  <c r="W97" i="9"/>
  <c r="V97" i="9"/>
  <c r="U97" i="9"/>
  <c r="T97" i="9"/>
  <c r="S97" i="9"/>
  <c r="Y96" i="9"/>
  <c r="X96" i="9"/>
  <c r="W96" i="9"/>
  <c r="V96" i="9"/>
  <c r="U96" i="9"/>
  <c r="T96" i="9"/>
  <c r="S96" i="9"/>
  <c r="Y95" i="9"/>
  <c r="X95" i="9"/>
  <c r="W95" i="9"/>
  <c r="V95" i="9"/>
  <c r="U95" i="9"/>
  <c r="T95" i="9"/>
  <c r="S95" i="9"/>
  <c r="Y94" i="9"/>
  <c r="X94" i="9"/>
  <c r="W94" i="9"/>
  <c r="V94" i="9"/>
  <c r="U94" i="9"/>
  <c r="T94" i="9"/>
  <c r="S94" i="9"/>
  <c r="Y93" i="9"/>
  <c r="X93" i="9"/>
  <c r="W93" i="9"/>
  <c r="V93" i="9"/>
  <c r="U93" i="9"/>
  <c r="T93" i="9"/>
  <c r="S93" i="9"/>
  <c r="Y92" i="9"/>
  <c r="X92" i="9"/>
  <c r="W92" i="9"/>
  <c r="V92" i="9"/>
  <c r="U92" i="9"/>
  <c r="T92" i="9"/>
  <c r="S92" i="9"/>
  <c r="Y91" i="9"/>
  <c r="X91" i="9"/>
  <c r="W91" i="9"/>
  <c r="V91" i="9"/>
  <c r="U91" i="9"/>
  <c r="T91" i="9"/>
  <c r="S91" i="9"/>
  <c r="Y90" i="9"/>
  <c r="X90" i="9"/>
  <c r="W90" i="9"/>
  <c r="V90" i="9"/>
  <c r="U90" i="9"/>
  <c r="T90" i="9"/>
  <c r="S90" i="9"/>
  <c r="Y89" i="9"/>
  <c r="X89" i="9"/>
  <c r="W89" i="9"/>
  <c r="V89" i="9"/>
  <c r="U89" i="9"/>
  <c r="T89" i="9"/>
  <c r="S89" i="9"/>
  <c r="Y88" i="9"/>
  <c r="X88" i="9"/>
  <c r="W88" i="9"/>
  <c r="V88" i="9"/>
  <c r="U88" i="9"/>
  <c r="T88" i="9"/>
  <c r="S88" i="9"/>
  <c r="Y87" i="9"/>
  <c r="X87" i="9"/>
  <c r="W87" i="9"/>
  <c r="V87" i="9"/>
  <c r="U87" i="9"/>
  <c r="T87" i="9"/>
  <c r="S87" i="9"/>
  <c r="Y86" i="9"/>
  <c r="X86" i="9"/>
  <c r="W86" i="9"/>
  <c r="V86" i="9"/>
  <c r="U86" i="9"/>
  <c r="T86" i="9"/>
  <c r="S86" i="9"/>
  <c r="Y85" i="9"/>
  <c r="X85" i="9"/>
  <c r="W85" i="9"/>
  <c r="V85" i="9"/>
  <c r="U85" i="9"/>
  <c r="T85" i="9"/>
  <c r="S85" i="9"/>
  <c r="AY84" i="9"/>
  <c r="AX84" i="9"/>
  <c r="AW84" i="9"/>
  <c r="AV84" i="9"/>
  <c r="AU84" i="9"/>
  <c r="AT84" i="9"/>
  <c r="AS84" i="9"/>
  <c r="AR84" i="9"/>
  <c r="AQ84" i="9"/>
  <c r="AP84" i="9"/>
  <c r="AO84" i="9"/>
  <c r="AN84" i="9"/>
  <c r="AM84" i="9"/>
  <c r="AL84" i="9"/>
  <c r="AK84" i="9"/>
  <c r="AJ84" i="9"/>
  <c r="AI84" i="9"/>
  <c r="AH84" i="9"/>
  <c r="AG84" i="9"/>
  <c r="AF84" i="9"/>
  <c r="AE84" i="9"/>
  <c r="AD84" i="9"/>
  <c r="AC84" i="9"/>
  <c r="AB84" i="9"/>
  <c r="AA84" i="9"/>
  <c r="Z84" i="9"/>
  <c r="Y84" i="9"/>
  <c r="X84" i="9"/>
  <c r="W84" i="9"/>
  <c r="V84" i="9"/>
  <c r="U84" i="9"/>
  <c r="T84" i="9"/>
  <c r="S84" i="9"/>
  <c r="R84" i="9"/>
  <c r="Q84" i="9"/>
  <c r="P84" i="9"/>
  <c r="O84" i="9"/>
  <c r="N84" i="9"/>
  <c r="M84" i="9"/>
  <c r="L84" i="9"/>
  <c r="K84" i="9"/>
  <c r="J84" i="9"/>
  <c r="I84" i="9"/>
  <c r="H84" i="9"/>
  <c r="G84" i="9"/>
  <c r="F84" i="9"/>
  <c r="E84" i="9"/>
  <c r="D84" i="9"/>
  <c r="C84" i="9"/>
  <c r="B84" i="9"/>
  <c r="AY81" i="9"/>
  <c r="AX81" i="9"/>
  <c r="AW81" i="9"/>
  <c r="AV81" i="9"/>
  <c r="AU81" i="9"/>
  <c r="AT81" i="9"/>
  <c r="AS81" i="9"/>
  <c r="AR81" i="9"/>
  <c r="AQ81" i="9"/>
  <c r="AP81" i="9"/>
  <c r="AO81" i="9"/>
  <c r="AN81" i="9"/>
  <c r="AM81" i="9"/>
  <c r="AL81" i="9"/>
  <c r="AK81" i="9"/>
  <c r="AJ81" i="9"/>
  <c r="AI81" i="9"/>
  <c r="AH81" i="9"/>
  <c r="AG81" i="9"/>
  <c r="AF81" i="9"/>
  <c r="AE81" i="9"/>
  <c r="AD81" i="9"/>
  <c r="AC81" i="9"/>
  <c r="AB81" i="9"/>
  <c r="AA81" i="9"/>
  <c r="Z81" i="9"/>
  <c r="Y81" i="9"/>
  <c r="X81" i="9"/>
  <c r="W81" i="9"/>
  <c r="V81" i="9"/>
  <c r="U81" i="9"/>
  <c r="T81" i="9"/>
  <c r="S81" i="9"/>
  <c r="R81" i="9"/>
  <c r="Q81" i="9"/>
  <c r="P81" i="9"/>
  <c r="O81" i="9"/>
  <c r="N81" i="9"/>
  <c r="M81" i="9"/>
  <c r="L81" i="9"/>
  <c r="AY80" i="9"/>
  <c r="AX80" i="9"/>
  <c r="AW80" i="9"/>
  <c r="AV80" i="9"/>
  <c r="AU80" i="9"/>
  <c r="AT80" i="9"/>
  <c r="AS80" i="9"/>
  <c r="AR80" i="9"/>
  <c r="AQ80" i="9"/>
  <c r="AP80" i="9"/>
  <c r="AO80" i="9"/>
  <c r="AN80" i="9"/>
  <c r="AM80" i="9"/>
  <c r="AL80" i="9"/>
  <c r="AK80" i="9"/>
  <c r="AJ80" i="9"/>
  <c r="AI80" i="9"/>
  <c r="AH80" i="9"/>
  <c r="AG80" i="9"/>
  <c r="AF80" i="9"/>
  <c r="AE80" i="9"/>
  <c r="AD80" i="9"/>
  <c r="AC80" i="9"/>
  <c r="AB80" i="9"/>
  <c r="AA80" i="9"/>
  <c r="Z80" i="9"/>
  <c r="Y80" i="9"/>
  <c r="X80" i="9"/>
  <c r="W80" i="9"/>
  <c r="V80" i="9"/>
  <c r="U80" i="9"/>
  <c r="T80" i="9"/>
  <c r="S80" i="9"/>
  <c r="R80" i="9"/>
  <c r="Q80" i="9"/>
  <c r="P80" i="9"/>
  <c r="O80" i="9"/>
  <c r="N80" i="9"/>
  <c r="M80" i="9"/>
  <c r="L80" i="9"/>
  <c r="AY79" i="9"/>
  <c r="AX79" i="9"/>
  <c r="AW79" i="9"/>
  <c r="AV79" i="9"/>
  <c r="AU79" i="9"/>
  <c r="AT79" i="9"/>
  <c r="AS79" i="9"/>
  <c r="AR79" i="9"/>
  <c r="AQ79" i="9"/>
  <c r="AP79" i="9"/>
  <c r="AO79" i="9"/>
  <c r="AN79" i="9"/>
  <c r="AM79" i="9"/>
  <c r="AL79" i="9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AY78" i="9"/>
  <c r="AX78" i="9"/>
  <c r="AW78" i="9"/>
  <c r="AV78" i="9"/>
  <c r="AU78" i="9"/>
  <c r="AT78" i="9"/>
  <c r="AS78" i="9"/>
  <c r="AR78" i="9"/>
  <c r="AQ78" i="9"/>
  <c r="AP78" i="9"/>
  <c r="AO78" i="9"/>
  <c r="AN78" i="9"/>
  <c r="AM78" i="9"/>
  <c r="AL78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AY77" i="9"/>
  <c r="AX77" i="9"/>
  <c r="AW77" i="9"/>
  <c r="AV77" i="9"/>
  <c r="AU77" i="9"/>
  <c r="AT77" i="9"/>
  <c r="AS77" i="9"/>
  <c r="AR77" i="9"/>
  <c r="AQ77" i="9"/>
  <c r="AP77" i="9"/>
  <c r="AO77" i="9"/>
  <c r="AN77" i="9"/>
  <c r="AM77" i="9"/>
  <c r="AL77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AY76" i="9"/>
  <c r="AX76" i="9"/>
  <c r="AW76" i="9"/>
  <c r="AV76" i="9"/>
  <c r="AU76" i="9"/>
  <c r="AT76" i="9"/>
  <c r="AS76" i="9"/>
  <c r="AR76" i="9"/>
  <c r="AQ76" i="9"/>
  <c r="AP76" i="9"/>
  <c r="AO76" i="9"/>
  <c r="AN76" i="9"/>
  <c r="AM76" i="9"/>
  <c r="AL76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AY75" i="9"/>
  <c r="AX75" i="9"/>
  <c r="AW75" i="9"/>
  <c r="AV75" i="9"/>
  <c r="AU75" i="9"/>
  <c r="AT75" i="9"/>
  <c r="AS75" i="9"/>
  <c r="AR75" i="9"/>
  <c r="AQ75" i="9"/>
  <c r="AP75" i="9"/>
  <c r="AO75" i="9"/>
  <c r="AN75" i="9"/>
  <c r="AM75" i="9"/>
  <c r="AL75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AY74" i="9"/>
  <c r="AX74" i="9"/>
  <c r="AW74" i="9"/>
  <c r="AV74" i="9"/>
  <c r="AU74" i="9"/>
  <c r="AT74" i="9"/>
  <c r="AS74" i="9"/>
  <c r="AR74" i="9"/>
  <c r="AQ74" i="9"/>
  <c r="AP74" i="9"/>
  <c r="AO74" i="9"/>
  <c r="AN74" i="9"/>
  <c r="AM74" i="9"/>
  <c r="AL74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AY73" i="9"/>
  <c r="AX73" i="9"/>
  <c r="AW73" i="9"/>
  <c r="AV73" i="9"/>
  <c r="AU73" i="9"/>
  <c r="AT73" i="9"/>
  <c r="AS73" i="9"/>
  <c r="AR73" i="9"/>
  <c r="AQ73" i="9"/>
  <c r="AP73" i="9"/>
  <c r="AO73" i="9"/>
  <c r="AN73" i="9"/>
  <c r="AM73" i="9"/>
  <c r="AL73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AY72" i="9"/>
  <c r="AX72" i="9"/>
  <c r="AW72" i="9"/>
  <c r="AV72" i="9"/>
  <c r="AU72" i="9"/>
  <c r="AT72" i="9"/>
  <c r="AS72" i="9"/>
  <c r="AR72" i="9"/>
  <c r="AQ72" i="9"/>
  <c r="AP72" i="9"/>
  <c r="AO72" i="9"/>
  <c r="AN72" i="9"/>
  <c r="AM72" i="9"/>
  <c r="AL72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AY71" i="9"/>
  <c r="AX71" i="9"/>
  <c r="AW71" i="9"/>
  <c r="AV71" i="9"/>
  <c r="AU71" i="9"/>
  <c r="AT71" i="9"/>
  <c r="AS71" i="9"/>
  <c r="AR71" i="9"/>
  <c r="AQ71" i="9"/>
  <c r="AP71" i="9"/>
  <c r="AO71" i="9"/>
  <c r="AN71" i="9"/>
  <c r="AM71" i="9"/>
  <c r="AL71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AY70" i="9"/>
  <c r="AX70" i="9"/>
  <c r="AW70" i="9"/>
  <c r="AV70" i="9"/>
  <c r="AU70" i="9"/>
  <c r="AT70" i="9"/>
  <c r="AS70" i="9"/>
  <c r="AR70" i="9"/>
  <c r="AQ70" i="9"/>
  <c r="AP70" i="9"/>
  <c r="AO70" i="9"/>
  <c r="AN70" i="9"/>
  <c r="AM70" i="9"/>
  <c r="AL70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AY69" i="9"/>
  <c r="AX69" i="9"/>
  <c r="AW69" i="9"/>
  <c r="AV69" i="9"/>
  <c r="AU69" i="9"/>
  <c r="AT69" i="9"/>
  <c r="AS69" i="9"/>
  <c r="AR69" i="9"/>
  <c r="AQ69" i="9"/>
  <c r="AP69" i="9"/>
  <c r="AO69" i="9"/>
  <c r="AN69" i="9"/>
  <c r="AM69" i="9"/>
  <c r="AL69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AY68" i="9"/>
  <c r="AX68" i="9"/>
  <c r="AW68" i="9"/>
  <c r="AV68" i="9"/>
  <c r="AU68" i="9"/>
  <c r="AT68" i="9"/>
  <c r="AS68" i="9"/>
  <c r="AR68" i="9"/>
  <c r="AQ68" i="9"/>
  <c r="AP68" i="9"/>
  <c r="AO68" i="9"/>
  <c r="AN68" i="9"/>
  <c r="AM68" i="9"/>
  <c r="AL68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AY65" i="9"/>
  <c r="AX65" i="9"/>
  <c r="AW65" i="9"/>
  <c r="AV65" i="9"/>
  <c r="AU65" i="9"/>
  <c r="AT65" i="9"/>
  <c r="AS65" i="9"/>
  <c r="AR65" i="9"/>
  <c r="AQ65" i="9"/>
  <c r="AP65" i="9"/>
  <c r="AO65" i="9"/>
  <c r="AN65" i="9"/>
  <c r="AM65" i="9"/>
  <c r="AL65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Y64" i="9"/>
  <c r="AX64" i="9"/>
  <c r="AW64" i="9"/>
  <c r="AV64" i="9"/>
  <c r="AU64" i="9"/>
  <c r="AT64" i="9"/>
  <c r="AS64" i="9"/>
  <c r="AR64" i="9"/>
  <c r="AQ64" i="9"/>
  <c r="AP64" i="9"/>
  <c r="AO64" i="9"/>
  <c r="AN64" i="9"/>
  <c r="AM64" i="9"/>
  <c r="AL64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Y63" i="9"/>
  <c r="AX63" i="9"/>
  <c r="AW63" i="9"/>
  <c r="AV63" i="9"/>
  <c r="AU63" i="9"/>
  <c r="AT63" i="9"/>
  <c r="AS63" i="9"/>
  <c r="AR63" i="9"/>
  <c r="AQ63" i="9"/>
  <c r="AP63" i="9"/>
  <c r="AO63" i="9"/>
  <c r="AN63" i="9"/>
  <c r="AM63" i="9"/>
  <c r="AL63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Y62" i="9"/>
  <c r="AX62" i="9"/>
  <c r="AW62" i="9"/>
  <c r="AV62" i="9"/>
  <c r="AU62" i="9"/>
  <c r="AT62" i="9"/>
  <c r="AS62" i="9"/>
  <c r="AR62" i="9"/>
  <c r="AQ62" i="9"/>
  <c r="AP62" i="9"/>
  <c r="AO62" i="9"/>
  <c r="AN62" i="9"/>
  <c r="AM62" i="9"/>
  <c r="AL62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Y61" i="9"/>
  <c r="AX61" i="9"/>
  <c r="AW61" i="9"/>
  <c r="AV61" i="9"/>
  <c r="AU61" i="9"/>
  <c r="AT61" i="9"/>
  <c r="AS61" i="9"/>
  <c r="AR61" i="9"/>
  <c r="AQ61" i="9"/>
  <c r="AP61" i="9"/>
  <c r="AO61" i="9"/>
  <c r="AN61" i="9"/>
  <c r="AM61" i="9"/>
  <c r="AL61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Y60" i="9"/>
  <c r="AX60" i="9"/>
  <c r="AW60" i="9"/>
  <c r="AV60" i="9"/>
  <c r="AU60" i="9"/>
  <c r="AT60" i="9"/>
  <c r="AS60" i="9"/>
  <c r="AR60" i="9"/>
  <c r="AQ60" i="9"/>
  <c r="AP60" i="9"/>
  <c r="AO60" i="9"/>
  <c r="AN60" i="9"/>
  <c r="AM60" i="9"/>
  <c r="AL60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Y59" i="9"/>
  <c r="AX59" i="9"/>
  <c r="AW59" i="9"/>
  <c r="AV59" i="9"/>
  <c r="AU59" i="9"/>
  <c r="AT59" i="9"/>
  <c r="AS59" i="9"/>
  <c r="AR59" i="9"/>
  <c r="AQ59" i="9"/>
  <c r="AP59" i="9"/>
  <c r="AO59" i="9"/>
  <c r="AN59" i="9"/>
  <c r="AM59" i="9"/>
  <c r="AL59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Y58" i="9"/>
  <c r="AX58" i="9"/>
  <c r="AW58" i="9"/>
  <c r="AV58" i="9"/>
  <c r="AU58" i="9"/>
  <c r="AT58" i="9"/>
  <c r="AS58" i="9"/>
  <c r="AR58" i="9"/>
  <c r="AQ58" i="9"/>
  <c r="AP58" i="9"/>
  <c r="AO58" i="9"/>
  <c r="AN58" i="9"/>
  <c r="AM58" i="9"/>
  <c r="AL58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Y57" i="9"/>
  <c r="AX57" i="9"/>
  <c r="AW57" i="9"/>
  <c r="AV57" i="9"/>
  <c r="AU57" i="9"/>
  <c r="AT57" i="9"/>
  <c r="AS57" i="9"/>
  <c r="AR57" i="9"/>
  <c r="AQ57" i="9"/>
  <c r="AP57" i="9"/>
  <c r="AO57" i="9"/>
  <c r="AN57" i="9"/>
  <c r="AM57" i="9"/>
  <c r="AL57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Y56" i="9"/>
  <c r="AX56" i="9"/>
  <c r="AW56" i="9"/>
  <c r="AV56" i="9"/>
  <c r="AU56" i="9"/>
  <c r="AT56" i="9"/>
  <c r="AS56" i="9"/>
  <c r="AR56" i="9"/>
  <c r="AQ56" i="9"/>
  <c r="AP56" i="9"/>
  <c r="AO56" i="9"/>
  <c r="AN56" i="9"/>
  <c r="AM56" i="9"/>
  <c r="AL56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Y55" i="9"/>
  <c r="AX55" i="9"/>
  <c r="AW55" i="9"/>
  <c r="AV55" i="9"/>
  <c r="AU55" i="9"/>
  <c r="AT55" i="9"/>
  <c r="AS55" i="9"/>
  <c r="AR55" i="9"/>
  <c r="AQ55" i="9"/>
  <c r="AP55" i="9"/>
  <c r="AO55" i="9"/>
  <c r="AN55" i="9"/>
  <c r="AM55" i="9"/>
  <c r="AL55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Y54" i="9"/>
  <c r="AX54" i="9"/>
  <c r="AW54" i="9"/>
  <c r="AV54" i="9"/>
  <c r="AU54" i="9"/>
  <c r="AT54" i="9"/>
  <c r="AS54" i="9"/>
  <c r="AR54" i="9"/>
  <c r="AQ54" i="9"/>
  <c r="AP54" i="9"/>
  <c r="AO54" i="9"/>
  <c r="AN54" i="9"/>
  <c r="AM54" i="9"/>
  <c r="AL54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Y53" i="9"/>
  <c r="AX53" i="9"/>
  <c r="AW53" i="9"/>
  <c r="AV53" i="9"/>
  <c r="AU53" i="9"/>
  <c r="AT53" i="9"/>
  <c r="AS53" i="9"/>
  <c r="AR53" i="9"/>
  <c r="AQ53" i="9"/>
  <c r="AP53" i="9"/>
  <c r="AO53" i="9"/>
  <c r="AN53" i="9"/>
  <c r="AM53" i="9"/>
  <c r="AL53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Y52" i="9"/>
  <c r="AX52" i="9"/>
  <c r="AW52" i="9"/>
  <c r="AV52" i="9"/>
  <c r="AU52" i="9"/>
  <c r="AT52" i="9"/>
  <c r="AS52" i="9"/>
  <c r="AR52" i="9"/>
  <c r="AQ52" i="9"/>
  <c r="AP52" i="9"/>
  <c r="AO52" i="9"/>
  <c r="AN52" i="9"/>
  <c r="AM52" i="9"/>
  <c r="AL52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Y49" i="9"/>
  <c r="AX49" i="9"/>
  <c r="AW49" i="9"/>
  <c r="AV49" i="9"/>
  <c r="AU49" i="9"/>
  <c r="AT49" i="9"/>
  <c r="AS49" i="9"/>
  <c r="AR49" i="9"/>
  <c r="AQ49" i="9"/>
  <c r="AP49" i="9"/>
  <c r="AO49" i="9"/>
  <c r="AN49" i="9"/>
  <c r="AM49" i="9"/>
  <c r="AL49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AY48" i="9"/>
  <c r="AX48" i="9"/>
  <c r="AW48" i="9"/>
  <c r="AV48" i="9"/>
  <c r="AU48" i="9"/>
  <c r="AT48" i="9"/>
  <c r="AS48" i="9"/>
  <c r="AR48" i="9"/>
  <c r="AQ48" i="9"/>
  <c r="AP48" i="9"/>
  <c r="AO48" i="9"/>
  <c r="AN48" i="9"/>
  <c r="AM48" i="9"/>
  <c r="AL48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AY47" i="9"/>
  <c r="AX47" i="9"/>
  <c r="AW47" i="9"/>
  <c r="AV47" i="9"/>
  <c r="AU47" i="9"/>
  <c r="AT47" i="9"/>
  <c r="AS47" i="9"/>
  <c r="AR47" i="9"/>
  <c r="AQ47" i="9"/>
  <c r="AP47" i="9"/>
  <c r="AO47" i="9"/>
  <c r="AN47" i="9"/>
  <c r="AM47" i="9"/>
  <c r="AL47" i="9"/>
  <c r="AK47" i="9"/>
  <c r="AJ47" i="9"/>
  <c r="AI47" i="9"/>
  <c r="AH47" i="9"/>
  <c r="AG47" i="9"/>
  <c r="AF47" i="9"/>
  <c r="AE47" i="9"/>
  <c r="AD47" i="9"/>
  <c r="AC47" i="9"/>
  <c r="AB47" i="9"/>
  <c r="AA47" i="9"/>
  <c r="Z47" i="9"/>
  <c r="Y47" i="9"/>
  <c r="X47" i="9"/>
  <c r="W47" i="9"/>
  <c r="V47" i="9"/>
  <c r="U47" i="9"/>
  <c r="T47" i="9"/>
  <c r="S47" i="9"/>
  <c r="R47" i="9"/>
  <c r="Q47" i="9"/>
  <c r="P47" i="9"/>
  <c r="O47" i="9"/>
  <c r="N47" i="9"/>
  <c r="M47" i="9"/>
  <c r="L47" i="9"/>
  <c r="K47" i="9"/>
  <c r="AY46" i="9"/>
  <c r="AX46" i="9"/>
  <c r="AW46" i="9"/>
  <c r="AV46" i="9"/>
  <c r="AU46" i="9"/>
  <c r="AT46" i="9"/>
  <c r="AS46" i="9"/>
  <c r="AR46" i="9"/>
  <c r="AQ46" i="9"/>
  <c r="AP46" i="9"/>
  <c r="AO46" i="9"/>
  <c r="AN46" i="9"/>
  <c r="AM46" i="9"/>
  <c r="AL46" i="9"/>
  <c r="AK46" i="9"/>
  <c r="AJ46" i="9"/>
  <c r="AI46" i="9"/>
  <c r="AH46" i="9"/>
  <c r="AG46" i="9"/>
  <c r="AF46" i="9"/>
  <c r="AE46" i="9"/>
  <c r="AD46" i="9"/>
  <c r="AC46" i="9"/>
  <c r="AB46" i="9"/>
  <c r="AA46" i="9"/>
  <c r="Z46" i="9"/>
  <c r="Y46" i="9"/>
  <c r="X46" i="9"/>
  <c r="W46" i="9"/>
  <c r="V46" i="9"/>
  <c r="U46" i="9"/>
  <c r="T46" i="9"/>
  <c r="S46" i="9"/>
  <c r="R46" i="9"/>
  <c r="Q46" i="9"/>
  <c r="P46" i="9"/>
  <c r="O46" i="9"/>
  <c r="N46" i="9"/>
  <c r="M46" i="9"/>
  <c r="L46" i="9"/>
  <c r="K46" i="9"/>
  <c r="AY45" i="9"/>
  <c r="AX45" i="9"/>
  <c r="AW45" i="9"/>
  <c r="AV45" i="9"/>
  <c r="AU45" i="9"/>
  <c r="AT45" i="9"/>
  <c r="AS45" i="9"/>
  <c r="AR45" i="9"/>
  <c r="AQ45" i="9"/>
  <c r="AP45" i="9"/>
  <c r="AO45" i="9"/>
  <c r="AN45" i="9"/>
  <c r="AM45" i="9"/>
  <c r="AL45" i="9"/>
  <c r="AK45" i="9"/>
  <c r="AJ45" i="9"/>
  <c r="AI45" i="9"/>
  <c r="AH45" i="9"/>
  <c r="AG45" i="9"/>
  <c r="AF45" i="9"/>
  <c r="AE45" i="9"/>
  <c r="AD45" i="9"/>
  <c r="AC45" i="9"/>
  <c r="AB45" i="9"/>
  <c r="AA45" i="9"/>
  <c r="Z45" i="9"/>
  <c r="Y45" i="9"/>
  <c r="X45" i="9"/>
  <c r="W45" i="9"/>
  <c r="V45" i="9"/>
  <c r="U45" i="9"/>
  <c r="T45" i="9"/>
  <c r="S45" i="9"/>
  <c r="R45" i="9"/>
  <c r="Q45" i="9"/>
  <c r="P45" i="9"/>
  <c r="O45" i="9"/>
  <c r="N45" i="9"/>
  <c r="M45" i="9"/>
  <c r="L45" i="9"/>
  <c r="K45" i="9"/>
  <c r="AY44" i="9"/>
  <c r="AX44" i="9"/>
  <c r="AW44" i="9"/>
  <c r="AV44" i="9"/>
  <c r="AU44" i="9"/>
  <c r="AT44" i="9"/>
  <c r="AS44" i="9"/>
  <c r="AR44" i="9"/>
  <c r="AQ44" i="9"/>
  <c r="AP44" i="9"/>
  <c r="AO44" i="9"/>
  <c r="AN44" i="9"/>
  <c r="AM44" i="9"/>
  <c r="AL44" i="9"/>
  <c r="AK44" i="9"/>
  <c r="AJ44" i="9"/>
  <c r="AI44" i="9"/>
  <c r="AH44" i="9"/>
  <c r="AG44" i="9"/>
  <c r="AF44" i="9"/>
  <c r="AE44" i="9"/>
  <c r="AD44" i="9"/>
  <c r="AC44" i="9"/>
  <c r="AB44" i="9"/>
  <c r="AA44" i="9"/>
  <c r="Z44" i="9"/>
  <c r="Y44" i="9"/>
  <c r="X44" i="9"/>
  <c r="W44" i="9"/>
  <c r="V44" i="9"/>
  <c r="U44" i="9"/>
  <c r="T44" i="9"/>
  <c r="S44" i="9"/>
  <c r="R44" i="9"/>
  <c r="Q44" i="9"/>
  <c r="P44" i="9"/>
  <c r="O44" i="9"/>
  <c r="N44" i="9"/>
  <c r="M44" i="9"/>
  <c r="L44" i="9"/>
  <c r="K44" i="9"/>
  <c r="AY43" i="9"/>
  <c r="AX43" i="9"/>
  <c r="AW43" i="9"/>
  <c r="AV43" i="9"/>
  <c r="AU43" i="9"/>
  <c r="AT43" i="9"/>
  <c r="AS43" i="9"/>
  <c r="AR43" i="9"/>
  <c r="AQ43" i="9"/>
  <c r="AP43" i="9"/>
  <c r="AO43" i="9"/>
  <c r="AN43" i="9"/>
  <c r="AM43" i="9"/>
  <c r="AL43" i="9"/>
  <c r="AK43" i="9"/>
  <c r="AJ43" i="9"/>
  <c r="AI43" i="9"/>
  <c r="AH43" i="9"/>
  <c r="AG43" i="9"/>
  <c r="AF43" i="9"/>
  <c r="AE43" i="9"/>
  <c r="AD43" i="9"/>
  <c r="AC43" i="9"/>
  <c r="AB43" i="9"/>
  <c r="AA43" i="9"/>
  <c r="Z43" i="9"/>
  <c r="Y43" i="9"/>
  <c r="X43" i="9"/>
  <c r="W43" i="9"/>
  <c r="V43" i="9"/>
  <c r="U43" i="9"/>
  <c r="T43" i="9"/>
  <c r="S43" i="9"/>
  <c r="R43" i="9"/>
  <c r="Q43" i="9"/>
  <c r="P43" i="9"/>
  <c r="O43" i="9"/>
  <c r="N43" i="9"/>
  <c r="M43" i="9"/>
  <c r="L43" i="9"/>
  <c r="K43" i="9"/>
  <c r="AY42" i="9"/>
  <c r="AX42" i="9"/>
  <c r="AW42" i="9"/>
  <c r="AV42" i="9"/>
  <c r="AU42" i="9"/>
  <c r="AT42" i="9"/>
  <c r="AS42" i="9"/>
  <c r="AR42" i="9"/>
  <c r="AQ42" i="9"/>
  <c r="AP42" i="9"/>
  <c r="AO42" i="9"/>
  <c r="AN42" i="9"/>
  <c r="AM42" i="9"/>
  <c r="AL42" i="9"/>
  <c r="AK42" i="9"/>
  <c r="AJ42" i="9"/>
  <c r="AI42" i="9"/>
  <c r="AH42" i="9"/>
  <c r="AG42" i="9"/>
  <c r="AF42" i="9"/>
  <c r="AE42" i="9"/>
  <c r="AD42" i="9"/>
  <c r="AC42" i="9"/>
  <c r="AB42" i="9"/>
  <c r="AA42" i="9"/>
  <c r="Z42" i="9"/>
  <c r="Y42" i="9"/>
  <c r="X42" i="9"/>
  <c r="W42" i="9"/>
  <c r="V42" i="9"/>
  <c r="U42" i="9"/>
  <c r="T42" i="9"/>
  <c r="S42" i="9"/>
  <c r="R42" i="9"/>
  <c r="Q42" i="9"/>
  <c r="P42" i="9"/>
  <c r="O42" i="9"/>
  <c r="N42" i="9"/>
  <c r="M42" i="9"/>
  <c r="L42" i="9"/>
  <c r="K42" i="9"/>
  <c r="AY41" i="9"/>
  <c r="AX41" i="9"/>
  <c r="AW41" i="9"/>
  <c r="AV41" i="9"/>
  <c r="AU41" i="9"/>
  <c r="AT41" i="9"/>
  <c r="AS41" i="9"/>
  <c r="AR41" i="9"/>
  <c r="AQ41" i="9"/>
  <c r="AP41" i="9"/>
  <c r="AO41" i="9"/>
  <c r="AN41" i="9"/>
  <c r="AM41" i="9"/>
  <c r="AL41" i="9"/>
  <c r="AK41" i="9"/>
  <c r="AJ41" i="9"/>
  <c r="AI41" i="9"/>
  <c r="AH41" i="9"/>
  <c r="AG41" i="9"/>
  <c r="AF41" i="9"/>
  <c r="AE41" i="9"/>
  <c r="AD41" i="9"/>
  <c r="AC41" i="9"/>
  <c r="AB41" i="9"/>
  <c r="AA41" i="9"/>
  <c r="Z41" i="9"/>
  <c r="Y41" i="9"/>
  <c r="X41" i="9"/>
  <c r="W41" i="9"/>
  <c r="V41" i="9"/>
  <c r="U41" i="9"/>
  <c r="T41" i="9"/>
  <c r="S41" i="9"/>
  <c r="R41" i="9"/>
  <c r="Q41" i="9"/>
  <c r="P41" i="9"/>
  <c r="O41" i="9"/>
  <c r="N41" i="9"/>
  <c r="M41" i="9"/>
  <c r="L41" i="9"/>
  <c r="K41" i="9"/>
  <c r="AY40" i="9"/>
  <c r="AX40" i="9"/>
  <c r="AW40" i="9"/>
  <c r="AV40" i="9"/>
  <c r="AU40" i="9"/>
  <c r="AT40" i="9"/>
  <c r="AS40" i="9"/>
  <c r="AR40" i="9"/>
  <c r="AQ40" i="9"/>
  <c r="AP40" i="9"/>
  <c r="AO40" i="9"/>
  <c r="AN40" i="9"/>
  <c r="AM40" i="9"/>
  <c r="AL40" i="9"/>
  <c r="AK40" i="9"/>
  <c r="AJ40" i="9"/>
  <c r="AI40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Q40" i="9"/>
  <c r="P40" i="9"/>
  <c r="O40" i="9"/>
  <c r="N40" i="9"/>
  <c r="M40" i="9"/>
  <c r="L40" i="9"/>
  <c r="K40" i="9"/>
  <c r="AY39" i="9"/>
  <c r="AX39" i="9"/>
  <c r="AW39" i="9"/>
  <c r="AV39" i="9"/>
  <c r="AU39" i="9"/>
  <c r="AT39" i="9"/>
  <c r="AS39" i="9"/>
  <c r="AR39" i="9"/>
  <c r="AQ39" i="9"/>
  <c r="AP39" i="9"/>
  <c r="AO39" i="9"/>
  <c r="AN39" i="9"/>
  <c r="AM39" i="9"/>
  <c r="AL39" i="9"/>
  <c r="AK39" i="9"/>
  <c r="AJ39" i="9"/>
  <c r="AI39" i="9"/>
  <c r="AH39" i="9"/>
  <c r="AG39" i="9"/>
  <c r="AF39" i="9"/>
  <c r="AE39" i="9"/>
  <c r="AD39" i="9"/>
  <c r="AC39" i="9"/>
  <c r="AB39" i="9"/>
  <c r="AA39" i="9"/>
  <c r="Z39" i="9"/>
  <c r="Y39" i="9"/>
  <c r="X39" i="9"/>
  <c r="W39" i="9"/>
  <c r="V39" i="9"/>
  <c r="U39" i="9"/>
  <c r="T39" i="9"/>
  <c r="S39" i="9"/>
  <c r="R39" i="9"/>
  <c r="Q39" i="9"/>
  <c r="P39" i="9"/>
  <c r="O39" i="9"/>
  <c r="N39" i="9"/>
  <c r="M39" i="9"/>
  <c r="L39" i="9"/>
  <c r="K39" i="9"/>
  <c r="AY38" i="9"/>
  <c r="AX38" i="9"/>
  <c r="AW38" i="9"/>
  <c r="AV38" i="9"/>
  <c r="AU38" i="9"/>
  <c r="AT38" i="9"/>
  <c r="AS38" i="9"/>
  <c r="AR38" i="9"/>
  <c r="AQ38" i="9"/>
  <c r="AP38" i="9"/>
  <c r="AO38" i="9"/>
  <c r="AN38" i="9"/>
  <c r="AM38" i="9"/>
  <c r="AL38" i="9"/>
  <c r="AK38" i="9"/>
  <c r="AJ38" i="9"/>
  <c r="AI38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AY37" i="9"/>
  <c r="AX37" i="9"/>
  <c r="AW37" i="9"/>
  <c r="AV37" i="9"/>
  <c r="AU37" i="9"/>
  <c r="AT37" i="9"/>
  <c r="AS37" i="9"/>
  <c r="AR37" i="9"/>
  <c r="AQ37" i="9"/>
  <c r="AP37" i="9"/>
  <c r="AO37" i="9"/>
  <c r="AN37" i="9"/>
  <c r="AM37" i="9"/>
  <c r="AL37" i="9"/>
  <c r="AK37" i="9"/>
  <c r="AJ37" i="9"/>
  <c r="AI37" i="9"/>
  <c r="AH37" i="9"/>
  <c r="AG37" i="9"/>
  <c r="AF37" i="9"/>
  <c r="AE37" i="9"/>
  <c r="AD37" i="9"/>
  <c r="AC37" i="9"/>
  <c r="AB37" i="9"/>
  <c r="AA37" i="9"/>
  <c r="Z37" i="9"/>
  <c r="Y37" i="9"/>
  <c r="X37" i="9"/>
  <c r="W37" i="9"/>
  <c r="V37" i="9"/>
  <c r="U37" i="9"/>
  <c r="T37" i="9"/>
  <c r="S37" i="9"/>
  <c r="R37" i="9"/>
  <c r="Q37" i="9"/>
  <c r="P37" i="9"/>
  <c r="O37" i="9"/>
  <c r="N37" i="9"/>
  <c r="M37" i="9"/>
  <c r="L37" i="9"/>
  <c r="K37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AY33" i="9"/>
  <c r="AX33" i="9"/>
  <c r="AW33" i="9"/>
  <c r="AV33" i="9"/>
  <c r="AU33" i="9"/>
  <c r="AT33" i="9"/>
  <c r="AS33" i="9"/>
  <c r="AR33" i="9"/>
  <c r="AQ33" i="9"/>
  <c r="AP33" i="9"/>
  <c r="AO33" i="9"/>
  <c r="AN33" i="9"/>
  <c r="AM33" i="9"/>
  <c r="AL33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AY32" i="9"/>
  <c r="AX32" i="9"/>
  <c r="AW32" i="9"/>
  <c r="AV32" i="9"/>
  <c r="AU32" i="9"/>
  <c r="AT32" i="9"/>
  <c r="AS32" i="9"/>
  <c r="AR32" i="9"/>
  <c r="AQ32" i="9"/>
  <c r="AP32" i="9"/>
  <c r="AO32" i="9"/>
  <c r="AN32" i="9"/>
  <c r="AM32" i="9"/>
  <c r="AL32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AY30" i="9"/>
  <c r="AX30" i="9"/>
  <c r="AW30" i="9"/>
  <c r="AV30" i="9"/>
  <c r="AU30" i="9"/>
  <c r="AT30" i="9"/>
  <c r="AS30" i="9"/>
  <c r="AR30" i="9"/>
  <c r="AQ30" i="9"/>
  <c r="AP30" i="9"/>
  <c r="AO30" i="9"/>
  <c r="AN30" i="9"/>
  <c r="AM30" i="9"/>
  <c r="AL30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AY29" i="9"/>
  <c r="AX29" i="9"/>
  <c r="AW29" i="9"/>
  <c r="AV29" i="9"/>
  <c r="AU29" i="9"/>
  <c r="AT29" i="9"/>
  <c r="AS29" i="9"/>
  <c r="AR29" i="9"/>
  <c r="AQ29" i="9"/>
  <c r="AP29" i="9"/>
  <c r="AO29" i="9"/>
  <c r="AN29" i="9"/>
  <c r="AM29" i="9"/>
  <c r="AL29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AY28" i="9"/>
  <c r="AX28" i="9"/>
  <c r="AW28" i="9"/>
  <c r="AV28" i="9"/>
  <c r="AU28" i="9"/>
  <c r="AT28" i="9"/>
  <c r="AS28" i="9"/>
  <c r="AR28" i="9"/>
  <c r="AQ28" i="9"/>
  <c r="AP28" i="9"/>
  <c r="AO28" i="9"/>
  <c r="AN28" i="9"/>
  <c r="AM28" i="9"/>
  <c r="AL28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AY27" i="9"/>
  <c r="AX27" i="9"/>
  <c r="AW27" i="9"/>
  <c r="AV27" i="9"/>
  <c r="AU27" i="9"/>
  <c r="AT27" i="9"/>
  <c r="AS27" i="9"/>
  <c r="AR27" i="9"/>
  <c r="AQ27" i="9"/>
  <c r="AP27" i="9"/>
  <c r="AO27" i="9"/>
  <c r="AN27" i="9"/>
  <c r="AM27" i="9"/>
  <c r="AL27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AY26" i="9"/>
  <c r="AX26" i="9"/>
  <c r="AW26" i="9"/>
  <c r="AV26" i="9"/>
  <c r="AU26" i="9"/>
  <c r="AT26" i="9"/>
  <c r="AS26" i="9"/>
  <c r="AR26" i="9"/>
  <c r="AQ26" i="9"/>
  <c r="AP26" i="9"/>
  <c r="AO26" i="9"/>
  <c r="AN26" i="9"/>
  <c r="AM26" i="9"/>
  <c r="AL26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AY25" i="9"/>
  <c r="AX25" i="9"/>
  <c r="AW25" i="9"/>
  <c r="AV25" i="9"/>
  <c r="AU25" i="9"/>
  <c r="AT25" i="9"/>
  <c r="AS25" i="9"/>
  <c r="AR25" i="9"/>
  <c r="AQ25" i="9"/>
  <c r="AP25" i="9"/>
  <c r="AO25" i="9"/>
  <c r="AN25" i="9"/>
  <c r="AM25" i="9"/>
  <c r="AL25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AY24" i="9"/>
  <c r="AX24" i="9"/>
  <c r="AW24" i="9"/>
  <c r="AV24" i="9"/>
  <c r="AU24" i="9"/>
  <c r="AT24" i="9"/>
  <c r="AS24" i="9"/>
  <c r="AR24" i="9"/>
  <c r="AQ24" i="9"/>
  <c r="AP24" i="9"/>
  <c r="AO24" i="9"/>
  <c r="AN24" i="9"/>
  <c r="AM24" i="9"/>
  <c r="AL24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AY23" i="9"/>
  <c r="AX23" i="9"/>
  <c r="AW23" i="9"/>
  <c r="AV23" i="9"/>
  <c r="AU23" i="9"/>
  <c r="AT23" i="9"/>
  <c r="AS23" i="9"/>
  <c r="AR23" i="9"/>
  <c r="AQ23" i="9"/>
  <c r="AP23" i="9"/>
  <c r="AO23" i="9"/>
  <c r="AN23" i="9"/>
  <c r="AM23" i="9"/>
  <c r="AL23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AY22" i="9"/>
  <c r="AX22" i="9"/>
  <c r="AW22" i="9"/>
  <c r="AV22" i="9"/>
  <c r="AU22" i="9"/>
  <c r="AT22" i="9"/>
  <c r="AS22" i="9"/>
  <c r="AR22" i="9"/>
  <c r="AQ22" i="9"/>
  <c r="AP22" i="9"/>
  <c r="AO22" i="9"/>
  <c r="AN22" i="9"/>
  <c r="AM22" i="9"/>
  <c r="AL22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AY21" i="9"/>
  <c r="AX21" i="9"/>
  <c r="AW21" i="9"/>
  <c r="AV21" i="9"/>
  <c r="AU21" i="9"/>
  <c r="AT21" i="9"/>
  <c r="AS21" i="9"/>
  <c r="AR21" i="9"/>
  <c r="AQ21" i="9"/>
  <c r="AP21" i="9"/>
  <c r="AO21" i="9"/>
  <c r="AN21" i="9"/>
  <c r="AM21" i="9"/>
  <c r="AL21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AY20" i="9"/>
  <c r="AX20" i="9"/>
  <c r="AW20" i="9"/>
  <c r="AV20" i="9"/>
  <c r="AU20" i="9"/>
  <c r="AT20" i="9"/>
  <c r="AS20" i="9"/>
  <c r="AR20" i="9"/>
  <c r="AQ20" i="9"/>
  <c r="AP20" i="9"/>
  <c r="AO20" i="9"/>
  <c r="AN20" i="9"/>
  <c r="AM20" i="9"/>
  <c r="AL20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AY18" i="9"/>
  <c r="AX18" i="9"/>
  <c r="AW18" i="9"/>
  <c r="AV18" i="9"/>
  <c r="AU18" i="9"/>
  <c r="AT18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AY17" i="9"/>
  <c r="AX17" i="9"/>
  <c r="AW17" i="9"/>
  <c r="AV17" i="9"/>
  <c r="AU17" i="9"/>
  <c r="AT17" i="9"/>
  <c r="AS17" i="9"/>
  <c r="AR17" i="9"/>
  <c r="AQ17" i="9"/>
  <c r="AP17" i="9"/>
  <c r="AO17" i="9"/>
  <c r="AN17" i="9"/>
  <c r="AM17" i="9"/>
  <c r="AL17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AY15" i="9"/>
  <c r="AX15" i="9"/>
  <c r="AW15" i="9"/>
  <c r="AV15" i="9"/>
  <c r="AU15" i="9"/>
  <c r="AT15" i="9"/>
  <c r="AS15" i="9"/>
  <c r="AR15" i="9"/>
  <c r="AQ15" i="9"/>
  <c r="AP15" i="9"/>
  <c r="AO15" i="9"/>
  <c r="AN15" i="9"/>
  <c r="AM15" i="9"/>
  <c r="AL15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Y14" i="9"/>
  <c r="AX14" i="9"/>
  <c r="AW14" i="9"/>
  <c r="AV14" i="9"/>
  <c r="AU14" i="9"/>
  <c r="AT14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Y13" i="9"/>
  <c r="AX13" i="9"/>
  <c r="AW13" i="9"/>
  <c r="AV13" i="9"/>
  <c r="AU13" i="9"/>
  <c r="AT13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L12" i="9"/>
  <c r="AY11" i="9"/>
  <c r="AX11" i="9"/>
  <c r="AW11" i="9"/>
  <c r="AV11" i="9"/>
  <c r="AU11" i="9"/>
  <c r="AT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L11" i="9"/>
  <c r="AY10" i="9"/>
  <c r="AX10" i="9"/>
  <c r="AW10" i="9"/>
  <c r="AV10" i="9"/>
  <c r="AU10" i="9"/>
  <c r="AT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AY9" i="9"/>
  <c r="AX9" i="9"/>
  <c r="AW9" i="9"/>
  <c r="AV9" i="9"/>
  <c r="AU9" i="9"/>
  <c r="AT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AY8" i="9"/>
  <c r="AX8" i="9"/>
  <c r="AW8" i="9"/>
  <c r="AV8" i="9"/>
  <c r="AU8" i="9"/>
  <c r="AT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Y6" i="9"/>
  <c r="AX6" i="9"/>
  <c r="AW6" i="9"/>
  <c r="AV6" i="9"/>
  <c r="AU6" i="9"/>
  <c r="AT6" i="9"/>
  <c r="AS6" i="9"/>
  <c r="AR6" i="9"/>
  <c r="AQ6" i="9"/>
  <c r="AP6" i="9"/>
  <c r="AO6" i="9"/>
  <c r="AN6" i="9"/>
  <c r="AM6" i="9"/>
  <c r="AL6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AY5" i="9"/>
  <c r="AX5" i="9"/>
  <c r="AW5" i="9"/>
  <c r="AV5" i="9"/>
  <c r="AU5" i="9"/>
  <c r="AT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AY4" i="9"/>
  <c r="AX4" i="9"/>
  <c r="AW4" i="9"/>
  <c r="AV4" i="9"/>
  <c r="AU4" i="9"/>
  <c r="AT4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AI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S84" i="8"/>
  <c r="R84" i="8"/>
  <c r="Q84" i="8"/>
  <c r="P84" i="8"/>
  <c r="O84" i="8"/>
  <c r="N84" i="8"/>
  <c r="M84" i="8"/>
  <c r="L84" i="8"/>
  <c r="K84" i="8"/>
  <c r="J84" i="8"/>
  <c r="I84" i="8"/>
  <c r="H84" i="8"/>
  <c r="G84" i="8"/>
  <c r="F84" i="8"/>
  <c r="E84" i="8"/>
  <c r="D84" i="8"/>
  <c r="C84" i="8"/>
  <c r="B84" i="8"/>
  <c r="AI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U81" i="8"/>
  <c r="T81" i="8"/>
  <c r="S81" i="8"/>
  <c r="R81" i="8"/>
  <c r="Q8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AI80" i="8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S80" i="8"/>
  <c r="R80" i="8"/>
  <c r="Q80" i="8"/>
  <c r="P80" i="8"/>
  <c r="O80" i="8"/>
  <c r="N80" i="8"/>
  <c r="M80" i="8"/>
  <c r="L80" i="8"/>
  <c r="K80" i="8"/>
  <c r="J80" i="8"/>
  <c r="I80" i="8"/>
  <c r="H80" i="8"/>
  <c r="G80" i="8"/>
  <c r="F80" i="8"/>
  <c r="E80" i="8"/>
  <c r="D80" i="8"/>
  <c r="C80" i="8"/>
  <c r="B80" i="8"/>
  <c r="AI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S79" i="8"/>
  <c r="R79" i="8"/>
  <c r="Q79" i="8"/>
  <c r="P79" i="8"/>
  <c r="O79" i="8"/>
  <c r="N79" i="8"/>
  <c r="M79" i="8"/>
  <c r="L79" i="8"/>
  <c r="K79" i="8"/>
  <c r="J79" i="8"/>
  <c r="I79" i="8"/>
  <c r="H79" i="8"/>
  <c r="G79" i="8"/>
  <c r="F79" i="8"/>
  <c r="E79" i="8"/>
  <c r="D79" i="8"/>
  <c r="C79" i="8"/>
  <c r="B79" i="8"/>
  <c r="AI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S78" i="8"/>
  <c r="R78" i="8"/>
  <c r="Q78" i="8"/>
  <c r="P78" i="8"/>
  <c r="O78" i="8"/>
  <c r="N78" i="8"/>
  <c r="M78" i="8"/>
  <c r="L78" i="8"/>
  <c r="K78" i="8"/>
  <c r="J78" i="8"/>
  <c r="I78" i="8"/>
  <c r="H78" i="8"/>
  <c r="G78" i="8"/>
  <c r="F78" i="8"/>
  <c r="E78" i="8"/>
  <c r="D78" i="8"/>
  <c r="C78" i="8"/>
  <c r="B78" i="8"/>
  <c r="AI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S77" i="8"/>
  <c r="R77" i="8"/>
  <c r="Q77" i="8"/>
  <c r="P77" i="8"/>
  <c r="O77" i="8"/>
  <c r="N77" i="8"/>
  <c r="M77" i="8"/>
  <c r="L77" i="8"/>
  <c r="K77" i="8"/>
  <c r="J77" i="8"/>
  <c r="I77" i="8"/>
  <c r="H77" i="8"/>
  <c r="G77" i="8"/>
  <c r="F77" i="8"/>
  <c r="E77" i="8"/>
  <c r="D77" i="8"/>
  <c r="C77" i="8"/>
  <c r="B77" i="8"/>
  <c r="AI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U76" i="8"/>
  <c r="T76" i="8"/>
  <c r="S76" i="8"/>
  <c r="R76" i="8"/>
  <c r="Q76" i="8"/>
  <c r="P76" i="8"/>
  <c r="O76" i="8"/>
  <c r="N76" i="8"/>
  <c r="M76" i="8"/>
  <c r="L76" i="8"/>
  <c r="K76" i="8"/>
  <c r="J76" i="8"/>
  <c r="I76" i="8"/>
  <c r="H76" i="8"/>
  <c r="G76" i="8"/>
  <c r="F76" i="8"/>
  <c r="E76" i="8"/>
  <c r="D76" i="8"/>
  <c r="C76" i="8"/>
  <c r="B76" i="8"/>
  <c r="AI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S75" i="8"/>
  <c r="R75" i="8"/>
  <c r="Q75" i="8"/>
  <c r="P75" i="8"/>
  <c r="O75" i="8"/>
  <c r="N75" i="8"/>
  <c r="M75" i="8"/>
  <c r="L75" i="8"/>
  <c r="K75" i="8"/>
  <c r="J75" i="8"/>
  <c r="I75" i="8"/>
  <c r="H75" i="8"/>
  <c r="G75" i="8"/>
  <c r="F75" i="8"/>
  <c r="E75" i="8"/>
  <c r="D75" i="8"/>
  <c r="C75" i="8"/>
  <c r="B75" i="8"/>
  <c r="AI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U74" i="8"/>
  <c r="T74" i="8"/>
  <c r="S74" i="8"/>
  <c r="R74" i="8"/>
  <c r="Q74" i="8"/>
  <c r="P74" i="8"/>
  <c r="O74" i="8"/>
  <c r="N74" i="8"/>
  <c r="M74" i="8"/>
  <c r="L74" i="8"/>
  <c r="K74" i="8"/>
  <c r="J74" i="8"/>
  <c r="I74" i="8"/>
  <c r="H74" i="8"/>
  <c r="G74" i="8"/>
  <c r="F74" i="8"/>
  <c r="E74" i="8"/>
  <c r="D74" i="8"/>
  <c r="C74" i="8"/>
  <c r="B74" i="8"/>
  <c r="AI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S73" i="8"/>
  <c r="R73" i="8"/>
  <c r="Q73" i="8"/>
  <c r="P73" i="8"/>
  <c r="O73" i="8"/>
  <c r="N73" i="8"/>
  <c r="M73" i="8"/>
  <c r="L73" i="8"/>
  <c r="K73" i="8"/>
  <c r="J73" i="8"/>
  <c r="I73" i="8"/>
  <c r="H73" i="8"/>
  <c r="G73" i="8"/>
  <c r="F73" i="8"/>
  <c r="E73" i="8"/>
  <c r="D73" i="8"/>
  <c r="C73" i="8"/>
  <c r="B73" i="8"/>
  <c r="AI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U72" i="8"/>
  <c r="T72" i="8"/>
  <c r="S72" i="8"/>
  <c r="R72" i="8"/>
  <c r="Q72" i="8"/>
  <c r="P72" i="8"/>
  <c r="O72" i="8"/>
  <c r="N72" i="8"/>
  <c r="M72" i="8"/>
  <c r="L72" i="8"/>
  <c r="K72" i="8"/>
  <c r="J72" i="8"/>
  <c r="I72" i="8"/>
  <c r="H72" i="8"/>
  <c r="G72" i="8"/>
  <c r="F72" i="8"/>
  <c r="E72" i="8"/>
  <c r="D72" i="8"/>
  <c r="C72" i="8"/>
  <c r="B72" i="8"/>
  <c r="AI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S71" i="8"/>
  <c r="R71" i="8"/>
  <c r="Q7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AI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S70" i="8"/>
  <c r="R70" i="8"/>
  <c r="Q70" i="8"/>
  <c r="P70" i="8"/>
  <c r="O70" i="8"/>
  <c r="N70" i="8"/>
  <c r="M70" i="8"/>
  <c r="L70" i="8"/>
  <c r="K70" i="8"/>
  <c r="J70" i="8"/>
  <c r="I70" i="8"/>
  <c r="H70" i="8"/>
  <c r="G70" i="8"/>
  <c r="F70" i="8"/>
  <c r="E70" i="8"/>
  <c r="D70" i="8"/>
  <c r="C70" i="8"/>
  <c r="B70" i="8"/>
  <c r="AI69" i="8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U69" i="8"/>
  <c r="T69" i="8"/>
  <c r="S69" i="8"/>
  <c r="R69" i="8"/>
  <c r="Q69" i="8"/>
  <c r="P69" i="8"/>
  <c r="O69" i="8"/>
  <c r="N69" i="8"/>
  <c r="M69" i="8"/>
  <c r="L69" i="8"/>
  <c r="K69" i="8"/>
  <c r="J69" i="8"/>
  <c r="I69" i="8"/>
  <c r="H69" i="8"/>
  <c r="G69" i="8"/>
  <c r="F69" i="8"/>
  <c r="E69" i="8"/>
  <c r="D69" i="8"/>
  <c r="C69" i="8"/>
  <c r="B69" i="8"/>
  <c r="AI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I68" i="8"/>
  <c r="H68" i="8"/>
  <c r="G68" i="8"/>
  <c r="F68" i="8"/>
  <c r="E68" i="8"/>
  <c r="D68" i="8"/>
  <c r="C68" i="8"/>
  <c r="B68" i="8"/>
  <c r="AI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V65" i="8"/>
  <c r="U65" i="8"/>
  <c r="T65" i="8"/>
  <c r="S65" i="8"/>
  <c r="R65" i="8"/>
  <c r="Q65" i="8"/>
  <c r="P65" i="8"/>
  <c r="O65" i="8"/>
  <c r="N65" i="8"/>
  <c r="M65" i="8"/>
  <c r="L65" i="8"/>
  <c r="K65" i="8"/>
  <c r="J65" i="8"/>
  <c r="I65" i="8"/>
  <c r="H65" i="8"/>
  <c r="G65" i="8"/>
  <c r="F65" i="8"/>
  <c r="E65" i="8"/>
  <c r="D65" i="8"/>
  <c r="C65" i="8"/>
  <c r="B65" i="8"/>
  <c r="AI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AI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AI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U62" i="8"/>
  <c r="T62" i="8"/>
  <c r="S62" i="8"/>
  <c r="R62" i="8"/>
  <c r="Q62" i="8"/>
  <c r="P62" i="8"/>
  <c r="O62" i="8"/>
  <c r="N62" i="8"/>
  <c r="M62" i="8"/>
  <c r="L62" i="8"/>
  <c r="K62" i="8"/>
  <c r="J62" i="8"/>
  <c r="I62" i="8"/>
  <c r="H62" i="8"/>
  <c r="G62" i="8"/>
  <c r="F62" i="8"/>
  <c r="E62" i="8"/>
  <c r="D62" i="8"/>
  <c r="C62" i="8"/>
  <c r="B62" i="8"/>
  <c r="AI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S61" i="8"/>
  <c r="R61" i="8"/>
  <c r="Q6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AI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U60" i="8"/>
  <c r="T60" i="8"/>
  <c r="S60" i="8"/>
  <c r="R60" i="8"/>
  <c r="Q60" i="8"/>
  <c r="P60" i="8"/>
  <c r="O60" i="8"/>
  <c r="N60" i="8"/>
  <c r="M60" i="8"/>
  <c r="L60" i="8"/>
  <c r="K60" i="8"/>
  <c r="J60" i="8"/>
  <c r="I60" i="8"/>
  <c r="H60" i="8"/>
  <c r="G60" i="8"/>
  <c r="F60" i="8"/>
  <c r="E60" i="8"/>
  <c r="D60" i="8"/>
  <c r="C60" i="8"/>
  <c r="B60" i="8"/>
  <c r="AI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S59" i="8"/>
  <c r="R59" i="8"/>
  <c r="Q59" i="8"/>
  <c r="P59" i="8"/>
  <c r="O59" i="8"/>
  <c r="N59" i="8"/>
  <c r="M59" i="8"/>
  <c r="L59" i="8"/>
  <c r="K59" i="8"/>
  <c r="J59" i="8"/>
  <c r="I59" i="8"/>
  <c r="H59" i="8"/>
  <c r="G59" i="8"/>
  <c r="F59" i="8"/>
  <c r="E59" i="8"/>
  <c r="D59" i="8"/>
  <c r="C59" i="8"/>
  <c r="B59" i="8"/>
  <c r="AI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S58" i="8"/>
  <c r="R58" i="8"/>
  <c r="Q58" i="8"/>
  <c r="P58" i="8"/>
  <c r="O58" i="8"/>
  <c r="N58" i="8"/>
  <c r="M58" i="8"/>
  <c r="L58" i="8"/>
  <c r="K58" i="8"/>
  <c r="J58" i="8"/>
  <c r="I58" i="8"/>
  <c r="H58" i="8"/>
  <c r="G58" i="8"/>
  <c r="F58" i="8"/>
  <c r="E58" i="8"/>
  <c r="D58" i="8"/>
  <c r="C58" i="8"/>
  <c r="B58" i="8"/>
  <c r="AI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H57" i="8"/>
  <c r="G57" i="8"/>
  <c r="F57" i="8"/>
  <c r="E57" i="8"/>
  <c r="D57" i="8"/>
  <c r="C57" i="8"/>
  <c r="B57" i="8"/>
  <c r="AI56" i="8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S56" i="8"/>
  <c r="R56" i="8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D56" i="8"/>
  <c r="C56" i="8"/>
  <c r="B56" i="8"/>
  <c r="AI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S55" i="8"/>
  <c r="R55" i="8"/>
  <c r="Q55" i="8"/>
  <c r="P55" i="8"/>
  <c r="O55" i="8"/>
  <c r="N55" i="8"/>
  <c r="M55" i="8"/>
  <c r="L55" i="8"/>
  <c r="K55" i="8"/>
  <c r="J55" i="8"/>
  <c r="I55" i="8"/>
  <c r="H55" i="8"/>
  <c r="G55" i="8"/>
  <c r="F55" i="8"/>
  <c r="E55" i="8"/>
  <c r="D55" i="8"/>
  <c r="C55" i="8"/>
  <c r="B55" i="8"/>
  <c r="AI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B54" i="8"/>
  <c r="AI53" i="8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B53" i="8"/>
  <c r="AI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S52" i="8"/>
  <c r="R52" i="8"/>
  <c r="Q52" i="8"/>
  <c r="P52" i="8"/>
  <c r="O52" i="8"/>
  <c r="N52" i="8"/>
  <c r="M52" i="8"/>
  <c r="L52" i="8"/>
  <c r="K52" i="8"/>
  <c r="J52" i="8"/>
  <c r="I52" i="8"/>
  <c r="H52" i="8"/>
  <c r="G52" i="8"/>
  <c r="F52" i="8"/>
  <c r="E52" i="8"/>
  <c r="D52" i="8"/>
  <c r="C52" i="8"/>
  <c r="B52" i="8"/>
  <c r="AI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S49" i="8"/>
  <c r="R49" i="8"/>
  <c r="Q49" i="8"/>
  <c r="P49" i="8"/>
  <c r="O49" i="8"/>
  <c r="N49" i="8"/>
  <c r="M49" i="8"/>
  <c r="L49" i="8"/>
  <c r="K49" i="8"/>
  <c r="J49" i="8"/>
  <c r="I49" i="8"/>
  <c r="H49" i="8"/>
  <c r="G49" i="8"/>
  <c r="F49" i="8"/>
  <c r="E49" i="8"/>
  <c r="D49" i="8"/>
  <c r="C49" i="8"/>
  <c r="B49" i="8"/>
  <c r="AI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U48" i="8"/>
  <c r="T48" i="8"/>
  <c r="S48" i="8"/>
  <c r="R48" i="8"/>
  <c r="Q48" i="8"/>
  <c r="P48" i="8"/>
  <c r="O48" i="8"/>
  <c r="N48" i="8"/>
  <c r="M48" i="8"/>
  <c r="L48" i="8"/>
  <c r="K48" i="8"/>
  <c r="J48" i="8"/>
  <c r="I48" i="8"/>
  <c r="H48" i="8"/>
  <c r="G48" i="8"/>
  <c r="F48" i="8"/>
  <c r="E48" i="8"/>
  <c r="D48" i="8"/>
  <c r="C48" i="8"/>
  <c r="B48" i="8"/>
  <c r="AI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B47" i="8"/>
  <c r="AI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U46" i="8"/>
  <c r="T46" i="8"/>
  <c r="S46" i="8"/>
  <c r="R46" i="8"/>
  <c r="Q46" i="8"/>
  <c r="P46" i="8"/>
  <c r="O46" i="8"/>
  <c r="N46" i="8"/>
  <c r="M46" i="8"/>
  <c r="L46" i="8"/>
  <c r="K46" i="8"/>
  <c r="J46" i="8"/>
  <c r="I46" i="8"/>
  <c r="H46" i="8"/>
  <c r="G46" i="8"/>
  <c r="F46" i="8"/>
  <c r="E46" i="8"/>
  <c r="D46" i="8"/>
  <c r="C46" i="8"/>
  <c r="B46" i="8"/>
  <c r="AI45" i="8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U45" i="8"/>
  <c r="T45" i="8"/>
  <c r="S45" i="8"/>
  <c r="R45" i="8"/>
  <c r="Q45" i="8"/>
  <c r="P45" i="8"/>
  <c r="O45" i="8"/>
  <c r="N45" i="8"/>
  <c r="M45" i="8"/>
  <c r="L45" i="8"/>
  <c r="K45" i="8"/>
  <c r="J45" i="8"/>
  <c r="I45" i="8"/>
  <c r="H45" i="8"/>
  <c r="G45" i="8"/>
  <c r="F45" i="8"/>
  <c r="E45" i="8"/>
  <c r="D45" i="8"/>
  <c r="C45" i="8"/>
  <c r="B45" i="8"/>
  <c r="AI44" i="8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S44" i="8"/>
  <c r="R44" i="8"/>
  <c r="Q44" i="8"/>
  <c r="P44" i="8"/>
  <c r="O44" i="8"/>
  <c r="N44" i="8"/>
  <c r="M44" i="8"/>
  <c r="L44" i="8"/>
  <c r="K44" i="8"/>
  <c r="J44" i="8"/>
  <c r="I44" i="8"/>
  <c r="H44" i="8"/>
  <c r="G44" i="8"/>
  <c r="F44" i="8"/>
  <c r="E44" i="8"/>
  <c r="D44" i="8"/>
  <c r="C44" i="8"/>
  <c r="B44" i="8"/>
  <c r="AI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U43" i="8"/>
  <c r="T43" i="8"/>
  <c r="S43" i="8"/>
  <c r="R43" i="8"/>
  <c r="Q43" i="8"/>
  <c r="P43" i="8"/>
  <c r="O43" i="8"/>
  <c r="N43" i="8"/>
  <c r="M43" i="8"/>
  <c r="L43" i="8"/>
  <c r="K43" i="8"/>
  <c r="J43" i="8"/>
  <c r="I43" i="8"/>
  <c r="H43" i="8"/>
  <c r="G43" i="8"/>
  <c r="F43" i="8"/>
  <c r="E43" i="8"/>
  <c r="D43" i="8"/>
  <c r="C43" i="8"/>
  <c r="B43" i="8"/>
  <c r="AI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S42" i="8"/>
  <c r="R42" i="8"/>
  <c r="Q42" i="8"/>
  <c r="P42" i="8"/>
  <c r="O42" i="8"/>
  <c r="N42" i="8"/>
  <c r="M42" i="8"/>
  <c r="L42" i="8"/>
  <c r="K42" i="8"/>
  <c r="J42" i="8"/>
  <c r="I42" i="8"/>
  <c r="H42" i="8"/>
  <c r="G42" i="8"/>
  <c r="F42" i="8"/>
  <c r="E42" i="8"/>
  <c r="D42" i="8"/>
  <c r="C42" i="8"/>
  <c r="B42" i="8"/>
  <c r="AI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V41" i="8"/>
  <c r="U41" i="8"/>
  <c r="T41" i="8"/>
  <c r="S41" i="8"/>
  <c r="R41" i="8"/>
  <c r="Q41" i="8"/>
  <c r="P41" i="8"/>
  <c r="O41" i="8"/>
  <c r="N41" i="8"/>
  <c r="M41" i="8"/>
  <c r="L41" i="8"/>
  <c r="K41" i="8"/>
  <c r="J41" i="8"/>
  <c r="I41" i="8"/>
  <c r="H41" i="8"/>
  <c r="G41" i="8"/>
  <c r="F41" i="8"/>
  <c r="E41" i="8"/>
  <c r="D41" i="8"/>
  <c r="C41" i="8"/>
  <c r="B41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H40" i="8"/>
  <c r="G40" i="8"/>
  <c r="F40" i="8"/>
  <c r="E40" i="8"/>
  <c r="D40" i="8"/>
  <c r="C40" i="8"/>
  <c r="B40" i="8"/>
  <c r="AI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S39" i="8"/>
  <c r="R39" i="8"/>
  <c r="Q39" i="8"/>
  <c r="P39" i="8"/>
  <c r="O39" i="8"/>
  <c r="N39" i="8"/>
  <c r="M39" i="8"/>
  <c r="L39" i="8"/>
  <c r="K39" i="8"/>
  <c r="J39" i="8"/>
  <c r="I39" i="8"/>
  <c r="H39" i="8"/>
  <c r="G39" i="8"/>
  <c r="F39" i="8"/>
  <c r="E39" i="8"/>
  <c r="D39" i="8"/>
  <c r="C39" i="8"/>
  <c r="B39" i="8"/>
  <c r="AI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AI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S37" i="8"/>
  <c r="R37" i="8"/>
  <c r="Q37" i="8"/>
  <c r="P37" i="8"/>
  <c r="O37" i="8"/>
  <c r="N37" i="8"/>
  <c r="M37" i="8"/>
  <c r="L37" i="8"/>
  <c r="K37" i="8"/>
  <c r="J37" i="8"/>
  <c r="I37" i="8"/>
  <c r="H37" i="8"/>
  <c r="G37" i="8"/>
  <c r="F37" i="8"/>
  <c r="E37" i="8"/>
  <c r="D37" i="8"/>
  <c r="C37" i="8"/>
  <c r="B37" i="8"/>
  <c r="AI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U36" i="8"/>
  <c r="T36" i="8"/>
  <c r="S36" i="8"/>
  <c r="R36" i="8"/>
  <c r="Q36" i="8"/>
  <c r="P36" i="8"/>
  <c r="O36" i="8"/>
  <c r="N36" i="8"/>
  <c r="M36" i="8"/>
  <c r="L36" i="8"/>
  <c r="K36" i="8"/>
  <c r="J36" i="8"/>
  <c r="I36" i="8"/>
  <c r="H36" i="8"/>
  <c r="G36" i="8"/>
  <c r="F36" i="8"/>
  <c r="E36" i="8"/>
  <c r="D36" i="8"/>
  <c r="C36" i="8"/>
  <c r="B36" i="8"/>
  <c r="AI33" i="8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S33" i="8"/>
  <c r="R33" i="8"/>
  <c r="Q33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AI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AI31" i="8"/>
  <c r="AH31" i="8"/>
  <c r="AG31" i="8"/>
  <c r="AF31" i="8"/>
  <c r="AE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AI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B30" i="8"/>
  <c r="AI29" i="8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AI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B28" i="8"/>
  <c r="AI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S27" i="8"/>
  <c r="R27" i="8"/>
  <c r="Q27" i="8"/>
  <c r="P27" i="8"/>
  <c r="O27" i="8"/>
  <c r="N27" i="8"/>
  <c r="M27" i="8"/>
  <c r="L27" i="8"/>
  <c r="K27" i="8"/>
  <c r="J27" i="8"/>
  <c r="I27" i="8"/>
  <c r="H27" i="8"/>
  <c r="G27" i="8"/>
  <c r="F27" i="8"/>
  <c r="E27" i="8"/>
  <c r="D27" i="8"/>
  <c r="C27" i="8"/>
  <c r="B27" i="8"/>
  <c r="AI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AI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B25" i="8"/>
  <c r="AI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AI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AI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AI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AI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B20" i="8"/>
  <c r="AI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V17" i="8"/>
  <c r="U17" i="8"/>
  <c r="T17" i="8"/>
  <c r="S17" i="8"/>
  <c r="R17" i="8"/>
  <c r="Q17" i="8"/>
  <c r="P17" i="8"/>
  <c r="O17" i="8"/>
  <c r="N17" i="8"/>
  <c r="M17" i="8"/>
  <c r="L17" i="8"/>
  <c r="K17" i="8"/>
  <c r="J17" i="8"/>
  <c r="I17" i="8"/>
  <c r="H17" i="8"/>
  <c r="G17" i="8"/>
  <c r="F17" i="8"/>
  <c r="E17" i="8"/>
  <c r="D17" i="8"/>
  <c r="C17" i="8"/>
  <c r="B17" i="8"/>
  <c r="J16" i="8"/>
  <c r="I16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H12" i="8"/>
  <c r="G12" i="8"/>
  <c r="F12" i="8"/>
  <c r="E12" i="8"/>
  <c r="D12" i="8"/>
  <c r="C12" i="8"/>
  <c r="B12" i="8"/>
  <c r="AI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AI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B10" i="8"/>
  <c r="AI9" i="8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B9" i="8"/>
  <c r="AI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S8" i="8"/>
  <c r="R8" i="8"/>
  <c r="Q8" i="8"/>
  <c r="P8" i="8"/>
  <c r="O8" i="8"/>
  <c r="N8" i="8"/>
  <c r="M8" i="8"/>
  <c r="L8" i="8"/>
  <c r="K8" i="8"/>
  <c r="J8" i="8"/>
  <c r="I8" i="8"/>
  <c r="H8" i="8"/>
  <c r="G8" i="8"/>
  <c r="F8" i="8"/>
  <c r="E8" i="8"/>
  <c r="D8" i="8"/>
  <c r="C8" i="8"/>
  <c r="B8" i="8"/>
  <c r="AI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I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I5" i="8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100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U99" i="7"/>
  <c r="T99" i="7"/>
  <c r="S99" i="7"/>
  <c r="R99" i="7"/>
  <c r="Q99" i="7"/>
  <c r="P99" i="7"/>
  <c r="O99" i="7"/>
  <c r="N99" i="7"/>
  <c r="M99" i="7"/>
  <c r="L99" i="7"/>
  <c r="K99" i="7"/>
  <c r="J99" i="7"/>
  <c r="I99" i="7"/>
  <c r="H99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S98" i="7"/>
  <c r="R98" i="7"/>
  <c r="Q98" i="7"/>
  <c r="P98" i="7"/>
  <c r="O98" i="7"/>
  <c r="N98" i="7"/>
  <c r="M98" i="7"/>
  <c r="L98" i="7"/>
  <c r="K98" i="7"/>
  <c r="J98" i="7"/>
  <c r="I98" i="7"/>
  <c r="H98" i="7"/>
  <c r="G98" i="7"/>
  <c r="F98" i="7"/>
  <c r="E98" i="7"/>
  <c r="D98" i="7"/>
  <c r="C98" i="7"/>
  <c r="B98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U97" i="7"/>
  <c r="T97" i="7"/>
  <c r="S97" i="7"/>
  <c r="R97" i="7"/>
  <c r="Q97" i="7"/>
  <c r="P97" i="7"/>
  <c r="O97" i="7"/>
  <c r="N97" i="7"/>
  <c r="M97" i="7"/>
  <c r="L97" i="7"/>
  <c r="K97" i="7"/>
  <c r="J97" i="7"/>
  <c r="I97" i="7"/>
  <c r="H97" i="7"/>
  <c r="G97" i="7"/>
  <c r="F97" i="7"/>
  <c r="E97" i="7"/>
  <c r="D97" i="7"/>
  <c r="C97" i="7"/>
  <c r="B97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S96" i="7"/>
  <c r="R96" i="7"/>
  <c r="Q96" i="7"/>
  <c r="P96" i="7"/>
  <c r="O96" i="7"/>
  <c r="N96" i="7"/>
  <c r="M96" i="7"/>
  <c r="L96" i="7"/>
  <c r="K96" i="7"/>
  <c r="J96" i="7"/>
  <c r="I96" i="7"/>
  <c r="H96" i="7"/>
  <c r="G96" i="7"/>
  <c r="F96" i="7"/>
  <c r="E96" i="7"/>
  <c r="D96" i="7"/>
  <c r="C96" i="7"/>
  <c r="B96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U95" i="7"/>
  <c r="T95" i="7"/>
  <c r="S95" i="7"/>
  <c r="R95" i="7"/>
  <c r="Q95" i="7"/>
  <c r="P95" i="7"/>
  <c r="O95" i="7"/>
  <c r="N95" i="7"/>
  <c r="M95" i="7"/>
  <c r="L95" i="7"/>
  <c r="K95" i="7"/>
  <c r="J95" i="7"/>
  <c r="I95" i="7"/>
  <c r="H95" i="7"/>
  <c r="G95" i="7"/>
  <c r="F95" i="7"/>
  <c r="E95" i="7"/>
  <c r="D95" i="7"/>
  <c r="C95" i="7"/>
  <c r="B95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S94" i="7"/>
  <c r="R94" i="7"/>
  <c r="Q94" i="7"/>
  <c r="P94" i="7"/>
  <c r="O94" i="7"/>
  <c r="N94" i="7"/>
  <c r="M94" i="7"/>
  <c r="L94" i="7"/>
  <c r="K94" i="7"/>
  <c r="J94" i="7"/>
  <c r="I94" i="7"/>
  <c r="H94" i="7"/>
  <c r="G94" i="7"/>
  <c r="F94" i="7"/>
  <c r="E94" i="7"/>
  <c r="D94" i="7"/>
  <c r="C94" i="7"/>
  <c r="B94" i="7"/>
  <c r="AH93" i="7"/>
  <c r="AG93" i="7"/>
  <c r="AF93" i="7"/>
  <c r="AE93" i="7"/>
  <c r="AD93" i="7"/>
  <c r="AC93" i="7"/>
  <c r="AB93" i="7"/>
  <c r="AA93" i="7"/>
  <c r="Z93" i="7"/>
  <c r="Y93" i="7"/>
  <c r="X93" i="7"/>
  <c r="W93" i="7"/>
  <c r="V93" i="7"/>
  <c r="U93" i="7"/>
  <c r="T93" i="7"/>
  <c r="S93" i="7"/>
  <c r="R93" i="7"/>
  <c r="Q93" i="7"/>
  <c r="P93" i="7"/>
  <c r="O93" i="7"/>
  <c r="N93" i="7"/>
  <c r="M93" i="7"/>
  <c r="L93" i="7"/>
  <c r="K93" i="7"/>
  <c r="J93" i="7"/>
  <c r="I93" i="7"/>
  <c r="H93" i="7"/>
  <c r="G93" i="7"/>
  <c r="F93" i="7"/>
  <c r="E93" i="7"/>
  <c r="D93" i="7"/>
  <c r="C93" i="7"/>
  <c r="B93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U92" i="7"/>
  <c r="T92" i="7"/>
  <c r="S92" i="7"/>
  <c r="R92" i="7"/>
  <c r="Q92" i="7"/>
  <c r="P92" i="7"/>
  <c r="O92" i="7"/>
  <c r="N92" i="7"/>
  <c r="M92" i="7"/>
  <c r="L92" i="7"/>
  <c r="K92" i="7"/>
  <c r="J92" i="7"/>
  <c r="I92" i="7"/>
  <c r="H92" i="7"/>
  <c r="G92" i="7"/>
  <c r="F92" i="7"/>
  <c r="E92" i="7"/>
  <c r="D92" i="7"/>
  <c r="C92" i="7"/>
  <c r="B92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S91" i="7"/>
  <c r="R91" i="7"/>
  <c r="Q91" i="7"/>
  <c r="P91" i="7"/>
  <c r="O91" i="7"/>
  <c r="N91" i="7"/>
  <c r="M91" i="7"/>
  <c r="L91" i="7"/>
  <c r="K91" i="7"/>
  <c r="J91" i="7"/>
  <c r="I91" i="7"/>
  <c r="H91" i="7"/>
  <c r="G91" i="7"/>
  <c r="F91" i="7"/>
  <c r="E91" i="7"/>
  <c r="D91" i="7"/>
  <c r="C91" i="7"/>
  <c r="B91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S90" i="7"/>
  <c r="R90" i="7"/>
  <c r="Q90" i="7"/>
  <c r="P90" i="7"/>
  <c r="O90" i="7"/>
  <c r="N90" i="7"/>
  <c r="M90" i="7"/>
  <c r="L90" i="7"/>
  <c r="K90" i="7"/>
  <c r="J90" i="7"/>
  <c r="I90" i="7"/>
  <c r="H90" i="7"/>
  <c r="G90" i="7"/>
  <c r="F90" i="7"/>
  <c r="E90" i="7"/>
  <c r="D90" i="7"/>
  <c r="C90" i="7"/>
  <c r="B90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S89" i="7"/>
  <c r="R89" i="7"/>
  <c r="Q89" i="7"/>
  <c r="P89" i="7"/>
  <c r="O89" i="7"/>
  <c r="N89" i="7"/>
  <c r="M89" i="7"/>
  <c r="L89" i="7"/>
  <c r="K89" i="7"/>
  <c r="J89" i="7"/>
  <c r="I89" i="7"/>
  <c r="H89" i="7"/>
  <c r="G89" i="7"/>
  <c r="F89" i="7"/>
  <c r="E89" i="7"/>
  <c r="D89" i="7"/>
  <c r="C89" i="7"/>
  <c r="B89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U88" i="7"/>
  <c r="T88" i="7"/>
  <c r="S88" i="7"/>
  <c r="R88" i="7"/>
  <c r="Q88" i="7"/>
  <c r="P88" i="7"/>
  <c r="O88" i="7"/>
  <c r="N88" i="7"/>
  <c r="M88" i="7"/>
  <c r="L88" i="7"/>
  <c r="K88" i="7"/>
  <c r="J88" i="7"/>
  <c r="I88" i="7"/>
  <c r="H88" i="7"/>
  <c r="G88" i="7"/>
  <c r="F88" i="7"/>
  <c r="E88" i="7"/>
  <c r="D88" i="7"/>
  <c r="C88" i="7"/>
  <c r="B88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S87" i="7"/>
  <c r="R87" i="7"/>
  <c r="Q87" i="7"/>
  <c r="P87" i="7"/>
  <c r="O87" i="7"/>
  <c r="N87" i="7"/>
  <c r="M87" i="7"/>
  <c r="L87" i="7"/>
  <c r="K87" i="7"/>
  <c r="J87" i="7"/>
  <c r="I87" i="7"/>
  <c r="H87" i="7"/>
  <c r="G87" i="7"/>
  <c r="F87" i="7"/>
  <c r="E87" i="7"/>
  <c r="D87" i="7"/>
  <c r="C87" i="7"/>
  <c r="B87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U86" i="7"/>
  <c r="T86" i="7"/>
  <c r="S86" i="7"/>
  <c r="R86" i="7"/>
  <c r="Q86" i="7"/>
  <c r="P86" i="7"/>
  <c r="O86" i="7"/>
  <c r="N86" i="7"/>
  <c r="M86" i="7"/>
  <c r="L86" i="7"/>
  <c r="K86" i="7"/>
  <c r="J86" i="7"/>
  <c r="I86" i="7"/>
  <c r="H86" i="7"/>
  <c r="G86" i="7"/>
  <c r="F86" i="7"/>
  <c r="E86" i="7"/>
  <c r="D86" i="7"/>
  <c r="C86" i="7"/>
  <c r="B86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AH83" i="7"/>
  <c r="AG83" i="7"/>
  <c r="AF83" i="7"/>
  <c r="AE83" i="7"/>
  <c r="AD83" i="7"/>
  <c r="AC83" i="7"/>
  <c r="AB83" i="7"/>
  <c r="AA83" i="7"/>
  <c r="Z83" i="7"/>
  <c r="Y83" i="7"/>
  <c r="X83" i="7"/>
  <c r="H83" i="7"/>
  <c r="G83" i="7"/>
  <c r="F83" i="7"/>
  <c r="E83" i="7"/>
  <c r="D83" i="7"/>
  <c r="C83" i="7"/>
  <c r="B83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U82" i="7"/>
  <c r="T82" i="7"/>
  <c r="S82" i="7"/>
  <c r="R82" i="7"/>
  <c r="Q82" i="7"/>
  <c r="P82" i="7"/>
  <c r="O82" i="7"/>
  <c r="N82" i="7"/>
  <c r="M82" i="7"/>
  <c r="L82" i="7"/>
  <c r="K82" i="7"/>
  <c r="J82" i="7"/>
  <c r="I82" i="7"/>
  <c r="H82" i="7"/>
  <c r="G82" i="7"/>
  <c r="F82" i="7"/>
  <c r="E82" i="7"/>
  <c r="D82" i="7"/>
  <c r="C82" i="7"/>
  <c r="B82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S81" i="7"/>
  <c r="R81" i="7"/>
  <c r="Q81" i="7"/>
  <c r="P81" i="7"/>
  <c r="O81" i="7"/>
  <c r="N81" i="7"/>
  <c r="M81" i="7"/>
  <c r="L81" i="7"/>
  <c r="K81" i="7"/>
  <c r="J81" i="7"/>
  <c r="I81" i="7"/>
  <c r="H81" i="7"/>
  <c r="G81" i="7"/>
  <c r="F81" i="7"/>
  <c r="E81" i="7"/>
  <c r="D81" i="7"/>
  <c r="C81" i="7"/>
  <c r="B81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S80" i="7"/>
  <c r="R80" i="7"/>
  <c r="Q80" i="7"/>
  <c r="P80" i="7"/>
  <c r="O80" i="7"/>
  <c r="N80" i="7"/>
  <c r="M80" i="7"/>
  <c r="L80" i="7"/>
  <c r="K80" i="7"/>
  <c r="J80" i="7"/>
  <c r="I80" i="7"/>
  <c r="H80" i="7"/>
  <c r="G80" i="7"/>
  <c r="F80" i="7"/>
  <c r="E80" i="7"/>
  <c r="D80" i="7"/>
  <c r="C80" i="7"/>
  <c r="B80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S79" i="7"/>
  <c r="R79" i="7"/>
  <c r="Q79" i="7"/>
  <c r="P79" i="7"/>
  <c r="O79" i="7"/>
  <c r="N79" i="7"/>
  <c r="M79" i="7"/>
  <c r="L79" i="7"/>
  <c r="K79" i="7"/>
  <c r="J79" i="7"/>
  <c r="I79" i="7"/>
  <c r="H79" i="7"/>
  <c r="G79" i="7"/>
  <c r="F79" i="7"/>
  <c r="E79" i="7"/>
  <c r="D79" i="7"/>
  <c r="C79" i="7"/>
  <c r="B79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S78" i="7"/>
  <c r="R78" i="7"/>
  <c r="Q78" i="7"/>
  <c r="P78" i="7"/>
  <c r="O78" i="7"/>
  <c r="N78" i="7"/>
  <c r="M78" i="7"/>
  <c r="L78" i="7"/>
  <c r="K78" i="7"/>
  <c r="J78" i="7"/>
  <c r="I78" i="7"/>
  <c r="H78" i="7"/>
  <c r="G78" i="7"/>
  <c r="F78" i="7"/>
  <c r="E78" i="7"/>
  <c r="D78" i="7"/>
  <c r="C78" i="7"/>
  <c r="B78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S77" i="7"/>
  <c r="R77" i="7"/>
  <c r="Q77" i="7"/>
  <c r="P77" i="7"/>
  <c r="O77" i="7"/>
  <c r="N77" i="7"/>
  <c r="M77" i="7"/>
  <c r="L77" i="7"/>
  <c r="K77" i="7"/>
  <c r="J77" i="7"/>
  <c r="I77" i="7"/>
  <c r="H77" i="7"/>
  <c r="G77" i="7"/>
  <c r="F77" i="7"/>
  <c r="E77" i="7"/>
  <c r="D77" i="7"/>
  <c r="C77" i="7"/>
  <c r="B77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S76" i="7"/>
  <c r="R76" i="7"/>
  <c r="Q76" i="7"/>
  <c r="P76" i="7"/>
  <c r="O76" i="7"/>
  <c r="N76" i="7"/>
  <c r="M76" i="7"/>
  <c r="L76" i="7"/>
  <c r="K76" i="7"/>
  <c r="J76" i="7"/>
  <c r="I76" i="7"/>
  <c r="H76" i="7"/>
  <c r="G76" i="7"/>
  <c r="F76" i="7"/>
  <c r="E76" i="7"/>
  <c r="D76" i="7"/>
  <c r="C76" i="7"/>
  <c r="B76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U75" i="7"/>
  <c r="T75" i="7"/>
  <c r="S75" i="7"/>
  <c r="R75" i="7"/>
  <c r="Q75" i="7"/>
  <c r="P75" i="7"/>
  <c r="O75" i="7"/>
  <c r="N75" i="7"/>
  <c r="M75" i="7"/>
  <c r="L75" i="7"/>
  <c r="K75" i="7"/>
  <c r="J75" i="7"/>
  <c r="I75" i="7"/>
  <c r="H75" i="7"/>
  <c r="G75" i="7"/>
  <c r="F75" i="7"/>
  <c r="E75" i="7"/>
  <c r="D75" i="7"/>
  <c r="C75" i="7"/>
  <c r="B75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S74" i="7"/>
  <c r="R74" i="7"/>
  <c r="Q74" i="7"/>
  <c r="P74" i="7"/>
  <c r="O74" i="7"/>
  <c r="N74" i="7"/>
  <c r="M74" i="7"/>
  <c r="L74" i="7"/>
  <c r="K74" i="7"/>
  <c r="J74" i="7"/>
  <c r="I74" i="7"/>
  <c r="H74" i="7"/>
  <c r="G74" i="7"/>
  <c r="F74" i="7"/>
  <c r="E74" i="7"/>
  <c r="D74" i="7"/>
  <c r="C74" i="7"/>
  <c r="B74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U73" i="7"/>
  <c r="T73" i="7"/>
  <c r="S73" i="7"/>
  <c r="R73" i="7"/>
  <c r="Q73" i="7"/>
  <c r="P73" i="7"/>
  <c r="O73" i="7"/>
  <c r="N73" i="7"/>
  <c r="M73" i="7"/>
  <c r="L73" i="7"/>
  <c r="K73" i="7"/>
  <c r="J73" i="7"/>
  <c r="I73" i="7"/>
  <c r="H73" i="7"/>
  <c r="G73" i="7"/>
  <c r="F73" i="7"/>
  <c r="E73" i="7"/>
  <c r="D73" i="7"/>
  <c r="C73" i="7"/>
  <c r="B73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S72" i="7"/>
  <c r="R72" i="7"/>
  <c r="Q72" i="7"/>
  <c r="P72" i="7"/>
  <c r="O72" i="7"/>
  <c r="N72" i="7"/>
  <c r="M72" i="7"/>
  <c r="L72" i="7"/>
  <c r="K72" i="7"/>
  <c r="J72" i="7"/>
  <c r="I72" i="7"/>
  <c r="H72" i="7"/>
  <c r="G72" i="7"/>
  <c r="F72" i="7"/>
  <c r="E72" i="7"/>
  <c r="D72" i="7"/>
  <c r="C72" i="7"/>
  <c r="B72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U71" i="7"/>
  <c r="T71" i="7"/>
  <c r="S71" i="7"/>
  <c r="R71" i="7"/>
  <c r="Q71" i="7"/>
  <c r="P71" i="7"/>
  <c r="O71" i="7"/>
  <c r="N71" i="7"/>
  <c r="M71" i="7"/>
  <c r="L71" i="7"/>
  <c r="K71" i="7"/>
  <c r="J71" i="7"/>
  <c r="I71" i="7"/>
  <c r="H71" i="7"/>
  <c r="G71" i="7"/>
  <c r="F71" i="7"/>
  <c r="E71" i="7"/>
  <c r="D71" i="7"/>
  <c r="C71" i="7"/>
  <c r="B71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S70" i="7"/>
  <c r="R70" i="7"/>
  <c r="Q70" i="7"/>
  <c r="P70" i="7"/>
  <c r="O70" i="7"/>
  <c r="N70" i="7"/>
  <c r="M70" i="7"/>
  <c r="L70" i="7"/>
  <c r="K70" i="7"/>
  <c r="J70" i="7"/>
  <c r="I70" i="7"/>
  <c r="H70" i="7"/>
  <c r="G70" i="7"/>
  <c r="F70" i="7"/>
  <c r="E70" i="7"/>
  <c r="D70" i="7"/>
  <c r="C70" i="7"/>
  <c r="B70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S67" i="7"/>
  <c r="R67" i="7"/>
  <c r="Q67" i="7"/>
  <c r="P67" i="7"/>
  <c r="O67" i="7"/>
  <c r="N67" i="7"/>
  <c r="M67" i="7"/>
  <c r="L67" i="7"/>
  <c r="K67" i="7"/>
  <c r="J67" i="7"/>
  <c r="I67" i="7"/>
  <c r="H67" i="7"/>
  <c r="G67" i="7"/>
  <c r="F67" i="7"/>
  <c r="E67" i="7"/>
  <c r="D67" i="7"/>
  <c r="C67" i="7"/>
  <c r="B67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U66" i="7"/>
  <c r="T66" i="7"/>
  <c r="S66" i="7"/>
  <c r="R66" i="7"/>
  <c r="Q66" i="7"/>
  <c r="P66" i="7"/>
  <c r="O66" i="7"/>
  <c r="N66" i="7"/>
  <c r="M66" i="7"/>
  <c r="L66" i="7"/>
  <c r="K66" i="7"/>
  <c r="J66" i="7"/>
  <c r="I66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S65" i="7"/>
  <c r="R65" i="7"/>
  <c r="Q65" i="7"/>
  <c r="P65" i="7"/>
  <c r="O65" i="7"/>
  <c r="N65" i="7"/>
  <c r="M65" i="7"/>
  <c r="L65" i="7"/>
  <c r="K65" i="7"/>
  <c r="J65" i="7"/>
  <c r="I65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U64" i="7"/>
  <c r="T64" i="7"/>
  <c r="S64" i="7"/>
  <c r="R64" i="7"/>
  <c r="Q64" i="7"/>
  <c r="P64" i="7"/>
  <c r="O64" i="7"/>
  <c r="N64" i="7"/>
  <c r="M64" i="7"/>
  <c r="L64" i="7"/>
  <c r="K64" i="7"/>
  <c r="J64" i="7"/>
  <c r="I64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S63" i="7"/>
  <c r="R63" i="7"/>
  <c r="Q63" i="7"/>
  <c r="P63" i="7"/>
  <c r="O63" i="7"/>
  <c r="N63" i="7"/>
  <c r="M63" i="7"/>
  <c r="L63" i="7"/>
  <c r="K63" i="7"/>
  <c r="J63" i="7"/>
  <c r="I63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U62" i="7"/>
  <c r="T62" i="7"/>
  <c r="S62" i="7"/>
  <c r="R62" i="7"/>
  <c r="Q62" i="7"/>
  <c r="P62" i="7"/>
  <c r="O62" i="7"/>
  <c r="N62" i="7"/>
  <c r="M62" i="7"/>
  <c r="L62" i="7"/>
  <c r="K62" i="7"/>
  <c r="J62" i="7"/>
  <c r="I62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S61" i="7"/>
  <c r="R61" i="7"/>
  <c r="Q61" i="7"/>
  <c r="P61" i="7"/>
  <c r="O61" i="7"/>
  <c r="N61" i="7"/>
  <c r="M61" i="7"/>
  <c r="L61" i="7"/>
  <c r="K61" i="7"/>
  <c r="J61" i="7"/>
  <c r="I61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U60" i="7"/>
  <c r="T60" i="7"/>
  <c r="S60" i="7"/>
  <c r="R60" i="7"/>
  <c r="Q60" i="7"/>
  <c r="P60" i="7"/>
  <c r="O60" i="7"/>
  <c r="N60" i="7"/>
  <c r="M60" i="7"/>
  <c r="L60" i="7"/>
  <c r="K60" i="7"/>
  <c r="J60" i="7"/>
  <c r="I60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S59" i="7"/>
  <c r="R59" i="7"/>
  <c r="Q59" i="7"/>
  <c r="P59" i="7"/>
  <c r="O59" i="7"/>
  <c r="N59" i="7"/>
  <c r="M59" i="7"/>
  <c r="L59" i="7"/>
  <c r="K59" i="7"/>
  <c r="J59" i="7"/>
  <c r="I59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U58" i="7"/>
  <c r="T58" i="7"/>
  <c r="S58" i="7"/>
  <c r="R58" i="7"/>
  <c r="Q58" i="7"/>
  <c r="P58" i="7"/>
  <c r="O58" i="7"/>
  <c r="N58" i="7"/>
  <c r="M58" i="7"/>
  <c r="L58" i="7"/>
  <c r="K58" i="7"/>
  <c r="J58" i="7"/>
  <c r="I58" i="7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S57" i="7"/>
  <c r="R57" i="7"/>
  <c r="Q57" i="7"/>
  <c r="P57" i="7"/>
  <c r="O57" i="7"/>
  <c r="N57" i="7"/>
  <c r="M57" i="7"/>
  <c r="L57" i="7"/>
  <c r="K57" i="7"/>
  <c r="J57" i="7"/>
  <c r="I57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S56" i="7"/>
  <c r="R56" i="7"/>
  <c r="Q56" i="7"/>
  <c r="P56" i="7"/>
  <c r="O56" i="7"/>
  <c r="N56" i="7"/>
  <c r="M56" i="7"/>
  <c r="L56" i="7"/>
  <c r="K56" i="7"/>
  <c r="J56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S55" i="7"/>
  <c r="R55" i="7"/>
  <c r="Q55" i="7"/>
  <c r="P55" i="7"/>
  <c r="O55" i="7"/>
  <c r="N55" i="7"/>
  <c r="M55" i="7"/>
  <c r="L55" i="7"/>
  <c r="K55" i="7"/>
  <c r="J55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S54" i="7"/>
  <c r="R54" i="7"/>
  <c r="Q54" i="7"/>
  <c r="P54" i="7"/>
  <c r="O54" i="7"/>
  <c r="N54" i="7"/>
  <c r="M54" i="7"/>
  <c r="L54" i="7"/>
  <c r="K54" i="7"/>
  <c r="J54" i="7"/>
  <c r="I54" i="7"/>
  <c r="H54" i="7"/>
  <c r="G54" i="7"/>
  <c r="F54" i="7"/>
  <c r="E54" i="7"/>
  <c r="D54" i="7"/>
  <c r="C54" i="7"/>
  <c r="B54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U51" i="7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C49" i="7"/>
  <c r="B49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S48" i="7"/>
  <c r="R48" i="7"/>
  <c r="Q48" i="7"/>
  <c r="P48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/>
  <c r="B48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U47" i="7"/>
  <c r="T47" i="7"/>
  <c r="S47" i="7"/>
  <c r="R47" i="7"/>
  <c r="Q47" i="7"/>
  <c r="P47" i="7"/>
  <c r="O47" i="7"/>
  <c r="N47" i="7"/>
  <c r="M47" i="7"/>
  <c r="L47" i="7"/>
  <c r="K47" i="7"/>
  <c r="J47" i="7"/>
  <c r="I47" i="7"/>
  <c r="H47" i="7"/>
  <c r="G47" i="7"/>
  <c r="F47" i="7"/>
  <c r="E47" i="7"/>
  <c r="D47" i="7"/>
  <c r="C47" i="7"/>
  <c r="B47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S46" i="7"/>
  <c r="R46" i="7"/>
  <c r="Q46" i="7"/>
  <c r="P46" i="7"/>
  <c r="O46" i="7"/>
  <c r="N46" i="7"/>
  <c r="M46" i="7"/>
  <c r="L46" i="7"/>
  <c r="K46" i="7"/>
  <c r="J46" i="7"/>
  <c r="I46" i="7"/>
  <c r="H46" i="7"/>
  <c r="G46" i="7"/>
  <c r="F46" i="7"/>
  <c r="E46" i="7"/>
  <c r="D46" i="7"/>
  <c r="C46" i="7"/>
  <c r="B46" i="7"/>
  <c r="AH45" i="7"/>
  <c r="AG45" i="7"/>
  <c r="AF45" i="7"/>
  <c r="AE45" i="7"/>
  <c r="AD45" i="7"/>
  <c r="AC45" i="7"/>
  <c r="AB45" i="7"/>
  <c r="AA45" i="7"/>
  <c r="Z45" i="7"/>
  <c r="Y45" i="7"/>
  <c r="X45" i="7"/>
  <c r="W45" i="7"/>
  <c r="V45" i="7"/>
  <c r="U45" i="7"/>
  <c r="T45" i="7"/>
  <c r="S45" i="7"/>
  <c r="R45" i="7"/>
  <c r="Q45" i="7"/>
  <c r="P45" i="7"/>
  <c r="O45" i="7"/>
  <c r="N45" i="7"/>
  <c r="M45" i="7"/>
  <c r="L45" i="7"/>
  <c r="K45" i="7"/>
  <c r="J45" i="7"/>
  <c r="I45" i="7"/>
  <c r="H45" i="7"/>
  <c r="G45" i="7"/>
  <c r="F45" i="7"/>
  <c r="E45" i="7"/>
  <c r="D45" i="7"/>
  <c r="C45" i="7"/>
  <c r="B45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S44" i="7"/>
  <c r="R44" i="7"/>
  <c r="Q44" i="7"/>
  <c r="P44" i="7"/>
  <c r="O44" i="7"/>
  <c r="N44" i="7"/>
  <c r="M44" i="7"/>
  <c r="L44" i="7"/>
  <c r="K44" i="7"/>
  <c r="J44" i="7"/>
  <c r="I44" i="7"/>
  <c r="H44" i="7"/>
  <c r="G44" i="7"/>
  <c r="F44" i="7"/>
  <c r="E44" i="7"/>
  <c r="D44" i="7"/>
  <c r="C44" i="7"/>
  <c r="B44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S43" i="7"/>
  <c r="R43" i="7"/>
  <c r="Q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B43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U42" i="7"/>
  <c r="T42" i="7"/>
  <c r="S42" i="7"/>
  <c r="R42" i="7"/>
  <c r="Q42" i="7"/>
  <c r="P42" i="7"/>
  <c r="O42" i="7"/>
  <c r="N42" i="7"/>
  <c r="M42" i="7"/>
  <c r="L42" i="7"/>
  <c r="K42" i="7"/>
  <c r="J42" i="7"/>
  <c r="I42" i="7"/>
  <c r="H42" i="7"/>
  <c r="G42" i="7"/>
  <c r="F42" i="7"/>
  <c r="E42" i="7"/>
  <c r="D42" i="7"/>
  <c r="C42" i="7"/>
  <c r="B42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S41" i="7"/>
  <c r="R41" i="7"/>
  <c r="Q41" i="7"/>
  <c r="P41" i="7"/>
  <c r="O41" i="7"/>
  <c r="N41" i="7"/>
  <c r="M41" i="7"/>
  <c r="L41" i="7"/>
  <c r="K41" i="7"/>
  <c r="J41" i="7"/>
  <c r="I41" i="7"/>
  <c r="H41" i="7"/>
  <c r="G41" i="7"/>
  <c r="F41" i="7"/>
  <c r="E41" i="7"/>
  <c r="D41" i="7"/>
  <c r="C41" i="7"/>
  <c r="B41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S39" i="7"/>
  <c r="R39" i="7"/>
  <c r="Q39" i="7"/>
  <c r="P39" i="7"/>
  <c r="O39" i="7"/>
  <c r="N39" i="7"/>
  <c r="M39" i="7"/>
  <c r="L39" i="7"/>
  <c r="K39" i="7"/>
  <c r="J39" i="7"/>
  <c r="I39" i="7"/>
  <c r="H39" i="7"/>
  <c r="G39" i="7"/>
  <c r="F39" i="7"/>
  <c r="E39" i="7"/>
  <c r="D39" i="7"/>
  <c r="C39" i="7"/>
  <c r="B39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U38" i="7"/>
  <c r="T38" i="7"/>
  <c r="S38" i="7"/>
  <c r="R38" i="7"/>
  <c r="Q38" i="7"/>
  <c r="P38" i="7"/>
  <c r="O38" i="7"/>
  <c r="N38" i="7"/>
  <c r="M38" i="7"/>
  <c r="L38" i="7"/>
  <c r="K38" i="7"/>
  <c r="J38" i="7"/>
  <c r="I38" i="7"/>
  <c r="H38" i="7"/>
  <c r="G38" i="7"/>
  <c r="F38" i="7"/>
  <c r="E38" i="7"/>
  <c r="D38" i="7"/>
  <c r="C38" i="7"/>
  <c r="B38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S35" i="7"/>
  <c r="R35" i="7"/>
  <c r="Q35" i="7"/>
  <c r="P35" i="7"/>
  <c r="O35" i="7"/>
  <c r="N35" i="7"/>
  <c r="M35" i="7"/>
  <c r="L35" i="7"/>
  <c r="K35" i="7"/>
  <c r="J35" i="7"/>
  <c r="I35" i="7"/>
  <c r="H35" i="7"/>
  <c r="G35" i="7"/>
  <c r="F35" i="7"/>
  <c r="E35" i="7"/>
  <c r="D35" i="7"/>
  <c r="C35" i="7"/>
  <c r="B35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U34" i="7"/>
  <c r="T34" i="7"/>
  <c r="S34" i="7"/>
  <c r="R34" i="7"/>
  <c r="Q34" i="7"/>
  <c r="P34" i="7"/>
  <c r="O34" i="7"/>
  <c r="N34" i="7"/>
  <c r="M34" i="7"/>
  <c r="L34" i="7"/>
  <c r="K34" i="7"/>
  <c r="J34" i="7"/>
  <c r="I34" i="7"/>
  <c r="H34" i="7"/>
  <c r="G34" i="7"/>
  <c r="F34" i="7"/>
  <c r="E34" i="7"/>
  <c r="D34" i="7"/>
  <c r="C34" i="7"/>
  <c r="B34" i="7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S33" i="7"/>
  <c r="R33" i="7"/>
  <c r="Q33" i="7"/>
  <c r="P33" i="7"/>
  <c r="O33" i="7"/>
  <c r="N33" i="7"/>
  <c r="M33" i="7"/>
  <c r="L33" i="7"/>
  <c r="K33" i="7"/>
  <c r="J33" i="7"/>
  <c r="I33" i="7"/>
  <c r="H33" i="7"/>
  <c r="G33" i="7"/>
  <c r="F33" i="7"/>
  <c r="E33" i="7"/>
  <c r="D33" i="7"/>
  <c r="C33" i="7"/>
  <c r="B33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G32" i="7"/>
  <c r="F32" i="7"/>
  <c r="E32" i="7"/>
  <c r="D32" i="7"/>
  <c r="C32" i="7"/>
  <c r="B32" i="7"/>
  <c r="AH31" i="7"/>
  <c r="AG31" i="7"/>
  <c r="AF31" i="7"/>
  <c r="AE31" i="7"/>
  <c r="AD31" i="7"/>
  <c r="AC31" i="7"/>
  <c r="AB31" i="7"/>
  <c r="AA31" i="7"/>
  <c r="Z31" i="7"/>
  <c r="Y31" i="7"/>
  <c r="X31" i="7"/>
  <c r="W31" i="7"/>
  <c r="V31" i="7"/>
  <c r="U31" i="7"/>
  <c r="T31" i="7"/>
  <c r="S31" i="7"/>
  <c r="R31" i="7"/>
  <c r="Q31" i="7"/>
  <c r="P31" i="7"/>
  <c r="O31" i="7"/>
  <c r="N31" i="7"/>
  <c r="M31" i="7"/>
  <c r="L31" i="7"/>
  <c r="K31" i="7"/>
  <c r="J31" i="7"/>
  <c r="I31" i="7"/>
  <c r="H31" i="7"/>
  <c r="G31" i="7"/>
  <c r="F31" i="7"/>
  <c r="E31" i="7"/>
  <c r="D31" i="7"/>
  <c r="C31" i="7"/>
  <c r="B31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S30" i="7"/>
  <c r="R30" i="7"/>
  <c r="Q30" i="7"/>
  <c r="P30" i="7"/>
  <c r="O30" i="7"/>
  <c r="N30" i="7"/>
  <c r="M30" i="7"/>
  <c r="L30" i="7"/>
  <c r="K30" i="7"/>
  <c r="J30" i="7"/>
  <c r="I30" i="7"/>
  <c r="H30" i="7"/>
  <c r="G30" i="7"/>
  <c r="F30" i="7"/>
  <c r="E30" i="7"/>
  <c r="D30" i="7"/>
  <c r="C30" i="7"/>
  <c r="B30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E29" i="7"/>
  <c r="D29" i="7"/>
  <c r="C29" i="7"/>
  <c r="B29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B28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B27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C26" i="7"/>
  <c r="B26" i="7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E25" i="7"/>
  <c r="D25" i="7"/>
  <c r="C25" i="7"/>
  <c r="B25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C24" i="7"/>
  <c r="B24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23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17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11" i="7"/>
  <c r="H10" i="7"/>
  <c r="G10" i="7"/>
  <c r="F10" i="7"/>
  <c r="E10" i="7"/>
  <c r="D10" i="7"/>
  <c r="C10" i="7"/>
  <c r="B10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I7" i="7"/>
  <c r="H7" i="7"/>
  <c r="G7" i="7"/>
  <c r="F7" i="7"/>
  <c r="E7" i="7"/>
  <c r="D7" i="7"/>
  <c r="C7" i="7"/>
  <c r="B7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R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S5" i="7"/>
  <c r="R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166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AY163" i="6"/>
  <c r="AX163" i="6"/>
  <c r="AW163" i="6"/>
  <c r="AV163" i="6"/>
  <c r="AU163" i="6"/>
  <c r="AT163" i="6"/>
  <c r="AS163" i="6"/>
  <c r="AR163" i="6"/>
  <c r="AQ163" i="6"/>
  <c r="AP163" i="6"/>
  <c r="AO163" i="6"/>
  <c r="AN163" i="6"/>
  <c r="AM163" i="6"/>
  <c r="AL163" i="6"/>
  <c r="AK163" i="6"/>
  <c r="AJ163" i="6"/>
  <c r="AI163" i="6"/>
  <c r="AH163" i="6"/>
  <c r="AG163" i="6"/>
  <c r="AF163" i="6"/>
  <c r="AE163" i="6"/>
  <c r="AD163" i="6"/>
  <c r="AC163" i="6"/>
  <c r="AB163" i="6"/>
  <c r="AA163" i="6"/>
  <c r="Z163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AY162" i="6"/>
  <c r="AX162" i="6"/>
  <c r="AW162" i="6"/>
  <c r="AV162" i="6"/>
  <c r="AU162" i="6"/>
  <c r="AT162" i="6"/>
  <c r="AS162" i="6"/>
  <c r="AR162" i="6"/>
  <c r="AQ162" i="6"/>
  <c r="AP162" i="6"/>
  <c r="AO162" i="6"/>
  <c r="AN162" i="6"/>
  <c r="AM162" i="6"/>
  <c r="AL162" i="6"/>
  <c r="AK162" i="6"/>
  <c r="AJ162" i="6"/>
  <c r="AI162" i="6"/>
  <c r="AH162" i="6"/>
  <c r="AG162" i="6"/>
  <c r="AF162" i="6"/>
  <c r="AE162" i="6"/>
  <c r="AD162" i="6"/>
  <c r="AC162" i="6"/>
  <c r="AB162" i="6"/>
  <c r="AA162" i="6"/>
  <c r="Z162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AY161" i="6"/>
  <c r="AX161" i="6"/>
  <c r="AW161" i="6"/>
  <c r="AV161" i="6"/>
  <c r="AU161" i="6"/>
  <c r="AT161" i="6"/>
  <c r="AS161" i="6"/>
  <c r="AR161" i="6"/>
  <c r="AQ161" i="6"/>
  <c r="AP161" i="6"/>
  <c r="AO161" i="6"/>
  <c r="AN161" i="6"/>
  <c r="AM161" i="6"/>
  <c r="AL161" i="6"/>
  <c r="AK161" i="6"/>
  <c r="AJ161" i="6"/>
  <c r="AI161" i="6"/>
  <c r="AH161" i="6"/>
  <c r="AG161" i="6"/>
  <c r="AF161" i="6"/>
  <c r="AE161" i="6"/>
  <c r="AD161" i="6"/>
  <c r="AC161" i="6"/>
  <c r="AB161" i="6"/>
  <c r="AA161" i="6"/>
  <c r="Z161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AY160" i="6"/>
  <c r="AX160" i="6"/>
  <c r="AW160" i="6"/>
  <c r="AV160" i="6"/>
  <c r="AU160" i="6"/>
  <c r="AT160" i="6"/>
  <c r="AS160" i="6"/>
  <c r="AR160" i="6"/>
  <c r="AQ160" i="6"/>
  <c r="AP160" i="6"/>
  <c r="AO160" i="6"/>
  <c r="AN160" i="6"/>
  <c r="AM160" i="6"/>
  <c r="AL160" i="6"/>
  <c r="AK160" i="6"/>
  <c r="AJ160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AY159" i="6"/>
  <c r="AX159" i="6"/>
  <c r="AW159" i="6"/>
  <c r="AV159" i="6"/>
  <c r="AU159" i="6"/>
  <c r="AT159" i="6"/>
  <c r="AS159" i="6"/>
  <c r="AR159" i="6"/>
  <c r="AQ159" i="6"/>
  <c r="AP159" i="6"/>
  <c r="AO159" i="6"/>
  <c r="AN159" i="6"/>
  <c r="AM159" i="6"/>
  <c r="AL159" i="6"/>
  <c r="AK159" i="6"/>
  <c r="AJ159" i="6"/>
  <c r="AI159" i="6"/>
  <c r="AH159" i="6"/>
  <c r="AG159" i="6"/>
  <c r="AF159" i="6"/>
  <c r="AE159" i="6"/>
  <c r="AD159" i="6"/>
  <c r="AC159" i="6"/>
  <c r="AB159" i="6"/>
  <c r="AA159" i="6"/>
  <c r="Z159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AY158" i="6"/>
  <c r="AX158" i="6"/>
  <c r="AW158" i="6"/>
  <c r="AV158" i="6"/>
  <c r="AU158" i="6"/>
  <c r="AT158" i="6"/>
  <c r="AS158" i="6"/>
  <c r="AR158" i="6"/>
  <c r="AQ158" i="6"/>
  <c r="AP158" i="6"/>
  <c r="AO158" i="6"/>
  <c r="AN158" i="6"/>
  <c r="AM158" i="6"/>
  <c r="AL158" i="6"/>
  <c r="AK158" i="6"/>
  <c r="AJ158" i="6"/>
  <c r="AI158" i="6"/>
  <c r="AH158" i="6"/>
  <c r="AG158" i="6"/>
  <c r="AF158" i="6"/>
  <c r="AE158" i="6"/>
  <c r="AD158" i="6"/>
  <c r="AC158" i="6"/>
  <c r="AB158" i="6"/>
  <c r="AA158" i="6"/>
  <c r="Z158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AY157" i="6"/>
  <c r="AX157" i="6"/>
  <c r="AW157" i="6"/>
  <c r="AV157" i="6"/>
  <c r="AU157" i="6"/>
  <c r="AT157" i="6"/>
  <c r="AS157" i="6"/>
  <c r="AR157" i="6"/>
  <c r="AQ157" i="6"/>
  <c r="AP157" i="6"/>
  <c r="AO157" i="6"/>
  <c r="AN157" i="6"/>
  <c r="AM157" i="6"/>
  <c r="AL157" i="6"/>
  <c r="AK157" i="6"/>
  <c r="AJ157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AY156" i="6"/>
  <c r="AX156" i="6"/>
  <c r="AW156" i="6"/>
  <c r="AV156" i="6"/>
  <c r="AU156" i="6"/>
  <c r="AT156" i="6"/>
  <c r="AS156" i="6"/>
  <c r="AR156" i="6"/>
  <c r="AQ156" i="6"/>
  <c r="AP156" i="6"/>
  <c r="AO156" i="6"/>
  <c r="AN156" i="6"/>
  <c r="AM156" i="6"/>
  <c r="AL156" i="6"/>
  <c r="AK156" i="6"/>
  <c r="AJ156" i="6"/>
  <c r="AI156" i="6"/>
  <c r="AH156" i="6"/>
  <c r="AG156" i="6"/>
  <c r="AF156" i="6"/>
  <c r="AE156" i="6"/>
  <c r="AD156" i="6"/>
  <c r="AC156" i="6"/>
  <c r="AB156" i="6"/>
  <c r="AA156" i="6"/>
  <c r="Z156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AY155" i="6"/>
  <c r="AX155" i="6"/>
  <c r="AW155" i="6"/>
  <c r="AV155" i="6"/>
  <c r="AU155" i="6"/>
  <c r="AT155" i="6"/>
  <c r="AS155" i="6"/>
  <c r="AR155" i="6"/>
  <c r="AQ155" i="6"/>
  <c r="AP155" i="6"/>
  <c r="AO155" i="6"/>
  <c r="AN155" i="6"/>
  <c r="AM155" i="6"/>
  <c r="AL155" i="6"/>
  <c r="AK155" i="6"/>
  <c r="AJ155" i="6"/>
  <c r="AI155" i="6"/>
  <c r="AH155" i="6"/>
  <c r="AG155" i="6"/>
  <c r="AF155" i="6"/>
  <c r="AE155" i="6"/>
  <c r="AD155" i="6"/>
  <c r="AC155" i="6"/>
  <c r="AB155" i="6"/>
  <c r="AA155" i="6"/>
  <c r="Z155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AY154" i="6"/>
  <c r="AX154" i="6"/>
  <c r="AW154" i="6"/>
  <c r="AV154" i="6"/>
  <c r="AU154" i="6"/>
  <c r="AT154" i="6"/>
  <c r="AS154" i="6"/>
  <c r="AR154" i="6"/>
  <c r="AQ154" i="6"/>
  <c r="AP154" i="6"/>
  <c r="AO154" i="6"/>
  <c r="AN154" i="6"/>
  <c r="AM154" i="6"/>
  <c r="AL154" i="6"/>
  <c r="AK154" i="6"/>
  <c r="AJ154" i="6"/>
  <c r="AI154" i="6"/>
  <c r="AH154" i="6"/>
  <c r="AG154" i="6"/>
  <c r="AF154" i="6"/>
  <c r="AE154" i="6"/>
  <c r="AD154" i="6"/>
  <c r="AC154" i="6"/>
  <c r="AB154" i="6"/>
  <c r="AA154" i="6"/>
  <c r="Z154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AY153" i="6"/>
  <c r="AX153" i="6"/>
  <c r="AW153" i="6"/>
  <c r="AV153" i="6"/>
  <c r="AU153" i="6"/>
  <c r="AT153" i="6"/>
  <c r="AS153" i="6"/>
  <c r="AR153" i="6"/>
  <c r="AQ153" i="6"/>
  <c r="AP153" i="6"/>
  <c r="AO153" i="6"/>
  <c r="AN153" i="6"/>
  <c r="AM153" i="6"/>
  <c r="AL153" i="6"/>
  <c r="AK153" i="6"/>
  <c r="AJ153" i="6"/>
  <c r="AI153" i="6"/>
  <c r="AH153" i="6"/>
  <c r="AG153" i="6"/>
  <c r="AF153" i="6"/>
  <c r="AE153" i="6"/>
  <c r="AD153" i="6"/>
  <c r="AC153" i="6"/>
  <c r="AB153" i="6"/>
  <c r="AA153" i="6"/>
  <c r="Z153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AY152" i="6"/>
  <c r="AX152" i="6"/>
  <c r="AW152" i="6"/>
  <c r="AV152" i="6"/>
  <c r="AU152" i="6"/>
  <c r="AT152" i="6"/>
  <c r="AS152" i="6"/>
  <c r="AR152" i="6"/>
  <c r="AQ152" i="6"/>
  <c r="AP152" i="6"/>
  <c r="AO152" i="6"/>
  <c r="AN152" i="6"/>
  <c r="AM152" i="6"/>
  <c r="AL152" i="6"/>
  <c r="AK152" i="6"/>
  <c r="AJ152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AY151" i="6"/>
  <c r="AX151" i="6"/>
  <c r="AW151" i="6"/>
  <c r="AV151" i="6"/>
  <c r="AU151" i="6"/>
  <c r="AT151" i="6"/>
  <c r="AS151" i="6"/>
  <c r="AR151" i="6"/>
  <c r="AQ151" i="6"/>
  <c r="AP151" i="6"/>
  <c r="AO151" i="6"/>
  <c r="AN151" i="6"/>
  <c r="AM151" i="6"/>
  <c r="AL151" i="6"/>
  <c r="AK151" i="6"/>
  <c r="AJ151" i="6"/>
  <c r="AI151" i="6"/>
  <c r="AH151" i="6"/>
  <c r="AG151" i="6"/>
  <c r="AF151" i="6"/>
  <c r="AE151" i="6"/>
  <c r="AD151" i="6"/>
  <c r="AC151" i="6"/>
  <c r="AB151" i="6"/>
  <c r="AA151" i="6"/>
  <c r="Z151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X150" i="6"/>
  <c r="W150" i="6"/>
  <c r="V150" i="6"/>
  <c r="U150" i="6"/>
  <c r="T150" i="6"/>
  <c r="S150" i="6"/>
  <c r="R150" i="6"/>
  <c r="X149" i="6"/>
  <c r="W149" i="6"/>
  <c r="V149" i="6"/>
  <c r="U149" i="6"/>
  <c r="T149" i="6"/>
  <c r="S149" i="6"/>
  <c r="R149" i="6"/>
  <c r="Q149" i="6"/>
  <c r="P149" i="6"/>
  <c r="O149" i="6"/>
  <c r="N149" i="6"/>
  <c r="AY148" i="6"/>
  <c r="AX148" i="6"/>
  <c r="AW148" i="6"/>
  <c r="AV148" i="6"/>
  <c r="AU148" i="6"/>
  <c r="AT148" i="6"/>
  <c r="AS148" i="6"/>
  <c r="AR148" i="6"/>
  <c r="AQ148" i="6"/>
  <c r="AP148" i="6"/>
  <c r="AO148" i="6"/>
  <c r="AN148" i="6"/>
  <c r="AM148" i="6"/>
  <c r="AL148" i="6"/>
  <c r="AK148" i="6"/>
  <c r="AJ148" i="6"/>
  <c r="AI148" i="6"/>
  <c r="AH148" i="6"/>
  <c r="AG148" i="6"/>
  <c r="AF148" i="6"/>
  <c r="AE148" i="6"/>
  <c r="AD148" i="6"/>
  <c r="AC148" i="6"/>
  <c r="AB148" i="6"/>
  <c r="AA148" i="6"/>
  <c r="Z148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AY147" i="6"/>
  <c r="AX147" i="6"/>
  <c r="AW147" i="6"/>
  <c r="AV147" i="6"/>
  <c r="AU147" i="6"/>
  <c r="AT147" i="6"/>
  <c r="AS147" i="6"/>
  <c r="AR147" i="6"/>
  <c r="AQ147" i="6"/>
  <c r="AP147" i="6"/>
  <c r="AO147" i="6"/>
  <c r="AN147" i="6"/>
  <c r="AM147" i="6"/>
  <c r="AL147" i="6"/>
  <c r="AK147" i="6"/>
  <c r="AJ147" i="6"/>
  <c r="AI147" i="6"/>
  <c r="AH147" i="6"/>
  <c r="AG147" i="6"/>
  <c r="AF147" i="6"/>
  <c r="AE147" i="6"/>
  <c r="AD147" i="6"/>
  <c r="AC147" i="6"/>
  <c r="AB147" i="6"/>
  <c r="AA147" i="6"/>
  <c r="Z147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AY146" i="6"/>
  <c r="AX146" i="6"/>
  <c r="AW146" i="6"/>
  <c r="AV146" i="6"/>
  <c r="AU146" i="6"/>
  <c r="AT146" i="6"/>
  <c r="AS146" i="6"/>
  <c r="AR146" i="6"/>
  <c r="AQ146" i="6"/>
  <c r="AP146" i="6"/>
  <c r="AO146" i="6"/>
  <c r="AN146" i="6"/>
  <c r="AM146" i="6"/>
  <c r="AL146" i="6"/>
  <c r="AK146" i="6"/>
  <c r="AJ146" i="6"/>
  <c r="AI146" i="6"/>
  <c r="AH146" i="6"/>
  <c r="AG146" i="6"/>
  <c r="AF146" i="6"/>
  <c r="AE146" i="6"/>
  <c r="AD146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AY145" i="6"/>
  <c r="AX145" i="6"/>
  <c r="AW145" i="6"/>
  <c r="AV145" i="6"/>
  <c r="AU145" i="6"/>
  <c r="AT145" i="6"/>
  <c r="AS145" i="6"/>
  <c r="AR145" i="6"/>
  <c r="AQ145" i="6"/>
  <c r="AP145" i="6"/>
  <c r="AO145" i="6"/>
  <c r="AN145" i="6"/>
  <c r="AM145" i="6"/>
  <c r="AL145" i="6"/>
  <c r="AK145" i="6"/>
  <c r="AJ145" i="6"/>
  <c r="AI145" i="6"/>
  <c r="AH145" i="6"/>
  <c r="AG145" i="6"/>
  <c r="AF145" i="6"/>
  <c r="AE145" i="6"/>
  <c r="AD145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AY144" i="6"/>
  <c r="AX144" i="6"/>
  <c r="AW144" i="6"/>
  <c r="AV144" i="6"/>
  <c r="AU144" i="6"/>
  <c r="AT144" i="6"/>
  <c r="AS144" i="6"/>
  <c r="AR144" i="6"/>
  <c r="AQ144" i="6"/>
  <c r="AP144" i="6"/>
  <c r="AO144" i="6"/>
  <c r="AN144" i="6"/>
  <c r="AM144" i="6"/>
  <c r="AL144" i="6"/>
  <c r="AK144" i="6"/>
  <c r="AJ144" i="6"/>
  <c r="AI144" i="6"/>
  <c r="AH144" i="6"/>
  <c r="AG144" i="6"/>
  <c r="AF144" i="6"/>
  <c r="AE144" i="6"/>
  <c r="AD144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AY143" i="6"/>
  <c r="AX143" i="6"/>
  <c r="AW143" i="6"/>
  <c r="AV143" i="6"/>
  <c r="AU143" i="6"/>
  <c r="AT143" i="6"/>
  <c r="AS143" i="6"/>
  <c r="AR143" i="6"/>
  <c r="AQ143" i="6"/>
  <c r="AP143" i="6"/>
  <c r="AO143" i="6"/>
  <c r="AN143" i="6"/>
  <c r="AM143" i="6"/>
  <c r="AL143" i="6"/>
  <c r="AK143" i="6"/>
  <c r="AJ143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AY142" i="6"/>
  <c r="AX142" i="6"/>
  <c r="AW142" i="6"/>
  <c r="AV142" i="6"/>
  <c r="AU142" i="6"/>
  <c r="AT142" i="6"/>
  <c r="AS142" i="6"/>
  <c r="AR142" i="6"/>
  <c r="AQ142" i="6"/>
  <c r="AP142" i="6"/>
  <c r="AO142" i="6"/>
  <c r="AN142" i="6"/>
  <c r="AM142" i="6"/>
  <c r="AL142" i="6"/>
  <c r="AK142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AY141" i="6"/>
  <c r="AX141" i="6"/>
  <c r="AW141" i="6"/>
  <c r="AV141" i="6"/>
  <c r="AU141" i="6"/>
  <c r="AT141" i="6"/>
  <c r="AS141" i="6"/>
  <c r="AR141" i="6"/>
  <c r="AQ141" i="6"/>
  <c r="AP141" i="6"/>
  <c r="AO141" i="6"/>
  <c r="AN141" i="6"/>
  <c r="AM141" i="6"/>
  <c r="AL141" i="6"/>
  <c r="AK141" i="6"/>
  <c r="AJ141" i="6"/>
  <c r="AI141" i="6"/>
  <c r="AH141" i="6"/>
  <c r="AG141" i="6"/>
  <c r="AF141" i="6"/>
  <c r="AE141" i="6"/>
  <c r="AD141" i="6"/>
  <c r="AC141" i="6"/>
  <c r="AB141" i="6"/>
  <c r="AA141" i="6"/>
  <c r="Z141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AY139" i="6"/>
  <c r="AX139" i="6"/>
  <c r="AW139" i="6"/>
  <c r="AV139" i="6"/>
  <c r="AU139" i="6"/>
  <c r="AT139" i="6"/>
  <c r="AS139" i="6"/>
  <c r="AR139" i="6"/>
  <c r="AQ139" i="6"/>
  <c r="AP139" i="6"/>
  <c r="AO139" i="6"/>
  <c r="AN139" i="6"/>
  <c r="AM139" i="6"/>
  <c r="AL139" i="6"/>
  <c r="AK139" i="6"/>
  <c r="AJ139" i="6"/>
  <c r="AI139" i="6"/>
  <c r="AH139" i="6"/>
  <c r="AG139" i="6"/>
  <c r="AF139" i="6"/>
  <c r="AE139" i="6"/>
  <c r="AD139" i="6"/>
  <c r="AC139" i="6"/>
  <c r="AB139" i="6"/>
  <c r="AA139" i="6"/>
  <c r="Z139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AY138" i="6"/>
  <c r="AX138" i="6"/>
  <c r="AW138" i="6"/>
  <c r="AV138" i="6"/>
  <c r="AU138" i="6"/>
  <c r="AT138" i="6"/>
  <c r="AS138" i="6"/>
  <c r="AR138" i="6"/>
  <c r="AQ138" i="6"/>
  <c r="AP138" i="6"/>
  <c r="AO138" i="6"/>
  <c r="AN138" i="6"/>
  <c r="AM138" i="6"/>
  <c r="AL138" i="6"/>
  <c r="AK138" i="6"/>
  <c r="AJ138" i="6"/>
  <c r="AI138" i="6"/>
  <c r="AH138" i="6"/>
  <c r="AG138" i="6"/>
  <c r="AF138" i="6"/>
  <c r="AE138" i="6"/>
  <c r="AD138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AY137" i="6"/>
  <c r="AX137" i="6"/>
  <c r="AW137" i="6"/>
  <c r="AV137" i="6"/>
  <c r="AU137" i="6"/>
  <c r="AT137" i="6"/>
  <c r="AS137" i="6"/>
  <c r="AR137" i="6"/>
  <c r="AQ137" i="6"/>
  <c r="AP137" i="6"/>
  <c r="AO137" i="6"/>
  <c r="AN137" i="6"/>
  <c r="AM137" i="6"/>
  <c r="AL137" i="6"/>
  <c r="AK137" i="6"/>
  <c r="AJ137" i="6"/>
  <c r="AI137" i="6"/>
  <c r="AH137" i="6"/>
  <c r="AG137" i="6"/>
  <c r="AF137" i="6"/>
  <c r="AE137" i="6"/>
  <c r="AD137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AY135" i="6"/>
  <c r="AX135" i="6"/>
  <c r="AW135" i="6"/>
  <c r="AV135" i="6"/>
  <c r="AU135" i="6"/>
  <c r="AT135" i="6"/>
  <c r="AS135" i="6"/>
  <c r="AR135" i="6"/>
  <c r="AQ135" i="6"/>
  <c r="AP135" i="6"/>
  <c r="AO135" i="6"/>
  <c r="AN135" i="6"/>
  <c r="AM135" i="6"/>
  <c r="AL135" i="6"/>
  <c r="AK135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Y132" i="6"/>
  <c r="AX132" i="6"/>
  <c r="AW132" i="6"/>
  <c r="AV132" i="6"/>
  <c r="AU132" i="6"/>
  <c r="AT132" i="6"/>
  <c r="AS132" i="6"/>
  <c r="AR132" i="6"/>
  <c r="AQ132" i="6"/>
  <c r="AP132" i="6"/>
  <c r="AO132" i="6"/>
  <c r="AN132" i="6"/>
  <c r="AM132" i="6"/>
  <c r="AL132" i="6"/>
  <c r="AK132" i="6"/>
  <c r="AJ132" i="6"/>
  <c r="AI132" i="6"/>
  <c r="AH132" i="6"/>
  <c r="AG132" i="6"/>
  <c r="AF132" i="6"/>
  <c r="AE132" i="6"/>
  <c r="AD132" i="6"/>
  <c r="AC132" i="6"/>
  <c r="AB132" i="6"/>
  <c r="AA132" i="6"/>
  <c r="Z132" i="6"/>
  <c r="Y132" i="6"/>
  <c r="X132" i="6"/>
  <c r="W132" i="6"/>
  <c r="V132" i="6"/>
  <c r="U132" i="6"/>
  <c r="AY131" i="6"/>
  <c r="AX131" i="6"/>
  <c r="AW131" i="6"/>
  <c r="AV131" i="6"/>
  <c r="AU131" i="6"/>
  <c r="AT131" i="6"/>
  <c r="AS131" i="6"/>
  <c r="AR131" i="6"/>
  <c r="AQ131" i="6"/>
  <c r="AP131" i="6"/>
  <c r="AO131" i="6"/>
  <c r="AN131" i="6"/>
  <c r="AM131" i="6"/>
  <c r="AL131" i="6"/>
  <c r="AK131" i="6"/>
  <c r="AJ131" i="6"/>
  <c r="AI131" i="6"/>
  <c r="AH131" i="6"/>
  <c r="AG131" i="6"/>
  <c r="AF131" i="6"/>
  <c r="AE131" i="6"/>
  <c r="AD131" i="6"/>
  <c r="AC131" i="6"/>
  <c r="AB131" i="6"/>
  <c r="AA131" i="6"/>
  <c r="Z131" i="6"/>
  <c r="Y131" i="6"/>
  <c r="X131" i="6"/>
  <c r="W131" i="6"/>
  <c r="V131" i="6"/>
  <c r="U131" i="6"/>
  <c r="AY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K130" i="6"/>
  <c r="AJ130" i="6"/>
  <c r="AI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AY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K129" i="6"/>
  <c r="AJ129" i="6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AY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K128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AY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K127" i="6"/>
  <c r="AJ127" i="6"/>
  <c r="AI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AY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K126" i="6"/>
  <c r="AJ126" i="6"/>
  <c r="AI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AY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K125" i="6"/>
  <c r="AJ125" i="6"/>
  <c r="AI125" i="6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AY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K124" i="6"/>
  <c r="AJ124" i="6"/>
  <c r="AI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AY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K123" i="6"/>
  <c r="AJ123" i="6"/>
  <c r="AI123" i="6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AY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K122" i="6"/>
  <c r="AJ122" i="6"/>
  <c r="AI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AY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K121" i="6"/>
  <c r="AJ121" i="6"/>
  <c r="AI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AY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L120" i="6"/>
  <c r="AK120" i="6"/>
  <c r="AJ120" i="6"/>
  <c r="AI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AY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K119" i="6"/>
  <c r="AJ119" i="6"/>
  <c r="AI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Y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K116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AY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K115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AY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K114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AY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K113" i="6"/>
  <c r="AJ113" i="6"/>
  <c r="AI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AY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K112" i="6"/>
  <c r="AJ112" i="6"/>
  <c r="AI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AY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K111" i="6"/>
  <c r="AJ111" i="6"/>
  <c r="AI111" i="6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AY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K109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AY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K108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AY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K107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AY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K106" i="6"/>
  <c r="AJ106" i="6"/>
  <c r="AI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AY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K105" i="6"/>
  <c r="AJ105" i="6"/>
  <c r="AI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AY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K104" i="6"/>
  <c r="AJ104" i="6"/>
  <c r="AI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AY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K103" i="6"/>
  <c r="AJ103" i="6"/>
  <c r="AI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AY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K100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AY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K99" i="6"/>
  <c r="AJ99" i="6"/>
  <c r="AI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AY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K98" i="6"/>
  <c r="AJ98" i="6"/>
  <c r="AI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AY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K97" i="6"/>
  <c r="AJ97" i="6"/>
  <c r="AI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AY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K96" i="6"/>
  <c r="AJ96" i="6"/>
  <c r="AI96" i="6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AY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K95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AY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K94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AY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K93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AY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K92" i="6"/>
  <c r="AJ92" i="6"/>
  <c r="AI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AY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K91" i="6"/>
  <c r="AJ91" i="6"/>
  <c r="AI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AY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K90" i="6"/>
  <c r="AJ90" i="6"/>
  <c r="AI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AY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K89" i="6"/>
  <c r="AJ89" i="6"/>
  <c r="AI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AY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K88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AC85" i="6"/>
  <c r="AB85" i="6"/>
  <c r="AA85" i="6"/>
  <c r="Z85" i="6"/>
  <c r="Y85" i="6"/>
  <c r="X85" i="6"/>
  <c r="W85" i="6"/>
  <c r="V85" i="6"/>
  <c r="U85" i="6"/>
  <c r="T85" i="6"/>
  <c r="S85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AY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K83" i="6"/>
  <c r="AJ83" i="6"/>
  <c r="AI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AY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K82" i="6"/>
  <c r="AJ82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AY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K80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AY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K79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AY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K78" i="6"/>
  <c r="AJ78" i="6"/>
  <c r="AI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AY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L77" i="6"/>
  <c r="AK77" i="6"/>
  <c r="AJ77" i="6"/>
  <c r="AI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S77" i="6"/>
  <c r="R77" i="6"/>
  <c r="Q77" i="6"/>
  <c r="P77" i="6"/>
  <c r="O77" i="6"/>
  <c r="N77" i="6"/>
  <c r="M77" i="6"/>
  <c r="L77" i="6"/>
  <c r="AY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K76" i="6"/>
  <c r="AJ76" i="6"/>
  <c r="AI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AY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K75" i="6"/>
  <c r="AJ75" i="6"/>
  <c r="AI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AY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K74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AY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K73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AY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K72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AY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K71" i="6"/>
  <c r="AJ71" i="6"/>
  <c r="AI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H71" i="6"/>
  <c r="G71" i="6"/>
  <c r="F71" i="6"/>
  <c r="E71" i="6"/>
  <c r="D71" i="6"/>
  <c r="C71" i="6"/>
  <c r="B71" i="6"/>
  <c r="AY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K68" i="6"/>
  <c r="AJ68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AY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K67" i="6"/>
  <c r="AJ67" i="6"/>
  <c r="AI67" i="6"/>
  <c r="AH67" i="6"/>
  <c r="AG67" i="6"/>
  <c r="AF67" i="6"/>
  <c r="AE67" i="6"/>
  <c r="AD67" i="6"/>
  <c r="AC67" i="6"/>
  <c r="AB67" i="6"/>
  <c r="AA67" i="6"/>
  <c r="Z67" i="6"/>
  <c r="AY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K66" i="6"/>
  <c r="AJ66" i="6"/>
  <c r="AI66" i="6"/>
  <c r="AH66" i="6"/>
  <c r="AG66" i="6"/>
  <c r="AF66" i="6"/>
  <c r="AE66" i="6"/>
  <c r="AD66" i="6"/>
  <c r="AC66" i="6"/>
  <c r="AB66" i="6"/>
  <c r="AA66" i="6"/>
  <c r="Z66" i="6"/>
  <c r="AY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B65" i="6"/>
  <c r="AA65" i="6"/>
  <c r="Z65" i="6"/>
  <c r="AY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K64" i="6"/>
  <c r="AJ64" i="6"/>
  <c r="AI64" i="6"/>
  <c r="AH64" i="6"/>
  <c r="AG64" i="6"/>
  <c r="AF64" i="6"/>
  <c r="AE64" i="6"/>
  <c r="AD64" i="6"/>
  <c r="AC64" i="6"/>
  <c r="AB64" i="6"/>
  <c r="AA64" i="6"/>
  <c r="Z64" i="6"/>
  <c r="AY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K63" i="6"/>
  <c r="AJ63" i="6"/>
  <c r="AI63" i="6"/>
  <c r="AH63" i="6"/>
  <c r="AG63" i="6"/>
  <c r="AF63" i="6"/>
  <c r="AE63" i="6"/>
  <c r="AD63" i="6"/>
  <c r="AC63" i="6"/>
  <c r="AB63" i="6"/>
  <c r="AA63" i="6"/>
  <c r="Z63" i="6"/>
  <c r="AY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K62" i="6"/>
  <c r="AJ62" i="6"/>
  <c r="AI62" i="6"/>
  <c r="AH62" i="6"/>
  <c r="AG62" i="6"/>
  <c r="AF62" i="6"/>
  <c r="AE62" i="6"/>
  <c r="AD62" i="6"/>
  <c r="AC62" i="6"/>
  <c r="AB62" i="6"/>
  <c r="AA62" i="6"/>
  <c r="Z62" i="6"/>
  <c r="AY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K61" i="6"/>
  <c r="AJ61" i="6"/>
  <c r="AI61" i="6"/>
  <c r="AH61" i="6"/>
  <c r="AG61" i="6"/>
  <c r="AF61" i="6"/>
  <c r="AE61" i="6"/>
  <c r="AD61" i="6"/>
  <c r="AC61" i="6"/>
  <c r="AB61" i="6"/>
  <c r="AA61" i="6"/>
  <c r="Z61" i="6"/>
  <c r="AY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K60" i="6"/>
  <c r="AJ60" i="6"/>
  <c r="AI60" i="6"/>
  <c r="AH60" i="6"/>
  <c r="AG60" i="6"/>
  <c r="AF60" i="6"/>
  <c r="AE60" i="6"/>
  <c r="AD60" i="6"/>
  <c r="AC60" i="6"/>
  <c r="AB60" i="6"/>
  <c r="AA60" i="6"/>
  <c r="Z60" i="6"/>
  <c r="AY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K59" i="6"/>
  <c r="AJ59" i="6"/>
  <c r="AI59" i="6"/>
  <c r="AH59" i="6"/>
  <c r="AG59" i="6"/>
  <c r="AF59" i="6"/>
  <c r="AE59" i="6"/>
  <c r="AD59" i="6"/>
  <c r="AC59" i="6"/>
  <c r="AB59" i="6"/>
  <c r="AA59" i="6"/>
  <c r="Z59" i="6"/>
  <c r="AY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K58" i="6"/>
  <c r="AJ58" i="6"/>
  <c r="AI58" i="6"/>
  <c r="AH58" i="6"/>
  <c r="AG58" i="6"/>
  <c r="AF58" i="6"/>
  <c r="AE58" i="6"/>
  <c r="AD58" i="6"/>
  <c r="AC58" i="6"/>
  <c r="AB58" i="6"/>
  <c r="AA58" i="6"/>
  <c r="Z58" i="6"/>
  <c r="AY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K57" i="6"/>
  <c r="AJ57" i="6"/>
  <c r="AI57" i="6"/>
  <c r="AH57" i="6"/>
  <c r="AG57" i="6"/>
  <c r="AF57" i="6"/>
  <c r="AE57" i="6"/>
  <c r="AD57" i="6"/>
  <c r="AC57" i="6"/>
  <c r="AB57" i="6"/>
  <c r="AA57" i="6"/>
  <c r="Z57" i="6"/>
  <c r="AY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L56" i="6"/>
  <c r="AK56" i="6"/>
  <c r="AJ56" i="6"/>
  <c r="AI56" i="6"/>
  <c r="AH56" i="6"/>
  <c r="AG56" i="6"/>
  <c r="AF56" i="6"/>
  <c r="AE56" i="6"/>
  <c r="AD56" i="6"/>
  <c r="AC56" i="6"/>
  <c r="AB56" i="6"/>
  <c r="AA56" i="6"/>
  <c r="Z56" i="6"/>
  <c r="AY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K55" i="6"/>
  <c r="AJ55" i="6"/>
  <c r="AI55" i="6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Y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K52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AY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K51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AY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K50" i="6"/>
  <c r="AJ50" i="6"/>
  <c r="AI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AY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K49" i="6"/>
  <c r="AJ49" i="6"/>
  <c r="AI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AY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K48" i="6"/>
  <c r="AJ48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AY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K47" i="6"/>
  <c r="AJ47" i="6"/>
  <c r="AI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AY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K46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AY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K45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AY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L44" i="6"/>
  <c r="AK44" i="6"/>
  <c r="AJ44" i="6"/>
  <c r="AI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AY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K43" i="6"/>
  <c r="AJ43" i="6"/>
  <c r="AI43" i="6"/>
  <c r="AH43" i="6"/>
  <c r="AG43" i="6"/>
  <c r="AF43" i="6"/>
  <c r="AE43" i="6"/>
  <c r="AD43" i="6"/>
  <c r="AC43" i="6"/>
  <c r="AB43" i="6"/>
  <c r="AA43" i="6"/>
  <c r="Z43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AY164" i="5"/>
  <c r="AX164" i="5"/>
  <c r="AW164" i="5"/>
  <c r="AV164" i="5"/>
  <c r="AU164" i="5"/>
  <c r="AT164" i="5"/>
  <c r="AS164" i="5"/>
  <c r="AR164" i="5"/>
  <c r="AQ164" i="5"/>
  <c r="AP164" i="5"/>
  <c r="AO164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Y163" i="5"/>
  <c r="AX163" i="5"/>
  <c r="AW163" i="5"/>
  <c r="AV163" i="5"/>
  <c r="AU163" i="5"/>
  <c r="AT163" i="5"/>
  <c r="AS163" i="5"/>
  <c r="AR163" i="5"/>
  <c r="AQ163" i="5"/>
  <c r="AP163" i="5"/>
  <c r="AO163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AY162" i="5"/>
  <c r="AX162" i="5"/>
  <c r="AW162" i="5"/>
  <c r="AV162" i="5"/>
  <c r="AU162" i="5"/>
  <c r="AT162" i="5"/>
  <c r="AS162" i="5"/>
  <c r="AR162" i="5"/>
  <c r="AQ162" i="5"/>
  <c r="AP162" i="5"/>
  <c r="AO162" i="5"/>
  <c r="AN162" i="5"/>
  <c r="AM162" i="5"/>
  <c r="AL162" i="5"/>
  <c r="AK162" i="5"/>
  <c r="AJ162" i="5"/>
  <c r="AI162" i="5"/>
  <c r="AH162" i="5"/>
  <c r="AG162" i="5"/>
  <c r="AF162" i="5"/>
  <c r="AE162" i="5"/>
  <c r="AD162" i="5"/>
  <c r="AC162" i="5"/>
  <c r="AB162" i="5"/>
  <c r="AA162" i="5"/>
  <c r="Z162" i="5"/>
  <c r="Y162" i="5"/>
  <c r="X162" i="5"/>
  <c r="W162" i="5"/>
  <c r="V162" i="5"/>
  <c r="U162" i="5"/>
  <c r="T162" i="5"/>
  <c r="S162" i="5"/>
  <c r="R162" i="5"/>
  <c r="Q162" i="5"/>
  <c r="P162" i="5"/>
  <c r="O162" i="5"/>
  <c r="N162" i="5"/>
  <c r="M162" i="5"/>
  <c r="AY161" i="5"/>
  <c r="AX161" i="5"/>
  <c r="AW161" i="5"/>
  <c r="AV161" i="5"/>
  <c r="AU161" i="5"/>
  <c r="AT161" i="5"/>
  <c r="AS161" i="5"/>
  <c r="AR161" i="5"/>
  <c r="AQ161" i="5"/>
  <c r="AP161" i="5"/>
  <c r="AO161" i="5"/>
  <c r="AN161" i="5"/>
  <c r="AM161" i="5"/>
  <c r="AL161" i="5"/>
  <c r="AK161" i="5"/>
  <c r="AJ161" i="5"/>
  <c r="AI161" i="5"/>
  <c r="AH161" i="5"/>
  <c r="AG161" i="5"/>
  <c r="AF161" i="5"/>
  <c r="AE161" i="5"/>
  <c r="AD161" i="5"/>
  <c r="AC161" i="5"/>
  <c r="AB161" i="5"/>
  <c r="AA161" i="5"/>
  <c r="Z161" i="5"/>
  <c r="Y161" i="5"/>
  <c r="X161" i="5"/>
  <c r="W161" i="5"/>
  <c r="V161" i="5"/>
  <c r="U161" i="5"/>
  <c r="T161" i="5"/>
  <c r="S161" i="5"/>
  <c r="R161" i="5"/>
  <c r="Q161" i="5"/>
  <c r="P161" i="5"/>
  <c r="O161" i="5"/>
  <c r="N161" i="5"/>
  <c r="M161" i="5"/>
  <c r="AY160" i="5"/>
  <c r="AX160" i="5"/>
  <c r="AW160" i="5"/>
  <c r="AV160" i="5"/>
  <c r="AU160" i="5"/>
  <c r="AT160" i="5"/>
  <c r="AS160" i="5"/>
  <c r="AR160" i="5"/>
  <c r="AQ160" i="5"/>
  <c r="AP160" i="5"/>
  <c r="AO160" i="5"/>
  <c r="AN160" i="5"/>
  <c r="AM160" i="5"/>
  <c r="AL160" i="5"/>
  <c r="AK160" i="5"/>
  <c r="AJ160" i="5"/>
  <c r="AI160" i="5"/>
  <c r="AH160" i="5"/>
  <c r="AG160" i="5"/>
  <c r="AF160" i="5"/>
  <c r="AE160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AY159" i="5"/>
  <c r="AX159" i="5"/>
  <c r="AW159" i="5"/>
  <c r="AV159" i="5"/>
  <c r="AU159" i="5"/>
  <c r="AT159" i="5"/>
  <c r="AS159" i="5"/>
  <c r="AR159" i="5"/>
  <c r="AQ159" i="5"/>
  <c r="AP159" i="5"/>
  <c r="AO159" i="5"/>
  <c r="AN159" i="5"/>
  <c r="AM159" i="5"/>
  <c r="AL159" i="5"/>
  <c r="AK159" i="5"/>
  <c r="AJ159" i="5"/>
  <c r="AI159" i="5"/>
  <c r="AH159" i="5"/>
  <c r="AG159" i="5"/>
  <c r="AF159" i="5"/>
  <c r="AE159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AY158" i="5"/>
  <c r="AX158" i="5"/>
  <c r="AW158" i="5"/>
  <c r="AV158" i="5"/>
  <c r="AU158" i="5"/>
  <c r="AT158" i="5"/>
  <c r="AS158" i="5"/>
  <c r="AR158" i="5"/>
  <c r="AQ158" i="5"/>
  <c r="AP158" i="5"/>
  <c r="AO158" i="5"/>
  <c r="AN158" i="5"/>
  <c r="AM158" i="5"/>
  <c r="AL158" i="5"/>
  <c r="AK158" i="5"/>
  <c r="AJ158" i="5"/>
  <c r="AI158" i="5"/>
  <c r="AH158" i="5"/>
  <c r="AG158" i="5"/>
  <c r="AF158" i="5"/>
  <c r="AE158" i="5"/>
  <c r="AD158" i="5"/>
  <c r="AC158" i="5"/>
  <c r="AB158" i="5"/>
  <c r="AA158" i="5"/>
  <c r="Z158" i="5"/>
  <c r="Y158" i="5"/>
  <c r="X158" i="5"/>
  <c r="W158" i="5"/>
  <c r="V158" i="5"/>
  <c r="U158" i="5"/>
  <c r="T158" i="5"/>
  <c r="S158" i="5"/>
  <c r="R158" i="5"/>
  <c r="Q158" i="5"/>
  <c r="P158" i="5"/>
  <c r="O158" i="5"/>
  <c r="N158" i="5"/>
  <c r="M158" i="5"/>
  <c r="AY157" i="5"/>
  <c r="AX157" i="5"/>
  <c r="AW157" i="5"/>
  <c r="AV157" i="5"/>
  <c r="AU157" i="5"/>
  <c r="AT157" i="5"/>
  <c r="AS157" i="5"/>
  <c r="AR157" i="5"/>
  <c r="AQ157" i="5"/>
  <c r="AP157" i="5"/>
  <c r="AO157" i="5"/>
  <c r="AN157" i="5"/>
  <c r="AM157" i="5"/>
  <c r="AL157" i="5"/>
  <c r="AK157" i="5"/>
  <c r="AJ157" i="5"/>
  <c r="AI157" i="5"/>
  <c r="AH157" i="5"/>
  <c r="AG157" i="5"/>
  <c r="AF157" i="5"/>
  <c r="AE157" i="5"/>
  <c r="AD157" i="5"/>
  <c r="AC157" i="5"/>
  <c r="AB157" i="5"/>
  <c r="AA157" i="5"/>
  <c r="Z157" i="5"/>
  <c r="Y157" i="5"/>
  <c r="X157" i="5"/>
  <c r="W157" i="5"/>
  <c r="V157" i="5"/>
  <c r="U157" i="5"/>
  <c r="T157" i="5"/>
  <c r="S157" i="5"/>
  <c r="R157" i="5"/>
  <c r="Q157" i="5"/>
  <c r="P157" i="5"/>
  <c r="O157" i="5"/>
  <c r="N157" i="5"/>
  <c r="M157" i="5"/>
  <c r="AY156" i="5"/>
  <c r="AX156" i="5"/>
  <c r="AW156" i="5"/>
  <c r="AV156" i="5"/>
  <c r="AU156" i="5"/>
  <c r="AT156" i="5"/>
  <c r="AS156" i="5"/>
  <c r="AR156" i="5"/>
  <c r="AQ156" i="5"/>
  <c r="AP156" i="5"/>
  <c r="AO156" i="5"/>
  <c r="AN156" i="5"/>
  <c r="AM156" i="5"/>
  <c r="AL156" i="5"/>
  <c r="AK156" i="5"/>
  <c r="AJ156" i="5"/>
  <c r="AI156" i="5"/>
  <c r="AH156" i="5"/>
  <c r="AG156" i="5"/>
  <c r="AF156" i="5"/>
  <c r="AE156" i="5"/>
  <c r="AD156" i="5"/>
  <c r="AC156" i="5"/>
  <c r="AB156" i="5"/>
  <c r="AA156" i="5"/>
  <c r="Z156" i="5"/>
  <c r="Y156" i="5"/>
  <c r="X156" i="5"/>
  <c r="W156" i="5"/>
  <c r="V156" i="5"/>
  <c r="U156" i="5"/>
  <c r="T156" i="5"/>
  <c r="S156" i="5"/>
  <c r="R156" i="5"/>
  <c r="Q156" i="5"/>
  <c r="P156" i="5"/>
  <c r="O156" i="5"/>
  <c r="N156" i="5"/>
  <c r="M156" i="5"/>
  <c r="AY155" i="5"/>
  <c r="AX155" i="5"/>
  <c r="AW155" i="5"/>
  <c r="AV155" i="5"/>
  <c r="AU155" i="5"/>
  <c r="AT155" i="5"/>
  <c r="AS155" i="5"/>
  <c r="AR155" i="5"/>
  <c r="AQ155" i="5"/>
  <c r="AP155" i="5"/>
  <c r="AO155" i="5"/>
  <c r="AN155" i="5"/>
  <c r="AM155" i="5"/>
  <c r="AL155" i="5"/>
  <c r="AK155" i="5"/>
  <c r="AJ155" i="5"/>
  <c r="AI155" i="5"/>
  <c r="AH155" i="5"/>
  <c r="AG155" i="5"/>
  <c r="AF155" i="5"/>
  <c r="AE155" i="5"/>
  <c r="AD155" i="5"/>
  <c r="AC155" i="5"/>
  <c r="AB155" i="5"/>
  <c r="AA155" i="5"/>
  <c r="Z155" i="5"/>
  <c r="Y155" i="5"/>
  <c r="X155" i="5"/>
  <c r="W155" i="5"/>
  <c r="V155" i="5"/>
  <c r="U155" i="5"/>
  <c r="T155" i="5"/>
  <c r="S155" i="5"/>
  <c r="R155" i="5"/>
  <c r="Q155" i="5"/>
  <c r="P155" i="5"/>
  <c r="O155" i="5"/>
  <c r="N155" i="5"/>
  <c r="M155" i="5"/>
  <c r="AY154" i="5"/>
  <c r="AX154" i="5"/>
  <c r="AW154" i="5"/>
  <c r="AV154" i="5"/>
  <c r="AU154" i="5"/>
  <c r="AT154" i="5"/>
  <c r="AS154" i="5"/>
  <c r="AR154" i="5"/>
  <c r="AQ154" i="5"/>
  <c r="AP154" i="5"/>
  <c r="AO154" i="5"/>
  <c r="AN154" i="5"/>
  <c r="AM154" i="5"/>
  <c r="AL154" i="5"/>
  <c r="AK154" i="5"/>
  <c r="AJ154" i="5"/>
  <c r="AI154" i="5"/>
  <c r="AH154" i="5"/>
  <c r="AG154" i="5"/>
  <c r="AF154" i="5"/>
  <c r="AE154" i="5"/>
  <c r="AD154" i="5"/>
  <c r="AC154" i="5"/>
  <c r="AB154" i="5"/>
  <c r="AA154" i="5"/>
  <c r="Z154" i="5"/>
  <c r="Y154" i="5"/>
  <c r="X154" i="5"/>
  <c r="W154" i="5"/>
  <c r="V154" i="5"/>
  <c r="U154" i="5"/>
  <c r="T154" i="5"/>
  <c r="S154" i="5"/>
  <c r="R154" i="5"/>
  <c r="Q154" i="5"/>
  <c r="P154" i="5"/>
  <c r="O154" i="5"/>
  <c r="N154" i="5"/>
  <c r="M154" i="5"/>
  <c r="AY153" i="5"/>
  <c r="AX153" i="5"/>
  <c r="AW153" i="5"/>
  <c r="AV153" i="5"/>
  <c r="AU153" i="5"/>
  <c r="AT153" i="5"/>
  <c r="AS153" i="5"/>
  <c r="AR153" i="5"/>
  <c r="AQ153" i="5"/>
  <c r="AP153" i="5"/>
  <c r="AO153" i="5"/>
  <c r="AN153" i="5"/>
  <c r="AM153" i="5"/>
  <c r="AL153" i="5"/>
  <c r="AK153" i="5"/>
  <c r="AJ153" i="5"/>
  <c r="AI153" i="5"/>
  <c r="AH153" i="5"/>
  <c r="AG153" i="5"/>
  <c r="AF153" i="5"/>
  <c r="AE153" i="5"/>
  <c r="AD153" i="5"/>
  <c r="AC153" i="5"/>
  <c r="AB153" i="5"/>
  <c r="AA153" i="5"/>
  <c r="Z153" i="5"/>
  <c r="Y153" i="5"/>
  <c r="X153" i="5"/>
  <c r="W153" i="5"/>
  <c r="V153" i="5"/>
  <c r="U153" i="5"/>
  <c r="T153" i="5"/>
  <c r="S153" i="5"/>
  <c r="R153" i="5"/>
  <c r="Q153" i="5"/>
  <c r="P153" i="5"/>
  <c r="O153" i="5"/>
  <c r="N153" i="5"/>
  <c r="M153" i="5"/>
  <c r="AY152" i="5"/>
  <c r="AX152" i="5"/>
  <c r="AW152" i="5"/>
  <c r="AV152" i="5"/>
  <c r="AU152" i="5"/>
  <c r="AT152" i="5"/>
  <c r="AS152" i="5"/>
  <c r="AR152" i="5"/>
  <c r="AQ152" i="5"/>
  <c r="AP152" i="5"/>
  <c r="AO152" i="5"/>
  <c r="AN152" i="5"/>
  <c r="AM152" i="5"/>
  <c r="AL152" i="5"/>
  <c r="AK152" i="5"/>
  <c r="AJ152" i="5"/>
  <c r="AI152" i="5"/>
  <c r="AH152" i="5"/>
  <c r="AG152" i="5"/>
  <c r="AF152" i="5"/>
  <c r="AE152" i="5"/>
  <c r="AD152" i="5"/>
  <c r="AC152" i="5"/>
  <c r="AB152" i="5"/>
  <c r="AA152" i="5"/>
  <c r="Z152" i="5"/>
  <c r="Y152" i="5"/>
  <c r="X152" i="5"/>
  <c r="W152" i="5"/>
  <c r="V152" i="5"/>
  <c r="U152" i="5"/>
  <c r="T152" i="5"/>
  <c r="S152" i="5"/>
  <c r="R152" i="5"/>
  <c r="Q152" i="5"/>
  <c r="P152" i="5"/>
  <c r="O152" i="5"/>
  <c r="N152" i="5"/>
  <c r="M152" i="5"/>
  <c r="AY151" i="5"/>
  <c r="AX151" i="5"/>
  <c r="AW151" i="5"/>
  <c r="AV151" i="5"/>
  <c r="AU151" i="5"/>
  <c r="AT151" i="5"/>
  <c r="AS151" i="5"/>
  <c r="AR151" i="5"/>
  <c r="AQ151" i="5"/>
  <c r="AP151" i="5"/>
  <c r="AO151" i="5"/>
  <c r="AN151" i="5"/>
  <c r="AM151" i="5"/>
  <c r="AL151" i="5"/>
  <c r="AK151" i="5"/>
  <c r="AJ151" i="5"/>
  <c r="AI151" i="5"/>
  <c r="AY148" i="5"/>
  <c r="AX148" i="5"/>
  <c r="AW148" i="5"/>
  <c r="AV148" i="5"/>
  <c r="AU148" i="5"/>
  <c r="AT148" i="5"/>
  <c r="AS148" i="5"/>
  <c r="AR148" i="5"/>
  <c r="AQ148" i="5"/>
  <c r="AP148" i="5"/>
  <c r="AO148" i="5"/>
  <c r="AN148" i="5"/>
  <c r="AM148" i="5"/>
  <c r="AL148" i="5"/>
  <c r="AK148" i="5"/>
  <c r="AJ148" i="5"/>
  <c r="AI148" i="5"/>
  <c r="AH148" i="5"/>
  <c r="AG148" i="5"/>
  <c r="AF148" i="5"/>
  <c r="AE148" i="5"/>
  <c r="AD148" i="5"/>
  <c r="AC148" i="5"/>
  <c r="AB148" i="5"/>
  <c r="AA148" i="5"/>
  <c r="Z148" i="5"/>
  <c r="Y148" i="5"/>
  <c r="X148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Y147" i="5"/>
  <c r="AX147" i="5"/>
  <c r="AW147" i="5"/>
  <c r="AV147" i="5"/>
  <c r="AU147" i="5"/>
  <c r="AT147" i="5"/>
  <c r="AS147" i="5"/>
  <c r="AR147" i="5"/>
  <c r="AQ147" i="5"/>
  <c r="AP147" i="5"/>
  <c r="AO147" i="5"/>
  <c r="AN147" i="5"/>
  <c r="AM147" i="5"/>
  <c r="AL147" i="5"/>
  <c r="AK147" i="5"/>
  <c r="AJ147" i="5"/>
  <c r="AI147" i="5"/>
  <c r="AH147" i="5"/>
  <c r="AG147" i="5"/>
  <c r="AF147" i="5"/>
  <c r="AE147" i="5"/>
  <c r="AD147" i="5"/>
  <c r="AC147" i="5"/>
  <c r="AB147" i="5"/>
  <c r="AA147" i="5"/>
  <c r="Z147" i="5"/>
  <c r="Y147" i="5"/>
  <c r="X147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Y146" i="5"/>
  <c r="AX146" i="5"/>
  <c r="AW146" i="5"/>
  <c r="AV146" i="5"/>
  <c r="AU146" i="5"/>
  <c r="AT146" i="5"/>
  <c r="AS146" i="5"/>
  <c r="AR146" i="5"/>
  <c r="AQ146" i="5"/>
  <c r="AP146" i="5"/>
  <c r="AO146" i="5"/>
  <c r="AN146" i="5"/>
  <c r="AM146" i="5"/>
  <c r="AL146" i="5"/>
  <c r="AK146" i="5"/>
  <c r="AJ146" i="5"/>
  <c r="AI146" i="5"/>
  <c r="AH146" i="5"/>
  <c r="AG146" i="5"/>
  <c r="AF146" i="5"/>
  <c r="AE146" i="5"/>
  <c r="AD146" i="5"/>
  <c r="AC146" i="5"/>
  <c r="AB146" i="5"/>
  <c r="AA146" i="5"/>
  <c r="Z146" i="5"/>
  <c r="Y146" i="5"/>
  <c r="X146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Y145" i="5"/>
  <c r="AX145" i="5"/>
  <c r="AW145" i="5"/>
  <c r="AV145" i="5"/>
  <c r="AU145" i="5"/>
  <c r="AT145" i="5"/>
  <c r="AS145" i="5"/>
  <c r="AR145" i="5"/>
  <c r="AQ145" i="5"/>
  <c r="AP145" i="5"/>
  <c r="AO145" i="5"/>
  <c r="AN145" i="5"/>
  <c r="AM145" i="5"/>
  <c r="AL145" i="5"/>
  <c r="AK145" i="5"/>
  <c r="AJ145" i="5"/>
  <c r="AI145" i="5"/>
  <c r="AH145" i="5"/>
  <c r="AG145" i="5"/>
  <c r="AF145" i="5"/>
  <c r="AE145" i="5"/>
  <c r="AD145" i="5"/>
  <c r="AC145" i="5"/>
  <c r="AB145" i="5"/>
  <c r="AA145" i="5"/>
  <c r="Z145" i="5"/>
  <c r="Y145" i="5"/>
  <c r="X145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Y144" i="5"/>
  <c r="AX144" i="5"/>
  <c r="AW144" i="5"/>
  <c r="AV144" i="5"/>
  <c r="AU144" i="5"/>
  <c r="AT144" i="5"/>
  <c r="AS144" i="5"/>
  <c r="AR144" i="5"/>
  <c r="AQ144" i="5"/>
  <c r="AP144" i="5"/>
  <c r="AO144" i="5"/>
  <c r="AN144" i="5"/>
  <c r="AM144" i="5"/>
  <c r="AL144" i="5"/>
  <c r="AK144" i="5"/>
  <c r="AJ144" i="5"/>
  <c r="AI144" i="5"/>
  <c r="AH144" i="5"/>
  <c r="AG144" i="5"/>
  <c r="AF144" i="5"/>
  <c r="AE144" i="5"/>
  <c r="AD144" i="5"/>
  <c r="AC144" i="5"/>
  <c r="AB144" i="5"/>
  <c r="AA144" i="5"/>
  <c r="Z144" i="5"/>
  <c r="Y144" i="5"/>
  <c r="X144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Y143" i="5"/>
  <c r="AX143" i="5"/>
  <c r="AW143" i="5"/>
  <c r="AV143" i="5"/>
  <c r="AU143" i="5"/>
  <c r="AT143" i="5"/>
  <c r="AS143" i="5"/>
  <c r="AR143" i="5"/>
  <c r="AQ143" i="5"/>
  <c r="AP143" i="5"/>
  <c r="AO143" i="5"/>
  <c r="AN143" i="5"/>
  <c r="AM143" i="5"/>
  <c r="AL143" i="5"/>
  <c r="AK143" i="5"/>
  <c r="AJ143" i="5"/>
  <c r="AI143" i="5"/>
  <c r="AH143" i="5"/>
  <c r="AG143" i="5"/>
  <c r="AF143" i="5"/>
  <c r="AE143" i="5"/>
  <c r="AD143" i="5"/>
  <c r="AC143" i="5"/>
  <c r="AB143" i="5"/>
  <c r="AA143" i="5"/>
  <c r="Z143" i="5"/>
  <c r="Y143" i="5"/>
  <c r="X143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Y142" i="5"/>
  <c r="AX142" i="5"/>
  <c r="AW142" i="5"/>
  <c r="AV142" i="5"/>
  <c r="AU142" i="5"/>
  <c r="AT142" i="5"/>
  <c r="AS142" i="5"/>
  <c r="AR142" i="5"/>
  <c r="AQ142" i="5"/>
  <c r="AP142" i="5"/>
  <c r="AO142" i="5"/>
  <c r="AN142" i="5"/>
  <c r="AM142" i="5"/>
  <c r="AL142" i="5"/>
  <c r="AK142" i="5"/>
  <c r="AJ142" i="5"/>
  <c r="AI142" i="5"/>
  <c r="AH142" i="5"/>
  <c r="AG142" i="5"/>
  <c r="AF142" i="5"/>
  <c r="AE142" i="5"/>
  <c r="AD142" i="5"/>
  <c r="AC142" i="5"/>
  <c r="AB142" i="5"/>
  <c r="AA142" i="5"/>
  <c r="Z142" i="5"/>
  <c r="Y142" i="5"/>
  <c r="X142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Y141" i="5"/>
  <c r="AX141" i="5"/>
  <c r="AW141" i="5"/>
  <c r="AV141" i="5"/>
  <c r="AU141" i="5"/>
  <c r="AT141" i="5"/>
  <c r="AS141" i="5"/>
  <c r="AR141" i="5"/>
  <c r="AQ141" i="5"/>
  <c r="AP141" i="5"/>
  <c r="AO141" i="5"/>
  <c r="AN141" i="5"/>
  <c r="AM141" i="5"/>
  <c r="AL141" i="5"/>
  <c r="AK141" i="5"/>
  <c r="AJ141" i="5"/>
  <c r="AI141" i="5"/>
  <c r="AH141" i="5"/>
  <c r="AG141" i="5"/>
  <c r="AF141" i="5"/>
  <c r="AE141" i="5"/>
  <c r="AD141" i="5"/>
  <c r="AC141" i="5"/>
  <c r="AB141" i="5"/>
  <c r="AA141" i="5"/>
  <c r="Z141" i="5"/>
  <c r="Y141" i="5"/>
  <c r="X141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Y140" i="5"/>
  <c r="AX140" i="5"/>
  <c r="AW140" i="5"/>
  <c r="AV140" i="5"/>
  <c r="AU140" i="5"/>
  <c r="AT140" i="5"/>
  <c r="AS140" i="5"/>
  <c r="AR140" i="5"/>
  <c r="AQ140" i="5"/>
  <c r="AP140" i="5"/>
  <c r="AO140" i="5"/>
  <c r="AN140" i="5"/>
  <c r="AM140" i="5"/>
  <c r="AL140" i="5"/>
  <c r="AK140" i="5"/>
  <c r="AJ140" i="5"/>
  <c r="AI140" i="5"/>
  <c r="AH140" i="5"/>
  <c r="AG140" i="5"/>
  <c r="AF140" i="5"/>
  <c r="AE140" i="5"/>
  <c r="AD140" i="5"/>
  <c r="AC140" i="5"/>
  <c r="AB140" i="5"/>
  <c r="AA140" i="5"/>
  <c r="Z140" i="5"/>
  <c r="Y140" i="5"/>
  <c r="X140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Y139" i="5"/>
  <c r="AX139" i="5"/>
  <c r="AW139" i="5"/>
  <c r="AV139" i="5"/>
  <c r="AU139" i="5"/>
  <c r="AT139" i="5"/>
  <c r="AS139" i="5"/>
  <c r="AR139" i="5"/>
  <c r="AQ139" i="5"/>
  <c r="AP139" i="5"/>
  <c r="AO139" i="5"/>
  <c r="AN139" i="5"/>
  <c r="AM139" i="5"/>
  <c r="AL139" i="5"/>
  <c r="AK139" i="5"/>
  <c r="AJ139" i="5"/>
  <c r="AI139" i="5"/>
  <c r="AH139" i="5"/>
  <c r="AG139" i="5"/>
  <c r="AF139" i="5"/>
  <c r="AE139" i="5"/>
  <c r="AD139" i="5"/>
  <c r="AC139" i="5"/>
  <c r="AB139" i="5"/>
  <c r="AA139" i="5"/>
  <c r="Z139" i="5"/>
  <c r="Y139" i="5"/>
  <c r="X139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Y138" i="5"/>
  <c r="AX138" i="5"/>
  <c r="AW138" i="5"/>
  <c r="AV138" i="5"/>
  <c r="AU138" i="5"/>
  <c r="AT138" i="5"/>
  <c r="AS138" i="5"/>
  <c r="AR138" i="5"/>
  <c r="AQ138" i="5"/>
  <c r="AP138" i="5"/>
  <c r="AO138" i="5"/>
  <c r="AN138" i="5"/>
  <c r="AM138" i="5"/>
  <c r="AL138" i="5"/>
  <c r="AK138" i="5"/>
  <c r="AJ138" i="5"/>
  <c r="AI138" i="5"/>
  <c r="AH138" i="5"/>
  <c r="AG138" i="5"/>
  <c r="AF138" i="5"/>
  <c r="AE138" i="5"/>
  <c r="AD138" i="5"/>
  <c r="AC138" i="5"/>
  <c r="AB138" i="5"/>
  <c r="AA138" i="5"/>
  <c r="Z138" i="5"/>
  <c r="Y138" i="5"/>
  <c r="X138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Y137" i="5"/>
  <c r="AX137" i="5"/>
  <c r="AW137" i="5"/>
  <c r="AV137" i="5"/>
  <c r="AU137" i="5"/>
  <c r="AT137" i="5"/>
  <c r="AS137" i="5"/>
  <c r="AR137" i="5"/>
  <c r="AQ137" i="5"/>
  <c r="AP137" i="5"/>
  <c r="AO137" i="5"/>
  <c r="AN137" i="5"/>
  <c r="AM137" i="5"/>
  <c r="AL137" i="5"/>
  <c r="AK137" i="5"/>
  <c r="AJ137" i="5"/>
  <c r="AI137" i="5"/>
  <c r="AH137" i="5"/>
  <c r="AG137" i="5"/>
  <c r="AF137" i="5"/>
  <c r="AE137" i="5"/>
  <c r="AD137" i="5"/>
  <c r="AC137" i="5"/>
  <c r="AB137" i="5"/>
  <c r="AA137" i="5"/>
  <c r="Z137" i="5"/>
  <c r="Y137" i="5"/>
  <c r="X137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Y136" i="5"/>
  <c r="AX136" i="5"/>
  <c r="AW136" i="5"/>
  <c r="AV136" i="5"/>
  <c r="AU136" i="5"/>
  <c r="AT136" i="5"/>
  <c r="AS136" i="5"/>
  <c r="AR136" i="5"/>
  <c r="AQ136" i="5"/>
  <c r="AP136" i="5"/>
  <c r="AO136" i="5"/>
  <c r="AN136" i="5"/>
  <c r="AM136" i="5"/>
  <c r="AL136" i="5"/>
  <c r="AK136" i="5"/>
  <c r="AJ136" i="5"/>
  <c r="AI136" i="5"/>
  <c r="AH136" i="5"/>
  <c r="AG136" i="5"/>
  <c r="AF136" i="5"/>
  <c r="AE136" i="5"/>
  <c r="AD136" i="5"/>
  <c r="AC136" i="5"/>
  <c r="AB136" i="5"/>
  <c r="AA136" i="5"/>
  <c r="Z136" i="5"/>
  <c r="Y136" i="5"/>
  <c r="X136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Y135" i="5"/>
  <c r="AX135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Y132" i="5"/>
  <c r="AX132" i="5"/>
  <c r="AW132" i="5"/>
  <c r="AV132" i="5"/>
  <c r="AU132" i="5"/>
  <c r="AT132" i="5"/>
  <c r="AS132" i="5"/>
  <c r="AR132" i="5"/>
  <c r="AQ132" i="5"/>
  <c r="AP132" i="5"/>
  <c r="AO132" i="5"/>
  <c r="AN132" i="5"/>
  <c r="AM132" i="5"/>
  <c r="AL132" i="5"/>
  <c r="AK132" i="5"/>
  <c r="AJ132" i="5"/>
  <c r="AI132" i="5"/>
  <c r="AH132" i="5"/>
  <c r="AG132" i="5"/>
  <c r="AF132" i="5"/>
  <c r="AE132" i="5"/>
  <c r="AD132" i="5"/>
  <c r="AC132" i="5"/>
  <c r="AB132" i="5"/>
  <c r="AA132" i="5"/>
  <c r="Z132" i="5"/>
  <c r="Y132" i="5"/>
  <c r="X132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AY131" i="5"/>
  <c r="AX131" i="5"/>
  <c r="AW131" i="5"/>
  <c r="AV131" i="5"/>
  <c r="AU131" i="5"/>
  <c r="AT131" i="5"/>
  <c r="AS131" i="5"/>
  <c r="AR131" i="5"/>
  <c r="AQ131" i="5"/>
  <c r="AP131" i="5"/>
  <c r="AO131" i="5"/>
  <c r="AN131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AY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AY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AY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K128" i="5"/>
  <c r="AJ128" i="5"/>
  <c r="AI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AY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K127" i="5"/>
  <c r="AJ127" i="5"/>
  <c r="AI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AY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K126" i="5"/>
  <c r="AJ126" i="5"/>
  <c r="AI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AY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K125" i="5"/>
  <c r="AJ125" i="5"/>
  <c r="AI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AY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K124" i="5"/>
  <c r="AJ124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AY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K123" i="5"/>
  <c r="AJ123" i="5"/>
  <c r="AI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AY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K122" i="5"/>
  <c r="AJ122" i="5"/>
  <c r="AI122" i="5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AY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L121" i="5"/>
  <c r="AK121" i="5"/>
  <c r="AJ121" i="5"/>
  <c r="AI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AY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K120" i="5"/>
  <c r="AJ120" i="5"/>
  <c r="AI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AY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K119" i="5"/>
  <c r="AJ119" i="5"/>
  <c r="AI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Y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K116" i="5"/>
  <c r="AJ116" i="5"/>
  <c r="AI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V116" i="5"/>
  <c r="U116" i="5"/>
  <c r="AY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K115" i="5"/>
  <c r="AJ115" i="5"/>
  <c r="AI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U115" i="5"/>
  <c r="AY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L114" i="5"/>
  <c r="AK114" i="5"/>
  <c r="AJ114" i="5"/>
  <c r="AI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AY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K113" i="5"/>
  <c r="AJ113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AY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K112" i="5"/>
  <c r="AJ112" i="5"/>
  <c r="AI112" i="5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AY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K111" i="5"/>
  <c r="AJ111" i="5"/>
  <c r="AI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U111" i="5"/>
  <c r="AY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K110" i="5"/>
  <c r="AJ110" i="5"/>
  <c r="AI110" i="5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V110" i="5"/>
  <c r="U110" i="5"/>
  <c r="AY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K109" i="5"/>
  <c r="AJ109" i="5"/>
  <c r="AI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U109" i="5"/>
  <c r="AY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K108" i="5"/>
  <c r="AJ108" i="5"/>
  <c r="AI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AY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K107" i="5"/>
  <c r="AJ107" i="5"/>
  <c r="AI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V107" i="5"/>
  <c r="U107" i="5"/>
  <c r="AY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K106" i="5"/>
  <c r="AJ106" i="5"/>
  <c r="AI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AY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K105" i="5"/>
  <c r="AJ105" i="5"/>
  <c r="AI105" i="5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AY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K104" i="5"/>
  <c r="AJ104" i="5"/>
  <c r="AI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AY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K103" i="5"/>
  <c r="AJ103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Y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AY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AY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AY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K98" i="5"/>
  <c r="AJ98" i="5"/>
  <c r="AI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AY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AY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AY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AY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K94" i="5"/>
  <c r="AJ94" i="5"/>
  <c r="AI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AY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K93" i="5"/>
  <c r="AJ93" i="5"/>
  <c r="AI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AY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K92" i="5"/>
  <c r="AJ92" i="5"/>
  <c r="AI92" i="5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AY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K91" i="5"/>
  <c r="AJ91" i="5"/>
  <c r="AI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AY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K90" i="5"/>
  <c r="AJ90" i="5"/>
  <c r="AI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AY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K89" i="5"/>
  <c r="AJ89" i="5"/>
  <c r="AI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AY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K88" i="5"/>
  <c r="AJ88" i="5"/>
  <c r="AI88" i="5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X86" i="5"/>
  <c r="Y85" i="5"/>
  <c r="X85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Y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K84" i="5"/>
  <c r="AJ8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Y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K83" i="5"/>
  <c r="AJ83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Y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K82" i="5"/>
  <c r="AJ82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Y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K81" i="5"/>
  <c r="AJ81" i="5"/>
  <c r="AI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Y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K80" i="5"/>
  <c r="AJ80" i="5"/>
  <c r="AI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Y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K79" i="5"/>
  <c r="AJ79" i="5"/>
  <c r="AI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Y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K78" i="5"/>
  <c r="AJ78" i="5"/>
  <c r="AI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Y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K77" i="5"/>
  <c r="AJ77" i="5"/>
  <c r="AI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Y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K76" i="5"/>
  <c r="AJ76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Y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K75" i="5"/>
  <c r="AJ75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Y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K74" i="5"/>
  <c r="AJ74" i="5"/>
  <c r="AI74" i="5"/>
  <c r="AH74" i="5"/>
  <c r="AG74" i="5"/>
  <c r="AF74" i="5"/>
  <c r="AE74" i="5"/>
  <c r="AD74" i="5"/>
  <c r="AC74" i="5"/>
  <c r="AB74" i="5"/>
  <c r="AA74" i="5"/>
  <c r="Z74" i="5"/>
  <c r="Y74" i="5"/>
  <c r="X74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Y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K73" i="5"/>
  <c r="AJ73" i="5"/>
  <c r="AI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G73" i="5"/>
  <c r="F73" i="5"/>
  <c r="E73" i="5"/>
  <c r="D73" i="5"/>
  <c r="C73" i="5"/>
  <c r="B73" i="5"/>
  <c r="AY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K72" i="5"/>
  <c r="AJ72" i="5"/>
  <c r="AI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X70" i="5"/>
  <c r="AY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K69" i="5"/>
  <c r="AJ69" i="5"/>
  <c r="AI69" i="5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S69" i="5"/>
  <c r="R69" i="5"/>
  <c r="Q69" i="5"/>
  <c r="P69" i="5"/>
  <c r="O69" i="5"/>
  <c r="N69" i="5"/>
  <c r="M69" i="5"/>
  <c r="AY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K68" i="5"/>
  <c r="AJ68" i="5"/>
  <c r="AI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S68" i="5"/>
  <c r="R68" i="5"/>
  <c r="Q68" i="5"/>
  <c r="P68" i="5"/>
  <c r="O68" i="5"/>
  <c r="N68" i="5"/>
  <c r="M68" i="5"/>
  <c r="AY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S67" i="5"/>
  <c r="R67" i="5"/>
  <c r="Q67" i="5"/>
  <c r="P67" i="5"/>
  <c r="O67" i="5"/>
  <c r="N67" i="5"/>
  <c r="M67" i="5"/>
  <c r="AY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AY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AY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K64" i="5"/>
  <c r="AJ64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AY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AY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AY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AY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O60" i="5"/>
  <c r="N60" i="5"/>
  <c r="M60" i="5"/>
  <c r="AY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O59" i="5"/>
  <c r="N59" i="5"/>
  <c r="M59" i="5"/>
  <c r="AY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AY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AY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Y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Y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Y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Y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Y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Y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Y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Y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Y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Y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Y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Y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Y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K41" i="5"/>
  <c r="AJ41" i="5"/>
  <c r="AI41" i="5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Y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Y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Y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Y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Y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Y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Y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Y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Y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Y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Y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Y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Y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Y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Y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Y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S21" i="5"/>
  <c r="AY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AY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AY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U18" i="5"/>
  <c r="T18" i="5"/>
  <c r="S18" i="5"/>
  <c r="AY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S15" i="5"/>
  <c r="AY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K13" i="5"/>
  <c r="AJ13" i="5"/>
  <c r="AI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AY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K12" i="5"/>
  <c r="AJ12" i="5"/>
  <c r="AI12" i="5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AY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Y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Y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Y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Y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Y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Y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Y4" i="5"/>
  <c r="AX4" i="5"/>
  <c r="AW4" i="5"/>
  <c r="AV4" i="5"/>
  <c r="AU4" i="5"/>
  <c r="AT4" i="5"/>
  <c r="AS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AY626" i="4"/>
  <c r="AX626" i="4"/>
  <c r="AW626" i="4"/>
  <c r="AV626" i="4"/>
  <c r="AU626" i="4"/>
  <c r="AT626" i="4"/>
  <c r="Z626" i="4"/>
  <c r="B626" i="4"/>
  <c r="AY625" i="4"/>
  <c r="AX625" i="4"/>
  <c r="AW625" i="4"/>
  <c r="AV625" i="4"/>
  <c r="AU625" i="4"/>
  <c r="AT625" i="4"/>
  <c r="Z625" i="4"/>
  <c r="B625" i="4"/>
  <c r="AY624" i="4"/>
  <c r="AX624" i="4"/>
  <c r="AW624" i="4"/>
  <c r="AV624" i="4"/>
  <c r="AU624" i="4"/>
  <c r="AT624" i="4"/>
  <c r="Z624" i="4"/>
  <c r="B624" i="4"/>
  <c r="AY623" i="4"/>
  <c r="AX623" i="4"/>
  <c r="AW623" i="4"/>
  <c r="AV623" i="4"/>
  <c r="AU623" i="4"/>
  <c r="AT623" i="4"/>
  <c r="Z623" i="4"/>
  <c r="B623" i="4"/>
  <c r="AY622" i="4"/>
  <c r="AX622" i="4"/>
  <c r="AW622" i="4"/>
  <c r="AV622" i="4"/>
  <c r="AU622" i="4"/>
  <c r="AT622" i="4"/>
  <c r="Z622" i="4"/>
  <c r="B622" i="4"/>
  <c r="AY621" i="4"/>
  <c r="AX621" i="4"/>
  <c r="AW621" i="4"/>
  <c r="AV621" i="4"/>
  <c r="AU621" i="4"/>
  <c r="AT621" i="4"/>
  <c r="Z621" i="4"/>
  <c r="B621" i="4"/>
  <c r="AY620" i="4"/>
  <c r="AX620" i="4"/>
  <c r="AW620" i="4"/>
  <c r="AV620" i="4"/>
  <c r="AU620" i="4"/>
  <c r="AT620" i="4"/>
  <c r="Z620" i="4"/>
  <c r="B620" i="4"/>
  <c r="AY619" i="4"/>
  <c r="AX619" i="4"/>
  <c r="AW619" i="4"/>
  <c r="AV619" i="4"/>
  <c r="AU619" i="4"/>
  <c r="AT619" i="4"/>
  <c r="Z619" i="4"/>
  <c r="B619" i="4"/>
  <c r="AY618" i="4"/>
  <c r="AX618" i="4"/>
  <c r="AW618" i="4"/>
  <c r="AV618" i="4"/>
  <c r="AU618" i="4"/>
  <c r="AT618" i="4"/>
  <c r="Z618" i="4"/>
  <c r="B618" i="4"/>
  <c r="AY617" i="4"/>
  <c r="AX617" i="4"/>
  <c r="AW617" i="4"/>
  <c r="AV617" i="4"/>
  <c r="AU617" i="4"/>
  <c r="AT617" i="4"/>
  <c r="Z617" i="4"/>
  <c r="B617" i="4"/>
  <c r="AY616" i="4"/>
  <c r="AX616" i="4"/>
  <c r="AW616" i="4"/>
  <c r="AV616" i="4"/>
  <c r="AU616" i="4"/>
  <c r="AT616" i="4"/>
  <c r="Z616" i="4"/>
  <c r="B616" i="4"/>
  <c r="AY615" i="4"/>
  <c r="AX615" i="4"/>
  <c r="AW615" i="4"/>
  <c r="AV615" i="4"/>
  <c r="AU615" i="4"/>
  <c r="AT615" i="4"/>
  <c r="Z615" i="4"/>
  <c r="B615" i="4"/>
  <c r="AY614" i="4"/>
  <c r="AX614" i="4"/>
  <c r="AW614" i="4"/>
  <c r="AV614" i="4"/>
  <c r="AU614" i="4"/>
  <c r="AT614" i="4"/>
  <c r="Z614" i="4"/>
  <c r="AY613" i="4"/>
  <c r="AX613" i="4"/>
  <c r="AW613" i="4"/>
  <c r="AV613" i="4"/>
  <c r="AU613" i="4"/>
  <c r="AT613" i="4"/>
  <c r="Z613" i="4"/>
  <c r="AY612" i="4"/>
  <c r="AX612" i="4"/>
  <c r="AW612" i="4"/>
  <c r="AV612" i="4"/>
  <c r="AU612" i="4"/>
  <c r="AT612" i="4"/>
  <c r="Z612" i="4"/>
  <c r="AY611" i="4"/>
  <c r="AX611" i="4"/>
  <c r="AW611" i="4"/>
  <c r="AV611" i="4"/>
  <c r="AU611" i="4"/>
  <c r="AT611" i="4"/>
  <c r="Z611" i="4"/>
  <c r="AY610" i="4"/>
  <c r="AX610" i="4"/>
  <c r="AW610" i="4"/>
  <c r="AV610" i="4"/>
  <c r="AU610" i="4"/>
  <c r="AT610" i="4"/>
  <c r="Z610" i="4"/>
  <c r="AY609" i="4"/>
  <c r="AX609" i="4"/>
  <c r="AW609" i="4"/>
  <c r="AV609" i="4"/>
  <c r="AU609" i="4"/>
  <c r="AT609" i="4"/>
  <c r="Z609" i="4"/>
  <c r="AY608" i="4"/>
  <c r="AX608" i="4"/>
  <c r="AW608" i="4"/>
  <c r="AV608" i="4"/>
  <c r="AU608" i="4"/>
  <c r="AT608" i="4"/>
  <c r="Z608" i="4"/>
  <c r="AY607" i="4"/>
  <c r="AX607" i="4"/>
  <c r="AW607" i="4"/>
  <c r="AV607" i="4"/>
  <c r="AU607" i="4"/>
  <c r="AT607" i="4"/>
  <c r="AY606" i="4"/>
  <c r="AX606" i="4"/>
  <c r="AW606" i="4"/>
  <c r="AV606" i="4"/>
  <c r="AU606" i="4"/>
  <c r="AT606" i="4"/>
  <c r="AY605" i="4"/>
  <c r="AX605" i="4"/>
  <c r="AW605" i="4"/>
  <c r="AV605" i="4"/>
  <c r="AU605" i="4"/>
  <c r="AT605" i="4"/>
  <c r="AY604" i="4"/>
  <c r="AX604" i="4"/>
  <c r="AW604" i="4"/>
  <c r="AV604" i="4"/>
  <c r="AU604" i="4"/>
  <c r="AT604" i="4"/>
  <c r="AY603" i="4"/>
  <c r="AX603" i="4"/>
  <c r="AW603" i="4"/>
  <c r="AV603" i="4"/>
  <c r="AU603" i="4"/>
  <c r="AT603" i="4"/>
  <c r="AY602" i="4"/>
  <c r="AX602" i="4"/>
  <c r="AW602" i="4"/>
  <c r="AV602" i="4"/>
  <c r="AU602" i="4"/>
  <c r="AT602" i="4"/>
  <c r="AY601" i="4"/>
  <c r="AX601" i="4"/>
  <c r="AW601" i="4"/>
  <c r="AV601" i="4"/>
  <c r="AU601" i="4"/>
  <c r="AT601" i="4"/>
  <c r="AY600" i="4"/>
  <c r="AX600" i="4"/>
  <c r="AW600" i="4"/>
  <c r="AV600" i="4"/>
  <c r="AU600" i="4"/>
  <c r="AT600" i="4"/>
  <c r="AY599" i="4"/>
  <c r="AX599" i="4"/>
  <c r="AW599" i="4"/>
  <c r="AV599" i="4"/>
  <c r="AU599" i="4"/>
  <c r="AT599" i="4"/>
  <c r="AY598" i="4"/>
  <c r="AX598" i="4"/>
  <c r="AW598" i="4"/>
  <c r="AV598" i="4"/>
  <c r="AU598" i="4"/>
  <c r="AT598" i="4"/>
  <c r="AY597" i="4"/>
  <c r="AX597" i="4"/>
  <c r="AW597" i="4"/>
  <c r="AV597" i="4"/>
  <c r="AU597" i="4"/>
  <c r="AT597" i="4"/>
  <c r="AY596" i="4"/>
  <c r="AX596" i="4"/>
  <c r="AW596" i="4"/>
  <c r="AV596" i="4"/>
  <c r="AU596" i="4"/>
  <c r="AT596" i="4"/>
  <c r="AY595" i="4"/>
  <c r="AX595" i="4"/>
  <c r="AW595" i="4"/>
  <c r="AV595" i="4"/>
  <c r="AU595" i="4"/>
  <c r="AT595" i="4"/>
  <c r="AY594" i="4"/>
  <c r="AX594" i="4"/>
  <c r="AW594" i="4"/>
  <c r="AV594" i="4"/>
  <c r="AU594" i="4"/>
  <c r="AT594" i="4"/>
  <c r="AY593" i="4"/>
  <c r="AX593" i="4"/>
  <c r="AW593" i="4"/>
  <c r="AV593" i="4"/>
  <c r="AU593" i="4"/>
  <c r="AT593" i="4"/>
  <c r="AY592" i="4"/>
  <c r="AX592" i="4"/>
  <c r="AW592" i="4"/>
  <c r="AV592" i="4"/>
  <c r="AU592" i="4"/>
  <c r="AT592" i="4"/>
  <c r="AY591" i="4"/>
  <c r="AX591" i="4"/>
  <c r="AW591" i="4"/>
  <c r="AV591" i="4"/>
  <c r="AU591" i="4"/>
  <c r="AT591" i="4"/>
  <c r="AY590" i="4"/>
  <c r="AX590" i="4"/>
  <c r="AW590" i="4"/>
  <c r="AV590" i="4"/>
  <c r="AU590" i="4"/>
  <c r="AT590" i="4"/>
  <c r="AY589" i="4"/>
  <c r="AX589" i="4"/>
  <c r="AW589" i="4"/>
  <c r="AV589" i="4"/>
  <c r="AU589" i="4"/>
  <c r="AT589" i="4"/>
  <c r="AY588" i="4"/>
  <c r="AX588" i="4"/>
  <c r="AW588" i="4"/>
  <c r="AV588" i="4"/>
  <c r="AU588" i="4"/>
  <c r="AT588" i="4"/>
  <c r="AY587" i="4"/>
  <c r="AX587" i="4"/>
  <c r="AW587" i="4"/>
  <c r="AV587" i="4"/>
  <c r="AU587" i="4"/>
  <c r="AT587" i="4"/>
  <c r="AY586" i="4"/>
  <c r="AX586" i="4"/>
  <c r="AW586" i="4"/>
  <c r="AV586" i="4"/>
  <c r="AU586" i="4"/>
  <c r="AT586" i="4"/>
  <c r="AY585" i="4"/>
  <c r="AX585" i="4"/>
  <c r="AW585" i="4"/>
  <c r="AV585" i="4"/>
  <c r="AU585" i="4"/>
  <c r="AT585" i="4"/>
  <c r="AY584" i="4"/>
  <c r="AX584" i="4"/>
  <c r="AW584" i="4"/>
  <c r="AV584" i="4"/>
  <c r="AU584" i="4"/>
  <c r="AT584" i="4"/>
  <c r="AY583" i="4"/>
  <c r="AX583" i="4"/>
  <c r="AW583" i="4"/>
  <c r="AV583" i="4"/>
  <c r="AU583" i="4"/>
  <c r="AT583" i="4"/>
  <c r="AY582" i="4"/>
  <c r="AX582" i="4"/>
  <c r="AW582" i="4"/>
  <c r="AV582" i="4"/>
  <c r="AU582" i="4"/>
  <c r="AT582" i="4"/>
  <c r="AY581" i="4"/>
  <c r="AX581" i="4"/>
  <c r="AW581" i="4"/>
  <c r="AV581" i="4"/>
  <c r="AU581" i="4"/>
  <c r="AT581" i="4"/>
  <c r="AY580" i="4"/>
  <c r="AX580" i="4"/>
  <c r="AW580" i="4"/>
  <c r="AV580" i="4"/>
  <c r="AU580" i="4"/>
  <c r="AT580" i="4"/>
  <c r="AY579" i="4"/>
  <c r="AX579" i="4"/>
  <c r="AW579" i="4"/>
  <c r="AV579" i="4"/>
  <c r="AU579" i="4"/>
  <c r="AT579" i="4"/>
  <c r="AY578" i="4"/>
  <c r="AX578" i="4"/>
  <c r="AW578" i="4"/>
  <c r="AV578" i="4"/>
  <c r="AU578" i="4"/>
  <c r="AT578" i="4"/>
  <c r="AY577" i="4"/>
  <c r="AX577" i="4"/>
  <c r="AW577" i="4"/>
  <c r="AV577" i="4"/>
  <c r="AU577" i="4"/>
  <c r="AT577" i="4"/>
  <c r="AY576" i="4"/>
  <c r="AX576" i="4"/>
  <c r="AW576" i="4"/>
  <c r="AV576" i="4"/>
  <c r="AU576" i="4"/>
  <c r="AT576" i="4"/>
  <c r="AY575" i="4"/>
  <c r="AX575" i="4"/>
  <c r="AW575" i="4"/>
  <c r="AV575" i="4"/>
  <c r="AU575" i="4"/>
  <c r="AT575" i="4"/>
  <c r="AY574" i="4"/>
  <c r="AX574" i="4"/>
  <c r="AW574" i="4"/>
  <c r="AV574" i="4"/>
  <c r="AU574" i="4"/>
  <c r="AT574" i="4"/>
  <c r="AY573" i="4"/>
  <c r="AX573" i="4"/>
  <c r="AW573" i="4"/>
  <c r="AV573" i="4"/>
  <c r="AU573" i="4"/>
  <c r="AT573" i="4"/>
  <c r="AY572" i="4"/>
  <c r="AX572" i="4"/>
  <c r="AW572" i="4"/>
  <c r="AV572" i="4"/>
  <c r="AU572" i="4"/>
  <c r="AT572" i="4"/>
  <c r="AY571" i="4"/>
  <c r="AX571" i="4"/>
  <c r="AW571" i="4"/>
  <c r="AV571" i="4"/>
  <c r="AU571" i="4"/>
  <c r="AT571" i="4"/>
  <c r="AY570" i="4"/>
  <c r="AX570" i="4"/>
  <c r="AW570" i="4"/>
  <c r="AV570" i="4"/>
  <c r="AU570" i="4"/>
  <c r="AT570" i="4"/>
  <c r="AY569" i="4"/>
  <c r="AX569" i="4"/>
  <c r="AW569" i="4"/>
  <c r="AV569" i="4"/>
  <c r="AU569" i="4"/>
  <c r="AT569" i="4"/>
  <c r="AY568" i="4"/>
  <c r="AX568" i="4"/>
  <c r="AW568" i="4"/>
  <c r="AV568" i="4"/>
  <c r="AU568" i="4"/>
  <c r="AT568" i="4"/>
  <c r="AY567" i="4"/>
  <c r="AX567" i="4"/>
  <c r="AW567" i="4"/>
  <c r="AV567" i="4"/>
  <c r="AU567" i="4"/>
  <c r="AT567" i="4"/>
  <c r="AY566" i="4"/>
  <c r="AX566" i="4"/>
  <c r="AW566" i="4"/>
  <c r="AV566" i="4"/>
  <c r="AU566" i="4"/>
  <c r="AT566" i="4"/>
  <c r="AY565" i="4"/>
  <c r="AX565" i="4"/>
  <c r="AW565" i="4"/>
  <c r="AV565" i="4"/>
  <c r="AU565" i="4"/>
  <c r="AT565" i="4"/>
  <c r="AY564" i="4"/>
  <c r="AX564" i="4"/>
  <c r="AW564" i="4"/>
  <c r="AV564" i="4"/>
  <c r="AU564" i="4"/>
  <c r="AT564" i="4"/>
  <c r="AY563" i="4"/>
  <c r="AX563" i="4"/>
  <c r="AW563" i="4"/>
  <c r="AV563" i="4"/>
  <c r="AU563" i="4"/>
  <c r="AT563" i="4"/>
  <c r="AY562" i="4"/>
  <c r="AX562" i="4"/>
  <c r="AW562" i="4"/>
  <c r="AV562" i="4"/>
  <c r="AU562" i="4"/>
  <c r="AT562" i="4"/>
  <c r="AY561" i="4"/>
  <c r="AX561" i="4"/>
  <c r="AW561" i="4"/>
  <c r="AV561" i="4"/>
  <c r="AU561" i="4"/>
  <c r="AT561" i="4"/>
  <c r="AY560" i="4"/>
  <c r="AX560" i="4"/>
  <c r="AW560" i="4"/>
  <c r="AV560" i="4"/>
  <c r="AU560" i="4"/>
  <c r="AT560" i="4"/>
  <c r="AY559" i="4"/>
  <c r="AX559" i="4"/>
  <c r="AW559" i="4"/>
  <c r="AV559" i="4"/>
  <c r="AU559" i="4"/>
  <c r="AT559" i="4"/>
  <c r="AY558" i="4"/>
  <c r="AX558" i="4"/>
  <c r="AW558" i="4"/>
  <c r="AV558" i="4"/>
  <c r="AU558" i="4"/>
  <c r="AT558" i="4"/>
  <c r="AY557" i="4"/>
  <c r="AX557" i="4"/>
  <c r="AW557" i="4"/>
  <c r="AV557" i="4"/>
  <c r="AU557" i="4"/>
  <c r="AT557" i="4"/>
  <c r="AY556" i="4"/>
  <c r="AX556" i="4"/>
  <c r="AW556" i="4"/>
  <c r="AV556" i="4"/>
  <c r="AU556" i="4"/>
  <c r="AT556" i="4"/>
  <c r="AY555" i="4"/>
  <c r="AX555" i="4"/>
  <c r="AW555" i="4"/>
  <c r="AV555" i="4"/>
  <c r="AU555" i="4"/>
  <c r="AT555" i="4"/>
  <c r="AY554" i="4"/>
  <c r="AX554" i="4"/>
  <c r="AW554" i="4"/>
  <c r="AV554" i="4"/>
  <c r="AU554" i="4"/>
  <c r="AT554" i="4"/>
  <c r="AY553" i="4"/>
  <c r="AX553" i="4"/>
  <c r="AW553" i="4"/>
  <c r="AV553" i="4"/>
  <c r="AU553" i="4"/>
  <c r="AT553" i="4"/>
  <c r="AY552" i="4"/>
  <c r="AX552" i="4"/>
  <c r="AW552" i="4"/>
  <c r="AV552" i="4"/>
  <c r="AU552" i="4"/>
  <c r="AT552" i="4"/>
  <c r="AY551" i="4"/>
  <c r="AX551" i="4"/>
  <c r="AW551" i="4"/>
  <c r="AV551" i="4"/>
  <c r="AU551" i="4"/>
  <c r="AT551" i="4"/>
  <c r="AY550" i="4"/>
  <c r="AX550" i="4"/>
  <c r="AW550" i="4"/>
  <c r="AV550" i="4"/>
  <c r="AU550" i="4"/>
  <c r="AT550" i="4"/>
  <c r="AY549" i="4"/>
  <c r="AX549" i="4"/>
  <c r="AW549" i="4"/>
  <c r="AV549" i="4"/>
  <c r="AU549" i="4"/>
  <c r="AT549" i="4"/>
  <c r="AY548" i="4"/>
  <c r="AX548" i="4"/>
  <c r="AW548" i="4"/>
  <c r="AV548" i="4"/>
  <c r="AU548" i="4"/>
  <c r="AT548" i="4"/>
  <c r="AY547" i="4"/>
  <c r="AX547" i="4"/>
  <c r="AW547" i="4"/>
  <c r="AV547" i="4"/>
  <c r="AU547" i="4"/>
  <c r="AT547" i="4"/>
  <c r="AY546" i="4"/>
  <c r="AX546" i="4"/>
  <c r="AW546" i="4"/>
  <c r="AV546" i="4"/>
  <c r="AU546" i="4"/>
  <c r="AT546" i="4"/>
  <c r="AY545" i="4"/>
  <c r="AX545" i="4"/>
  <c r="AW545" i="4"/>
  <c r="AV545" i="4"/>
  <c r="AU545" i="4"/>
  <c r="AT545" i="4"/>
  <c r="AY544" i="4"/>
  <c r="AX544" i="4"/>
  <c r="AW544" i="4"/>
  <c r="AV544" i="4"/>
  <c r="AU544" i="4"/>
  <c r="AT544" i="4"/>
  <c r="AY543" i="4"/>
  <c r="AX543" i="4"/>
  <c r="AW543" i="4"/>
  <c r="AV543" i="4"/>
  <c r="AU543" i="4"/>
  <c r="AT543" i="4"/>
  <c r="AY542" i="4"/>
  <c r="AX542" i="4"/>
  <c r="AW542" i="4"/>
  <c r="AV542" i="4"/>
  <c r="AU542" i="4"/>
  <c r="AT542" i="4"/>
  <c r="AY541" i="4"/>
  <c r="AX541" i="4"/>
  <c r="AW541" i="4"/>
  <c r="AV541" i="4"/>
  <c r="AU541" i="4"/>
  <c r="AT541" i="4"/>
  <c r="AY540" i="4"/>
  <c r="AX540" i="4"/>
  <c r="AW540" i="4"/>
  <c r="AV540" i="4"/>
  <c r="AU540" i="4"/>
  <c r="AT540" i="4"/>
  <c r="AY539" i="4"/>
  <c r="AX539" i="4"/>
  <c r="AW539" i="4"/>
  <c r="AV539" i="4"/>
  <c r="AU539" i="4"/>
  <c r="AT539" i="4"/>
  <c r="AY538" i="4"/>
  <c r="AX538" i="4"/>
  <c r="AW538" i="4"/>
  <c r="AV538" i="4"/>
  <c r="AU538" i="4"/>
  <c r="AT538" i="4"/>
  <c r="AY537" i="4"/>
  <c r="AX537" i="4"/>
  <c r="AW537" i="4"/>
  <c r="AV537" i="4"/>
  <c r="AU537" i="4"/>
  <c r="AT537" i="4"/>
  <c r="AY536" i="4"/>
  <c r="AX536" i="4"/>
  <c r="AW536" i="4"/>
  <c r="AV536" i="4"/>
  <c r="AU536" i="4"/>
  <c r="AT536" i="4"/>
  <c r="AY535" i="4"/>
  <c r="AX535" i="4"/>
  <c r="AW535" i="4"/>
  <c r="AV535" i="4"/>
  <c r="AU535" i="4"/>
  <c r="AT535" i="4"/>
  <c r="AY534" i="4"/>
  <c r="AX534" i="4"/>
  <c r="AW534" i="4"/>
  <c r="AV534" i="4"/>
  <c r="AU534" i="4"/>
  <c r="AT534" i="4"/>
  <c r="AY533" i="4"/>
  <c r="AX533" i="4"/>
  <c r="AW533" i="4"/>
  <c r="AV533" i="4"/>
  <c r="AU533" i="4"/>
  <c r="AT533" i="4"/>
  <c r="AY532" i="4"/>
  <c r="AX532" i="4"/>
  <c r="AW532" i="4"/>
  <c r="AV532" i="4"/>
  <c r="AU532" i="4"/>
  <c r="AT532" i="4"/>
  <c r="AY531" i="4"/>
  <c r="AX531" i="4"/>
  <c r="AW531" i="4"/>
  <c r="AV531" i="4"/>
  <c r="AU531" i="4"/>
  <c r="AT531" i="4"/>
  <c r="AY530" i="4"/>
  <c r="AX530" i="4"/>
  <c r="AW530" i="4"/>
  <c r="AV530" i="4"/>
  <c r="AU530" i="4"/>
  <c r="AT530" i="4"/>
  <c r="AY529" i="4"/>
  <c r="AX529" i="4"/>
  <c r="AW529" i="4"/>
  <c r="AV529" i="4"/>
  <c r="AU529" i="4"/>
  <c r="AT529" i="4"/>
  <c r="AY528" i="4"/>
  <c r="AX528" i="4"/>
  <c r="AW528" i="4"/>
  <c r="AV528" i="4"/>
  <c r="AU528" i="4"/>
  <c r="AT528" i="4"/>
  <c r="AY527" i="4"/>
  <c r="AX527" i="4"/>
  <c r="AW527" i="4"/>
  <c r="AV527" i="4"/>
  <c r="AU527" i="4"/>
  <c r="AT527" i="4"/>
  <c r="AY526" i="4"/>
  <c r="AX526" i="4"/>
  <c r="AW526" i="4"/>
  <c r="AV526" i="4"/>
  <c r="AU526" i="4"/>
  <c r="AT526" i="4"/>
  <c r="AY525" i="4"/>
  <c r="AX525" i="4"/>
  <c r="AW525" i="4"/>
  <c r="AV525" i="4"/>
  <c r="AU525" i="4"/>
  <c r="AT525" i="4"/>
  <c r="AY524" i="4"/>
  <c r="AX524" i="4"/>
  <c r="AW524" i="4"/>
  <c r="AV524" i="4"/>
  <c r="AU524" i="4"/>
  <c r="AT524" i="4"/>
  <c r="AY523" i="4"/>
  <c r="AX523" i="4"/>
  <c r="AW523" i="4"/>
  <c r="AV523" i="4"/>
  <c r="AU523" i="4"/>
  <c r="AT523" i="4"/>
  <c r="AY522" i="4"/>
  <c r="AX522" i="4"/>
  <c r="AW522" i="4"/>
  <c r="AV522" i="4"/>
  <c r="AU522" i="4"/>
  <c r="AT522" i="4"/>
  <c r="AY521" i="4"/>
  <c r="AX521" i="4"/>
  <c r="AW521" i="4"/>
  <c r="AV521" i="4"/>
  <c r="AU521" i="4"/>
  <c r="AT521" i="4"/>
  <c r="AY520" i="4"/>
  <c r="AX520" i="4"/>
  <c r="AW520" i="4"/>
  <c r="AV520" i="4"/>
  <c r="AU520" i="4"/>
  <c r="AT520" i="4"/>
  <c r="AY519" i="4"/>
  <c r="AX519" i="4"/>
  <c r="AW519" i="4"/>
  <c r="AV519" i="4"/>
  <c r="AU519" i="4"/>
  <c r="AT519" i="4"/>
  <c r="AY518" i="4"/>
  <c r="AX518" i="4"/>
  <c r="AW518" i="4"/>
  <c r="AV518" i="4"/>
  <c r="AU518" i="4"/>
  <c r="AT518" i="4"/>
  <c r="AY517" i="4"/>
  <c r="AX517" i="4"/>
  <c r="AW517" i="4"/>
  <c r="AV517" i="4"/>
  <c r="AU517" i="4"/>
  <c r="AT517" i="4"/>
  <c r="AY516" i="4"/>
  <c r="AX516" i="4"/>
  <c r="AW516" i="4"/>
  <c r="AV516" i="4"/>
  <c r="AU516" i="4"/>
  <c r="AT516" i="4"/>
  <c r="AY515" i="4"/>
  <c r="AX515" i="4"/>
  <c r="AW515" i="4"/>
  <c r="AV515" i="4"/>
  <c r="AU515" i="4"/>
  <c r="AT515" i="4"/>
  <c r="AY514" i="4"/>
  <c r="AX514" i="4"/>
  <c r="AW514" i="4"/>
  <c r="AV514" i="4"/>
  <c r="AU514" i="4"/>
  <c r="AT514" i="4"/>
  <c r="AY513" i="4"/>
  <c r="AX513" i="4"/>
  <c r="AW513" i="4"/>
  <c r="AV513" i="4"/>
  <c r="AU513" i="4"/>
  <c r="AT513" i="4"/>
  <c r="AY512" i="4"/>
  <c r="AX512" i="4"/>
  <c r="AW512" i="4"/>
  <c r="AV512" i="4"/>
  <c r="AU512" i="4"/>
  <c r="AT512" i="4"/>
  <c r="AY511" i="4"/>
  <c r="AX511" i="4"/>
  <c r="AW511" i="4"/>
  <c r="AV511" i="4"/>
  <c r="AU511" i="4"/>
  <c r="AT511" i="4"/>
  <c r="AY510" i="4"/>
  <c r="AX510" i="4"/>
  <c r="AW510" i="4"/>
  <c r="AV510" i="4"/>
  <c r="AU510" i="4"/>
  <c r="AT510" i="4"/>
  <c r="AY509" i="4"/>
  <c r="AX509" i="4"/>
  <c r="AW509" i="4"/>
  <c r="AV509" i="4"/>
  <c r="AU509" i="4"/>
  <c r="AT509" i="4"/>
  <c r="AY508" i="4"/>
  <c r="AX508" i="4"/>
  <c r="AW508" i="4"/>
  <c r="AV508" i="4"/>
  <c r="AU508" i="4"/>
  <c r="AT508" i="4"/>
  <c r="AY507" i="4"/>
  <c r="AX507" i="4"/>
  <c r="AW507" i="4"/>
  <c r="AV507" i="4"/>
  <c r="AU507" i="4"/>
  <c r="AT507" i="4"/>
  <c r="AY506" i="4"/>
  <c r="AX506" i="4"/>
  <c r="AW506" i="4"/>
  <c r="AV506" i="4"/>
  <c r="AU506" i="4"/>
  <c r="AT506" i="4"/>
  <c r="AY505" i="4"/>
  <c r="AX505" i="4"/>
  <c r="AW505" i="4"/>
  <c r="AV505" i="4"/>
  <c r="AU505" i="4"/>
  <c r="AT505" i="4"/>
  <c r="AY504" i="4"/>
  <c r="AX504" i="4"/>
  <c r="AW504" i="4"/>
  <c r="AV504" i="4"/>
  <c r="AU504" i="4"/>
  <c r="AT504" i="4"/>
  <c r="AY503" i="4"/>
  <c r="AX503" i="4"/>
  <c r="AW503" i="4"/>
  <c r="AV503" i="4"/>
  <c r="AU503" i="4"/>
  <c r="AT503" i="4"/>
  <c r="AY502" i="4"/>
  <c r="AX502" i="4"/>
  <c r="AW502" i="4"/>
  <c r="AV502" i="4"/>
  <c r="AU502" i="4"/>
  <c r="AT502" i="4"/>
  <c r="AY501" i="4"/>
  <c r="AX501" i="4"/>
  <c r="AW501" i="4"/>
  <c r="AV501" i="4"/>
  <c r="AU501" i="4"/>
  <c r="AT501" i="4"/>
  <c r="AY500" i="4"/>
  <c r="AX500" i="4"/>
  <c r="AW500" i="4"/>
  <c r="AV500" i="4"/>
  <c r="AU500" i="4"/>
  <c r="AT500" i="4"/>
  <c r="AY499" i="4"/>
  <c r="AX499" i="4"/>
  <c r="AW499" i="4"/>
  <c r="AV499" i="4"/>
  <c r="AU499" i="4"/>
  <c r="AT499" i="4"/>
  <c r="AY498" i="4"/>
  <c r="AX498" i="4"/>
  <c r="AW498" i="4"/>
  <c r="AV498" i="4"/>
  <c r="AU498" i="4"/>
  <c r="AT498" i="4"/>
  <c r="AY497" i="4"/>
  <c r="AX497" i="4"/>
  <c r="AW497" i="4"/>
  <c r="AV497" i="4"/>
  <c r="AU497" i="4"/>
  <c r="AT497" i="4"/>
  <c r="AY496" i="4"/>
  <c r="AX496" i="4"/>
  <c r="AW496" i="4"/>
  <c r="AV496" i="4"/>
  <c r="AU496" i="4"/>
  <c r="AT496" i="4"/>
  <c r="AY495" i="4"/>
  <c r="AX495" i="4"/>
  <c r="AW495" i="4"/>
  <c r="AV495" i="4"/>
  <c r="AU495" i="4"/>
  <c r="AT495" i="4"/>
  <c r="AY494" i="4"/>
  <c r="AX494" i="4"/>
  <c r="AW494" i="4"/>
  <c r="AV494" i="4"/>
  <c r="AU494" i="4"/>
  <c r="AT494" i="4"/>
  <c r="AY493" i="4"/>
  <c r="AX493" i="4"/>
  <c r="AW493" i="4"/>
  <c r="AV493" i="4"/>
  <c r="AU493" i="4"/>
  <c r="AT493" i="4"/>
  <c r="AY492" i="4"/>
  <c r="AX492" i="4"/>
  <c r="AW492" i="4"/>
  <c r="AV492" i="4"/>
  <c r="AU492" i="4"/>
  <c r="AT492" i="4"/>
  <c r="AY491" i="4"/>
  <c r="AX491" i="4"/>
  <c r="AW491" i="4"/>
  <c r="AV491" i="4"/>
  <c r="AU491" i="4"/>
  <c r="AT491" i="4"/>
  <c r="AY490" i="4"/>
  <c r="AX490" i="4"/>
  <c r="AW490" i="4"/>
  <c r="AV490" i="4"/>
  <c r="AU490" i="4"/>
  <c r="AT490" i="4"/>
  <c r="AY489" i="4"/>
  <c r="AX489" i="4"/>
  <c r="AW489" i="4"/>
  <c r="AV489" i="4"/>
  <c r="AU489" i="4"/>
  <c r="AT489" i="4"/>
  <c r="AY488" i="4"/>
  <c r="AX488" i="4"/>
  <c r="AW488" i="4"/>
  <c r="AV488" i="4"/>
  <c r="AU488" i="4"/>
  <c r="AT488" i="4"/>
  <c r="AY487" i="4"/>
  <c r="AX487" i="4"/>
  <c r="AW487" i="4"/>
  <c r="AV487" i="4"/>
  <c r="AU487" i="4"/>
  <c r="AT487" i="4"/>
  <c r="AY486" i="4"/>
  <c r="AX486" i="4"/>
  <c r="AW486" i="4"/>
  <c r="AV486" i="4"/>
  <c r="AU486" i="4"/>
  <c r="AT486" i="4"/>
  <c r="AY485" i="4"/>
  <c r="AX485" i="4"/>
  <c r="AW485" i="4"/>
  <c r="AV485" i="4"/>
  <c r="AU485" i="4"/>
  <c r="AT485" i="4"/>
  <c r="AY484" i="4"/>
  <c r="AX484" i="4"/>
  <c r="AW484" i="4"/>
  <c r="AV484" i="4"/>
  <c r="AU484" i="4"/>
  <c r="AT484" i="4"/>
  <c r="AY483" i="4"/>
  <c r="AX483" i="4"/>
  <c r="AW483" i="4"/>
  <c r="AV483" i="4"/>
  <c r="AU483" i="4"/>
  <c r="AT483" i="4"/>
  <c r="AY482" i="4"/>
  <c r="AX482" i="4"/>
  <c r="AW482" i="4"/>
  <c r="AV482" i="4"/>
  <c r="AU482" i="4"/>
  <c r="AT482" i="4"/>
  <c r="AY481" i="4"/>
  <c r="AX481" i="4"/>
  <c r="AW481" i="4"/>
  <c r="AV481" i="4"/>
  <c r="AU481" i="4"/>
  <c r="AT481" i="4"/>
  <c r="AY480" i="4"/>
  <c r="AX480" i="4"/>
  <c r="AW480" i="4"/>
  <c r="AV480" i="4"/>
  <c r="AU480" i="4"/>
  <c r="AT480" i="4"/>
  <c r="AY479" i="4"/>
  <c r="AX479" i="4"/>
  <c r="AW479" i="4"/>
  <c r="AV479" i="4"/>
  <c r="AU479" i="4"/>
  <c r="AT479" i="4"/>
  <c r="AY478" i="4"/>
  <c r="AX478" i="4"/>
  <c r="AW478" i="4"/>
  <c r="AV478" i="4"/>
  <c r="AU478" i="4"/>
  <c r="AT478" i="4"/>
  <c r="AY477" i="4"/>
  <c r="AX477" i="4"/>
  <c r="AW477" i="4"/>
  <c r="AV477" i="4"/>
  <c r="AU477" i="4"/>
  <c r="AT477" i="4"/>
  <c r="AY476" i="4"/>
  <c r="AX476" i="4"/>
  <c r="AW476" i="4"/>
  <c r="AV476" i="4"/>
  <c r="AU476" i="4"/>
  <c r="AT476" i="4"/>
  <c r="AY475" i="4"/>
  <c r="AX475" i="4"/>
  <c r="AW475" i="4"/>
  <c r="AV475" i="4"/>
  <c r="AU475" i="4"/>
  <c r="AT475" i="4"/>
  <c r="AY474" i="4"/>
  <c r="AX474" i="4"/>
  <c r="AW474" i="4"/>
  <c r="AV474" i="4"/>
  <c r="AU474" i="4"/>
  <c r="AT474" i="4"/>
  <c r="AY473" i="4"/>
  <c r="AX473" i="4"/>
  <c r="AW473" i="4"/>
  <c r="AV473" i="4"/>
  <c r="AU473" i="4"/>
  <c r="AT473" i="4"/>
  <c r="AY472" i="4"/>
  <c r="AX472" i="4"/>
  <c r="AW472" i="4"/>
  <c r="AV472" i="4"/>
  <c r="AU472" i="4"/>
  <c r="AT472" i="4"/>
  <c r="AY471" i="4"/>
  <c r="AX471" i="4"/>
  <c r="AW471" i="4"/>
  <c r="AV471" i="4"/>
  <c r="AU471" i="4"/>
  <c r="AT471" i="4"/>
  <c r="AY470" i="4"/>
  <c r="AX470" i="4"/>
  <c r="AW470" i="4"/>
  <c r="AV470" i="4"/>
  <c r="AU470" i="4"/>
  <c r="AT470" i="4"/>
  <c r="AY469" i="4"/>
  <c r="AX469" i="4"/>
  <c r="AW469" i="4"/>
  <c r="AV469" i="4"/>
  <c r="AU469" i="4"/>
  <c r="AT469" i="4"/>
  <c r="AY468" i="4"/>
  <c r="AX468" i="4"/>
  <c r="AW468" i="4"/>
  <c r="AV468" i="4"/>
  <c r="AU468" i="4"/>
  <c r="AT468" i="4"/>
  <c r="AY467" i="4"/>
  <c r="AX467" i="4"/>
  <c r="AW467" i="4"/>
  <c r="AV467" i="4"/>
  <c r="AU467" i="4"/>
  <c r="AT467" i="4"/>
  <c r="AY466" i="4"/>
  <c r="AX466" i="4"/>
  <c r="AW466" i="4"/>
  <c r="AV466" i="4"/>
  <c r="AU466" i="4"/>
  <c r="AT466" i="4"/>
  <c r="AY465" i="4"/>
  <c r="AX465" i="4"/>
  <c r="AW465" i="4"/>
  <c r="AV465" i="4"/>
  <c r="AU465" i="4"/>
  <c r="AT465" i="4"/>
  <c r="AY464" i="4"/>
  <c r="AX464" i="4"/>
  <c r="AW464" i="4"/>
  <c r="AV464" i="4"/>
  <c r="AU464" i="4"/>
  <c r="AT464" i="4"/>
  <c r="AY463" i="4"/>
  <c r="AX463" i="4"/>
  <c r="AW463" i="4"/>
  <c r="AV463" i="4"/>
  <c r="AU463" i="4"/>
  <c r="AT463" i="4"/>
  <c r="AY462" i="4"/>
  <c r="AX462" i="4"/>
  <c r="AW462" i="4"/>
  <c r="AV462" i="4"/>
  <c r="AU462" i="4"/>
  <c r="AT462" i="4"/>
  <c r="AY461" i="4"/>
  <c r="AX461" i="4"/>
  <c r="AW461" i="4"/>
  <c r="AV461" i="4"/>
  <c r="AU461" i="4"/>
  <c r="AT461" i="4"/>
  <c r="AY460" i="4"/>
  <c r="AX460" i="4"/>
  <c r="AW460" i="4"/>
  <c r="AV460" i="4"/>
  <c r="AU460" i="4"/>
  <c r="AT460" i="4"/>
  <c r="AY459" i="4"/>
  <c r="AX459" i="4"/>
  <c r="AW459" i="4"/>
  <c r="AV459" i="4"/>
  <c r="AU459" i="4"/>
  <c r="AT459" i="4"/>
  <c r="AY458" i="4"/>
  <c r="AX458" i="4"/>
  <c r="AW458" i="4"/>
  <c r="AV458" i="4"/>
  <c r="AU458" i="4"/>
  <c r="AT458" i="4"/>
  <c r="AY457" i="4"/>
  <c r="AX457" i="4"/>
  <c r="AW457" i="4"/>
  <c r="AV457" i="4"/>
  <c r="AU457" i="4"/>
  <c r="AT457" i="4"/>
  <c r="AY456" i="4"/>
  <c r="AX456" i="4"/>
  <c r="AW456" i="4"/>
  <c r="AV456" i="4"/>
  <c r="AU456" i="4"/>
  <c r="AT456" i="4"/>
  <c r="AY455" i="4"/>
  <c r="AX455" i="4"/>
  <c r="AW455" i="4"/>
  <c r="AV455" i="4"/>
  <c r="AU455" i="4"/>
  <c r="AT455" i="4"/>
  <c r="AY454" i="4"/>
  <c r="AX454" i="4"/>
  <c r="AW454" i="4"/>
  <c r="AV454" i="4"/>
  <c r="AU454" i="4"/>
  <c r="AT454" i="4"/>
  <c r="AY453" i="4"/>
  <c r="AX453" i="4"/>
  <c r="AW453" i="4"/>
  <c r="AV453" i="4"/>
  <c r="AU453" i="4"/>
  <c r="AT453" i="4"/>
  <c r="AY452" i="4"/>
  <c r="AX452" i="4"/>
  <c r="AW452" i="4"/>
  <c r="AV452" i="4"/>
  <c r="AU452" i="4"/>
  <c r="AT452" i="4"/>
  <c r="AY451" i="4"/>
  <c r="AX451" i="4"/>
  <c r="AW451" i="4"/>
  <c r="AV451" i="4"/>
  <c r="AU451" i="4"/>
  <c r="AT451" i="4"/>
  <c r="AY450" i="4"/>
  <c r="AX450" i="4"/>
  <c r="AW450" i="4"/>
  <c r="AV450" i="4"/>
  <c r="AU450" i="4"/>
  <c r="AT450" i="4"/>
  <c r="AY449" i="4"/>
  <c r="AX449" i="4"/>
  <c r="AW449" i="4"/>
  <c r="AV449" i="4"/>
  <c r="AU449" i="4"/>
  <c r="AT449" i="4"/>
  <c r="AY448" i="4"/>
  <c r="AX448" i="4"/>
  <c r="AW448" i="4"/>
  <c r="AV448" i="4"/>
  <c r="AU448" i="4"/>
  <c r="AT448" i="4"/>
  <c r="AY447" i="4"/>
  <c r="AX447" i="4"/>
  <c r="AW447" i="4"/>
  <c r="AV447" i="4"/>
  <c r="AU447" i="4"/>
  <c r="AT447" i="4"/>
  <c r="AY446" i="4"/>
  <c r="AX446" i="4"/>
  <c r="AW446" i="4"/>
  <c r="AV446" i="4"/>
  <c r="AU446" i="4"/>
  <c r="AT446" i="4"/>
  <c r="AY445" i="4"/>
  <c r="AX445" i="4"/>
  <c r="AW445" i="4"/>
  <c r="AV445" i="4"/>
  <c r="AU445" i="4"/>
  <c r="AT445" i="4"/>
  <c r="AY444" i="4"/>
  <c r="AX444" i="4"/>
  <c r="AW444" i="4"/>
  <c r="AV444" i="4"/>
  <c r="AU444" i="4"/>
  <c r="AT444" i="4"/>
  <c r="AY443" i="4"/>
  <c r="AX443" i="4"/>
  <c r="AW443" i="4"/>
  <c r="AV443" i="4"/>
  <c r="AU443" i="4"/>
  <c r="AT443" i="4"/>
  <c r="AY442" i="4"/>
  <c r="AX442" i="4"/>
  <c r="AW442" i="4"/>
  <c r="AV442" i="4"/>
  <c r="AU442" i="4"/>
  <c r="AT442" i="4"/>
  <c r="AY441" i="4"/>
  <c r="AX441" i="4"/>
  <c r="AW441" i="4"/>
  <c r="AV441" i="4"/>
  <c r="AU441" i="4"/>
  <c r="AT441" i="4"/>
  <c r="AY440" i="4"/>
  <c r="AX440" i="4"/>
  <c r="AW440" i="4"/>
  <c r="AV440" i="4"/>
  <c r="AU440" i="4"/>
  <c r="AT440" i="4"/>
  <c r="AY439" i="4"/>
  <c r="AX439" i="4"/>
  <c r="AW439" i="4"/>
  <c r="AV439" i="4"/>
  <c r="AU439" i="4"/>
  <c r="AT439" i="4"/>
  <c r="AY438" i="4"/>
  <c r="AX438" i="4"/>
  <c r="AW438" i="4"/>
  <c r="AV438" i="4"/>
  <c r="AU438" i="4"/>
  <c r="AT438" i="4"/>
  <c r="AY437" i="4"/>
  <c r="AX437" i="4"/>
  <c r="AW437" i="4"/>
  <c r="AV437" i="4"/>
  <c r="AU437" i="4"/>
  <c r="AT437" i="4"/>
  <c r="AY436" i="4"/>
  <c r="AX436" i="4"/>
  <c r="AW436" i="4"/>
  <c r="AV436" i="4"/>
  <c r="AU436" i="4"/>
  <c r="AT436" i="4"/>
  <c r="AY435" i="4"/>
  <c r="AX435" i="4"/>
  <c r="AW435" i="4"/>
  <c r="AV435" i="4"/>
  <c r="AU435" i="4"/>
  <c r="AT435" i="4"/>
  <c r="AY434" i="4"/>
  <c r="AX434" i="4"/>
  <c r="AW434" i="4"/>
  <c r="AV434" i="4"/>
  <c r="AU434" i="4"/>
  <c r="AT434" i="4"/>
  <c r="AY433" i="4"/>
  <c r="AX433" i="4"/>
  <c r="AW433" i="4"/>
  <c r="AV433" i="4"/>
  <c r="AU433" i="4"/>
  <c r="AT433" i="4"/>
  <c r="AY432" i="4"/>
  <c r="AX432" i="4"/>
  <c r="AW432" i="4"/>
  <c r="AV432" i="4"/>
  <c r="AU432" i="4"/>
  <c r="AT432" i="4"/>
  <c r="AY431" i="4"/>
  <c r="AX431" i="4"/>
  <c r="AW431" i="4"/>
  <c r="AV431" i="4"/>
  <c r="AU431" i="4"/>
  <c r="AT431" i="4"/>
  <c r="AY430" i="4"/>
  <c r="AX430" i="4"/>
  <c r="AW430" i="4"/>
  <c r="AV430" i="4"/>
  <c r="AU430" i="4"/>
  <c r="AT430" i="4"/>
  <c r="AY429" i="4"/>
  <c r="AX429" i="4"/>
  <c r="AW429" i="4"/>
  <c r="AV429" i="4"/>
  <c r="AU429" i="4"/>
  <c r="AT429" i="4"/>
  <c r="AY428" i="4"/>
  <c r="AX428" i="4"/>
  <c r="AW428" i="4"/>
  <c r="AV428" i="4"/>
  <c r="AU428" i="4"/>
  <c r="AT428" i="4"/>
  <c r="AY427" i="4"/>
  <c r="AX427" i="4"/>
  <c r="AW427" i="4"/>
  <c r="AV427" i="4"/>
  <c r="AU427" i="4"/>
  <c r="AT427" i="4"/>
  <c r="AY426" i="4"/>
  <c r="AX426" i="4"/>
  <c r="AW426" i="4"/>
  <c r="AV426" i="4"/>
  <c r="AU426" i="4"/>
  <c r="AT426" i="4"/>
  <c r="AY425" i="4"/>
  <c r="AX425" i="4"/>
  <c r="AW425" i="4"/>
  <c r="AV425" i="4"/>
  <c r="AU425" i="4"/>
  <c r="AT425" i="4"/>
  <c r="AY424" i="4"/>
  <c r="AX424" i="4"/>
  <c r="AW424" i="4"/>
  <c r="AV424" i="4"/>
  <c r="AU424" i="4"/>
  <c r="AT424" i="4"/>
  <c r="AY423" i="4"/>
  <c r="AX423" i="4"/>
  <c r="AW423" i="4"/>
  <c r="AV423" i="4"/>
  <c r="AU423" i="4"/>
  <c r="AT423" i="4"/>
  <c r="AY422" i="4"/>
  <c r="AX422" i="4"/>
  <c r="AW422" i="4"/>
  <c r="AV422" i="4"/>
  <c r="AU422" i="4"/>
  <c r="AT422" i="4"/>
  <c r="AY421" i="4"/>
  <c r="AX421" i="4"/>
  <c r="AW421" i="4"/>
  <c r="AV421" i="4"/>
  <c r="AU421" i="4"/>
  <c r="AT421" i="4"/>
  <c r="AY420" i="4"/>
  <c r="AX420" i="4"/>
  <c r="AW420" i="4"/>
  <c r="AV420" i="4"/>
  <c r="AU420" i="4"/>
  <c r="AT420" i="4"/>
  <c r="AY419" i="4"/>
  <c r="AX419" i="4"/>
  <c r="AW419" i="4"/>
  <c r="AV419" i="4"/>
  <c r="AU419" i="4"/>
  <c r="AT419" i="4"/>
  <c r="AY418" i="4"/>
  <c r="AX418" i="4"/>
  <c r="AW418" i="4"/>
  <c r="AV418" i="4"/>
  <c r="AU418" i="4"/>
  <c r="AT418" i="4"/>
  <c r="AY417" i="4"/>
  <c r="AX417" i="4"/>
  <c r="AW417" i="4"/>
  <c r="AV417" i="4"/>
  <c r="AU417" i="4"/>
  <c r="AT417" i="4"/>
  <c r="AY416" i="4"/>
  <c r="AX416" i="4"/>
  <c r="AW416" i="4"/>
  <c r="AV416" i="4"/>
  <c r="AU416" i="4"/>
  <c r="AT416" i="4"/>
  <c r="AY415" i="4"/>
  <c r="AX415" i="4"/>
  <c r="AW415" i="4"/>
  <c r="AV415" i="4"/>
  <c r="AU415" i="4"/>
  <c r="AT415" i="4"/>
  <c r="AY414" i="4"/>
  <c r="AX414" i="4"/>
  <c r="AW414" i="4"/>
  <c r="AV414" i="4"/>
  <c r="AU414" i="4"/>
  <c r="AT414" i="4"/>
  <c r="AY413" i="4"/>
  <c r="AX413" i="4"/>
  <c r="AW413" i="4"/>
  <c r="AV413" i="4"/>
  <c r="AU413" i="4"/>
  <c r="AT413" i="4"/>
  <c r="AY412" i="4"/>
  <c r="AX412" i="4"/>
  <c r="AW412" i="4"/>
  <c r="AV412" i="4"/>
  <c r="AU412" i="4"/>
  <c r="AT412" i="4"/>
  <c r="AY411" i="4"/>
  <c r="AX411" i="4"/>
  <c r="AW411" i="4"/>
  <c r="AV411" i="4"/>
  <c r="AU411" i="4"/>
  <c r="AT411" i="4"/>
  <c r="AY410" i="4"/>
  <c r="AX410" i="4"/>
  <c r="AW410" i="4"/>
  <c r="AV410" i="4"/>
  <c r="AU410" i="4"/>
  <c r="AT410" i="4"/>
  <c r="AY409" i="4"/>
  <c r="AX409" i="4"/>
  <c r="AW409" i="4"/>
  <c r="AV409" i="4"/>
  <c r="AU409" i="4"/>
  <c r="AT409" i="4"/>
  <c r="AY408" i="4"/>
  <c r="AX408" i="4"/>
  <c r="AW408" i="4"/>
  <c r="AV408" i="4"/>
  <c r="AU408" i="4"/>
  <c r="AT408" i="4"/>
  <c r="AY407" i="4"/>
  <c r="AX407" i="4"/>
  <c r="AW407" i="4"/>
  <c r="AV407" i="4"/>
  <c r="AU407" i="4"/>
  <c r="AT407" i="4"/>
  <c r="AY406" i="4"/>
  <c r="AX406" i="4"/>
  <c r="AW406" i="4"/>
  <c r="AV406" i="4"/>
  <c r="AU406" i="4"/>
  <c r="AT406" i="4"/>
  <c r="AY405" i="4"/>
  <c r="AX405" i="4"/>
  <c r="AW405" i="4"/>
  <c r="AV405" i="4"/>
  <c r="AU405" i="4"/>
  <c r="AT405" i="4"/>
  <c r="AY404" i="4"/>
  <c r="AX404" i="4"/>
  <c r="AW404" i="4"/>
  <c r="AV404" i="4"/>
  <c r="AU404" i="4"/>
  <c r="AT404" i="4"/>
  <c r="AY403" i="4"/>
  <c r="AX403" i="4"/>
  <c r="AW403" i="4"/>
  <c r="AV403" i="4"/>
  <c r="AU403" i="4"/>
  <c r="AT403" i="4"/>
  <c r="AY402" i="4"/>
  <c r="AX402" i="4"/>
  <c r="AW402" i="4"/>
  <c r="AV402" i="4"/>
  <c r="AU402" i="4"/>
  <c r="AT402" i="4"/>
  <c r="AY401" i="4"/>
  <c r="AX401" i="4"/>
  <c r="AW401" i="4"/>
  <c r="AV401" i="4"/>
  <c r="AU401" i="4"/>
  <c r="AT401" i="4"/>
  <c r="AY400" i="4"/>
  <c r="AX400" i="4"/>
  <c r="AW400" i="4"/>
  <c r="AV400" i="4"/>
  <c r="AU400" i="4"/>
  <c r="AT400" i="4"/>
  <c r="AY399" i="4"/>
  <c r="AX399" i="4"/>
  <c r="AW399" i="4"/>
  <c r="AV399" i="4"/>
  <c r="AU399" i="4"/>
  <c r="AT399" i="4"/>
  <c r="AY398" i="4"/>
  <c r="AX398" i="4"/>
  <c r="AW398" i="4"/>
  <c r="AV398" i="4"/>
  <c r="AU398" i="4"/>
  <c r="AT398" i="4"/>
  <c r="AY397" i="4"/>
  <c r="AX397" i="4"/>
  <c r="AW397" i="4"/>
  <c r="AV397" i="4"/>
  <c r="AU397" i="4"/>
  <c r="AT397" i="4"/>
  <c r="AY396" i="4"/>
  <c r="AX396" i="4"/>
  <c r="AW396" i="4"/>
  <c r="AV396" i="4"/>
  <c r="AU396" i="4"/>
  <c r="AT396" i="4"/>
  <c r="AY395" i="4"/>
  <c r="AX395" i="4"/>
  <c r="AW395" i="4"/>
  <c r="AV395" i="4"/>
  <c r="AU395" i="4"/>
  <c r="AT395" i="4"/>
  <c r="AY394" i="4"/>
  <c r="AX394" i="4"/>
  <c r="AW394" i="4"/>
  <c r="AV394" i="4"/>
  <c r="AU394" i="4"/>
  <c r="AT394" i="4"/>
  <c r="AY393" i="4"/>
  <c r="AX393" i="4"/>
  <c r="AW393" i="4"/>
  <c r="AV393" i="4"/>
  <c r="AU393" i="4"/>
  <c r="AT393" i="4"/>
  <c r="AY392" i="4"/>
  <c r="AX392" i="4"/>
  <c r="AW392" i="4"/>
  <c r="AV392" i="4"/>
  <c r="AU392" i="4"/>
  <c r="AT392" i="4"/>
  <c r="AY391" i="4"/>
  <c r="AX391" i="4"/>
  <c r="AW391" i="4"/>
  <c r="AV391" i="4"/>
  <c r="AU391" i="4"/>
  <c r="AT391" i="4"/>
  <c r="AY390" i="4"/>
  <c r="AX390" i="4"/>
  <c r="AW390" i="4"/>
  <c r="AV390" i="4"/>
  <c r="AU390" i="4"/>
  <c r="AT390" i="4"/>
  <c r="AY389" i="4"/>
  <c r="AX389" i="4"/>
  <c r="AW389" i="4"/>
  <c r="AV389" i="4"/>
  <c r="AU389" i="4"/>
  <c r="AT389" i="4"/>
  <c r="AY388" i="4"/>
  <c r="AX388" i="4"/>
  <c r="AW388" i="4"/>
  <c r="AV388" i="4"/>
  <c r="AU388" i="4"/>
  <c r="AT388" i="4"/>
  <c r="AY387" i="4"/>
  <c r="AX387" i="4"/>
  <c r="AW387" i="4"/>
  <c r="AV387" i="4"/>
  <c r="AU387" i="4"/>
  <c r="AT387" i="4"/>
  <c r="AY386" i="4"/>
  <c r="AX386" i="4"/>
  <c r="AW386" i="4"/>
  <c r="AV386" i="4"/>
  <c r="AU386" i="4"/>
  <c r="AT386" i="4"/>
  <c r="AY385" i="4"/>
  <c r="AX385" i="4"/>
  <c r="AW385" i="4"/>
  <c r="AV385" i="4"/>
  <c r="AU385" i="4"/>
  <c r="AT385" i="4"/>
  <c r="AY384" i="4"/>
  <c r="AX384" i="4"/>
  <c r="AW384" i="4"/>
  <c r="AV384" i="4"/>
  <c r="AU384" i="4"/>
  <c r="AT384" i="4"/>
  <c r="AY383" i="4"/>
  <c r="AX383" i="4"/>
  <c r="AW383" i="4"/>
  <c r="AV383" i="4"/>
  <c r="AU383" i="4"/>
  <c r="AT383" i="4"/>
  <c r="AY382" i="4"/>
  <c r="AX382" i="4"/>
  <c r="AW382" i="4"/>
  <c r="AV382" i="4"/>
  <c r="AU382" i="4"/>
  <c r="AT382" i="4"/>
  <c r="AY381" i="4"/>
  <c r="AX381" i="4"/>
  <c r="AW381" i="4"/>
  <c r="AV381" i="4"/>
  <c r="AU381" i="4"/>
  <c r="AT381" i="4"/>
  <c r="AY380" i="4"/>
  <c r="AX380" i="4"/>
  <c r="AW380" i="4"/>
  <c r="AV380" i="4"/>
  <c r="AU380" i="4"/>
  <c r="AT380" i="4"/>
  <c r="AY379" i="4"/>
  <c r="AX379" i="4"/>
  <c r="AW379" i="4"/>
  <c r="AV379" i="4"/>
  <c r="AU379" i="4"/>
  <c r="AT379" i="4"/>
  <c r="AY378" i="4"/>
  <c r="AX378" i="4"/>
  <c r="AW378" i="4"/>
  <c r="AV378" i="4"/>
  <c r="AU378" i="4"/>
  <c r="AT378" i="4"/>
  <c r="AY377" i="4"/>
  <c r="AX377" i="4"/>
  <c r="AW377" i="4"/>
  <c r="AV377" i="4"/>
  <c r="AU377" i="4"/>
  <c r="AT377" i="4"/>
  <c r="AY376" i="4"/>
  <c r="AX376" i="4"/>
  <c r="AW376" i="4"/>
  <c r="AV376" i="4"/>
  <c r="AU376" i="4"/>
  <c r="AT376" i="4"/>
  <c r="AY375" i="4"/>
  <c r="AX375" i="4"/>
  <c r="AW375" i="4"/>
  <c r="AV375" i="4"/>
  <c r="AU375" i="4"/>
  <c r="AT375" i="4"/>
  <c r="AY374" i="4"/>
  <c r="AX374" i="4"/>
  <c r="AW374" i="4"/>
  <c r="AV374" i="4"/>
  <c r="AU374" i="4"/>
  <c r="AT374" i="4"/>
  <c r="AY373" i="4"/>
  <c r="AX373" i="4"/>
  <c r="AW373" i="4"/>
  <c r="AV373" i="4"/>
  <c r="AU373" i="4"/>
  <c r="AT373" i="4"/>
  <c r="AY372" i="4"/>
  <c r="AX372" i="4"/>
  <c r="AW372" i="4"/>
  <c r="AV372" i="4"/>
  <c r="AU372" i="4"/>
  <c r="AT372" i="4"/>
  <c r="AY371" i="4"/>
  <c r="AX371" i="4"/>
  <c r="AW371" i="4"/>
  <c r="AV371" i="4"/>
  <c r="AU371" i="4"/>
  <c r="AT371" i="4"/>
  <c r="AY370" i="4"/>
  <c r="AX370" i="4"/>
  <c r="AW370" i="4"/>
  <c r="AV370" i="4"/>
  <c r="AU370" i="4"/>
  <c r="AT370" i="4"/>
  <c r="AY369" i="4"/>
  <c r="AX369" i="4"/>
  <c r="AW369" i="4"/>
  <c r="AV369" i="4"/>
  <c r="AU369" i="4"/>
  <c r="AT369" i="4"/>
  <c r="AY368" i="4"/>
  <c r="AX368" i="4"/>
  <c r="AW368" i="4"/>
  <c r="AV368" i="4"/>
  <c r="AU368" i="4"/>
  <c r="AT368" i="4"/>
  <c r="AY367" i="4"/>
  <c r="AX367" i="4"/>
  <c r="AW367" i="4"/>
  <c r="AV367" i="4"/>
  <c r="AU367" i="4"/>
  <c r="AT367" i="4"/>
  <c r="AY366" i="4"/>
  <c r="AX366" i="4"/>
  <c r="AW366" i="4"/>
  <c r="AV366" i="4"/>
  <c r="AU366" i="4"/>
  <c r="AT366" i="4"/>
  <c r="AY365" i="4"/>
  <c r="AX365" i="4"/>
  <c r="AW365" i="4"/>
  <c r="AV365" i="4"/>
  <c r="AU365" i="4"/>
  <c r="AT365" i="4"/>
  <c r="AY364" i="4"/>
  <c r="AX364" i="4"/>
  <c r="AW364" i="4"/>
  <c r="AV364" i="4"/>
  <c r="AU364" i="4"/>
  <c r="AT364" i="4"/>
  <c r="AY363" i="4"/>
  <c r="AX363" i="4"/>
  <c r="AW363" i="4"/>
  <c r="AV363" i="4"/>
  <c r="AU363" i="4"/>
  <c r="AT363" i="4"/>
  <c r="AY362" i="4"/>
  <c r="AX362" i="4"/>
  <c r="AW362" i="4"/>
  <c r="AV362" i="4"/>
  <c r="AU362" i="4"/>
  <c r="AT362" i="4"/>
  <c r="AY361" i="4"/>
  <c r="AX361" i="4"/>
  <c r="AW361" i="4"/>
  <c r="AV361" i="4"/>
  <c r="AU361" i="4"/>
  <c r="AT361" i="4"/>
  <c r="AY360" i="4"/>
  <c r="AX360" i="4"/>
  <c r="AW360" i="4"/>
  <c r="AV360" i="4"/>
  <c r="AU360" i="4"/>
  <c r="AT360" i="4"/>
  <c r="AY359" i="4"/>
  <c r="AX359" i="4"/>
  <c r="AW359" i="4"/>
  <c r="AV359" i="4"/>
  <c r="AU359" i="4"/>
  <c r="AT359" i="4"/>
  <c r="AY358" i="4"/>
  <c r="AX358" i="4"/>
  <c r="AW358" i="4"/>
  <c r="AV358" i="4"/>
  <c r="AU358" i="4"/>
  <c r="AT358" i="4"/>
  <c r="AY357" i="4"/>
  <c r="AX357" i="4"/>
  <c r="AW357" i="4"/>
  <c r="AV357" i="4"/>
  <c r="AU357" i="4"/>
  <c r="AT357" i="4"/>
  <c r="AY356" i="4"/>
  <c r="AX356" i="4"/>
  <c r="AW356" i="4"/>
  <c r="AV356" i="4"/>
  <c r="AU356" i="4"/>
  <c r="AT356" i="4"/>
  <c r="AY355" i="4"/>
  <c r="AX355" i="4"/>
  <c r="AW355" i="4"/>
  <c r="AV355" i="4"/>
  <c r="AU355" i="4"/>
  <c r="AT355" i="4"/>
  <c r="AY354" i="4"/>
  <c r="AX354" i="4"/>
  <c r="AW354" i="4"/>
  <c r="AV354" i="4"/>
  <c r="AU354" i="4"/>
  <c r="AT354" i="4"/>
  <c r="AY353" i="4"/>
  <c r="AX353" i="4"/>
  <c r="AW353" i="4"/>
  <c r="AV353" i="4"/>
  <c r="AU353" i="4"/>
  <c r="AT353" i="4"/>
  <c r="AY352" i="4"/>
  <c r="AX352" i="4"/>
  <c r="AW352" i="4"/>
  <c r="AV352" i="4"/>
  <c r="AU352" i="4"/>
  <c r="AT352" i="4"/>
  <c r="AY351" i="4"/>
  <c r="AX351" i="4"/>
  <c r="AW351" i="4"/>
  <c r="AV351" i="4"/>
  <c r="AU351" i="4"/>
  <c r="AT351" i="4"/>
  <c r="AY350" i="4"/>
  <c r="AX350" i="4"/>
  <c r="AW350" i="4"/>
  <c r="AV350" i="4"/>
  <c r="AU350" i="4"/>
  <c r="AT350" i="4"/>
  <c r="AY349" i="4"/>
  <c r="AX349" i="4"/>
  <c r="AW349" i="4"/>
  <c r="AV349" i="4"/>
  <c r="AU349" i="4"/>
  <c r="AT349" i="4"/>
  <c r="AY348" i="4"/>
  <c r="AX348" i="4"/>
  <c r="AW348" i="4"/>
  <c r="AV348" i="4"/>
  <c r="AU348" i="4"/>
  <c r="AT348" i="4"/>
  <c r="AY347" i="4"/>
  <c r="AX347" i="4"/>
  <c r="AW347" i="4"/>
  <c r="AV347" i="4"/>
  <c r="AU347" i="4"/>
  <c r="AT347" i="4"/>
  <c r="AY346" i="4"/>
  <c r="AX346" i="4"/>
  <c r="AW346" i="4"/>
  <c r="AV346" i="4"/>
  <c r="AU346" i="4"/>
  <c r="AT346" i="4"/>
  <c r="AY345" i="4"/>
  <c r="AX345" i="4"/>
  <c r="AW345" i="4"/>
  <c r="AV345" i="4"/>
  <c r="AU345" i="4"/>
  <c r="AT345" i="4"/>
  <c r="AY344" i="4"/>
  <c r="AX344" i="4"/>
  <c r="AW344" i="4"/>
  <c r="AV344" i="4"/>
  <c r="AU344" i="4"/>
  <c r="AT344" i="4"/>
  <c r="AY343" i="4"/>
  <c r="AX343" i="4"/>
  <c r="AW343" i="4"/>
  <c r="AV343" i="4"/>
  <c r="AU343" i="4"/>
  <c r="AT343" i="4"/>
  <c r="AY342" i="4"/>
  <c r="AX342" i="4"/>
  <c r="AW342" i="4"/>
  <c r="AV342" i="4"/>
  <c r="AU342" i="4"/>
  <c r="AT342" i="4"/>
  <c r="AY341" i="4"/>
  <c r="AX341" i="4"/>
  <c r="AW341" i="4"/>
  <c r="AV341" i="4"/>
  <c r="AU341" i="4"/>
  <c r="AT341" i="4"/>
  <c r="AY340" i="4"/>
  <c r="AX340" i="4"/>
  <c r="AW340" i="4"/>
  <c r="AV340" i="4"/>
  <c r="AU340" i="4"/>
  <c r="AT340" i="4"/>
  <c r="AY339" i="4"/>
  <c r="AX339" i="4"/>
  <c r="AW339" i="4"/>
  <c r="AV339" i="4"/>
  <c r="AU339" i="4"/>
  <c r="AT339" i="4"/>
  <c r="AY338" i="4"/>
  <c r="AX338" i="4"/>
  <c r="AW338" i="4"/>
  <c r="AV338" i="4"/>
  <c r="AU338" i="4"/>
  <c r="AT338" i="4"/>
  <c r="AY337" i="4"/>
  <c r="AX337" i="4"/>
  <c r="AW337" i="4"/>
  <c r="AV337" i="4"/>
  <c r="AU337" i="4"/>
  <c r="AT337" i="4"/>
  <c r="AY336" i="4"/>
  <c r="AX336" i="4"/>
  <c r="AW336" i="4"/>
  <c r="AV336" i="4"/>
  <c r="AU336" i="4"/>
  <c r="AT336" i="4"/>
  <c r="AY335" i="4"/>
  <c r="AX335" i="4"/>
  <c r="AW335" i="4"/>
  <c r="AV335" i="4"/>
  <c r="AU335" i="4"/>
  <c r="AT335" i="4"/>
  <c r="AY334" i="4"/>
  <c r="AX334" i="4"/>
  <c r="AW334" i="4"/>
  <c r="AV334" i="4"/>
  <c r="AU334" i="4"/>
  <c r="AT334" i="4"/>
  <c r="AY333" i="4"/>
  <c r="AX333" i="4"/>
  <c r="AW333" i="4"/>
  <c r="AV333" i="4"/>
  <c r="AU333" i="4"/>
  <c r="AT333" i="4"/>
  <c r="AY332" i="4"/>
  <c r="AX332" i="4"/>
  <c r="AW332" i="4"/>
  <c r="AV332" i="4"/>
  <c r="AU332" i="4"/>
  <c r="AT332" i="4"/>
  <c r="AY331" i="4"/>
  <c r="AX331" i="4"/>
  <c r="AW331" i="4"/>
  <c r="AV331" i="4"/>
  <c r="AU331" i="4"/>
  <c r="AT331" i="4"/>
  <c r="AY330" i="4"/>
  <c r="AX330" i="4"/>
  <c r="AW330" i="4"/>
  <c r="AV330" i="4"/>
  <c r="AU330" i="4"/>
  <c r="AT330" i="4"/>
  <c r="AY329" i="4"/>
  <c r="AX329" i="4"/>
  <c r="AW329" i="4"/>
  <c r="AV329" i="4"/>
  <c r="AU329" i="4"/>
  <c r="AT329" i="4"/>
  <c r="AY328" i="4"/>
  <c r="AX328" i="4"/>
  <c r="AW328" i="4"/>
  <c r="AV328" i="4"/>
  <c r="AU328" i="4"/>
  <c r="AT328" i="4"/>
  <c r="AY327" i="4"/>
  <c r="AX327" i="4"/>
  <c r="AW327" i="4"/>
  <c r="AV327" i="4"/>
  <c r="AU327" i="4"/>
  <c r="AT327" i="4"/>
  <c r="AY326" i="4"/>
  <c r="AX326" i="4"/>
  <c r="AW326" i="4"/>
  <c r="AV326" i="4"/>
  <c r="AU326" i="4"/>
  <c r="AT326" i="4"/>
  <c r="AY325" i="4"/>
  <c r="AX325" i="4"/>
  <c r="AW325" i="4"/>
  <c r="AV325" i="4"/>
  <c r="AU325" i="4"/>
  <c r="AT325" i="4"/>
  <c r="AY324" i="4"/>
  <c r="AX324" i="4"/>
  <c r="AW324" i="4"/>
  <c r="AV324" i="4"/>
  <c r="AU324" i="4"/>
  <c r="AT324" i="4"/>
  <c r="AY323" i="4"/>
  <c r="AX323" i="4"/>
  <c r="AW323" i="4"/>
  <c r="AV323" i="4"/>
  <c r="AU323" i="4"/>
  <c r="AT323" i="4"/>
  <c r="AY322" i="4"/>
  <c r="AX322" i="4"/>
  <c r="AW322" i="4"/>
  <c r="AV322" i="4"/>
  <c r="AU322" i="4"/>
  <c r="AT322" i="4"/>
  <c r="AY321" i="4"/>
  <c r="AX321" i="4"/>
  <c r="AW321" i="4"/>
  <c r="AV321" i="4"/>
  <c r="AU321" i="4"/>
  <c r="AT321" i="4"/>
  <c r="AY320" i="4"/>
  <c r="AX320" i="4"/>
  <c r="AW320" i="4"/>
  <c r="AV320" i="4"/>
  <c r="AU320" i="4"/>
  <c r="AT320" i="4"/>
  <c r="AY319" i="4"/>
  <c r="AX319" i="4"/>
  <c r="AW319" i="4"/>
  <c r="AV319" i="4"/>
  <c r="AU319" i="4"/>
  <c r="AT319" i="4"/>
  <c r="AY318" i="4"/>
  <c r="AX318" i="4"/>
  <c r="AW318" i="4"/>
  <c r="AV318" i="4"/>
  <c r="AU318" i="4"/>
  <c r="AT318" i="4"/>
  <c r="AY317" i="4"/>
  <c r="AX317" i="4"/>
  <c r="AW317" i="4"/>
  <c r="AV317" i="4"/>
  <c r="AU317" i="4"/>
  <c r="AT317" i="4"/>
  <c r="AY316" i="4"/>
  <c r="AX316" i="4"/>
  <c r="AW316" i="4"/>
  <c r="AV316" i="4"/>
  <c r="AU316" i="4"/>
  <c r="AT316" i="4"/>
  <c r="AY315" i="4"/>
  <c r="AX315" i="4"/>
  <c r="AW315" i="4"/>
  <c r="AV315" i="4"/>
  <c r="AU315" i="4"/>
  <c r="AT315" i="4"/>
  <c r="AY314" i="4"/>
  <c r="AX314" i="4"/>
  <c r="AW314" i="4"/>
  <c r="AV314" i="4"/>
  <c r="AU314" i="4"/>
  <c r="AT314" i="4"/>
  <c r="AY313" i="4"/>
  <c r="AX313" i="4"/>
  <c r="AW313" i="4"/>
  <c r="AV313" i="4"/>
  <c r="AU313" i="4"/>
  <c r="AT313" i="4"/>
  <c r="AY312" i="4"/>
  <c r="AX312" i="4"/>
  <c r="AW312" i="4"/>
  <c r="AV312" i="4"/>
  <c r="AU312" i="4"/>
  <c r="AT312" i="4"/>
  <c r="AY311" i="4"/>
  <c r="AX311" i="4"/>
  <c r="AW311" i="4"/>
  <c r="AV311" i="4"/>
  <c r="AU311" i="4"/>
  <c r="AT311" i="4"/>
  <c r="AY310" i="4"/>
  <c r="AX310" i="4"/>
  <c r="AW310" i="4"/>
  <c r="AV310" i="4"/>
  <c r="AU310" i="4"/>
  <c r="AT310" i="4"/>
  <c r="AY309" i="4"/>
  <c r="AX309" i="4"/>
  <c r="AW309" i="4"/>
  <c r="AV309" i="4"/>
  <c r="AU309" i="4"/>
  <c r="AT309" i="4"/>
  <c r="AY308" i="4"/>
  <c r="AX308" i="4"/>
  <c r="AW308" i="4"/>
  <c r="AV308" i="4"/>
  <c r="AU308" i="4"/>
  <c r="AT308" i="4"/>
  <c r="AY307" i="4"/>
  <c r="AX307" i="4"/>
  <c r="AW307" i="4"/>
  <c r="AV307" i="4"/>
  <c r="AU307" i="4"/>
  <c r="AT307" i="4"/>
  <c r="AY306" i="4"/>
  <c r="AX306" i="4"/>
  <c r="AW306" i="4"/>
  <c r="AV306" i="4"/>
  <c r="AU306" i="4"/>
  <c r="AT306" i="4"/>
  <c r="AY305" i="4"/>
  <c r="AX305" i="4"/>
  <c r="AW305" i="4"/>
  <c r="AV305" i="4"/>
  <c r="AU305" i="4"/>
  <c r="AT305" i="4"/>
  <c r="AY304" i="4"/>
  <c r="AX304" i="4"/>
  <c r="AW304" i="4"/>
  <c r="AV304" i="4"/>
  <c r="AU304" i="4"/>
  <c r="AT304" i="4"/>
  <c r="AY303" i="4"/>
  <c r="AX303" i="4"/>
  <c r="AW303" i="4"/>
  <c r="AV303" i="4"/>
  <c r="AU303" i="4"/>
  <c r="AT303" i="4"/>
  <c r="AY302" i="4"/>
  <c r="AX302" i="4"/>
  <c r="AW302" i="4"/>
  <c r="AV302" i="4"/>
  <c r="AU302" i="4"/>
  <c r="AT302" i="4"/>
  <c r="AY301" i="4"/>
  <c r="AX301" i="4"/>
  <c r="AW301" i="4"/>
  <c r="AV301" i="4"/>
  <c r="AU301" i="4"/>
  <c r="AT301" i="4"/>
  <c r="AY300" i="4"/>
  <c r="AX300" i="4"/>
  <c r="AW300" i="4"/>
  <c r="AV300" i="4"/>
  <c r="AU300" i="4"/>
  <c r="AT300" i="4"/>
  <c r="AY299" i="4"/>
  <c r="AX299" i="4"/>
  <c r="AW299" i="4"/>
  <c r="AV299" i="4"/>
  <c r="AU299" i="4"/>
  <c r="AT299" i="4"/>
  <c r="AY298" i="4"/>
  <c r="AX298" i="4"/>
  <c r="AW298" i="4"/>
  <c r="AV298" i="4"/>
  <c r="AU298" i="4"/>
  <c r="AT298" i="4"/>
  <c r="AY297" i="4"/>
  <c r="AX297" i="4"/>
  <c r="AW297" i="4"/>
  <c r="AV297" i="4"/>
  <c r="AU297" i="4"/>
  <c r="AT297" i="4"/>
  <c r="AY296" i="4"/>
  <c r="AX296" i="4"/>
  <c r="AW296" i="4"/>
  <c r="AV296" i="4"/>
  <c r="AU296" i="4"/>
  <c r="AT296" i="4"/>
  <c r="AY295" i="4"/>
  <c r="AX295" i="4"/>
  <c r="AW295" i="4"/>
  <c r="AV295" i="4"/>
  <c r="AU295" i="4"/>
  <c r="AT295" i="4"/>
  <c r="AY294" i="4"/>
  <c r="AX294" i="4"/>
  <c r="AW294" i="4"/>
  <c r="AV294" i="4"/>
  <c r="AU294" i="4"/>
  <c r="AT294" i="4"/>
  <c r="AY293" i="4"/>
  <c r="AX293" i="4"/>
  <c r="AW293" i="4"/>
  <c r="AV293" i="4"/>
  <c r="AU293" i="4"/>
  <c r="AT293" i="4"/>
  <c r="AY292" i="4"/>
  <c r="AX292" i="4"/>
  <c r="AW292" i="4"/>
  <c r="AV292" i="4"/>
  <c r="AU292" i="4"/>
  <c r="AT292" i="4"/>
  <c r="AY291" i="4"/>
  <c r="AX291" i="4"/>
  <c r="AW291" i="4"/>
  <c r="AV291" i="4"/>
  <c r="AU291" i="4"/>
  <c r="AT291" i="4"/>
  <c r="AY290" i="4"/>
  <c r="AX290" i="4"/>
  <c r="AW290" i="4"/>
  <c r="AV290" i="4"/>
  <c r="AU290" i="4"/>
  <c r="AT290" i="4"/>
  <c r="AY289" i="4"/>
  <c r="AX289" i="4"/>
  <c r="AW289" i="4"/>
  <c r="AV289" i="4"/>
  <c r="AU289" i="4"/>
  <c r="AT289" i="4"/>
  <c r="AY288" i="4"/>
  <c r="AX288" i="4"/>
  <c r="AW288" i="4"/>
  <c r="AV288" i="4"/>
  <c r="AU288" i="4"/>
  <c r="AT288" i="4"/>
  <c r="AY287" i="4"/>
  <c r="AX287" i="4"/>
  <c r="AW287" i="4"/>
  <c r="AV287" i="4"/>
  <c r="AU287" i="4"/>
  <c r="AT287" i="4"/>
  <c r="AY286" i="4"/>
  <c r="AX286" i="4"/>
  <c r="AW286" i="4"/>
  <c r="AV286" i="4"/>
  <c r="AU286" i="4"/>
  <c r="AT286" i="4"/>
  <c r="AY285" i="4"/>
  <c r="AX285" i="4"/>
  <c r="AW285" i="4"/>
  <c r="AV285" i="4"/>
  <c r="AU285" i="4"/>
  <c r="AT285" i="4"/>
  <c r="AY284" i="4"/>
  <c r="AX284" i="4"/>
  <c r="AW284" i="4"/>
  <c r="AV284" i="4"/>
  <c r="AU284" i="4"/>
  <c r="AT284" i="4"/>
  <c r="AY283" i="4"/>
  <c r="AX283" i="4"/>
  <c r="AW283" i="4"/>
  <c r="AV283" i="4"/>
  <c r="AU283" i="4"/>
  <c r="AT283" i="4"/>
  <c r="AY282" i="4"/>
  <c r="AX282" i="4"/>
  <c r="AW282" i="4"/>
  <c r="AV282" i="4"/>
  <c r="AU282" i="4"/>
  <c r="AT282" i="4"/>
  <c r="AY281" i="4"/>
  <c r="AX281" i="4"/>
  <c r="AW281" i="4"/>
  <c r="AV281" i="4"/>
  <c r="AU281" i="4"/>
  <c r="AT281" i="4"/>
  <c r="AY280" i="4"/>
  <c r="AX280" i="4"/>
  <c r="AW280" i="4"/>
  <c r="AV280" i="4"/>
  <c r="AU280" i="4"/>
  <c r="AT280" i="4"/>
  <c r="AY279" i="4"/>
  <c r="AX279" i="4"/>
  <c r="AW279" i="4"/>
  <c r="AV279" i="4"/>
  <c r="AU279" i="4"/>
  <c r="AT279" i="4"/>
  <c r="AY278" i="4"/>
  <c r="AX278" i="4"/>
  <c r="AW278" i="4"/>
  <c r="AV278" i="4"/>
  <c r="AU278" i="4"/>
  <c r="AT278" i="4"/>
  <c r="AY277" i="4"/>
  <c r="AX277" i="4"/>
  <c r="AW277" i="4"/>
  <c r="AV277" i="4"/>
  <c r="AU277" i="4"/>
  <c r="AT277" i="4"/>
  <c r="AY276" i="4"/>
  <c r="AX276" i="4"/>
  <c r="AW276" i="4"/>
  <c r="AV276" i="4"/>
  <c r="AU276" i="4"/>
  <c r="AT276" i="4"/>
  <c r="AY275" i="4"/>
  <c r="AX275" i="4"/>
  <c r="AW275" i="4"/>
  <c r="AV275" i="4"/>
  <c r="AU275" i="4"/>
  <c r="AT275" i="4"/>
  <c r="AY274" i="4"/>
  <c r="AX274" i="4"/>
  <c r="AW274" i="4"/>
  <c r="AV274" i="4"/>
  <c r="AU274" i="4"/>
  <c r="AT274" i="4"/>
  <c r="AY273" i="4"/>
  <c r="AX273" i="4"/>
  <c r="AW273" i="4"/>
  <c r="AV273" i="4"/>
  <c r="AU273" i="4"/>
  <c r="AT273" i="4"/>
  <c r="AY272" i="4"/>
  <c r="AX272" i="4"/>
  <c r="AW272" i="4"/>
  <c r="AV272" i="4"/>
  <c r="AU272" i="4"/>
  <c r="AT272" i="4"/>
  <c r="AY271" i="4"/>
  <c r="AX271" i="4"/>
  <c r="AW271" i="4"/>
  <c r="AV271" i="4"/>
  <c r="AU271" i="4"/>
  <c r="AT271" i="4"/>
  <c r="AY270" i="4"/>
  <c r="AX270" i="4"/>
  <c r="AW270" i="4"/>
  <c r="AV270" i="4"/>
  <c r="AU270" i="4"/>
  <c r="AT270" i="4"/>
  <c r="AY269" i="4"/>
  <c r="AX269" i="4"/>
  <c r="AW269" i="4"/>
  <c r="AV269" i="4"/>
  <c r="AU269" i="4"/>
  <c r="AT269" i="4"/>
  <c r="AY268" i="4"/>
  <c r="AX268" i="4"/>
  <c r="AW268" i="4"/>
  <c r="AV268" i="4"/>
  <c r="AU268" i="4"/>
  <c r="AT268" i="4"/>
  <c r="AY267" i="4"/>
  <c r="AX267" i="4"/>
  <c r="AW267" i="4"/>
  <c r="AV267" i="4"/>
  <c r="AU267" i="4"/>
  <c r="AT267" i="4"/>
  <c r="AY266" i="4"/>
  <c r="AX266" i="4"/>
  <c r="AW266" i="4"/>
  <c r="AV266" i="4"/>
  <c r="AU266" i="4"/>
  <c r="AT266" i="4"/>
  <c r="AY265" i="4"/>
  <c r="AX265" i="4"/>
  <c r="AW265" i="4"/>
  <c r="AV265" i="4"/>
  <c r="AU265" i="4"/>
  <c r="AT265" i="4"/>
  <c r="AY264" i="4"/>
  <c r="AX264" i="4"/>
  <c r="AW264" i="4"/>
  <c r="AV264" i="4"/>
  <c r="AU264" i="4"/>
  <c r="AT264" i="4"/>
  <c r="AY263" i="4"/>
  <c r="AX263" i="4"/>
  <c r="AW263" i="4"/>
  <c r="AV263" i="4"/>
  <c r="AU263" i="4"/>
  <c r="AT263" i="4"/>
  <c r="AY262" i="4"/>
  <c r="AX262" i="4"/>
  <c r="AW262" i="4"/>
  <c r="AV262" i="4"/>
  <c r="AU262" i="4"/>
  <c r="AT262" i="4"/>
  <c r="AY261" i="4"/>
  <c r="AX261" i="4"/>
  <c r="AW261" i="4"/>
  <c r="AV261" i="4"/>
  <c r="AU261" i="4"/>
  <c r="AT261" i="4"/>
  <c r="AY260" i="4"/>
  <c r="AX260" i="4"/>
  <c r="AW260" i="4"/>
  <c r="AV260" i="4"/>
  <c r="AU260" i="4"/>
  <c r="AT260" i="4"/>
  <c r="AY259" i="4"/>
  <c r="AX259" i="4"/>
  <c r="AW259" i="4"/>
  <c r="AV259" i="4"/>
  <c r="AU259" i="4"/>
  <c r="AT259" i="4"/>
  <c r="AY258" i="4"/>
  <c r="AX258" i="4"/>
  <c r="AW258" i="4"/>
  <c r="AV258" i="4"/>
  <c r="AU258" i="4"/>
  <c r="AT258" i="4"/>
  <c r="AY257" i="4"/>
  <c r="AX257" i="4"/>
  <c r="AW257" i="4"/>
  <c r="AV257" i="4"/>
  <c r="AU257" i="4"/>
  <c r="AT257" i="4"/>
  <c r="AY256" i="4"/>
  <c r="AX256" i="4"/>
  <c r="AW256" i="4"/>
  <c r="AV256" i="4"/>
  <c r="AU256" i="4"/>
  <c r="AT256" i="4"/>
  <c r="AY255" i="4"/>
  <c r="AX255" i="4"/>
  <c r="AW255" i="4"/>
  <c r="AV255" i="4"/>
  <c r="AU255" i="4"/>
  <c r="AT255" i="4"/>
  <c r="AY254" i="4"/>
  <c r="AX254" i="4"/>
  <c r="AW254" i="4"/>
  <c r="AV254" i="4"/>
  <c r="AU254" i="4"/>
  <c r="AT254" i="4"/>
  <c r="AY253" i="4"/>
  <c r="AX253" i="4"/>
  <c r="AW253" i="4"/>
  <c r="AV253" i="4"/>
  <c r="AU253" i="4"/>
  <c r="AT253" i="4"/>
  <c r="AY252" i="4"/>
  <c r="AX252" i="4"/>
  <c r="AW252" i="4"/>
  <c r="AV252" i="4"/>
  <c r="AU252" i="4"/>
  <c r="AT252" i="4"/>
  <c r="AY251" i="4"/>
  <c r="AX251" i="4"/>
  <c r="AW251" i="4"/>
  <c r="AV251" i="4"/>
  <c r="AU251" i="4"/>
  <c r="AT251" i="4"/>
  <c r="AY250" i="4"/>
  <c r="AX250" i="4"/>
  <c r="AW250" i="4"/>
  <c r="AV250" i="4"/>
  <c r="AU250" i="4"/>
  <c r="AT250" i="4"/>
  <c r="AY249" i="4"/>
  <c r="AX249" i="4"/>
  <c r="AW249" i="4"/>
  <c r="AV249" i="4"/>
  <c r="AU249" i="4"/>
  <c r="AT249" i="4"/>
  <c r="AY248" i="4"/>
  <c r="AX248" i="4"/>
  <c r="AW248" i="4"/>
  <c r="AV248" i="4"/>
  <c r="AU248" i="4"/>
  <c r="AT248" i="4"/>
  <c r="AY247" i="4"/>
  <c r="AX247" i="4"/>
  <c r="AW247" i="4"/>
  <c r="AV247" i="4"/>
  <c r="AU247" i="4"/>
  <c r="AT247" i="4"/>
  <c r="AY246" i="4"/>
  <c r="AX246" i="4"/>
  <c r="AW246" i="4"/>
  <c r="AV246" i="4"/>
  <c r="AU246" i="4"/>
  <c r="AT246" i="4"/>
  <c r="AY245" i="4"/>
  <c r="AX245" i="4"/>
  <c r="AW245" i="4"/>
  <c r="AV245" i="4"/>
  <c r="AU245" i="4"/>
  <c r="AT245" i="4"/>
  <c r="AY244" i="4"/>
  <c r="AX244" i="4"/>
  <c r="AW244" i="4"/>
  <c r="AV244" i="4"/>
  <c r="AU244" i="4"/>
  <c r="AT244" i="4"/>
  <c r="AY243" i="4"/>
  <c r="AX243" i="4"/>
  <c r="AW243" i="4"/>
  <c r="AV243" i="4"/>
  <c r="AU243" i="4"/>
  <c r="AT243" i="4"/>
  <c r="AY242" i="4"/>
  <c r="AX242" i="4"/>
  <c r="AW242" i="4"/>
  <c r="AV242" i="4"/>
  <c r="AU242" i="4"/>
  <c r="AT242" i="4"/>
  <c r="AY241" i="4"/>
  <c r="AX241" i="4"/>
  <c r="AW241" i="4"/>
  <c r="AV241" i="4"/>
  <c r="AU241" i="4"/>
  <c r="AT241" i="4"/>
  <c r="AY240" i="4"/>
  <c r="AX240" i="4"/>
  <c r="AW240" i="4"/>
  <c r="AV240" i="4"/>
  <c r="AU240" i="4"/>
  <c r="AT240" i="4"/>
  <c r="AY239" i="4"/>
  <c r="AX239" i="4"/>
  <c r="AW239" i="4"/>
  <c r="AV239" i="4"/>
  <c r="AU239" i="4"/>
  <c r="AT239" i="4"/>
  <c r="AY238" i="4"/>
  <c r="AX238" i="4"/>
  <c r="AW238" i="4"/>
  <c r="AV238" i="4"/>
  <c r="AU238" i="4"/>
  <c r="AT238" i="4"/>
  <c r="AY237" i="4"/>
  <c r="AX237" i="4"/>
  <c r="AW237" i="4"/>
  <c r="AV237" i="4"/>
  <c r="AU237" i="4"/>
  <c r="AT237" i="4"/>
  <c r="AY236" i="4"/>
  <c r="AX236" i="4"/>
  <c r="AW236" i="4"/>
  <c r="AV236" i="4"/>
  <c r="AU236" i="4"/>
  <c r="AT236" i="4"/>
  <c r="AY235" i="4"/>
  <c r="AX235" i="4"/>
  <c r="AW235" i="4"/>
  <c r="AV235" i="4"/>
  <c r="AU235" i="4"/>
  <c r="AT235" i="4"/>
  <c r="AY234" i="4"/>
  <c r="AX234" i="4"/>
  <c r="AW234" i="4"/>
  <c r="AV234" i="4"/>
  <c r="AU234" i="4"/>
  <c r="AT234" i="4"/>
  <c r="AY233" i="4"/>
  <c r="AX233" i="4"/>
  <c r="AW233" i="4"/>
  <c r="AV233" i="4"/>
  <c r="AU233" i="4"/>
  <c r="AT233" i="4"/>
  <c r="AY232" i="4"/>
  <c r="AX232" i="4"/>
  <c r="AW232" i="4"/>
  <c r="AV232" i="4"/>
  <c r="AU232" i="4"/>
  <c r="AT232" i="4"/>
  <c r="AY231" i="4"/>
  <c r="AX231" i="4"/>
  <c r="AW231" i="4"/>
  <c r="AV231" i="4"/>
  <c r="AU231" i="4"/>
  <c r="AT231" i="4"/>
  <c r="AY230" i="4"/>
  <c r="AX230" i="4"/>
  <c r="AW230" i="4"/>
  <c r="AV230" i="4"/>
  <c r="AU230" i="4"/>
  <c r="AT230" i="4"/>
  <c r="AY229" i="4"/>
  <c r="AX229" i="4"/>
  <c r="AW229" i="4"/>
  <c r="AV229" i="4"/>
  <c r="AU229" i="4"/>
  <c r="AT229" i="4"/>
  <c r="AY228" i="4"/>
  <c r="AX228" i="4"/>
  <c r="AW228" i="4"/>
  <c r="AV228" i="4"/>
  <c r="AU228" i="4"/>
  <c r="AT228" i="4"/>
  <c r="AY227" i="4"/>
  <c r="AX227" i="4"/>
  <c r="AW227" i="4"/>
  <c r="AV227" i="4"/>
  <c r="AU227" i="4"/>
  <c r="AT227" i="4"/>
  <c r="AY226" i="4"/>
  <c r="AX226" i="4"/>
  <c r="AW226" i="4"/>
  <c r="AV226" i="4"/>
  <c r="AU226" i="4"/>
  <c r="AT226" i="4"/>
  <c r="AY225" i="4"/>
  <c r="AX225" i="4"/>
  <c r="AW225" i="4"/>
  <c r="AV225" i="4"/>
  <c r="AU225" i="4"/>
  <c r="AT225" i="4"/>
  <c r="AY224" i="4"/>
  <c r="AX224" i="4"/>
  <c r="AW224" i="4"/>
  <c r="AV224" i="4"/>
  <c r="AU224" i="4"/>
  <c r="AT224" i="4"/>
  <c r="AY223" i="4"/>
  <c r="AX223" i="4"/>
  <c r="AW223" i="4"/>
  <c r="AV223" i="4"/>
  <c r="AU223" i="4"/>
  <c r="AT223" i="4"/>
  <c r="AY222" i="4"/>
  <c r="AX222" i="4"/>
  <c r="AW222" i="4"/>
  <c r="AV222" i="4"/>
  <c r="AU222" i="4"/>
  <c r="AT222" i="4"/>
  <c r="AY221" i="4"/>
  <c r="AX221" i="4"/>
  <c r="AW221" i="4"/>
  <c r="AV221" i="4"/>
  <c r="AU221" i="4"/>
  <c r="AT221" i="4"/>
  <c r="AY220" i="4"/>
  <c r="AX220" i="4"/>
  <c r="AW220" i="4"/>
  <c r="AV220" i="4"/>
  <c r="AU220" i="4"/>
  <c r="AT220" i="4"/>
  <c r="AY219" i="4"/>
  <c r="AX219" i="4"/>
  <c r="AW219" i="4"/>
  <c r="AV219" i="4"/>
  <c r="AU219" i="4"/>
  <c r="AT219" i="4"/>
  <c r="AY218" i="4"/>
  <c r="AX218" i="4"/>
  <c r="AW218" i="4"/>
  <c r="AV218" i="4"/>
  <c r="AU218" i="4"/>
  <c r="AT218" i="4"/>
  <c r="AY217" i="4"/>
  <c r="AX217" i="4"/>
  <c r="AW217" i="4"/>
  <c r="AV217" i="4"/>
  <c r="AU217" i="4"/>
  <c r="AT217" i="4"/>
  <c r="AY216" i="4"/>
  <c r="AX216" i="4"/>
  <c r="AW216" i="4"/>
  <c r="AV216" i="4"/>
  <c r="AU216" i="4"/>
  <c r="AT216" i="4"/>
  <c r="AY215" i="4"/>
  <c r="AX215" i="4"/>
  <c r="AW215" i="4"/>
  <c r="AV215" i="4"/>
  <c r="AU215" i="4"/>
  <c r="AT215" i="4"/>
  <c r="AY214" i="4"/>
  <c r="AX214" i="4"/>
  <c r="AW214" i="4"/>
  <c r="AV214" i="4"/>
  <c r="AU214" i="4"/>
  <c r="AT214" i="4"/>
  <c r="AY213" i="4"/>
  <c r="AX213" i="4"/>
  <c r="AW213" i="4"/>
  <c r="AV213" i="4"/>
  <c r="AU213" i="4"/>
  <c r="AT213" i="4"/>
  <c r="AY212" i="4"/>
  <c r="AX212" i="4"/>
  <c r="AW212" i="4"/>
  <c r="AV212" i="4"/>
  <c r="AU212" i="4"/>
  <c r="AT212" i="4"/>
  <c r="AY211" i="4"/>
  <c r="AX211" i="4"/>
  <c r="AW211" i="4"/>
  <c r="AV211" i="4"/>
  <c r="AU211" i="4"/>
  <c r="AT211" i="4"/>
  <c r="AY210" i="4"/>
  <c r="AX210" i="4"/>
  <c r="AW210" i="4"/>
  <c r="AV210" i="4"/>
  <c r="AU210" i="4"/>
  <c r="AT210" i="4"/>
  <c r="AY209" i="4"/>
  <c r="AX209" i="4"/>
  <c r="AW209" i="4"/>
  <c r="AV209" i="4"/>
  <c r="AU209" i="4"/>
  <c r="AT209" i="4"/>
  <c r="AY208" i="4"/>
  <c r="AX208" i="4"/>
  <c r="AW208" i="4"/>
  <c r="AV208" i="4"/>
  <c r="AU208" i="4"/>
  <c r="AT208" i="4"/>
  <c r="AY207" i="4"/>
  <c r="AX207" i="4"/>
  <c r="AW207" i="4"/>
  <c r="AV207" i="4"/>
  <c r="AU207" i="4"/>
  <c r="AT207" i="4"/>
  <c r="AY206" i="4"/>
  <c r="AX206" i="4"/>
  <c r="AW206" i="4"/>
  <c r="AV206" i="4"/>
  <c r="AU206" i="4"/>
  <c r="AT206" i="4"/>
  <c r="AY205" i="4"/>
  <c r="AX205" i="4"/>
  <c r="AW205" i="4"/>
  <c r="AV205" i="4"/>
  <c r="AU205" i="4"/>
  <c r="AT205" i="4"/>
  <c r="AY204" i="4"/>
  <c r="AX204" i="4"/>
  <c r="AW204" i="4"/>
  <c r="AV204" i="4"/>
  <c r="AU204" i="4"/>
  <c r="AT204" i="4"/>
  <c r="AY203" i="4"/>
  <c r="AX203" i="4"/>
  <c r="AW203" i="4"/>
  <c r="AV203" i="4"/>
  <c r="AU203" i="4"/>
  <c r="AT203" i="4"/>
  <c r="AY202" i="4"/>
  <c r="AX202" i="4"/>
  <c r="AW202" i="4"/>
  <c r="AV202" i="4"/>
  <c r="AU202" i="4"/>
  <c r="AT202" i="4"/>
  <c r="AY201" i="4"/>
  <c r="AX201" i="4"/>
  <c r="AW201" i="4"/>
  <c r="AV201" i="4"/>
  <c r="AU201" i="4"/>
  <c r="AT201" i="4"/>
  <c r="AY200" i="4"/>
  <c r="AX200" i="4"/>
  <c r="AW200" i="4"/>
  <c r="AV200" i="4"/>
  <c r="AU200" i="4"/>
  <c r="AT200" i="4"/>
  <c r="AY199" i="4"/>
  <c r="AX199" i="4"/>
  <c r="AW199" i="4"/>
  <c r="AV199" i="4"/>
  <c r="AU199" i="4"/>
  <c r="AT199" i="4"/>
  <c r="AY198" i="4"/>
  <c r="AX198" i="4"/>
  <c r="AW198" i="4"/>
  <c r="AV198" i="4"/>
  <c r="AU198" i="4"/>
  <c r="AT198" i="4"/>
  <c r="AY197" i="4"/>
  <c r="AX197" i="4"/>
  <c r="AW197" i="4"/>
  <c r="AV197" i="4"/>
  <c r="AU197" i="4"/>
  <c r="AT197" i="4"/>
  <c r="AY196" i="4"/>
  <c r="AX196" i="4"/>
  <c r="AW196" i="4"/>
  <c r="AV196" i="4"/>
  <c r="AU196" i="4"/>
  <c r="AT196" i="4"/>
  <c r="AY195" i="4"/>
  <c r="AX195" i="4"/>
  <c r="AW195" i="4"/>
  <c r="AV195" i="4"/>
  <c r="AU195" i="4"/>
  <c r="AT195" i="4"/>
  <c r="AY194" i="4"/>
  <c r="AX194" i="4"/>
  <c r="AW194" i="4"/>
  <c r="AV194" i="4"/>
  <c r="AU194" i="4"/>
  <c r="AT194" i="4"/>
  <c r="AY193" i="4"/>
  <c r="AX193" i="4"/>
  <c r="AW193" i="4"/>
  <c r="AV193" i="4"/>
  <c r="AU193" i="4"/>
  <c r="AT193" i="4"/>
  <c r="AY192" i="4"/>
  <c r="AX192" i="4"/>
  <c r="AW192" i="4"/>
  <c r="AV192" i="4"/>
  <c r="AU192" i="4"/>
  <c r="AT192" i="4"/>
  <c r="AY191" i="4"/>
  <c r="AX191" i="4"/>
  <c r="AW191" i="4"/>
  <c r="AV191" i="4"/>
  <c r="AU191" i="4"/>
  <c r="AT191" i="4"/>
  <c r="AY190" i="4"/>
  <c r="AX190" i="4"/>
  <c r="AW190" i="4"/>
  <c r="AV190" i="4"/>
  <c r="AU190" i="4"/>
  <c r="AT190" i="4"/>
  <c r="AY189" i="4"/>
  <c r="AX189" i="4"/>
  <c r="AW189" i="4"/>
  <c r="AV189" i="4"/>
  <c r="AU189" i="4"/>
  <c r="AT189" i="4"/>
  <c r="AY188" i="4"/>
  <c r="AX188" i="4"/>
  <c r="AW188" i="4"/>
  <c r="AV188" i="4"/>
  <c r="AU188" i="4"/>
  <c r="AT188" i="4"/>
  <c r="AY187" i="4"/>
  <c r="AX187" i="4"/>
  <c r="AW187" i="4"/>
  <c r="AV187" i="4"/>
  <c r="AU187" i="4"/>
  <c r="AT187" i="4"/>
  <c r="AY186" i="4"/>
  <c r="AX186" i="4"/>
  <c r="AW186" i="4"/>
  <c r="AV186" i="4"/>
  <c r="AU186" i="4"/>
  <c r="AT186" i="4"/>
  <c r="AY185" i="4"/>
  <c r="AX185" i="4"/>
  <c r="AW185" i="4"/>
  <c r="AV185" i="4"/>
  <c r="AU185" i="4"/>
  <c r="AT185" i="4"/>
  <c r="AY184" i="4"/>
  <c r="AX184" i="4"/>
  <c r="AW184" i="4"/>
  <c r="AV184" i="4"/>
  <c r="AU184" i="4"/>
  <c r="AT184" i="4"/>
  <c r="AY183" i="4"/>
  <c r="AX183" i="4"/>
  <c r="AW183" i="4"/>
  <c r="AV183" i="4"/>
  <c r="AU183" i="4"/>
  <c r="AT183" i="4"/>
  <c r="AY182" i="4"/>
  <c r="AX182" i="4"/>
  <c r="AW182" i="4"/>
  <c r="AV182" i="4"/>
  <c r="AU182" i="4"/>
  <c r="AT182" i="4"/>
  <c r="AY181" i="4"/>
  <c r="AX181" i="4"/>
  <c r="AW181" i="4"/>
  <c r="AV181" i="4"/>
  <c r="AU181" i="4"/>
  <c r="AT181" i="4"/>
  <c r="AY180" i="4"/>
  <c r="AX180" i="4"/>
  <c r="AW180" i="4"/>
  <c r="AV180" i="4"/>
  <c r="AU180" i="4"/>
  <c r="AT180" i="4"/>
  <c r="AY179" i="4"/>
  <c r="AX179" i="4"/>
  <c r="AW179" i="4"/>
  <c r="AV179" i="4"/>
  <c r="AU179" i="4"/>
  <c r="AT179" i="4"/>
  <c r="AY178" i="4"/>
  <c r="AX178" i="4"/>
  <c r="AW178" i="4"/>
  <c r="AV178" i="4"/>
  <c r="AU178" i="4"/>
  <c r="AT178" i="4"/>
  <c r="AY177" i="4"/>
  <c r="AX177" i="4"/>
  <c r="AW177" i="4"/>
  <c r="AV177" i="4"/>
  <c r="AU177" i="4"/>
  <c r="AT177" i="4"/>
  <c r="AY176" i="4"/>
  <c r="AX176" i="4"/>
  <c r="AW176" i="4"/>
  <c r="AV176" i="4"/>
  <c r="AU176" i="4"/>
  <c r="AT176" i="4"/>
  <c r="AY175" i="4"/>
  <c r="AX175" i="4"/>
  <c r="AW175" i="4"/>
  <c r="AV175" i="4"/>
  <c r="AU175" i="4"/>
  <c r="AT175" i="4"/>
  <c r="AY174" i="4"/>
  <c r="AX174" i="4"/>
  <c r="AW174" i="4"/>
  <c r="AV174" i="4"/>
  <c r="AU174" i="4"/>
  <c r="AT174" i="4"/>
  <c r="AY173" i="4"/>
  <c r="AX173" i="4"/>
  <c r="AW173" i="4"/>
  <c r="AV173" i="4"/>
  <c r="AU173" i="4"/>
  <c r="AT173" i="4"/>
  <c r="AY172" i="4"/>
  <c r="AX172" i="4"/>
  <c r="AW172" i="4"/>
  <c r="AV172" i="4"/>
  <c r="AU172" i="4"/>
  <c r="AT172" i="4"/>
  <c r="AY171" i="4"/>
  <c r="AX171" i="4"/>
  <c r="AW171" i="4"/>
  <c r="AV171" i="4"/>
  <c r="AU171" i="4"/>
  <c r="AT171" i="4"/>
  <c r="AY170" i="4"/>
  <c r="AX170" i="4"/>
  <c r="AW170" i="4"/>
  <c r="AV170" i="4"/>
  <c r="AU170" i="4"/>
  <c r="AT170" i="4"/>
  <c r="AY169" i="4"/>
  <c r="AX169" i="4"/>
  <c r="AW169" i="4"/>
  <c r="AV169" i="4"/>
  <c r="AU169" i="4"/>
  <c r="AT169" i="4"/>
  <c r="AY168" i="4"/>
  <c r="AX168" i="4"/>
  <c r="AW168" i="4"/>
  <c r="AV168" i="4"/>
  <c r="AU168" i="4"/>
  <c r="AT168" i="4"/>
  <c r="AY167" i="4"/>
  <c r="AX167" i="4"/>
  <c r="AW167" i="4"/>
  <c r="AV167" i="4"/>
  <c r="AU167" i="4"/>
  <c r="AT167" i="4"/>
  <c r="AY166" i="4"/>
  <c r="AX166" i="4"/>
  <c r="AW166" i="4"/>
  <c r="AV166" i="4"/>
  <c r="AU166" i="4"/>
  <c r="AT166" i="4"/>
  <c r="AY165" i="4"/>
  <c r="AX165" i="4"/>
  <c r="AW165" i="4"/>
  <c r="AV165" i="4"/>
  <c r="AU165" i="4"/>
  <c r="AT165" i="4"/>
  <c r="AY164" i="4"/>
  <c r="AX164" i="4"/>
  <c r="AW164" i="4"/>
  <c r="AV164" i="4"/>
  <c r="AU164" i="4"/>
  <c r="AT164" i="4"/>
  <c r="AY163" i="4"/>
  <c r="AX163" i="4"/>
  <c r="AW163" i="4"/>
  <c r="AV163" i="4"/>
  <c r="AU163" i="4"/>
  <c r="AT163" i="4"/>
  <c r="AY162" i="4"/>
  <c r="AX162" i="4"/>
  <c r="AW162" i="4"/>
  <c r="AV162" i="4"/>
  <c r="AU162" i="4"/>
  <c r="AT162" i="4"/>
  <c r="AY161" i="4"/>
  <c r="AX161" i="4"/>
  <c r="AW161" i="4"/>
  <c r="AV161" i="4"/>
  <c r="AU161" i="4"/>
  <c r="AT161" i="4"/>
  <c r="AY160" i="4"/>
  <c r="AX160" i="4"/>
  <c r="AW160" i="4"/>
  <c r="AV160" i="4"/>
  <c r="AU160" i="4"/>
  <c r="AT160" i="4"/>
  <c r="AY159" i="4"/>
  <c r="AX159" i="4"/>
  <c r="AW159" i="4"/>
  <c r="AV159" i="4"/>
  <c r="AU159" i="4"/>
  <c r="AT159" i="4"/>
  <c r="AY158" i="4"/>
  <c r="AX158" i="4"/>
  <c r="AW158" i="4"/>
  <c r="AV158" i="4"/>
  <c r="AU158" i="4"/>
  <c r="AT158" i="4"/>
  <c r="AY157" i="4"/>
  <c r="AX157" i="4"/>
  <c r="AW157" i="4"/>
  <c r="AV157" i="4"/>
  <c r="AU157" i="4"/>
  <c r="AT157" i="4"/>
  <c r="AY156" i="4"/>
  <c r="AX156" i="4"/>
  <c r="AW156" i="4"/>
  <c r="AV156" i="4"/>
  <c r="AU156" i="4"/>
  <c r="AT156" i="4"/>
  <c r="AY155" i="4"/>
  <c r="AX155" i="4"/>
  <c r="AW155" i="4"/>
  <c r="AV155" i="4"/>
  <c r="AU155" i="4"/>
  <c r="AT155" i="4"/>
  <c r="AY154" i="4"/>
  <c r="AX154" i="4"/>
  <c r="AW154" i="4"/>
  <c r="AV154" i="4"/>
  <c r="AU154" i="4"/>
  <c r="AT154" i="4"/>
  <c r="AY153" i="4"/>
  <c r="AX153" i="4"/>
  <c r="AW153" i="4"/>
  <c r="AV153" i="4"/>
  <c r="AU153" i="4"/>
  <c r="AT153" i="4"/>
  <c r="AY152" i="4"/>
  <c r="AX152" i="4"/>
  <c r="AW152" i="4"/>
  <c r="AV152" i="4"/>
  <c r="AU152" i="4"/>
  <c r="AT152" i="4"/>
  <c r="AY151" i="4"/>
  <c r="AX151" i="4"/>
  <c r="AW151" i="4"/>
  <c r="AV151" i="4"/>
  <c r="AU151" i="4"/>
  <c r="AT151" i="4"/>
  <c r="AY150" i="4"/>
  <c r="AX150" i="4"/>
  <c r="AW150" i="4"/>
  <c r="AV150" i="4"/>
  <c r="AU150" i="4"/>
  <c r="AT150" i="4"/>
  <c r="AY149" i="4"/>
  <c r="AX149" i="4"/>
  <c r="AW149" i="4"/>
  <c r="AV149" i="4"/>
  <c r="AU149" i="4"/>
  <c r="AT149" i="4"/>
  <c r="AY148" i="4"/>
  <c r="AX148" i="4"/>
  <c r="AW148" i="4"/>
  <c r="AV148" i="4"/>
  <c r="AU148" i="4"/>
  <c r="AT148" i="4"/>
  <c r="AY147" i="4"/>
  <c r="AX147" i="4"/>
  <c r="AW147" i="4"/>
  <c r="AV147" i="4"/>
  <c r="AU147" i="4"/>
  <c r="AT147" i="4"/>
  <c r="AY146" i="4"/>
  <c r="AX146" i="4"/>
  <c r="AW146" i="4"/>
  <c r="AV146" i="4"/>
  <c r="AU146" i="4"/>
  <c r="AT146" i="4"/>
  <c r="AY145" i="4"/>
  <c r="AX145" i="4"/>
  <c r="AW145" i="4"/>
  <c r="AV145" i="4"/>
  <c r="AU145" i="4"/>
  <c r="AT145" i="4"/>
  <c r="AY144" i="4"/>
  <c r="AX144" i="4"/>
  <c r="AW144" i="4"/>
  <c r="AV144" i="4"/>
  <c r="AU144" i="4"/>
  <c r="AT144" i="4"/>
  <c r="AY143" i="4"/>
  <c r="AX143" i="4"/>
  <c r="AW143" i="4"/>
  <c r="AV143" i="4"/>
  <c r="AU143" i="4"/>
  <c r="AT143" i="4"/>
  <c r="AY142" i="4"/>
  <c r="AX142" i="4"/>
  <c r="AW142" i="4"/>
  <c r="AV142" i="4"/>
  <c r="AU142" i="4"/>
  <c r="AT142" i="4"/>
  <c r="AY141" i="4"/>
  <c r="AX141" i="4"/>
  <c r="AW141" i="4"/>
  <c r="AV141" i="4"/>
  <c r="AU141" i="4"/>
  <c r="AT141" i="4"/>
  <c r="AY140" i="4"/>
  <c r="AX140" i="4"/>
  <c r="AW140" i="4"/>
  <c r="AV140" i="4"/>
  <c r="AU140" i="4"/>
  <c r="AT140" i="4"/>
  <c r="AY139" i="4"/>
  <c r="AX139" i="4"/>
  <c r="AW139" i="4"/>
  <c r="AV139" i="4"/>
  <c r="AU139" i="4"/>
  <c r="AT139" i="4"/>
  <c r="AY138" i="4"/>
  <c r="AX138" i="4"/>
  <c r="AW138" i="4"/>
  <c r="AV138" i="4"/>
  <c r="AU138" i="4"/>
  <c r="AT138" i="4"/>
  <c r="AY137" i="4"/>
  <c r="AX137" i="4"/>
  <c r="AW137" i="4"/>
  <c r="AV137" i="4"/>
  <c r="AU137" i="4"/>
  <c r="AT137" i="4"/>
  <c r="AY136" i="4"/>
  <c r="AX136" i="4"/>
  <c r="AW136" i="4"/>
  <c r="AV136" i="4"/>
  <c r="AU136" i="4"/>
  <c r="AT136" i="4"/>
  <c r="AY135" i="4"/>
  <c r="AX135" i="4"/>
  <c r="AW135" i="4"/>
  <c r="AV135" i="4"/>
  <c r="AU135" i="4"/>
  <c r="AT135" i="4"/>
  <c r="AY134" i="4"/>
  <c r="AX134" i="4"/>
  <c r="AW134" i="4"/>
  <c r="AV134" i="4"/>
  <c r="AU134" i="4"/>
  <c r="AT134" i="4"/>
  <c r="AY133" i="4"/>
  <c r="AX133" i="4"/>
  <c r="AW133" i="4"/>
  <c r="AV133" i="4"/>
  <c r="AU133" i="4"/>
  <c r="AT133" i="4"/>
  <c r="AY132" i="4"/>
  <c r="AX132" i="4"/>
  <c r="AW132" i="4"/>
  <c r="AV132" i="4"/>
  <c r="AU132" i="4"/>
  <c r="AT132" i="4"/>
  <c r="AY131" i="4"/>
  <c r="AX131" i="4"/>
  <c r="AW131" i="4"/>
  <c r="AV131" i="4"/>
  <c r="AU131" i="4"/>
  <c r="AT131" i="4"/>
  <c r="AY130" i="4"/>
  <c r="AX130" i="4"/>
  <c r="AW130" i="4"/>
  <c r="AV130" i="4"/>
  <c r="AU130" i="4"/>
  <c r="AT130" i="4"/>
  <c r="AY129" i="4"/>
  <c r="AX129" i="4"/>
  <c r="AW129" i="4"/>
  <c r="AV129" i="4"/>
  <c r="AU129" i="4"/>
  <c r="AT129" i="4"/>
  <c r="AY128" i="4"/>
  <c r="AX128" i="4"/>
  <c r="AW128" i="4"/>
  <c r="AV128" i="4"/>
  <c r="AU128" i="4"/>
  <c r="AT128" i="4"/>
  <c r="AY127" i="4"/>
  <c r="AX127" i="4"/>
  <c r="AW127" i="4"/>
  <c r="AV127" i="4"/>
  <c r="AU127" i="4"/>
  <c r="AT127" i="4"/>
  <c r="AY126" i="4"/>
  <c r="AX126" i="4"/>
  <c r="AW126" i="4"/>
  <c r="AV126" i="4"/>
  <c r="AU126" i="4"/>
  <c r="AT126" i="4"/>
  <c r="AY125" i="4"/>
  <c r="AX125" i="4"/>
  <c r="AW125" i="4"/>
  <c r="AV125" i="4"/>
  <c r="AU125" i="4"/>
  <c r="AT125" i="4"/>
  <c r="AY124" i="4"/>
  <c r="AX124" i="4"/>
  <c r="AW124" i="4"/>
  <c r="AV124" i="4"/>
  <c r="AU124" i="4"/>
  <c r="AT124" i="4"/>
  <c r="AY123" i="4"/>
  <c r="AX123" i="4"/>
  <c r="AW123" i="4"/>
  <c r="AV123" i="4"/>
  <c r="AU123" i="4"/>
  <c r="AT123" i="4"/>
  <c r="AY122" i="4"/>
  <c r="AX122" i="4"/>
  <c r="AW122" i="4"/>
  <c r="AV122" i="4"/>
  <c r="AU122" i="4"/>
  <c r="AT122" i="4"/>
  <c r="AY121" i="4"/>
  <c r="AX121" i="4"/>
  <c r="AW121" i="4"/>
  <c r="AV121" i="4"/>
  <c r="AU121" i="4"/>
  <c r="AT121" i="4"/>
  <c r="AY120" i="4"/>
  <c r="AX120" i="4"/>
  <c r="AW120" i="4"/>
  <c r="AV120" i="4"/>
  <c r="AU120" i="4"/>
  <c r="AT120" i="4"/>
  <c r="AY119" i="4"/>
  <c r="AX119" i="4"/>
  <c r="AW119" i="4"/>
  <c r="AV119" i="4"/>
  <c r="AU119" i="4"/>
  <c r="AT119" i="4"/>
  <c r="AY118" i="4"/>
  <c r="AX118" i="4"/>
  <c r="AW118" i="4"/>
  <c r="AV118" i="4"/>
  <c r="AU118" i="4"/>
  <c r="AT118" i="4"/>
  <c r="AY117" i="4"/>
  <c r="AX117" i="4"/>
  <c r="AW117" i="4"/>
  <c r="AV117" i="4"/>
  <c r="AU117" i="4"/>
  <c r="AT117" i="4"/>
  <c r="AY116" i="4"/>
  <c r="AX116" i="4"/>
  <c r="AW116" i="4"/>
  <c r="AV116" i="4"/>
  <c r="AU116" i="4"/>
  <c r="AT116" i="4"/>
  <c r="AY115" i="4"/>
  <c r="AX115" i="4"/>
  <c r="AW115" i="4"/>
  <c r="AV115" i="4"/>
  <c r="AU115" i="4"/>
  <c r="AT115" i="4"/>
  <c r="AY114" i="4"/>
  <c r="AX114" i="4"/>
  <c r="AW114" i="4"/>
  <c r="AV114" i="4"/>
  <c r="AU114" i="4"/>
  <c r="AT114" i="4"/>
  <c r="AY113" i="4"/>
  <c r="AX113" i="4"/>
  <c r="AW113" i="4"/>
  <c r="AV113" i="4"/>
  <c r="AU113" i="4"/>
  <c r="AT113" i="4"/>
  <c r="AY112" i="4"/>
  <c r="AX112" i="4"/>
  <c r="AW112" i="4"/>
  <c r="AV112" i="4"/>
  <c r="AU112" i="4"/>
  <c r="AT112" i="4"/>
  <c r="AY111" i="4"/>
  <c r="AX111" i="4"/>
  <c r="AW111" i="4"/>
  <c r="AV111" i="4"/>
  <c r="AU111" i="4"/>
  <c r="AT111" i="4"/>
  <c r="AY110" i="4"/>
  <c r="AX110" i="4"/>
  <c r="AW110" i="4"/>
  <c r="AV110" i="4"/>
  <c r="AU110" i="4"/>
  <c r="AT110" i="4"/>
  <c r="AY109" i="4"/>
  <c r="AX109" i="4"/>
  <c r="AW109" i="4"/>
  <c r="AV109" i="4"/>
  <c r="AU109" i="4"/>
  <c r="AT109" i="4"/>
  <c r="AY108" i="4"/>
  <c r="AX108" i="4"/>
  <c r="AW108" i="4"/>
  <c r="AV108" i="4"/>
  <c r="AU108" i="4"/>
  <c r="AT108" i="4"/>
  <c r="AY107" i="4"/>
  <c r="AX107" i="4"/>
  <c r="AW107" i="4"/>
  <c r="AV107" i="4"/>
  <c r="AU107" i="4"/>
  <c r="AT107" i="4"/>
  <c r="AY106" i="4"/>
  <c r="AX106" i="4"/>
  <c r="AW106" i="4"/>
  <c r="AV106" i="4"/>
  <c r="AU106" i="4"/>
  <c r="AT106" i="4"/>
  <c r="AY105" i="4"/>
  <c r="AX105" i="4"/>
  <c r="AW105" i="4"/>
  <c r="AV105" i="4"/>
  <c r="AU105" i="4"/>
  <c r="AT105" i="4"/>
  <c r="AY104" i="4"/>
  <c r="AX104" i="4"/>
  <c r="AW104" i="4"/>
  <c r="AV104" i="4"/>
  <c r="AU104" i="4"/>
  <c r="AT104" i="4"/>
  <c r="AY103" i="4"/>
  <c r="AX103" i="4"/>
  <c r="AW103" i="4"/>
  <c r="AV103" i="4"/>
  <c r="AU103" i="4"/>
  <c r="AT103" i="4"/>
  <c r="AY102" i="4"/>
  <c r="AX102" i="4"/>
  <c r="AW102" i="4"/>
  <c r="AV102" i="4"/>
  <c r="AU102" i="4"/>
  <c r="AT102" i="4"/>
  <c r="AY101" i="4"/>
  <c r="AX101" i="4"/>
  <c r="AW101" i="4"/>
  <c r="AV101" i="4"/>
  <c r="AU101" i="4"/>
  <c r="AT101" i="4"/>
  <c r="AY100" i="4"/>
  <c r="AX100" i="4"/>
  <c r="AW100" i="4"/>
  <c r="AV100" i="4"/>
  <c r="AU100" i="4"/>
  <c r="AT100" i="4"/>
  <c r="AY99" i="4"/>
  <c r="AX99" i="4"/>
  <c r="AW99" i="4"/>
  <c r="AV99" i="4"/>
  <c r="AU99" i="4"/>
  <c r="AT99" i="4"/>
  <c r="AY98" i="4"/>
  <c r="AX98" i="4"/>
  <c r="AW98" i="4"/>
  <c r="AV98" i="4"/>
  <c r="AU98" i="4"/>
  <c r="AT98" i="4"/>
  <c r="AY97" i="4"/>
  <c r="AX97" i="4"/>
  <c r="AW97" i="4"/>
  <c r="AV97" i="4"/>
  <c r="AU97" i="4"/>
  <c r="AT97" i="4"/>
  <c r="AY96" i="4"/>
  <c r="AX96" i="4"/>
  <c r="AW96" i="4"/>
  <c r="AV96" i="4"/>
  <c r="AU96" i="4"/>
  <c r="AT96" i="4"/>
  <c r="AY95" i="4"/>
  <c r="AX95" i="4"/>
  <c r="AW95" i="4"/>
  <c r="AV95" i="4"/>
  <c r="AU95" i="4"/>
  <c r="AT95" i="4"/>
  <c r="AY94" i="4"/>
  <c r="AX94" i="4"/>
  <c r="AW94" i="4"/>
  <c r="AV94" i="4"/>
  <c r="AU94" i="4"/>
  <c r="AT94" i="4"/>
  <c r="AY93" i="4"/>
  <c r="AX93" i="4"/>
  <c r="AW93" i="4"/>
  <c r="AV93" i="4"/>
  <c r="AU93" i="4"/>
  <c r="AT93" i="4"/>
  <c r="AY92" i="4"/>
  <c r="AX92" i="4"/>
  <c r="AW92" i="4"/>
  <c r="AV92" i="4"/>
  <c r="AU92" i="4"/>
  <c r="AT92" i="4"/>
  <c r="AY91" i="4"/>
  <c r="AX91" i="4"/>
  <c r="AW91" i="4"/>
  <c r="AV91" i="4"/>
  <c r="AU91" i="4"/>
  <c r="AT91" i="4"/>
  <c r="AY90" i="4"/>
  <c r="AX90" i="4"/>
  <c r="AW90" i="4"/>
  <c r="AV90" i="4"/>
  <c r="AU90" i="4"/>
  <c r="AT90" i="4"/>
  <c r="AY89" i="4"/>
  <c r="AX89" i="4"/>
  <c r="AW89" i="4"/>
  <c r="AV89" i="4"/>
  <c r="AU89" i="4"/>
  <c r="AT89" i="4"/>
  <c r="AY88" i="4"/>
  <c r="AX88" i="4"/>
  <c r="AW88" i="4"/>
  <c r="AV88" i="4"/>
  <c r="AU88" i="4"/>
  <c r="AT88" i="4"/>
  <c r="AY87" i="4"/>
  <c r="AX87" i="4"/>
  <c r="AW87" i="4"/>
  <c r="AV87" i="4"/>
  <c r="AU87" i="4"/>
  <c r="AT87" i="4"/>
  <c r="AY86" i="4"/>
  <c r="AX86" i="4"/>
  <c r="AW86" i="4"/>
  <c r="AV86" i="4"/>
  <c r="AU86" i="4"/>
  <c r="AT86" i="4"/>
  <c r="AY85" i="4"/>
  <c r="AX85" i="4"/>
  <c r="AW85" i="4"/>
  <c r="AV85" i="4"/>
  <c r="AU85" i="4"/>
  <c r="AT85" i="4"/>
  <c r="AY84" i="4"/>
  <c r="AX84" i="4"/>
  <c r="AW84" i="4"/>
  <c r="AV84" i="4"/>
  <c r="AU84" i="4"/>
  <c r="AT84" i="4"/>
  <c r="AY83" i="4"/>
  <c r="AX83" i="4"/>
  <c r="AW83" i="4"/>
  <c r="AV83" i="4"/>
  <c r="AU83" i="4"/>
  <c r="AT83" i="4"/>
  <c r="AY82" i="4"/>
  <c r="AX82" i="4"/>
  <c r="AW82" i="4"/>
  <c r="AV82" i="4"/>
  <c r="AU82" i="4"/>
  <c r="AT82" i="4"/>
  <c r="AY81" i="4"/>
  <c r="AX81" i="4"/>
  <c r="AW81" i="4"/>
  <c r="AV81" i="4"/>
  <c r="AU81" i="4"/>
  <c r="AT81" i="4"/>
  <c r="AY80" i="4"/>
  <c r="AX80" i="4"/>
  <c r="AW80" i="4"/>
  <c r="AV80" i="4"/>
  <c r="AU80" i="4"/>
  <c r="AT80" i="4"/>
  <c r="AY79" i="4"/>
  <c r="AX79" i="4"/>
  <c r="AW79" i="4"/>
  <c r="AV79" i="4"/>
  <c r="AU79" i="4"/>
  <c r="AT79" i="4"/>
  <c r="AY78" i="4"/>
  <c r="AX78" i="4"/>
  <c r="AW78" i="4"/>
  <c r="AV78" i="4"/>
  <c r="AU78" i="4"/>
  <c r="AT78" i="4"/>
  <c r="AY77" i="4"/>
  <c r="AX77" i="4"/>
  <c r="AW77" i="4"/>
  <c r="AV77" i="4"/>
  <c r="AU77" i="4"/>
  <c r="AT77" i="4"/>
  <c r="AY76" i="4"/>
  <c r="AX76" i="4"/>
  <c r="AW76" i="4"/>
  <c r="AV76" i="4"/>
  <c r="AU76" i="4"/>
  <c r="AT76" i="4"/>
  <c r="AY75" i="4"/>
  <c r="AX75" i="4"/>
  <c r="AW75" i="4"/>
  <c r="AV75" i="4"/>
  <c r="AU75" i="4"/>
  <c r="AT75" i="4"/>
  <c r="AY74" i="4"/>
  <c r="AX74" i="4"/>
  <c r="AW74" i="4"/>
  <c r="AV74" i="4"/>
  <c r="AU74" i="4"/>
  <c r="AT74" i="4"/>
  <c r="AY73" i="4"/>
  <c r="AX73" i="4"/>
  <c r="AW73" i="4"/>
  <c r="AV73" i="4"/>
  <c r="AU73" i="4"/>
  <c r="AT73" i="4"/>
  <c r="AY72" i="4"/>
  <c r="AX72" i="4"/>
  <c r="AW72" i="4"/>
  <c r="AV72" i="4"/>
  <c r="AU72" i="4"/>
  <c r="AT72" i="4"/>
  <c r="AY71" i="4"/>
  <c r="AX71" i="4"/>
  <c r="AW71" i="4"/>
  <c r="AV71" i="4"/>
  <c r="AU71" i="4"/>
  <c r="AT71" i="4"/>
  <c r="AY70" i="4"/>
  <c r="AX70" i="4"/>
  <c r="AW70" i="4"/>
  <c r="AV70" i="4"/>
  <c r="AU70" i="4"/>
  <c r="AT70" i="4"/>
  <c r="AY69" i="4"/>
  <c r="AX69" i="4"/>
  <c r="AW69" i="4"/>
  <c r="AV69" i="4"/>
  <c r="AU69" i="4"/>
  <c r="AT69" i="4"/>
  <c r="AY68" i="4"/>
  <c r="AX68" i="4"/>
  <c r="AW68" i="4"/>
  <c r="AV68" i="4"/>
  <c r="AU68" i="4"/>
  <c r="AT68" i="4"/>
  <c r="AY67" i="4"/>
  <c r="AX67" i="4"/>
  <c r="AW67" i="4"/>
  <c r="AV67" i="4"/>
  <c r="AU67" i="4"/>
  <c r="AT67" i="4"/>
  <c r="AY66" i="4"/>
  <c r="AX66" i="4"/>
  <c r="AW66" i="4"/>
  <c r="AV66" i="4"/>
  <c r="AU66" i="4"/>
  <c r="AT66" i="4"/>
  <c r="AY65" i="4"/>
  <c r="AX65" i="4"/>
  <c r="AW65" i="4"/>
  <c r="AV65" i="4"/>
  <c r="AU65" i="4"/>
  <c r="AT65" i="4"/>
  <c r="AY64" i="4"/>
  <c r="AX64" i="4"/>
  <c r="AW64" i="4"/>
  <c r="AV64" i="4"/>
  <c r="AU64" i="4"/>
  <c r="AT64" i="4"/>
  <c r="AY63" i="4"/>
  <c r="AX63" i="4"/>
  <c r="AW63" i="4"/>
  <c r="AV63" i="4"/>
  <c r="AU63" i="4"/>
  <c r="AT63" i="4"/>
  <c r="AY62" i="4"/>
  <c r="AX62" i="4"/>
  <c r="AW62" i="4"/>
  <c r="AV62" i="4"/>
  <c r="AU62" i="4"/>
  <c r="AT62" i="4"/>
  <c r="AY61" i="4"/>
  <c r="AX61" i="4"/>
  <c r="AW61" i="4"/>
  <c r="AV61" i="4"/>
  <c r="AU61" i="4"/>
  <c r="AT61" i="4"/>
  <c r="AY60" i="4"/>
  <c r="AX60" i="4"/>
  <c r="AW60" i="4"/>
  <c r="AV60" i="4"/>
  <c r="AU60" i="4"/>
  <c r="AT60" i="4"/>
  <c r="AY59" i="4"/>
  <c r="AX59" i="4"/>
  <c r="AW59" i="4"/>
  <c r="AV59" i="4"/>
  <c r="AU59" i="4"/>
  <c r="AT59" i="4"/>
  <c r="AY58" i="4"/>
  <c r="AX58" i="4"/>
  <c r="AW58" i="4"/>
  <c r="AV58" i="4"/>
  <c r="AU58" i="4"/>
  <c r="AT58" i="4"/>
  <c r="AY57" i="4"/>
  <c r="AX57" i="4"/>
  <c r="AW57" i="4"/>
  <c r="AV57" i="4"/>
  <c r="AU57" i="4"/>
  <c r="AT57" i="4"/>
  <c r="AY56" i="4"/>
  <c r="AX56" i="4"/>
  <c r="AW56" i="4"/>
  <c r="AV56" i="4"/>
  <c r="AU56" i="4"/>
  <c r="AT56" i="4"/>
  <c r="AY55" i="4"/>
  <c r="AX55" i="4"/>
  <c r="AW55" i="4"/>
  <c r="AV55" i="4"/>
  <c r="AU55" i="4"/>
  <c r="AT55" i="4"/>
  <c r="AY54" i="4"/>
  <c r="AX54" i="4"/>
  <c r="AW54" i="4"/>
  <c r="AV54" i="4"/>
  <c r="AU54" i="4"/>
  <c r="AT54" i="4"/>
  <c r="AY53" i="4"/>
  <c r="AX53" i="4"/>
  <c r="AW53" i="4"/>
  <c r="AV53" i="4"/>
  <c r="AU53" i="4"/>
  <c r="AT53" i="4"/>
  <c r="AY52" i="4"/>
  <c r="AX52" i="4"/>
  <c r="AW52" i="4"/>
  <c r="AV52" i="4"/>
  <c r="AU52" i="4"/>
  <c r="AT52" i="4"/>
  <c r="AY51" i="4"/>
  <c r="AX51" i="4"/>
  <c r="AW51" i="4"/>
  <c r="AV51" i="4"/>
  <c r="AU51" i="4"/>
  <c r="AT51" i="4"/>
  <c r="AY50" i="4"/>
  <c r="AX50" i="4"/>
  <c r="AW50" i="4"/>
  <c r="AV50" i="4"/>
  <c r="AU50" i="4"/>
  <c r="AT50" i="4"/>
  <c r="AY49" i="4"/>
  <c r="AX49" i="4"/>
  <c r="AW49" i="4"/>
  <c r="AV49" i="4"/>
  <c r="AU49" i="4"/>
  <c r="AT49" i="4"/>
  <c r="AY48" i="4"/>
  <c r="AX48" i="4"/>
  <c r="AW48" i="4"/>
  <c r="AV48" i="4"/>
  <c r="AU48" i="4"/>
  <c r="AT48" i="4"/>
  <c r="AY47" i="4"/>
  <c r="AX47" i="4"/>
  <c r="AW47" i="4"/>
  <c r="AV47" i="4"/>
  <c r="AU47" i="4"/>
  <c r="AT47" i="4"/>
  <c r="AY46" i="4"/>
  <c r="AX46" i="4"/>
  <c r="AW46" i="4"/>
  <c r="AV46" i="4"/>
  <c r="AU46" i="4"/>
  <c r="AT46" i="4"/>
  <c r="AY45" i="4"/>
  <c r="AX45" i="4"/>
  <c r="AW45" i="4"/>
  <c r="AV45" i="4"/>
  <c r="AU45" i="4"/>
  <c r="AT45" i="4"/>
  <c r="AY44" i="4"/>
  <c r="AX44" i="4"/>
  <c r="AW44" i="4"/>
  <c r="AV44" i="4"/>
  <c r="AU44" i="4"/>
  <c r="AT44" i="4"/>
  <c r="AY43" i="4"/>
  <c r="AX43" i="4"/>
  <c r="AW43" i="4"/>
  <c r="AV43" i="4"/>
  <c r="AU43" i="4"/>
  <c r="AT43" i="4"/>
  <c r="AY42" i="4"/>
  <c r="AX42" i="4"/>
  <c r="AW42" i="4"/>
  <c r="AV42" i="4"/>
  <c r="AU42" i="4"/>
  <c r="AT42" i="4"/>
  <c r="AY41" i="4"/>
  <c r="AX41" i="4"/>
  <c r="AW41" i="4"/>
  <c r="AV41" i="4"/>
  <c r="AU41" i="4"/>
  <c r="AT41" i="4"/>
  <c r="AY40" i="4"/>
  <c r="AX40" i="4"/>
  <c r="AW40" i="4"/>
  <c r="AV40" i="4"/>
  <c r="AU40" i="4"/>
  <c r="AT40" i="4"/>
  <c r="AY39" i="4"/>
  <c r="AX39" i="4"/>
  <c r="AW39" i="4"/>
  <c r="AV39" i="4"/>
  <c r="AU39" i="4"/>
  <c r="AT39" i="4"/>
  <c r="AY38" i="4"/>
  <c r="AX38" i="4"/>
  <c r="AW38" i="4"/>
  <c r="AV38" i="4"/>
  <c r="AU38" i="4"/>
  <c r="AT38" i="4"/>
  <c r="AY37" i="4"/>
  <c r="AX37" i="4"/>
  <c r="AW37" i="4"/>
  <c r="AV37" i="4"/>
  <c r="AU37" i="4"/>
  <c r="AT37" i="4"/>
  <c r="AY36" i="4"/>
  <c r="AX36" i="4"/>
  <c r="AW36" i="4"/>
  <c r="AV36" i="4"/>
  <c r="AU36" i="4"/>
  <c r="AT36" i="4"/>
  <c r="AY35" i="4"/>
  <c r="AX35" i="4"/>
  <c r="AW35" i="4"/>
  <c r="AV35" i="4"/>
  <c r="AU35" i="4"/>
  <c r="AT35" i="4"/>
  <c r="AY34" i="4"/>
  <c r="AX34" i="4"/>
  <c r="AW34" i="4"/>
  <c r="AV34" i="4"/>
  <c r="AU34" i="4"/>
  <c r="AT34" i="4"/>
  <c r="AY33" i="4"/>
  <c r="AX33" i="4"/>
  <c r="AW33" i="4"/>
  <c r="AV33" i="4"/>
  <c r="AU33" i="4"/>
  <c r="AT33" i="4"/>
  <c r="AY32" i="4"/>
  <c r="AX32" i="4"/>
  <c r="AW32" i="4"/>
  <c r="AV32" i="4"/>
  <c r="AU32" i="4"/>
  <c r="AT32" i="4"/>
  <c r="AY31" i="4"/>
  <c r="AX31" i="4"/>
  <c r="AW31" i="4"/>
  <c r="AV31" i="4"/>
  <c r="AU31" i="4"/>
  <c r="AT31" i="4"/>
  <c r="AY30" i="4"/>
  <c r="AX30" i="4"/>
  <c r="AW30" i="4"/>
  <c r="AV30" i="4"/>
  <c r="AU30" i="4"/>
  <c r="AT30" i="4"/>
  <c r="AY29" i="4"/>
  <c r="AX29" i="4"/>
  <c r="AW29" i="4"/>
  <c r="AV29" i="4"/>
  <c r="AU29" i="4"/>
  <c r="AT29" i="4"/>
  <c r="AY28" i="4"/>
  <c r="AX28" i="4"/>
  <c r="AW28" i="4"/>
  <c r="AV28" i="4"/>
  <c r="AU28" i="4"/>
  <c r="AT28" i="4"/>
  <c r="AY27" i="4"/>
  <c r="AX27" i="4"/>
  <c r="AW27" i="4"/>
  <c r="AV27" i="4"/>
  <c r="AU27" i="4"/>
  <c r="AT27" i="4"/>
  <c r="AY26" i="4"/>
  <c r="AX26" i="4"/>
  <c r="AW26" i="4"/>
  <c r="AV26" i="4"/>
  <c r="AU26" i="4"/>
  <c r="AT26" i="4"/>
  <c r="AY25" i="4"/>
  <c r="AX25" i="4"/>
  <c r="AW25" i="4"/>
  <c r="AV25" i="4"/>
  <c r="AU25" i="4"/>
  <c r="AT25" i="4"/>
  <c r="AY24" i="4"/>
  <c r="AX24" i="4"/>
  <c r="AW24" i="4"/>
  <c r="AV24" i="4"/>
  <c r="AU24" i="4"/>
  <c r="AT24" i="4"/>
  <c r="AY23" i="4"/>
  <c r="AX23" i="4"/>
  <c r="AW23" i="4"/>
  <c r="AV23" i="4"/>
  <c r="AU23" i="4"/>
  <c r="AT23" i="4"/>
  <c r="AY22" i="4"/>
  <c r="AX22" i="4"/>
  <c r="AW22" i="4"/>
  <c r="AV22" i="4"/>
  <c r="AU22" i="4"/>
  <c r="AT22" i="4"/>
  <c r="AY21" i="4"/>
  <c r="AX21" i="4"/>
  <c r="AW21" i="4"/>
  <c r="AV21" i="4"/>
  <c r="AU21" i="4"/>
  <c r="AT21" i="4"/>
  <c r="AY20" i="4"/>
  <c r="AX20" i="4"/>
  <c r="AW20" i="4"/>
  <c r="AV20" i="4"/>
  <c r="AU20" i="4"/>
  <c r="AT20" i="4"/>
  <c r="AY19" i="4"/>
  <c r="AX19" i="4"/>
  <c r="AW19" i="4"/>
  <c r="AV19" i="4"/>
  <c r="AU19" i="4"/>
  <c r="AT19" i="4"/>
  <c r="AY18" i="4"/>
  <c r="AX18" i="4"/>
  <c r="AW18" i="4"/>
  <c r="AV18" i="4"/>
  <c r="AU18" i="4"/>
  <c r="AT18" i="4"/>
  <c r="AY17" i="4"/>
  <c r="AX17" i="4"/>
  <c r="AW17" i="4"/>
  <c r="AV17" i="4"/>
  <c r="AU17" i="4"/>
  <c r="AT17" i="4"/>
  <c r="AY16" i="4"/>
  <c r="AX16" i="4"/>
  <c r="AW16" i="4"/>
  <c r="AV16" i="4"/>
  <c r="AU16" i="4"/>
  <c r="AT16" i="4"/>
  <c r="AY15" i="4"/>
  <c r="AX15" i="4"/>
  <c r="AW15" i="4"/>
  <c r="AV15" i="4"/>
  <c r="AU15" i="4"/>
  <c r="AT15" i="4"/>
  <c r="AY14" i="4"/>
  <c r="AX14" i="4"/>
  <c r="AW14" i="4"/>
  <c r="AV14" i="4"/>
  <c r="AU14" i="4"/>
  <c r="AT14" i="4"/>
  <c r="AY13" i="4"/>
  <c r="AX13" i="4"/>
  <c r="AW13" i="4"/>
  <c r="AV13" i="4"/>
  <c r="AU13" i="4"/>
  <c r="AT13" i="4"/>
  <c r="AY12" i="4"/>
  <c r="AX12" i="4"/>
  <c r="AW12" i="4"/>
  <c r="AV12" i="4"/>
  <c r="AU12" i="4"/>
  <c r="AT12" i="4"/>
  <c r="AY11" i="4"/>
  <c r="AX11" i="4"/>
  <c r="AW11" i="4"/>
  <c r="AV11" i="4"/>
  <c r="AU11" i="4"/>
  <c r="AT11" i="4"/>
  <c r="AY10" i="4"/>
  <c r="AX10" i="4"/>
  <c r="AW10" i="4"/>
  <c r="AV10" i="4"/>
  <c r="AU10" i="4"/>
  <c r="AT10" i="4"/>
  <c r="AY9" i="4"/>
  <c r="AX9" i="4"/>
  <c r="AW9" i="4"/>
  <c r="AV9" i="4"/>
  <c r="AU9" i="4"/>
  <c r="AT9" i="4"/>
  <c r="AY8" i="4"/>
  <c r="AX8" i="4"/>
  <c r="AW8" i="4"/>
  <c r="AV8" i="4"/>
  <c r="AU8" i="4"/>
  <c r="AT8" i="4"/>
  <c r="AY7" i="4"/>
  <c r="AX7" i="4"/>
  <c r="AW7" i="4"/>
  <c r="AV7" i="4"/>
  <c r="AU7" i="4"/>
  <c r="AT7" i="4"/>
  <c r="AY6" i="4"/>
  <c r="AX6" i="4"/>
  <c r="AW6" i="4"/>
  <c r="AV6" i="4"/>
  <c r="AU6" i="4"/>
  <c r="AT6" i="4"/>
  <c r="AY5" i="4"/>
  <c r="AX5" i="4"/>
  <c r="AW5" i="4"/>
  <c r="AV5" i="4"/>
  <c r="AU5" i="4"/>
  <c r="AT5" i="4"/>
  <c r="AY4" i="4"/>
  <c r="AX4" i="4"/>
  <c r="AW4" i="4"/>
  <c r="AV4" i="4"/>
  <c r="AU4" i="4"/>
  <c r="AT4" i="4"/>
  <c r="AY3" i="4"/>
  <c r="AX3" i="4"/>
  <c r="AW3" i="4"/>
  <c r="AV3" i="4"/>
  <c r="AU3" i="4"/>
  <c r="AT3" i="4"/>
  <c r="AQ77" i="3"/>
  <c r="AP77" i="3"/>
  <c r="AO77" i="3"/>
  <c r="AN77" i="3"/>
  <c r="D77" i="3"/>
  <c r="AQ76" i="3"/>
  <c r="AP76" i="3"/>
  <c r="AO76" i="3"/>
  <c r="AN76" i="3"/>
  <c r="D76" i="3"/>
  <c r="AQ75" i="3"/>
  <c r="AP75" i="3"/>
  <c r="AO75" i="3"/>
  <c r="AN75" i="3"/>
  <c r="D75" i="3"/>
  <c r="AQ74" i="3"/>
  <c r="AP74" i="3"/>
  <c r="AO74" i="3"/>
  <c r="AN74" i="3"/>
  <c r="D74" i="3"/>
  <c r="AQ73" i="3"/>
  <c r="AP73" i="3"/>
  <c r="AO73" i="3"/>
  <c r="AN73" i="3"/>
  <c r="D73" i="3"/>
  <c r="AQ72" i="3"/>
  <c r="AP72" i="3"/>
  <c r="AO72" i="3"/>
  <c r="AN72" i="3"/>
  <c r="D72" i="3"/>
  <c r="AQ71" i="3"/>
  <c r="AP71" i="3"/>
  <c r="AO71" i="3"/>
  <c r="AN71" i="3"/>
  <c r="D71" i="3"/>
  <c r="AQ70" i="3"/>
  <c r="AP70" i="3"/>
  <c r="AO70" i="3"/>
  <c r="AN70" i="3"/>
  <c r="D70" i="3"/>
  <c r="AQ69" i="3"/>
  <c r="AP69" i="3"/>
  <c r="AO69" i="3"/>
  <c r="AN69" i="3"/>
  <c r="D69" i="3"/>
  <c r="AQ68" i="3"/>
  <c r="AP68" i="3"/>
  <c r="AO68" i="3"/>
  <c r="AN68" i="3"/>
  <c r="D68" i="3"/>
  <c r="AQ67" i="3"/>
  <c r="AP67" i="3"/>
  <c r="AO67" i="3"/>
  <c r="AN67" i="3"/>
  <c r="D67" i="3"/>
  <c r="AQ66" i="3"/>
  <c r="AP66" i="3"/>
  <c r="AO66" i="3"/>
  <c r="AN66" i="3"/>
  <c r="D66" i="3"/>
  <c r="AQ65" i="3"/>
  <c r="AP65" i="3"/>
  <c r="AO65" i="3"/>
  <c r="AN65" i="3"/>
  <c r="D65" i="3"/>
  <c r="AQ64" i="3"/>
  <c r="AP64" i="3"/>
  <c r="AO64" i="3"/>
  <c r="AN64" i="3"/>
  <c r="D64" i="3"/>
  <c r="AQ63" i="3"/>
  <c r="AP63" i="3"/>
  <c r="AO63" i="3"/>
  <c r="AN63" i="3"/>
  <c r="D63" i="3"/>
  <c r="AQ62" i="3"/>
  <c r="AP62" i="3"/>
  <c r="AO62" i="3"/>
  <c r="AN62" i="3"/>
  <c r="D62" i="3"/>
  <c r="AQ61" i="3"/>
  <c r="AP61" i="3"/>
  <c r="AO61" i="3"/>
  <c r="AN61" i="3"/>
  <c r="D61" i="3"/>
  <c r="AQ60" i="3"/>
  <c r="AP60" i="3"/>
  <c r="AO60" i="3"/>
  <c r="AN60" i="3"/>
  <c r="D60" i="3"/>
  <c r="AQ59" i="3"/>
  <c r="AP59" i="3"/>
  <c r="AO59" i="3"/>
  <c r="AN59" i="3"/>
  <c r="D59" i="3"/>
  <c r="AQ58" i="3"/>
  <c r="AP58" i="3"/>
  <c r="AO58" i="3"/>
  <c r="AN58" i="3"/>
  <c r="D58" i="3"/>
  <c r="AQ57" i="3"/>
  <c r="AP57" i="3"/>
  <c r="AO57" i="3"/>
  <c r="AN57" i="3"/>
  <c r="D57" i="3"/>
  <c r="AQ56" i="3"/>
  <c r="AP56" i="3"/>
  <c r="AO56" i="3"/>
  <c r="AN56" i="3"/>
  <c r="D56" i="3"/>
  <c r="AQ55" i="3"/>
  <c r="AP55" i="3"/>
  <c r="AO55" i="3"/>
  <c r="AN55" i="3"/>
  <c r="D55" i="3"/>
  <c r="AQ54" i="3"/>
  <c r="AP54" i="3"/>
  <c r="AO54" i="3"/>
  <c r="AN54" i="3"/>
  <c r="AQ53" i="3"/>
  <c r="AP53" i="3"/>
  <c r="AO53" i="3"/>
  <c r="AN53" i="3"/>
  <c r="AQ52" i="3"/>
  <c r="AP52" i="3"/>
  <c r="AO52" i="3"/>
  <c r="AN52" i="3"/>
  <c r="AQ51" i="3"/>
  <c r="AP51" i="3"/>
  <c r="AO51" i="3"/>
  <c r="AN51" i="3"/>
  <c r="AQ50" i="3"/>
  <c r="AP50" i="3"/>
  <c r="AO50" i="3"/>
  <c r="AN50" i="3"/>
  <c r="AQ49" i="3"/>
  <c r="AP49" i="3"/>
  <c r="AO49" i="3"/>
  <c r="AN49" i="3"/>
  <c r="AQ48" i="3"/>
  <c r="AP48" i="3"/>
  <c r="AO48" i="3"/>
  <c r="AN48" i="3"/>
  <c r="AQ47" i="3"/>
  <c r="AP47" i="3"/>
  <c r="AO47" i="3"/>
  <c r="AN47" i="3"/>
  <c r="AQ46" i="3"/>
  <c r="AP46" i="3"/>
  <c r="AO46" i="3"/>
  <c r="AN46" i="3"/>
  <c r="AQ45" i="3"/>
  <c r="AP45" i="3"/>
  <c r="AO45" i="3"/>
  <c r="AN45" i="3"/>
  <c r="AQ44" i="3"/>
  <c r="AP44" i="3"/>
  <c r="AO44" i="3"/>
  <c r="AN44" i="3"/>
  <c r="AQ43" i="3"/>
  <c r="AP43" i="3"/>
  <c r="AO43" i="3"/>
  <c r="AN43" i="3"/>
  <c r="AQ42" i="3"/>
  <c r="AP42" i="3"/>
  <c r="AO42" i="3"/>
  <c r="AN42" i="3"/>
  <c r="AQ41" i="3"/>
  <c r="AP41" i="3"/>
  <c r="AO41" i="3"/>
  <c r="AN41" i="3"/>
  <c r="AQ40" i="3"/>
  <c r="AP40" i="3"/>
  <c r="AO40" i="3"/>
  <c r="AN40" i="3"/>
  <c r="AQ39" i="3"/>
  <c r="AP39" i="3"/>
  <c r="AO39" i="3"/>
  <c r="AN39" i="3"/>
  <c r="AQ38" i="3"/>
  <c r="AP38" i="3"/>
  <c r="AO38" i="3"/>
  <c r="AN38" i="3"/>
  <c r="AQ37" i="3"/>
  <c r="AP37" i="3"/>
  <c r="AO37" i="3"/>
  <c r="AN37" i="3"/>
  <c r="AQ36" i="3"/>
  <c r="AP36" i="3"/>
  <c r="AO36" i="3"/>
  <c r="AN36" i="3"/>
  <c r="AQ35" i="3"/>
  <c r="AP35" i="3"/>
  <c r="AO35" i="3"/>
  <c r="AN35" i="3"/>
  <c r="AQ34" i="3"/>
  <c r="AP34" i="3"/>
  <c r="AO34" i="3"/>
  <c r="AN34" i="3"/>
  <c r="AQ33" i="3"/>
  <c r="AP33" i="3"/>
  <c r="AO33" i="3"/>
  <c r="AN33" i="3"/>
  <c r="AQ32" i="3"/>
  <c r="AP32" i="3"/>
  <c r="AO32" i="3"/>
  <c r="AN32" i="3"/>
  <c r="AQ31" i="3"/>
  <c r="AP31" i="3"/>
  <c r="AO31" i="3"/>
  <c r="AN31" i="3"/>
  <c r="AQ30" i="3"/>
  <c r="AP30" i="3"/>
  <c r="AO30" i="3"/>
  <c r="AN30" i="3"/>
  <c r="AQ29" i="3"/>
  <c r="AP29" i="3"/>
  <c r="AO29" i="3"/>
  <c r="AN29" i="3"/>
  <c r="AQ28" i="3"/>
  <c r="AP28" i="3"/>
  <c r="AO28" i="3"/>
  <c r="AN28" i="3"/>
  <c r="AQ27" i="3"/>
  <c r="AP27" i="3"/>
  <c r="AO27" i="3"/>
  <c r="AN27" i="3"/>
  <c r="AQ26" i="3"/>
  <c r="AP26" i="3"/>
  <c r="AO26" i="3"/>
  <c r="AN26" i="3"/>
  <c r="AQ25" i="3"/>
  <c r="AP25" i="3"/>
  <c r="AO25" i="3"/>
  <c r="AN25" i="3"/>
  <c r="AQ24" i="3"/>
  <c r="AP24" i="3"/>
  <c r="AO24" i="3"/>
  <c r="AN24" i="3"/>
  <c r="AQ23" i="3"/>
  <c r="AP23" i="3"/>
  <c r="AO23" i="3"/>
  <c r="AN23" i="3"/>
  <c r="AQ22" i="3"/>
  <c r="AP22" i="3"/>
  <c r="AO22" i="3"/>
  <c r="AN22" i="3"/>
  <c r="AQ21" i="3"/>
  <c r="AP21" i="3"/>
  <c r="AO21" i="3"/>
  <c r="AN21" i="3"/>
  <c r="AQ20" i="3"/>
  <c r="AP20" i="3"/>
  <c r="AO20" i="3"/>
  <c r="AN20" i="3"/>
  <c r="AQ19" i="3"/>
  <c r="AP19" i="3"/>
  <c r="AO19" i="3"/>
  <c r="AN19" i="3"/>
  <c r="AQ18" i="3"/>
  <c r="AP18" i="3"/>
  <c r="AO18" i="3"/>
  <c r="AN18" i="3"/>
  <c r="AQ17" i="3"/>
  <c r="AP17" i="3"/>
  <c r="AO17" i="3"/>
  <c r="AN17" i="3"/>
  <c r="AQ16" i="3"/>
  <c r="AP16" i="3"/>
  <c r="AO16" i="3"/>
  <c r="AN16" i="3"/>
  <c r="AQ15" i="3"/>
  <c r="AP15" i="3"/>
  <c r="AO15" i="3"/>
  <c r="AN15" i="3"/>
  <c r="AQ14" i="3"/>
  <c r="AP14" i="3"/>
  <c r="AO14" i="3"/>
  <c r="AN14" i="3"/>
  <c r="AQ13" i="3"/>
  <c r="AP13" i="3"/>
  <c r="AO13" i="3"/>
  <c r="AN13" i="3"/>
  <c r="AQ12" i="3"/>
  <c r="AP12" i="3"/>
  <c r="AO12" i="3"/>
  <c r="AN12" i="3"/>
  <c r="AQ11" i="3"/>
  <c r="AP11" i="3"/>
  <c r="AO11" i="3"/>
  <c r="AN11" i="3"/>
  <c r="AQ10" i="3"/>
  <c r="AP10" i="3"/>
  <c r="AO10" i="3"/>
  <c r="AN10" i="3"/>
  <c r="AQ9" i="3"/>
  <c r="AP9" i="3"/>
  <c r="AO9" i="3"/>
  <c r="AN9" i="3"/>
  <c r="AQ8" i="3"/>
  <c r="AP8" i="3"/>
  <c r="AO8" i="3"/>
  <c r="AN8" i="3"/>
  <c r="AQ7" i="3"/>
  <c r="AP7" i="3"/>
  <c r="AO7" i="3"/>
  <c r="AN7" i="3"/>
  <c r="AQ6" i="3"/>
  <c r="AP6" i="3"/>
  <c r="AO6" i="3"/>
  <c r="AN6" i="3"/>
  <c r="AQ5" i="3"/>
  <c r="AP5" i="3"/>
  <c r="AO5" i="3"/>
  <c r="AN5" i="3"/>
  <c r="AQ4" i="3"/>
  <c r="AP4" i="3"/>
  <c r="AO4" i="3"/>
  <c r="AN4" i="3"/>
  <c r="AQ3" i="3"/>
  <c r="AP3" i="3"/>
  <c r="AO3" i="3"/>
  <c r="AN3" i="3"/>
  <c r="M481" i="2"/>
  <c r="L481" i="2"/>
  <c r="K481" i="2"/>
  <c r="J481" i="2"/>
  <c r="I481" i="2"/>
  <c r="H481" i="2"/>
  <c r="G481" i="2"/>
  <c r="F481" i="2"/>
  <c r="E481" i="2"/>
  <c r="D481" i="2"/>
  <c r="C481" i="2"/>
  <c r="B481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M231" i="2"/>
  <c r="L231" i="2"/>
  <c r="K231" i="2"/>
  <c r="J231" i="2"/>
  <c r="I231" i="2"/>
  <c r="H231" i="2"/>
  <c r="G231" i="2"/>
  <c r="F231" i="2"/>
  <c r="E231" i="2"/>
  <c r="D231" i="2"/>
  <c r="C231" i="2"/>
  <c r="B231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M187" i="2"/>
  <c r="L187" i="2"/>
  <c r="K187" i="2"/>
  <c r="J187" i="2"/>
  <c r="I187" i="2"/>
  <c r="H187" i="2"/>
  <c r="G187" i="2"/>
  <c r="F187" i="2"/>
  <c r="E187" i="2"/>
  <c r="D187" i="2"/>
  <c r="C187" i="2"/>
  <c r="B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M170" i="2"/>
  <c r="L170" i="2"/>
  <c r="K170" i="2"/>
  <c r="J170" i="2"/>
  <c r="I170" i="2"/>
  <c r="H170" i="2"/>
  <c r="G170" i="2"/>
  <c r="F170" i="2"/>
  <c r="E170" i="2"/>
  <c r="D170" i="2"/>
  <c r="C170" i="2"/>
  <c r="M169" i="2"/>
  <c r="L169" i="2"/>
  <c r="K169" i="2"/>
  <c r="J169" i="2"/>
  <c r="I169" i="2"/>
  <c r="H169" i="2"/>
  <c r="G169" i="2"/>
  <c r="F169" i="2"/>
  <c r="E169" i="2"/>
  <c r="D169" i="2"/>
  <c r="C169" i="2"/>
  <c r="M168" i="2"/>
  <c r="L168" i="2"/>
  <c r="K168" i="2"/>
  <c r="J168" i="2"/>
  <c r="I168" i="2"/>
  <c r="H168" i="2"/>
  <c r="G168" i="2"/>
  <c r="F168" i="2"/>
  <c r="E168" i="2"/>
  <c r="D168" i="2"/>
  <c r="C168" i="2"/>
  <c r="M167" i="2"/>
  <c r="L167" i="2"/>
  <c r="K167" i="2"/>
  <c r="J167" i="2"/>
  <c r="I167" i="2"/>
  <c r="H167" i="2"/>
  <c r="G167" i="2"/>
  <c r="F167" i="2"/>
  <c r="E167" i="2"/>
  <c r="D167" i="2"/>
  <c r="C167" i="2"/>
  <c r="M166" i="2"/>
  <c r="L166" i="2"/>
  <c r="K166" i="2"/>
  <c r="J166" i="2"/>
  <c r="I166" i="2"/>
  <c r="H166" i="2"/>
  <c r="G166" i="2"/>
  <c r="F166" i="2"/>
  <c r="E166" i="2"/>
  <c r="D166" i="2"/>
  <c r="C166" i="2"/>
  <c r="M165" i="2"/>
  <c r="L165" i="2"/>
  <c r="K165" i="2"/>
  <c r="J165" i="2"/>
  <c r="I165" i="2"/>
  <c r="H165" i="2"/>
  <c r="G165" i="2"/>
  <c r="F165" i="2"/>
  <c r="E165" i="2"/>
  <c r="D165" i="2"/>
  <c r="C165" i="2"/>
  <c r="M164" i="2"/>
  <c r="L164" i="2"/>
  <c r="K164" i="2"/>
  <c r="J164" i="2"/>
  <c r="I164" i="2"/>
  <c r="H164" i="2"/>
  <c r="G164" i="2"/>
  <c r="F164" i="2"/>
  <c r="E164" i="2"/>
  <c r="D164" i="2"/>
  <c r="C164" i="2"/>
  <c r="M163" i="2"/>
  <c r="L163" i="2"/>
  <c r="K163" i="2"/>
  <c r="J163" i="2"/>
  <c r="I163" i="2"/>
  <c r="H163" i="2"/>
  <c r="G163" i="2"/>
  <c r="F163" i="2"/>
  <c r="E163" i="2"/>
  <c r="D163" i="2"/>
  <c r="C163" i="2"/>
  <c r="M162" i="2"/>
  <c r="L162" i="2"/>
  <c r="K162" i="2"/>
  <c r="J162" i="2"/>
  <c r="I162" i="2"/>
  <c r="H162" i="2"/>
  <c r="G162" i="2"/>
  <c r="F162" i="2"/>
  <c r="E162" i="2"/>
  <c r="D162" i="2"/>
  <c r="C162" i="2"/>
  <c r="M161" i="2"/>
  <c r="L161" i="2"/>
  <c r="K161" i="2"/>
  <c r="J161" i="2"/>
  <c r="I161" i="2"/>
  <c r="H161" i="2"/>
  <c r="G161" i="2"/>
  <c r="F161" i="2"/>
  <c r="E161" i="2"/>
  <c r="D161" i="2"/>
  <c r="C161" i="2"/>
  <c r="M160" i="2"/>
  <c r="L160" i="2"/>
  <c r="K160" i="2"/>
  <c r="J160" i="2"/>
  <c r="I160" i="2"/>
  <c r="H160" i="2"/>
  <c r="G160" i="2"/>
  <c r="F160" i="2"/>
  <c r="E160" i="2"/>
  <c r="D160" i="2"/>
  <c r="C160" i="2"/>
  <c r="M159" i="2"/>
  <c r="L159" i="2"/>
  <c r="K159" i="2"/>
  <c r="J159" i="2"/>
  <c r="I159" i="2"/>
  <c r="H159" i="2"/>
  <c r="G159" i="2"/>
  <c r="F159" i="2"/>
  <c r="E159" i="2"/>
  <c r="D159" i="2"/>
  <c r="C159" i="2"/>
  <c r="M158" i="2"/>
  <c r="L158" i="2"/>
  <c r="K158" i="2"/>
  <c r="J158" i="2"/>
  <c r="I158" i="2"/>
  <c r="H158" i="2"/>
  <c r="G158" i="2"/>
  <c r="F158" i="2"/>
  <c r="E158" i="2"/>
  <c r="D158" i="2"/>
  <c r="C158" i="2"/>
  <c r="M157" i="2"/>
  <c r="L157" i="2"/>
  <c r="K157" i="2"/>
  <c r="J157" i="2"/>
  <c r="I157" i="2"/>
  <c r="H157" i="2"/>
  <c r="G157" i="2"/>
  <c r="F157" i="2"/>
  <c r="E157" i="2"/>
  <c r="D157" i="2"/>
  <c r="C157" i="2"/>
  <c r="M156" i="2"/>
  <c r="L156" i="2"/>
  <c r="K156" i="2"/>
  <c r="J156" i="2"/>
  <c r="I156" i="2"/>
  <c r="H156" i="2"/>
  <c r="G156" i="2"/>
  <c r="F156" i="2"/>
  <c r="E156" i="2"/>
  <c r="D156" i="2"/>
  <c r="C156" i="2"/>
  <c r="M155" i="2"/>
  <c r="L155" i="2"/>
  <c r="K155" i="2"/>
  <c r="J155" i="2"/>
  <c r="I155" i="2"/>
  <c r="H155" i="2"/>
  <c r="G155" i="2"/>
  <c r="F155" i="2"/>
  <c r="E155" i="2"/>
  <c r="D155" i="2"/>
  <c r="C155" i="2"/>
  <c r="M154" i="2"/>
  <c r="L154" i="2"/>
  <c r="K154" i="2"/>
  <c r="J154" i="2"/>
  <c r="I154" i="2"/>
  <c r="H154" i="2"/>
  <c r="G154" i="2"/>
  <c r="F154" i="2"/>
  <c r="E154" i="2"/>
  <c r="D154" i="2"/>
  <c r="C154" i="2"/>
  <c r="M153" i="2"/>
  <c r="L153" i="2"/>
  <c r="K153" i="2"/>
  <c r="J153" i="2"/>
  <c r="I153" i="2"/>
  <c r="H153" i="2"/>
  <c r="G153" i="2"/>
  <c r="F153" i="2"/>
  <c r="E153" i="2"/>
  <c r="D153" i="2"/>
  <c r="C153" i="2"/>
  <c r="M152" i="2"/>
  <c r="L152" i="2"/>
  <c r="K152" i="2"/>
  <c r="J152" i="2"/>
  <c r="I152" i="2"/>
  <c r="H152" i="2"/>
  <c r="G152" i="2"/>
  <c r="F152" i="2"/>
  <c r="E152" i="2"/>
  <c r="D152" i="2"/>
  <c r="C152" i="2"/>
  <c r="M151" i="2"/>
  <c r="L151" i="2"/>
  <c r="K151" i="2"/>
  <c r="J151" i="2"/>
  <c r="I151" i="2"/>
  <c r="H151" i="2"/>
  <c r="G151" i="2"/>
  <c r="F151" i="2"/>
  <c r="E151" i="2"/>
  <c r="D151" i="2"/>
  <c r="C151" i="2"/>
  <c r="M150" i="2"/>
  <c r="L150" i="2"/>
  <c r="K150" i="2"/>
  <c r="J150" i="2"/>
  <c r="I150" i="2"/>
  <c r="H150" i="2"/>
  <c r="G150" i="2"/>
  <c r="F150" i="2"/>
  <c r="E150" i="2"/>
  <c r="D150" i="2"/>
  <c r="C150" i="2"/>
  <c r="M149" i="2"/>
  <c r="L149" i="2"/>
  <c r="K149" i="2"/>
  <c r="J149" i="2"/>
  <c r="I149" i="2"/>
  <c r="H149" i="2"/>
  <c r="G149" i="2"/>
  <c r="F149" i="2"/>
  <c r="E149" i="2"/>
  <c r="D149" i="2"/>
  <c r="C149" i="2"/>
  <c r="M148" i="2"/>
  <c r="L148" i="2"/>
  <c r="K148" i="2"/>
  <c r="J148" i="2"/>
  <c r="I148" i="2"/>
  <c r="H148" i="2"/>
  <c r="G148" i="2"/>
  <c r="F148" i="2"/>
  <c r="E148" i="2"/>
  <c r="D148" i="2"/>
  <c r="C148" i="2"/>
  <c r="M147" i="2"/>
  <c r="L147" i="2"/>
  <c r="K147" i="2"/>
  <c r="J147" i="2"/>
  <c r="I147" i="2"/>
  <c r="H147" i="2"/>
  <c r="G147" i="2"/>
  <c r="F147" i="2"/>
  <c r="E147" i="2"/>
  <c r="D147" i="2"/>
  <c r="C147" i="2"/>
  <c r="M146" i="2"/>
  <c r="L146" i="2"/>
  <c r="K146" i="2"/>
  <c r="J146" i="2"/>
  <c r="I146" i="2"/>
  <c r="H146" i="2"/>
  <c r="G146" i="2"/>
  <c r="F146" i="2"/>
  <c r="E146" i="2"/>
  <c r="D146" i="2"/>
  <c r="C146" i="2"/>
  <c r="M145" i="2"/>
  <c r="L145" i="2"/>
  <c r="K145" i="2"/>
  <c r="J145" i="2"/>
  <c r="I145" i="2"/>
  <c r="H145" i="2"/>
  <c r="G145" i="2"/>
  <c r="F145" i="2"/>
  <c r="E145" i="2"/>
  <c r="D145" i="2"/>
  <c r="C145" i="2"/>
  <c r="M144" i="2"/>
  <c r="L144" i="2"/>
  <c r="K144" i="2"/>
  <c r="J144" i="2"/>
  <c r="I144" i="2"/>
  <c r="H144" i="2"/>
  <c r="G144" i="2"/>
  <c r="F144" i="2"/>
  <c r="E144" i="2"/>
  <c r="D144" i="2"/>
  <c r="C144" i="2"/>
  <c r="M143" i="2"/>
  <c r="L143" i="2"/>
  <c r="K143" i="2"/>
  <c r="J143" i="2"/>
  <c r="I143" i="2"/>
  <c r="H143" i="2"/>
  <c r="G143" i="2"/>
  <c r="F143" i="2"/>
  <c r="E143" i="2"/>
  <c r="D143" i="2"/>
  <c r="C143" i="2"/>
  <c r="M142" i="2"/>
  <c r="L142" i="2"/>
  <c r="K142" i="2"/>
  <c r="J142" i="2"/>
  <c r="I142" i="2"/>
  <c r="H142" i="2"/>
  <c r="G142" i="2"/>
  <c r="F142" i="2"/>
  <c r="E142" i="2"/>
  <c r="D142" i="2"/>
  <c r="C142" i="2"/>
  <c r="M141" i="2"/>
  <c r="L141" i="2"/>
  <c r="K141" i="2"/>
  <c r="J141" i="2"/>
  <c r="I141" i="2"/>
  <c r="H141" i="2"/>
  <c r="G141" i="2"/>
  <c r="F141" i="2"/>
  <c r="E141" i="2"/>
  <c r="D141" i="2"/>
  <c r="C141" i="2"/>
  <c r="M140" i="2"/>
  <c r="L140" i="2"/>
  <c r="K140" i="2"/>
  <c r="J140" i="2"/>
  <c r="I140" i="2"/>
  <c r="H140" i="2"/>
  <c r="G140" i="2"/>
  <c r="F140" i="2"/>
  <c r="E140" i="2"/>
  <c r="D140" i="2"/>
  <c r="C140" i="2"/>
  <c r="M139" i="2"/>
  <c r="L139" i="2"/>
  <c r="K139" i="2"/>
  <c r="J139" i="2"/>
  <c r="I139" i="2"/>
  <c r="H139" i="2"/>
  <c r="G139" i="2"/>
  <c r="F139" i="2"/>
  <c r="E139" i="2"/>
  <c r="D139" i="2"/>
  <c r="C139" i="2"/>
  <c r="M138" i="2"/>
  <c r="L138" i="2"/>
  <c r="K138" i="2"/>
  <c r="J138" i="2"/>
  <c r="I138" i="2"/>
  <c r="H138" i="2"/>
  <c r="G138" i="2"/>
  <c r="F138" i="2"/>
  <c r="E138" i="2"/>
  <c r="D138" i="2"/>
  <c r="C138" i="2"/>
  <c r="M137" i="2"/>
  <c r="L137" i="2"/>
  <c r="K137" i="2"/>
  <c r="J137" i="2"/>
  <c r="I137" i="2"/>
  <c r="H137" i="2"/>
  <c r="G137" i="2"/>
  <c r="F137" i="2"/>
  <c r="E137" i="2"/>
  <c r="D137" i="2"/>
  <c r="C137" i="2"/>
  <c r="M136" i="2"/>
  <c r="L136" i="2"/>
  <c r="K136" i="2"/>
  <c r="J136" i="2"/>
  <c r="I136" i="2"/>
  <c r="H136" i="2"/>
  <c r="G136" i="2"/>
  <c r="F136" i="2"/>
  <c r="E136" i="2"/>
  <c r="D136" i="2"/>
  <c r="C136" i="2"/>
  <c r="M135" i="2"/>
  <c r="L135" i="2"/>
  <c r="K135" i="2"/>
  <c r="J135" i="2"/>
  <c r="I135" i="2"/>
  <c r="H135" i="2"/>
  <c r="G135" i="2"/>
  <c r="F135" i="2"/>
  <c r="E135" i="2"/>
  <c r="D135" i="2"/>
  <c r="C135" i="2"/>
  <c r="M134" i="2"/>
  <c r="L134" i="2"/>
  <c r="K134" i="2"/>
  <c r="J134" i="2"/>
  <c r="I134" i="2"/>
  <c r="H134" i="2"/>
  <c r="G134" i="2"/>
  <c r="F134" i="2"/>
  <c r="E134" i="2"/>
  <c r="D134" i="2"/>
  <c r="C134" i="2"/>
  <c r="M133" i="2"/>
  <c r="L133" i="2"/>
  <c r="K133" i="2"/>
  <c r="J133" i="2"/>
  <c r="I133" i="2"/>
  <c r="H133" i="2"/>
  <c r="G133" i="2"/>
  <c r="F133" i="2"/>
  <c r="E133" i="2"/>
  <c r="D133" i="2"/>
  <c r="C133" i="2"/>
  <c r="M132" i="2"/>
  <c r="L132" i="2"/>
  <c r="K132" i="2"/>
  <c r="J132" i="2"/>
  <c r="I132" i="2"/>
  <c r="H132" i="2"/>
  <c r="G132" i="2"/>
  <c r="F132" i="2"/>
  <c r="E132" i="2"/>
  <c r="D132" i="2"/>
  <c r="C132" i="2"/>
  <c r="M131" i="2"/>
  <c r="L131" i="2"/>
  <c r="K131" i="2"/>
  <c r="J131" i="2"/>
  <c r="I131" i="2"/>
  <c r="H131" i="2"/>
  <c r="G131" i="2"/>
  <c r="F131" i="2"/>
  <c r="E131" i="2"/>
  <c r="D131" i="2"/>
  <c r="C131" i="2"/>
  <c r="M130" i="2"/>
  <c r="L130" i="2"/>
  <c r="K130" i="2"/>
  <c r="J130" i="2"/>
  <c r="I130" i="2"/>
  <c r="H130" i="2"/>
  <c r="G130" i="2"/>
  <c r="F130" i="2"/>
  <c r="E130" i="2"/>
  <c r="D130" i="2"/>
  <c r="C130" i="2"/>
  <c r="M129" i="2"/>
  <c r="L129" i="2"/>
  <c r="K129" i="2"/>
  <c r="J129" i="2"/>
  <c r="I129" i="2"/>
  <c r="H129" i="2"/>
  <c r="G129" i="2"/>
  <c r="F129" i="2"/>
  <c r="E129" i="2"/>
  <c r="D129" i="2"/>
  <c r="C129" i="2"/>
  <c r="M128" i="2"/>
  <c r="L128" i="2"/>
  <c r="K128" i="2"/>
  <c r="J128" i="2"/>
  <c r="I128" i="2"/>
  <c r="H128" i="2"/>
  <c r="G128" i="2"/>
  <c r="F128" i="2"/>
  <c r="E128" i="2"/>
  <c r="D128" i="2"/>
  <c r="C128" i="2"/>
  <c r="M127" i="2"/>
  <c r="L127" i="2"/>
  <c r="K127" i="2"/>
  <c r="J127" i="2"/>
  <c r="I127" i="2"/>
  <c r="H127" i="2"/>
  <c r="G127" i="2"/>
  <c r="F127" i="2"/>
  <c r="E127" i="2"/>
  <c r="D127" i="2"/>
  <c r="C127" i="2"/>
  <c r="M126" i="2"/>
  <c r="L126" i="2"/>
  <c r="K126" i="2"/>
  <c r="J126" i="2"/>
  <c r="I126" i="2"/>
  <c r="H126" i="2"/>
  <c r="G126" i="2"/>
  <c r="F126" i="2"/>
  <c r="E126" i="2"/>
  <c r="D126" i="2"/>
  <c r="C126" i="2"/>
  <c r="M125" i="2"/>
  <c r="L125" i="2"/>
  <c r="K125" i="2"/>
  <c r="J125" i="2"/>
  <c r="I125" i="2"/>
  <c r="H125" i="2"/>
  <c r="G125" i="2"/>
  <c r="F125" i="2"/>
  <c r="E125" i="2"/>
  <c r="D125" i="2"/>
  <c r="C125" i="2"/>
  <c r="M124" i="2"/>
  <c r="L124" i="2"/>
  <c r="K124" i="2"/>
  <c r="J124" i="2"/>
  <c r="I124" i="2"/>
  <c r="H124" i="2"/>
  <c r="G124" i="2"/>
  <c r="F124" i="2"/>
  <c r="E124" i="2"/>
  <c r="D124" i="2"/>
  <c r="C124" i="2"/>
  <c r="M123" i="2"/>
  <c r="L123" i="2"/>
  <c r="K123" i="2"/>
  <c r="J123" i="2"/>
  <c r="I123" i="2"/>
  <c r="H123" i="2"/>
  <c r="G123" i="2"/>
  <c r="F123" i="2"/>
  <c r="E123" i="2"/>
  <c r="D123" i="2"/>
  <c r="C123" i="2"/>
  <c r="M122" i="2"/>
  <c r="L122" i="2"/>
  <c r="K122" i="2"/>
  <c r="J122" i="2"/>
  <c r="I122" i="2"/>
  <c r="H122" i="2"/>
  <c r="G122" i="2"/>
  <c r="F122" i="2"/>
  <c r="E122" i="2"/>
  <c r="D122" i="2"/>
  <c r="C122" i="2"/>
  <c r="M121" i="2"/>
  <c r="L121" i="2"/>
  <c r="K121" i="2"/>
  <c r="J121" i="2"/>
  <c r="I121" i="2"/>
  <c r="H121" i="2"/>
  <c r="G121" i="2"/>
  <c r="F121" i="2"/>
  <c r="E121" i="2"/>
  <c r="D121" i="2"/>
  <c r="C121" i="2"/>
  <c r="M120" i="2"/>
  <c r="L120" i="2"/>
  <c r="K120" i="2"/>
  <c r="J120" i="2"/>
  <c r="I120" i="2"/>
  <c r="H120" i="2"/>
  <c r="G120" i="2"/>
  <c r="F120" i="2"/>
  <c r="E120" i="2"/>
  <c r="D120" i="2"/>
  <c r="C120" i="2"/>
  <c r="M119" i="2"/>
  <c r="L119" i="2"/>
  <c r="K119" i="2"/>
  <c r="J119" i="2"/>
  <c r="I119" i="2"/>
  <c r="H119" i="2"/>
  <c r="G119" i="2"/>
  <c r="F119" i="2"/>
  <c r="E119" i="2"/>
  <c r="D119" i="2"/>
  <c r="C119" i="2"/>
  <c r="M118" i="2"/>
  <c r="L118" i="2"/>
  <c r="K118" i="2"/>
  <c r="J118" i="2"/>
  <c r="I118" i="2"/>
  <c r="H118" i="2"/>
  <c r="G118" i="2"/>
  <c r="F118" i="2"/>
  <c r="E118" i="2"/>
  <c r="D118" i="2"/>
  <c r="C118" i="2"/>
  <c r="M117" i="2"/>
  <c r="L117" i="2"/>
  <c r="K117" i="2"/>
  <c r="J117" i="2"/>
  <c r="I117" i="2"/>
  <c r="H117" i="2"/>
  <c r="G117" i="2"/>
  <c r="F117" i="2"/>
  <c r="E117" i="2"/>
  <c r="D117" i="2"/>
  <c r="C117" i="2"/>
  <c r="M116" i="2"/>
  <c r="L116" i="2"/>
  <c r="K116" i="2"/>
  <c r="J116" i="2"/>
  <c r="I116" i="2"/>
  <c r="H116" i="2"/>
  <c r="G116" i="2"/>
  <c r="F116" i="2"/>
  <c r="E116" i="2"/>
  <c r="D116" i="2"/>
  <c r="C116" i="2"/>
  <c r="M115" i="2"/>
  <c r="L115" i="2"/>
  <c r="K115" i="2"/>
  <c r="J115" i="2"/>
  <c r="I115" i="2"/>
  <c r="H115" i="2"/>
  <c r="G115" i="2"/>
  <c r="F115" i="2"/>
  <c r="E115" i="2"/>
  <c r="D115" i="2"/>
  <c r="C115" i="2"/>
  <c r="M114" i="2"/>
  <c r="L114" i="2"/>
  <c r="K114" i="2"/>
  <c r="J114" i="2"/>
  <c r="I114" i="2"/>
  <c r="H114" i="2"/>
  <c r="G114" i="2"/>
  <c r="F114" i="2"/>
  <c r="E114" i="2"/>
  <c r="D114" i="2"/>
  <c r="C114" i="2"/>
  <c r="M113" i="2"/>
  <c r="L113" i="2"/>
  <c r="K113" i="2"/>
  <c r="J113" i="2"/>
  <c r="I113" i="2"/>
  <c r="H113" i="2"/>
  <c r="G113" i="2"/>
  <c r="F113" i="2"/>
  <c r="E113" i="2"/>
  <c r="D113" i="2"/>
  <c r="C113" i="2"/>
  <c r="M112" i="2"/>
  <c r="L112" i="2"/>
  <c r="K112" i="2"/>
  <c r="J112" i="2"/>
  <c r="I112" i="2"/>
  <c r="H112" i="2"/>
  <c r="G112" i="2"/>
  <c r="F112" i="2"/>
  <c r="E112" i="2"/>
  <c r="D112" i="2"/>
  <c r="C112" i="2"/>
  <c r="M111" i="2"/>
  <c r="L111" i="2"/>
  <c r="K111" i="2"/>
  <c r="J111" i="2"/>
  <c r="I111" i="2"/>
  <c r="H111" i="2"/>
  <c r="G111" i="2"/>
  <c r="F111" i="2"/>
  <c r="E111" i="2"/>
  <c r="D111" i="2"/>
  <c r="C111" i="2"/>
  <c r="M110" i="2"/>
  <c r="L110" i="2"/>
  <c r="K110" i="2"/>
  <c r="J110" i="2"/>
  <c r="I110" i="2"/>
  <c r="H110" i="2"/>
  <c r="G110" i="2"/>
  <c r="F110" i="2"/>
  <c r="E110" i="2"/>
  <c r="D110" i="2"/>
  <c r="C110" i="2"/>
  <c r="M109" i="2"/>
  <c r="L109" i="2"/>
  <c r="K109" i="2"/>
  <c r="J109" i="2"/>
  <c r="I109" i="2"/>
  <c r="H109" i="2"/>
  <c r="G109" i="2"/>
  <c r="F109" i="2"/>
  <c r="E109" i="2"/>
  <c r="D109" i="2"/>
  <c r="C109" i="2"/>
  <c r="M108" i="2"/>
  <c r="L108" i="2"/>
  <c r="K108" i="2"/>
  <c r="J108" i="2"/>
  <c r="I108" i="2"/>
  <c r="H108" i="2"/>
  <c r="G108" i="2"/>
  <c r="F108" i="2"/>
  <c r="E108" i="2"/>
  <c r="D108" i="2"/>
  <c r="C108" i="2"/>
  <c r="M107" i="2"/>
  <c r="L107" i="2"/>
  <c r="K107" i="2"/>
  <c r="J107" i="2"/>
  <c r="I107" i="2"/>
  <c r="H107" i="2"/>
  <c r="G107" i="2"/>
  <c r="F107" i="2"/>
  <c r="E107" i="2"/>
  <c r="D107" i="2"/>
  <c r="C107" i="2"/>
  <c r="M106" i="2"/>
  <c r="L106" i="2"/>
  <c r="K106" i="2"/>
  <c r="J106" i="2"/>
  <c r="I106" i="2"/>
  <c r="H106" i="2"/>
  <c r="G106" i="2"/>
  <c r="F106" i="2"/>
  <c r="E106" i="2"/>
  <c r="D106" i="2"/>
  <c r="C106" i="2"/>
  <c r="M105" i="2"/>
  <c r="L105" i="2"/>
  <c r="K105" i="2"/>
  <c r="J105" i="2"/>
  <c r="I105" i="2"/>
  <c r="H105" i="2"/>
  <c r="G105" i="2"/>
  <c r="F105" i="2"/>
  <c r="E105" i="2"/>
  <c r="D105" i="2"/>
  <c r="C105" i="2"/>
  <c r="M104" i="2"/>
  <c r="L104" i="2"/>
  <c r="K104" i="2"/>
  <c r="J104" i="2"/>
  <c r="I104" i="2"/>
  <c r="H104" i="2"/>
  <c r="G104" i="2"/>
  <c r="F104" i="2"/>
  <c r="E104" i="2"/>
  <c r="D104" i="2"/>
  <c r="C104" i="2"/>
  <c r="M103" i="2"/>
  <c r="L103" i="2"/>
  <c r="K103" i="2"/>
  <c r="J103" i="2"/>
  <c r="I103" i="2"/>
  <c r="H103" i="2"/>
  <c r="G103" i="2"/>
  <c r="F103" i="2"/>
  <c r="E103" i="2"/>
  <c r="D103" i="2"/>
  <c r="C103" i="2"/>
  <c r="M102" i="2"/>
  <c r="L102" i="2"/>
  <c r="K102" i="2"/>
  <c r="J102" i="2"/>
  <c r="I102" i="2"/>
  <c r="H102" i="2"/>
  <c r="G102" i="2"/>
  <c r="F102" i="2"/>
  <c r="E102" i="2"/>
  <c r="D102" i="2"/>
  <c r="C102" i="2"/>
  <c r="M101" i="2"/>
  <c r="L101" i="2"/>
  <c r="K101" i="2"/>
  <c r="J101" i="2"/>
  <c r="I101" i="2"/>
  <c r="H101" i="2"/>
  <c r="G101" i="2"/>
  <c r="F101" i="2"/>
  <c r="E101" i="2"/>
  <c r="D101" i="2"/>
  <c r="C101" i="2"/>
  <c r="M100" i="2"/>
  <c r="L100" i="2"/>
  <c r="K100" i="2"/>
  <c r="J100" i="2"/>
  <c r="I100" i="2"/>
  <c r="H100" i="2"/>
  <c r="G100" i="2"/>
  <c r="F100" i="2"/>
  <c r="E100" i="2"/>
  <c r="D100" i="2"/>
  <c r="C100" i="2"/>
  <c r="M99" i="2"/>
  <c r="L99" i="2"/>
  <c r="K99" i="2"/>
  <c r="J99" i="2"/>
  <c r="I99" i="2"/>
  <c r="H99" i="2"/>
  <c r="G99" i="2"/>
  <c r="F99" i="2"/>
  <c r="E99" i="2"/>
  <c r="D99" i="2"/>
  <c r="C99" i="2"/>
  <c r="M98" i="2"/>
  <c r="L98" i="2"/>
  <c r="K98" i="2"/>
  <c r="J98" i="2"/>
  <c r="I98" i="2"/>
  <c r="H98" i="2"/>
  <c r="G98" i="2"/>
  <c r="F98" i="2"/>
  <c r="E98" i="2"/>
  <c r="D98" i="2"/>
  <c r="C98" i="2"/>
  <c r="M97" i="2"/>
  <c r="L97" i="2"/>
  <c r="K97" i="2"/>
  <c r="J97" i="2"/>
  <c r="I97" i="2"/>
  <c r="H97" i="2"/>
  <c r="G97" i="2"/>
  <c r="F97" i="2"/>
  <c r="E97" i="2"/>
  <c r="D97" i="2"/>
  <c r="C97" i="2"/>
  <c r="M96" i="2"/>
  <c r="L96" i="2"/>
  <c r="K96" i="2"/>
  <c r="J96" i="2"/>
  <c r="I96" i="2"/>
  <c r="H96" i="2"/>
  <c r="G96" i="2"/>
  <c r="F96" i="2"/>
  <c r="E96" i="2"/>
  <c r="D96" i="2"/>
  <c r="C96" i="2"/>
  <c r="M95" i="2"/>
  <c r="L95" i="2"/>
  <c r="K95" i="2"/>
  <c r="J95" i="2"/>
  <c r="I95" i="2"/>
  <c r="H95" i="2"/>
  <c r="G95" i="2"/>
  <c r="F95" i="2"/>
  <c r="E95" i="2"/>
  <c r="D95" i="2"/>
  <c r="C95" i="2"/>
  <c r="M94" i="2"/>
  <c r="L94" i="2"/>
  <c r="K94" i="2"/>
  <c r="J94" i="2"/>
  <c r="I94" i="2"/>
  <c r="H94" i="2"/>
  <c r="G94" i="2"/>
  <c r="F94" i="2"/>
  <c r="E94" i="2"/>
  <c r="D94" i="2"/>
  <c r="C94" i="2"/>
  <c r="M93" i="2"/>
  <c r="L93" i="2"/>
  <c r="K93" i="2"/>
  <c r="J93" i="2"/>
  <c r="I93" i="2"/>
  <c r="H93" i="2"/>
  <c r="G93" i="2"/>
  <c r="F93" i="2"/>
  <c r="E93" i="2"/>
  <c r="D93" i="2"/>
  <c r="C93" i="2"/>
  <c r="M92" i="2"/>
  <c r="L92" i="2"/>
  <c r="K92" i="2"/>
  <c r="J92" i="2"/>
  <c r="I92" i="2"/>
  <c r="H92" i="2"/>
  <c r="G92" i="2"/>
  <c r="F92" i="2"/>
  <c r="E92" i="2"/>
  <c r="D92" i="2"/>
  <c r="C92" i="2"/>
  <c r="M91" i="2"/>
  <c r="L91" i="2"/>
  <c r="K91" i="2"/>
  <c r="J91" i="2"/>
  <c r="I91" i="2"/>
  <c r="H91" i="2"/>
  <c r="G91" i="2"/>
  <c r="F91" i="2"/>
  <c r="E91" i="2"/>
  <c r="D91" i="2"/>
  <c r="C91" i="2"/>
  <c r="M90" i="2"/>
  <c r="L90" i="2"/>
  <c r="K90" i="2"/>
  <c r="J90" i="2"/>
  <c r="I90" i="2"/>
  <c r="H90" i="2"/>
  <c r="G90" i="2"/>
  <c r="F90" i="2"/>
  <c r="E90" i="2"/>
  <c r="D90" i="2"/>
  <c r="C90" i="2"/>
  <c r="M89" i="2"/>
  <c r="L89" i="2"/>
  <c r="K89" i="2"/>
  <c r="J89" i="2"/>
  <c r="I89" i="2"/>
  <c r="H89" i="2"/>
  <c r="G89" i="2"/>
  <c r="F89" i="2"/>
  <c r="E89" i="2"/>
  <c r="D89" i="2"/>
  <c r="C89" i="2"/>
  <c r="M88" i="2"/>
  <c r="L88" i="2"/>
  <c r="K88" i="2"/>
  <c r="J88" i="2"/>
  <c r="I88" i="2"/>
  <c r="H88" i="2"/>
  <c r="G88" i="2"/>
  <c r="F88" i="2"/>
  <c r="E88" i="2"/>
  <c r="D88" i="2"/>
  <c r="C88" i="2"/>
  <c r="M87" i="2"/>
  <c r="L87" i="2"/>
  <c r="K87" i="2"/>
  <c r="J87" i="2"/>
  <c r="I87" i="2"/>
  <c r="H87" i="2"/>
  <c r="G87" i="2"/>
  <c r="F87" i="2"/>
  <c r="E87" i="2"/>
  <c r="D87" i="2"/>
  <c r="C87" i="2"/>
  <c r="M86" i="2"/>
  <c r="L86" i="2"/>
  <c r="K86" i="2"/>
  <c r="J86" i="2"/>
  <c r="I86" i="2"/>
  <c r="H86" i="2"/>
  <c r="G86" i="2"/>
  <c r="F86" i="2"/>
  <c r="E86" i="2"/>
  <c r="D86" i="2"/>
  <c r="C86" i="2"/>
  <c r="M85" i="2"/>
  <c r="L85" i="2"/>
  <c r="K85" i="2"/>
  <c r="J85" i="2"/>
  <c r="I85" i="2"/>
  <c r="H85" i="2"/>
  <c r="G85" i="2"/>
  <c r="F85" i="2"/>
  <c r="E85" i="2"/>
  <c r="D85" i="2"/>
  <c r="C85" i="2"/>
  <c r="M84" i="2"/>
  <c r="L84" i="2"/>
  <c r="K84" i="2"/>
  <c r="J84" i="2"/>
  <c r="I84" i="2"/>
  <c r="H84" i="2"/>
  <c r="G84" i="2"/>
  <c r="F84" i="2"/>
  <c r="E84" i="2"/>
  <c r="D84" i="2"/>
  <c r="C84" i="2"/>
  <c r="M83" i="2"/>
  <c r="L83" i="2"/>
  <c r="K83" i="2"/>
  <c r="J83" i="2"/>
  <c r="I83" i="2"/>
  <c r="H83" i="2"/>
  <c r="G83" i="2"/>
  <c r="F83" i="2"/>
  <c r="E83" i="2"/>
  <c r="D83" i="2"/>
  <c r="C83" i="2"/>
  <c r="M82" i="2"/>
  <c r="L82" i="2"/>
  <c r="K82" i="2"/>
  <c r="J82" i="2"/>
  <c r="I82" i="2"/>
  <c r="H82" i="2"/>
  <c r="G82" i="2"/>
  <c r="F82" i="2"/>
  <c r="E82" i="2"/>
  <c r="D82" i="2"/>
  <c r="C82" i="2"/>
  <c r="M81" i="2"/>
  <c r="L81" i="2"/>
  <c r="K81" i="2"/>
  <c r="J81" i="2"/>
  <c r="I81" i="2"/>
  <c r="H81" i="2"/>
  <c r="G81" i="2"/>
  <c r="F81" i="2"/>
  <c r="E81" i="2"/>
  <c r="D81" i="2"/>
  <c r="C81" i="2"/>
  <c r="M80" i="2"/>
  <c r="L80" i="2"/>
  <c r="K80" i="2"/>
  <c r="J80" i="2"/>
  <c r="I80" i="2"/>
  <c r="H80" i="2"/>
  <c r="G80" i="2"/>
  <c r="F80" i="2"/>
  <c r="E80" i="2"/>
  <c r="D80" i="2"/>
  <c r="C80" i="2"/>
  <c r="M79" i="2"/>
  <c r="L79" i="2"/>
  <c r="K79" i="2"/>
  <c r="J79" i="2"/>
  <c r="I79" i="2"/>
  <c r="H79" i="2"/>
  <c r="G79" i="2"/>
  <c r="F79" i="2"/>
  <c r="E79" i="2"/>
  <c r="D79" i="2"/>
  <c r="C79" i="2"/>
  <c r="M78" i="2"/>
  <c r="L78" i="2"/>
  <c r="K78" i="2"/>
  <c r="J78" i="2"/>
  <c r="I78" i="2"/>
  <c r="H78" i="2"/>
  <c r="G78" i="2"/>
  <c r="F78" i="2"/>
  <c r="E78" i="2"/>
  <c r="D78" i="2"/>
  <c r="C78" i="2"/>
  <c r="M77" i="2"/>
  <c r="L77" i="2"/>
  <c r="K77" i="2"/>
  <c r="J77" i="2"/>
  <c r="I77" i="2"/>
  <c r="H77" i="2"/>
  <c r="G77" i="2"/>
  <c r="F77" i="2"/>
  <c r="E77" i="2"/>
  <c r="D77" i="2"/>
  <c r="C77" i="2"/>
  <c r="M76" i="2"/>
  <c r="L76" i="2"/>
  <c r="K76" i="2"/>
  <c r="J76" i="2"/>
  <c r="I76" i="2"/>
  <c r="H76" i="2"/>
  <c r="G76" i="2"/>
  <c r="F76" i="2"/>
  <c r="E76" i="2"/>
  <c r="D76" i="2"/>
  <c r="C76" i="2"/>
  <c r="M75" i="2"/>
  <c r="L75" i="2"/>
  <c r="K75" i="2"/>
  <c r="J75" i="2"/>
  <c r="I75" i="2"/>
  <c r="H75" i="2"/>
  <c r="G75" i="2"/>
  <c r="F75" i="2"/>
  <c r="E75" i="2"/>
  <c r="D75" i="2"/>
  <c r="C75" i="2"/>
  <c r="M74" i="2"/>
  <c r="L74" i="2"/>
  <c r="K74" i="2"/>
  <c r="J74" i="2"/>
  <c r="I74" i="2"/>
  <c r="H74" i="2"/>
  <c r="G74" i="2"/>
  <c r="F74" i="2"/>
  <c r="E74" i="2"/>
  <c r="D74" i="2"/>
  <c r="C74" i="2"/>
  <c r="M73" i="2"/>
  <c r="L73" i="2"/>
  <c r="K73" i="2"/>
  <c r="J73" i="2"/>
  <c r="I73" i="2"/>
  <c r="H73" i="2"/>
  <c r="G73" i="2"/>
  <c r="F73" i="2"/>
  <c r="E73" i="2"/>
  <c r="D73" i="2"/>
  <c r="C73" i="2"/>
  <c r="M72" i="2"/>
  <c r="L72" i="2"/>
  <c r="K72" i="2"/>
  <c r="J72" i="2"/>
  <c r="I72" i="2"/>
  <c r="H72" i="2"/>
  <c r="G72" i="2"/>
  <c r="F72" i="2"/>
  <c r="E72" i="2"/>
  <c r="D72" i="2"/>
  <c r="C72" i="2"/>
  <c r="M71" i="2"/>
  <c r="L71" i="2"/>
  <c r="K71" i="2"/>
  <c r="J71" i="2"/>
  <c r="I71" i="2"/>
  <c r="H71" i="2"/>
  <c r="G71" i="2"/>
  <c r="F71" i="2"/>
  <c r="E71" i="2"/>
  <c r="D71" i="2"/>
  <c r="C71" i="2"/>
  <c r="M70" i="2"/>
  <c r="L70" i="2"/>
  <c r="K70" i="2"/>
  <c r="J70" i="2"/>
  <c r="I70" i="2"/>
  <c r="H70" i="2"/>
  <c r="G70" i="2"/>
  <c r="F70" i="2"/>
  <c r="E70" i="2"/>
  <c r="D70" i="2"/>
  <c r="C70" i="2"/>
  <c r="M69" i="2"/>
  <c r="L69" i="2"/>
  <c r="K69" i="2"/>
  <c r="J69" i="2"/>
  <c r="I69" i="2"/>
  <c r="H69" i="2"/>
  <c r="G69" i="2"/>
  <c r="F69" i="2"/>
  <c r="E69" i="2"/>
  <c r="D69" i="2"/>
  <c r="C69" i="2"/>
  <c r="M68" i="2"/>
  <c r="L68" i="2"/>
  <c r="K68" i="2"/>
  <c r="J68" i="2"/>
  <c r="I68" i="2"/>
  <c r="H68" i="2"/>
  <c r="G68" i="2"/>
  <c r="F68" i="2"/>
  <c r="E68" i="2"/>
  <c r="D68" i="2"/>
  <c r="C68" i="2"/>
  <c r="M67" i="2"/>
  <c r="L67" i="2"/>
  <c r="K67" i="2"/>
  <c r="J67" i="2"/>
  <c r="I67" i="2"/>
  <c r="H67" i="2"/>
  <c r="G67" i="2"/>
  <c r="F67" i="2"/>
  <c r="E67" i="2"/>
  <c r="D67" i="2"/>
  <c r="C67" i="2"/>
  <c r="M66" i="2"/>
  <c r="L66" i="2"/>
  <c r="K66" i="2"/>
  <c r="J66" i="2"/>
  <c r="I66" i="2"/>
  <c r="H66" i="2"/>
  <c r="G66" i="2"/>
  <c r="F66" i="2"/>
  <c r="E66" i="2"/>
  <c r="D66" i="2"/>
  <c r="C66" i="2"/>
  <c r="M65" i="2"/>
  <c r="L65" i="2"/>
  <c r="K65" i="2"/>
  <c r="J65" i="2"/>
  <c r="I65" i="2"/>
  <c r="H65" i="2"/>
  <c r="G65" i="2"/>
  <c r="F65" i="2"/>
  <c r="E65" i="2"/>
  <c r="D65" i="2"/>
  <c r="C65" i="2"/>
  <c r="M64" i="2"/>
  <c r="L64" i="2"/>
  <c r="K64" i="2"/>
  <c r="J64" i="2"/>
  <c r="I64" i="2"/>
  <c r="H64" i="2"/>
  <c r="G64" i="2"/>
  <c r="F64" i="2"/>
  <c r="E64" i="2"/>
  <c r="D64" i="2"/>
  <c r="C64" i="2"/>
  <c r="M63" i="2"/>
  <c r="L63" i="2"/>
  <c r="K63" i="2"/>
  <c r="J63" i="2"/>
  <c r="I63" i="2"/>
  <c r="H63" i="2"/>
  <c r="G63" i="2"/>
  <c r="F63" i="2"/>
  <c r="E63" i="2"/>
  <c r="D63" i="2"/>
  <c r="C63" i="2"/>
  <c r="M62" i="2"/>
  <c r="L62" i="2"/>
  <c r="K62" i="2"/>
  <c r="J62" i="2"/>
  <c r="I62" i="2"/>
  <c r="H62" i="2"/>
  <c r="G62" i="2"/>
  <c r="F62" i="2"/>
  <c r="E62" i="2"/>
  <c r="D62" i="2"/>
  <c r="C62" i="2"/>
  <c r="M61" i="2"/>
  <c r="L61" i="2"/>
  <c r="K61" i="2"/>
  <c r="J61" i="2"/>
  <c r="I61" i="2"/>
  <c r="H61" i="2"/>
  <c r="G61" i="2"/>
  <c r="F61" i="2"/>
  <c r="E61" i="2"/>
  <c r="D61" i="2"/>
  <c r="C61" i="2"/>
  <c r="M60" i="2"/>
  <c r="L60" i="2"/>
  <c r="K60" i="2"/>
  <c r="J60" i="2"/>
  <c r="I60" i="2"/>
  <c r="H60" i="2"/>
  <c r="G60" i="2"/>
  <c r="F60" i="2"/>
  <c r="E60" i="2"/>
  <c r="D60" i="2"/>
  <c r="C60" i="2"/>
  <c r="M59" i="2"/>
  <c r="L59" i="2"/>
  <c r="K59" i="2"/>
  <c r="J59" i="2"/>
  <c r="I59" i="2"/>
  <c r="H59" i="2"/>
  <c r="G59" i="2"/>
  <c r="F59" i="2"/>
  <c r="E59" i="2"/>
  <c r="D59" i="2"/>
  <c r="C59" i="2"/>
  <c r="M58" i="2"/>
  <c r="L58" i="2"/>
  <c r="K58" i="2"/>
  <c r="J58" i="2"/>
  <c r="I58" i="2"/>
  <c r="H58" i="2"/>
  <c r="G58" i="2"/>
  <c r="F58" i="2"/>
  <c r="E58" i="2"/>
  <c r="D58" i="2"/>
  <c r="C58" i="2"/>
  <c r="M57" i="2"/>
  <c r="L57" i="2"/>
  <c r="K57" i="2"/>
  <c r="J57" i="2"/>
  <c r="I57" i="2"/>
  <c r="H57" i="2"/>
  <c r="G57" i="2"/>
  <c r="F57" i="2"/>
  <c r="E57" i="2"/>
  <c r="D57" i="2"/>
  <c r="C57" i="2"/>
  <c r="M56" i="2"/>
  <c r="L56" i="2"/>
  <c r="K56" i="2"/>
  <c r="J56" i="2"/>
  <c r="I56" i="2"/>
  <c r="H56" i="2"/>
  <c r="G56" i="2"/>
  <c r="F56" i="2"/>
  <c r="E56" i="2"/>
  <c r="D56" i="2"/>
  <c r="C56" i="2"/>
  <c r="M55" i="2"/>
  <c r="L55" i="2"/>
  <c r="K55" i="2"/>
  <c r="J55" i="2"/>
  <c r="I55" i="2"/>
  <c r="H55" i="2"/>
  <c r="G55" i="2"/>
  <c r="F55" i="2"/>
  <c r="E55" i="2"/>
  <c r="D55" i="2"/>
  <c r="C55" i="2"/>
  <c r="M54" i="2"/>
  <c r="L54" i="2"/>
  <c r="K54" i="2"/>
  <c r="J54" i="2"/>
  <c r="I54" i="2"/>
  <c r="H54" i="2"/>
  <c r="G54" i="2"/>
  <c r="F54" i="2"/>
  <c r="E54" i="2"/>
  <c r="D54" i="2"/>
  <c r="C54" i="2"/>
  <c r="M53" i="2"/>
  <c r="L53" i="2"/>
  <c r="K53" i="2"/>
  <c r="J53" i="2"/>
  <c r="I53" i="2"/>
  <c r="H53" i="2"/>
  <c r="G53" i="2"/>
  <c r="F53" i="2"/>
  <c r="E53" i="2"/>
  <c r="D53" i="2"/>
  <c r="C53" i="2"/>
  <c r="M52" i="2"/>
  <c r="L52" i="2"/>
  <c r="K52" i="2"/>
  <c r="J52" i="2"/>
  <c r="I52" i="2"/>
  <c r="H52" i="2"/>
  <c r="G52" i="2"/>
  <c r="F52" i="2"/>
  <c r="E52" i="2"/>
  <c r="D52" i="2"/>
  <c r="C52" i="2"/>
  <c r="M51" i="2"/>
  <c r="L51" i="2"/>
  <c r="K51" i="2"/>
  <c r="J51" i="2"/>
  <c r="I51" i="2"/>
  <c r="H51" i="2"/>
  <c r="G51" i="2"/>
  <c r="F51" i="2"/>
  <c r="E51" i="2"/>
  <c r="D51" i="2"/>
  <c r="C51" i="2"/>
  <c r="M50" i="2"/>
  <c r="L50" i="2"/>
  <c r="K50" i="2"/>
  <c r="J50" i="2"/>
  <c r="I50" i="2"/>
  <c r="H50" i="2"/>
  <c r="G50" i="2"/>
  <c r="F50" i="2"/>
  <c r="E50" i="2"/>
  <c r="D50" i="2"/>
  <c r="C50" i="2"/>
  <c r="M49" i="2"/>
  <c r="L49" i="2"/>
  <c r="K49" i="2"/>
  <c r="J49" i="2"/>
  <c r="I49" i="2"/>
  <c r="H49" i="2"/>
  <c r="G49" i="2"/>
  <c r="F49" i="2"/>
  <c r="E49" i="2"/>
  <c r="D49" i="2"/>
  <c r="C49" i="2"/>
  <c r="M48" i="2"/>
  <c r="L48" i="2"/>
  <c r="K48" i="2"/>
  <c r="J48" i="2"/>
  <c r="I48" i="2"/>
  <c r="H48" i="2"/>
  <c r="G48" i="2"/>
  <c r="F48" i="2"/>
  <c r="E48" i="2"/>
  <c r="D48" i="2"/>
  <c r="C48" i="2"/>
  <c r="M47" i="2"/>
  <c r="L47" i="2"/>
  <c r="K47" i="2"/>
  <c r="J47" i="2"/>
  <c r="I47" i="2"/>
  <c r="H47" i="2"/>
  <c r="G47" i="2"/>
  <c r="F47" i="2"/>
  <c r="E47" i="2"/>
  <c r="D47" i="2"/>
  <c r="C47" i="2"/>
  <c r="M46" i="2"/>
  <c r="L46" i="2"/>
  <c r="K46" i="2"/>
  <c r="J46" i="2"/>
  <c r="I46" i="2"/>
  <c r="H46" i="2"/>
  <c r="G46" i="2"/>
  <c r="F46" i="2"/>
  <c r="E46" i="2"/>
  <c r="D46" i="2"/>
  <c r="C46" i="2"/>
  <c r="M45" i="2"/>
  <c r="L45" i="2"/>
  <c r="K45" i="2"/>
  <c r="J45" i="2"/>
  <c r="I45" i="2"/>
  <c r="H45" i="2"/>
  <c r="G45" i="2"/>
  <c r="F45" i="2"/>
  <c r="E45" i="2"/>
  <c r="D45" i="2"/>
  <c r="C45" i="2"/>
  <c r="M44" i="2"/>
  <c r="L44" i="2"/>
  <c r="K44" i="2"/>
  <c r="J44" i="2"/>
  <c r="I44" i="2"/>
  <c r="H44" i="2"/>
  <c r="G44" i="2"/>
  <c r="F44" i="2"/>
  <c r="E44" i="2"/>
  <c r="D44" i="2"/>
  <c r="C44" i="2"/>
  <c r="M43" i="2"/>
  <c r="L43" i="2"/>
  <c r="K43" i="2"/>
  <c r="J43" i="2"/>
  <c r="I43" i="2"/>
  <c r="H43" i="2"/>
  <c r="G43" i="2"/>
  <c r="F43" i="2"/>
  <c r="E43" i="2"/>
  <c r="D43" i="2"/>
  <c r="C43" i="2"/>
  <c r="M42" i="2"/>
  <c r="L42" i="2"/>
  <c r="K42" i="2"/>
  <c r="J42" i="2"/>
  <c r="I42" i="2"/>
  <c r="H42" i="2"/>
  <c r="G42" i="2"/>
  <c r="F42" i="2"/>
  <c r="E42" i="2"/>
  <c r="D42" i="2"/>
  <c r="C42" i="2"/>
  <c r="M41" i="2"/>
  <c r="L41" i="2"/>
  <c r="K41" i="2"/>
  <c r="J41" i="2"/>
  <c r="I41" i="2"/>
  <c r="H41" i="2"/>
  <c r="G41" i="2"/>
  <c r="F41" i="2"/>
  <c r="E41" i="2"/>
  <c r="D41" i="2"/>
  <c r="C41" i="2"/>
  <c r="M40" i="2"/>
  <c r="L40" i="2"/>
  <c r="K40" i="2"/>
  <c r="J40" i="2"/>
  <c r="I40" i="2"/>
  <c r="H40" i="2"/>
  <c r="G40" i="2"/>
  <c r="F40" i="2"/>
  <c r="E40" i="2"/>
  <c r="D40" i="2"/>
  <c r="C40" i="2"/>
  <c r="M39" i="2"/>
  <c r="L39" i="2"/>
  <c r="K39" i="2"/>
  <c r="J39" i="2"/>
  <c r="I39" i="2"/>
  <c r="H39" i="2"/>
  <c r="G39" i="2"/>
  <c r="F39" i="2"/>
  <c r="E39" i="2"/>
  <c r="D39" i="2"/>
  <c r="C39" i="2"/>
  <c r="M38" i="2"/>
  <c r="L38" i="2"/>
  <c r="K38" i="2"/>
  <c r="J38" i="2"/>
  <c r="I38" i="2"/>
  <c r="H38" i="2"/>
  <c r="G38" i="2"/>
  <c r="F38" i="2"/>
  <c r="E38" i="2"/>
  <c r="D38" i="2"/>
  <c r="C38" i="2"/>
  <c r="M37" i="2"/>
  <c r="L37" i="2"/>
  <c r="K37" i="2"/>
  <c r="J37" i="2"/>
  <c r="I37" i="2"/>
  <c r="H37" i="2"/>
  <c r="G37" i="2"/>
  <c r="F37" i="2"/>
  <c r="E37" i="2"/>
  <c r="D37" i="2"/>
  <c r="C37" i="2"/>
  <c r="M36" i="2"/>
  <c r="L36" i="2"/>
  <c r="K36" i="2"/>
  <c r="J36" i="2"/>
  <c r="I36" i="2"/>
  <c r="H36" i="2"/>
  <c r="G36" i="2"/>
  <c r="F36" i="2"/>
  <c r="E36" i="2"/>
  <c r="D36" i="2"/>
  <c r="C36" i="2"/>
  <c r="M35" i="2"/>
  <c r="L35" i="2"/>
  <c r="K35" i="2"/>
  <c r="J35" i="2"/>
  <c r="I35" i="2"/>
  <c r="H35" i="2"/>
  <c r="G35" i="2"/>
  <c r="F35" i="2"/>
  <c r="E35" i="2"/>
  <c r="D35" i="2"/>
  <c r="C35" i="2"/>
  <c r="M34" i="2"/>
  <c r="L34" i="2"/>
  <c r="K34" i="2"/>
  <c r="J34" i="2"/>
  <c r="I34" i="2"/>
  <c r="H34" i="2"/>
  <c r="G34" i="2"/>
  <c r="F34" i="2"/>
  <c r="E34" i="2"/>
  <c r="D34" i="2"/>
  <c r="C34" i="2"/>
  <c r="M33" i="2"/>
  <c r="L33" i="2"/>
  <c r="K33" i="2"/>
  <c r="J33" i="2"/>
  <c r="I33" i="2"/>
  <c r="H33" i="2"/>
  <c r="G33" i="2"/>
  <c r="F33" i="2"/>
  <c r="E33" i="2"/>
  <c r="D33" i="2"/>
  <c r="C33" i="2"/>
  <c r="M32" i="2"/>
  <c r="L32" i="2"/>
  <c r="K32" i="2"/>
  <c r="J32" i="2"/>
  <c r="I32" i="2"/>
  <c r="H32" i="2"/>
  <c r="G32" i="2"/>
  <c r="F32" i="2"/>
  <c r="E32" i="2"/>
  <c r="D32" i="2"/>
  <c r="C32" i="2"/>
  <c r="M31" i="2"/>
  <c r="L31" i="2"/>
  <c r="K31" i="2"/>
  <c r="J31" i="2"/>
  <c r="I31" i="2"/>
  <c r="H31" i="2"/>
  <c r="G31" i="2"/>
  <c r="F31" i="2"/>
  <c r="E31" i="2"/>
  <c r="D31" i="2"/>
  <c r="C31" i="2"/>
  <c r="M30" i="2"/>
  <c r="L30" i="2"/>
  <c r="K30" i="2"/>
  <c r="J30" i="2"/>
  <c r="I30" i="2"/>
  <c r="H30" i="2"/>
  <c r="G30" i="2"/>
  <c r="F30" i="2"/>
  <c r="E30" i="2"/>
  <c r="D30" i="2"/>
  <c r="C30" i="2"/>
  <c r="M29" i="2"/>
  <c r="L29" i="2"/>
  <c r="K29" i="2"/>
  <c r="J29" i="2"/>
  <c r="I29" i="2"/>
  <c r="H29" i="2"/>
  <c r="G29" i="2"/>
  <c r="F29" i="2"/>
  <c r="E29" i="2"/>
  <c r="D29" i="2"/>
  <c r="C29" i="2"/>
  <c r="M28" i="2"/>
  <c r="L28" i="2"/>
  <c r="K28" i="2"/>
  <c r="J28" i="2"/>
  <c r="I28" i="2"/>
  <c r="H28" i="2"/>
  <c r="G28" i="2"/>
  <c r="F28" i="2"/>
  <c r="E28" i="2"/>
  <c r="D28" i="2"/>
  <c r="C28" i="2"/>
  <c r="M27" i="2"/>
  <c r="L27" i="2"/>
  <c r="K27" i="2"/>
  <c r="J27" i="2"/>
  <c r="I27" i="2"/>
  <c r="H27" i="2"/>
  <c r="G27" i="2"/>
  <c r="F27" i="2"/>
  <c r="E27" i="2"/>
  <c r="D27" i="2"/>
  <c r="C27" i="2"/>
  <c r="M26" i="2"/>
  <c r="L26" i="2"/>
  <c r="K26" i="2"/>
  <c r="J26" i="2"/>
  <c r="I26" i="2"/>
  <c r="H26" i="2"/>
  <c r="G26" i="2"/>
  <c r="F26" i="2"/>
  <c r="E26" i="2"/>
  <c r="D26" i="2"/>
  <c r="C26" i="2"/>
  <c r="M25" i="2"/>
  <c r="L25" i="2"/>
  <c r="K25" i="2"/>
  <c r="J25" i="2"/>
  <c r="I25" i="2"/>
  <c r="H25" i="2"/>
  <c r="G25" i="2"/>
  <c r="F25" i="2"/>
  <c r="E25" i="2"/>
  <c r="D25" i="2"/>
  <c r="C25" i="2"/>
  <c r="M24" i="2"/>
  <c r="L24" i="2"/>
  <c r="K24" i="2"/>
  <c r="J24" i="2"/>
  <c r="I24" i="2"/>
  <c r="H24" i="2"/>
  <c r="G24" i="2"/>
  <c r="F24" i="2"/>
  <c r="E24" i="2"/>
  <c r="D24" i="2"/>
  <c r="C24" i="2"/>
  <c r="M23" i="2"/>
  <c r="L23" i="2"/>
  <c r="K23" i="2"/>
  <c r="J23" i="2"/>
  <c r="I23" i="2"/>
  <c r="H23" i="2"/>
  <c r="G23" i="2"/>
  <c r="F23" i="2"/>
  <c r="E23" i="2"/>
  <c r="D23" i="2"/>
  <c r="C23" i="2"/>
  <c r="M22" i="2"/>
  <c r="L22" i="2"/>
  <c r="K22" i="2"/>
  <c r="J22" i="2"/>
  <c r="I22" i="2"/>
  <c r="H22" i="2"/>
  <c r="G22" i="2"/>
  <c r="F22" i="2"/>
  <c r="E22" i="2"/>
  <c r="D22" i="2"/>
  <c r="C22" i="2"/>
  <c r="M21" i="2"/>
  <c r="L21" i="2"/>
  <c r="K21" i="2"/>
  <c r="J21" i="2"/>
  <c r="I21" i="2"/>
  <c r="H21" i="2"/>
  <c r="G21" i="2"/>
  <c r="F21" i="2"/>
  <c r="E21" i="2"/>
  <c r="D21" i="2"/>
  <c r="C21" i="2"/>
  <c r="M20" i="2"/>
  <c r="L20" i="2"/>
  <c r="K20" i="2"/>
  <c r="J20" i="2"/>
  <c r="I20" i="2"/>
  <c r="H20" i="2"/>
  <c r="G20" i="2"/>
  <c r="F20" i="2"/>
  <c r="E20" i="2"/>
  <c r="D20" i="2"/>
  <c r="C20" i="2"/>
  <c r="M19" i="2"/>
  <c r="L19" i="2"/>
  <c r="K19" i="2"/>
  <c r="J19" i="2"/>
  <c r="I19" i="2"/>
  <c r="H19" i="2"/>
  <c r="G19" i="2"/>
  <c r="F19" i="2"/>
  <c r="E19" i="2"/>
  <c r="D19" i="2"/>
  <c r="C19" i="2"/>
  <c r="M18" i="2"/>
  <c r="L18" i="2"/>
  <c r="K18" i="2"/>
  <c r="J18" i="2"/>
  <c r="I18" i="2"/>
  <c r="H18" i="2"/>
  <c r="G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M16" i="2"/>
  <c r="L16" i="2"/>
  <c r="K16" i="2"/>
  <c r="J16" i="2"/>
  <c r="I16" i="2"/>
  <c r="H16" i="2"/>
  <c r="G16" i="2"/>
  <c r="F16" i="2"/>
  <c r="E16" i="2"/>
  <c r="D16" i="2"/>
  <c r="C16" i="2"/>
  <c r="M15" i="2"/>
  <c r="L15" i="2"/>
  <c r="K15" i="2"/>
  <c r="J15" i="2"/>
  <c r="I15" i="2"/>
  <c r="H15" i="2"/>
  <c r="G15" i="2"/>
  <c r="F15" i="2"/>
  <c r="E15" i="2"/>
  <c r="D15" i="2"/>
  <c r="C15" i="2"/>
  <c r="M14" i="2"/>
  <c r="L14" i="2"/>
  <c r="K14" i="2"/>
  <c r="J14" i="2"/>
  <c r="I14" i="2"/>
  <c r="H14" i="2"/>
  <c r="G14" i="2"/>
  <c r="F14" i="2"/>
  <c r="E14" i="2"/>
  <c r="D14" i="2"/>
  <c r="C14" i="2"/>
  <c r="M13" i="2"/>
  <c r="L13" i="2"/>
  <c r="K13" i="2"/>
  <c r="J13" i="2"/>
  <c r="I13" i="2"/>
  <c r="H13" i="2"/>
  <c r="G13" i="2"/>
  <c r="F13" i="2"/>
  <c r="E13" i="2"/>
  <c r="D13" i="2"/>
  <c r="C13" i="2"/>
  <c r="M12" i="2"/>
  <c r="L12" i="2"/>
  <c r="K12" i="2"/>
  <c r="J12" i="2"/>
  <c r="I12" i="2"/>
  <c r="H12" i="2"/>
  <c r="G12" i="2"/>
  <c r="F12" i="2"/>
  <c r="E12" i="2"/>
  <c r="D12" i="2"/>
  <c r="C12" i="2"/>
  <c r="M11" i="2"/>
  <c r="L11" i="2"/>
  <c r="K11" i="2"/>
  <c r="J11" i="2"/>
  <c r="I11" i="2"/>
  <c r="H11" i="2"/>
  <c r="G11" i="2"/>
  <c r="F11" i="2"/>
  <c r="E11" i="2"/>
  <c r="D11" i="2"/>
  <c r="C11" i="2"/>
  <c r="M10" i="2"/>
  <c r="L10" i="2"/>
  <c r="K10" i="2"/>
  <c r="J10" i="2"/>
  <c r="I10" i="2"/>
  <c r="H10" i="2"/>
  <c r="G10" i="2"/>
  <c r="F10" i="2"/>
  <c r="E10" i="2"/>
  <c r="D10" i="2"/>
  <c r="C10" i="2"/>
  <c r="M9" i="2"/>
  <c r="L9" i="2"/>
  <c r="K9" i="2"/>
  <c r="J9" i="2"/>
  <c r="H9" i="2"/>
  <c r="G9" i="2"/>
  <c r="F9" i="2"/>
  <c r="E9" i="2"/>
  <c r="D9" i="2"/>
  <c r="C9" i="2"/>
  <c r="M8" i="2"/>
  <c r="L8" i="2"/>
  <c r="K8" i="2"/>
  <c r="J8" i="2"/>
  <c r="H8" i="2"/>
  <c r="G8" i="2"/>
  <c r="F8" i="2"/>
  <c r="E8" i="2"/>
  <c r="D8" i="2"/>
  <c r="C8" i="2"/>
  <c r="M7" i="2"/>
  <c r="L7" i="2"/>
  <c r="K7" i="2"/>
  <c r="J7" i="2"/>
  <c r="H7" i="2"/>
  <c r="G7" i="2"/>
  <c r="F7" i="2"/>
  <c r="E7" i="2"/>
  <c r="D7" i="2"/>
  <c r="C7" i="2"/>
  <c r="M6" i="2"/>
  <c r="L6" i="2"/>
  <c r="K6" i="2"/>
  <c r="J6" i="2"/>
  <c r="H6" i="2"/>
  <c r="G6" i="2"/>
  <c r="F6" i="2"/>
  <c r="E6" i="2"/>
  <c r="D6" i="2"/>
  <c r="C6" i="2"/>
  <c r="M5" i="2"/>
  <c r="L5" i="2"/>
  <c r="K5" i="2"/>
  <c r="J5" i="2"/>
  <c r="H5" i="2"/>
  <c r="G5" i="2"/>
  <c r="F5" i="2"/>
  <c r="E5" i="2"/>
  <c r="D5" i="2"/>
  <c r="C5" i="2"/>
  <c r="M4" i="2"/>
  <c r="L4" i="2"/>
  <c r="K4" i="2"/>
  <c r="J4" i="2"/>
  <c r="H4" i="2"/>
  <c r="G4" i="2"/>
  <c r="F4" i="2"/>
  <c r="E4" i="2"/>
  <c r="D4" i="2"/>
  <c r="C4" i="2"/>
  <c r="M3" i="2"/>
  <c r="L3" i="2"/>
  <c r="K3" i="2"/>
  <c r="J3" i="2"/>
  <c r="H3" i="2"/>
  <c r="G3" i="2"/>
  <c r="F3" i="2"/>
  <c r="E3" i="2"/>
  <c r="D3" i="2"/>
  <c r="C3" i="2"/>
  <c r="M2" i="2"/>
  <c r="L2" i="2"/>
  <c r="K2" i="2"/>
  <c r="J2" i="2"/>
  <c r="H2" i="2"/>
  <c r="G2" i="2"/>
  <c r="F2" i="2"/>
  <c r="E2" i="2"/>
  <c r="D2" i="2"/>
  <c r="C2" i="2"/>
</calcChain>
</file>

<file path=xl/sharedStrings.xml><?xml version="1.0" encoding="utf-8"?>
<sst xmlns="http://schemas.openxmlformats.org/spreadsheetml/2006/main" count="1295" uniqueCount="255">
  <si>
    <t>Data Series and Source</t>
  </si>
  <si>
    <t>Link</t>
  </si>
  <si>
    <t>Web Page</t>
  </si>
  <si>
    <t>EPA - EMTS</t>
  </si>
  <si>
    <t>RINs Generated Transactions | US EPA</t>
  </si>
  <si>
    <t>https://www.epa.gov/fuels-registration-reporting-and-compliance-help/rins-generated-transactions</t>
  </si>
  <si>
    <t>EIA - Short-Term Energy Outlook - Biofuel Data</t>
  </si>
  <si>
    <t>Selected Data Table</t>
  </si>
  <si>
    <t>https://www.eia.gov/outlooks/steo/data/browser</t>
  </si>
  <si>
    <t>Where is this data used/input</t>
  </si>
  <si>
    <t>EIA - Monthly Energy Review</t>
  </si>
  <si>
    <t>Production and Consumption by Source</t>
  </si>
  <si>
    <t>https://www.eia.gov/totalenergy/data/monthly/</t>
  </si>
  <si>
    <t xml:space="preserve">Table 10.1 Renewable Energy Production </t>
  </si>
  <si>
    <t>EIA - Stocks</t>
  </si>
  <si>
    <t>Petroleum &amp; Other Liquids Data</t>
  </si>
  <si>
    <t>https://www.eia.gov/dnav/pet/pet_stoc_typ_d_nus_SAE_mbbl_m.htm</t>
  </si>
  <si>
    <t>EIA - Biodiesel Data</t>
  </si>
  <si>
    <t>Biodiesel Overview</t>
  </si>
  <si>
    <t>Table 10.4a Biodiesel Overview</t>
  </si>
  <si>
    <t>EIA - Renewable Diesel Data</t>
  </si>
  <si>
    <t>Renewable Diesel Overview</t>
  </si>
  <si>
    <t>Table 10.4b Renewable Dieserl Fuel Overview</t>
  </si>
  <si>
    <t>EIA - Other Biofuels Data</t>
  </si>
  <si>
    <t>Other Biofuels Overview</t>
  </si>
  <si>
    <t>Table 10.4c Other Biofuels Overview</t>
  </si>
  <si>
    <t>EIA - Residential &amp; Commercial Renewable Energy Consumption</t>
  </si>
  <si>
    <t>Consumption: residential and commercial sectors</t>
  </si>
  <si>
    <t>Table 10.2a Renewable Energy Consumption Residential and Commercial Sectors</t>
  </si>
  <si>
    <t>EIA - Transportation &amp; Electric Power Renewable Energy Consumption</t>
  </si>
  <si>
    <t>Consumption: transportation and electric power sectors</t>
  </si>
  <si>
    <t>Table 10.2c Renewable Energy Consumption Transportation and Electric Power Sectors</t>
  </si>
  <si>
    <t>U.S. Refinery and Blender Net Production of Distillate Fuel Oil (Th Bbls)</t>
  </si>
  <si>
    <t>U.S. Refinery and Blender Net Production of Distillate Fuel Oil (Thousand Barrels)</t>
  </si>
  <si>
    <t>https://www.eia.gov/dnav/pet/hist/LeafHandler.ashx?n=PET&amp;s=MDIRPUS1&amp;f=M</t>
  </si>
  <si>
    <t>U.S. Product Supplied of Distillate Fuel Oil (Th Bbls)</t>
  </si>
  <si>
    <t>https://www.eia.gov/dnav/pet/hist/LeafHandler.ashx?n=PET&amp;s=MDIUPUS1&amp;f=M</t>
  </si>
  <si>
    <t>U.S. Imports of Distillate Fuel Oil (Th Bbls)</t>
  </si>
  <si>
    <t>https://www.eia.gov/dnav/pet/hist/LeafHandler.ashx?n=PET&amp;s=MDIIMUS1&amp;f=M</t>
  </si>
  <si>
    <t>U.S. Ending Stocks of Distillate Fuel Oil (Th Bbls)</t>
  </si>
  <si>
    <t>https://www.eia.gov/dnav/pet/hist/LeafHandler.ashx?n=pet&amp;s=mdistus1&amp;f=m</t>
  </si>
  <si>
    <t>U.S. Exports of Distillate Fuel Oil Thousand Barrels</t>
  </si>
  <si>
    <t>https://www.eia.gov/dnav/pet/hist/LeafHandler.ashx?n=PET&amp;s=MDIEXUS1&amp;f=M</t>
  </si>
  <si>
    <t>U.S. Refinery Net Production of Distillate Fuel Oil 0 to 15 ppm Sulfur Thousand Barrels</t>
  </si>
  <si>
    <t>https://www.eia.gov/dnav/pet/hist/LeafHandler.ashx?n=PET&amp;s=MD0RX_NUS_1&amp;f=M</t>
  </si>
  <si>
    <t>U.S. Refinery and Blender Net Production of Kerosene-Type Jet Fuel (th bbls)</t>
  </si>
  <si>
    <t>https://www.eia.gov/dnav/pet/hist/LeafHandler.ashx?n=PET&amp;s=MKJRPUS1&amp;f=M</t>
  </si>
  <si>
    <t>U.S. Product Supplied of Kerosene-Type Jet Fuel (th bbls)</t>
  </si>
  <si>
    <t>https://www.eia.gov/dnav/pet/hist/LeafHandler.ashx?n=PET&amp;s=MKJUPUS1&amp;f=M</t>
  </si>
  <si>
    <t>https://www.eia.gov/totalenergy/data/browser/xls.php?tbl=T10.04A&amp;freq=m</t>
  </si>
  <si>
    <t>U.S. Ending Stocks of Kerosene-Type Jet Fuel (th bbls)</t>
  </si>
  <si>
    <t>https://www.eia.gov/dnav/pet/hist/LeafHandler.ashx?n=PET&amp;s=MKJSTUS1&amp;f=M</t>
  </si>
  <si>
    <t>U.S. Imports of Kerosene-Type Jet Fuel (th bbls)</t>
  </si>
  <si>
    <t>https://www.eia.gov/dnav/pet/hist/LeafHandler.ashx?n=PET&amp;s=MKJIMUS1&amp;f=M</t>
  </si>
  <si>
    <t>U.S. Exports of Kerosene-Type Jet Fuel (th bbls)</t>
  </si>
  <si>
    <t>https://www.eia.gov/dnav/pet/hist/LeafHandler.ashx?n=PET&amp;s=MKJEXUS1&amp;f=M</t>
  </si>
  <si>
    <t>Jet SAF Prices</t>
  </si>
  <si>
    <t xml:space="preserve">Webpage location for data </t>
  </si>
  <si>
    <t>RIN prices</t>
  </si>
  <si>
    <t>Location for data</t>
  </si>
  <si>
    <t>monthly_data columns CL and CM where does this data come from? These are included in the supply demand for Diesel</t>
  </si>
  <si>
    <t>Notes:</t>
  </si>
  <si>
    <t>Not sure where this data was used - since it is EIA, it may be replaced by EPA's EMTS</t>
  </si>
  <si>
    <t>Data is collected but no longer used since SAF breakout - replaced by EPA's EMTS</t>
  </si>
  <si>
    <t>Prices - what is the purpose for this data? Is it used somewhere else?</t>
  </si>
  <si>
    <t>Data being pulled from another workbook</t>
  </si>
  <si>
    <t>BD</t>
  </si>
  <si>
    <t>RD</t>
  </si>
  <si>
    <t>Combined</t>
  </si>
  <si>
    <t>BD Production</t>
  </si>
  <si>
    <t>RD Production</t>
  </si>
  <si>
    <t>Combined Production</t>
  </si>
  <si>
    <t>BD Capacity Utilization</t>
  </si>
  <si>
    <t>RD Capacity Utilization</t>
  </si>
  <si>
    <t>Combined Capacity Utilization</t>
  </si>
  <si>
    <t>Unused BD</t>
  </si>
  <si>
    <t>Unused RD</t>
  </si>
  <si>
    <t>Unused Combined</t>
  </si>
  <si>
    <t>Annual Total</t>
  </si>
  <si>
    <t>Biodiesel Feedstock</t>
  </si>
  <si>
    <t>Biodiesel Losses and Co-products</t>
  </si>
  <si>
    <t>Biodiesel Production</t>
  </si>
  <si>
    <t>Biodiesel Imports</t>
  </si>
  <si>
    <t>Biodiesel Exports</t>
  </si>
  <si>
    <t>Biodiesel Net Imports</t>
  </si>
  <si>
    <t>Biodiesel Stocks</t>
  </si>
  <si>
    <t>Biodiesel Stock Change</t>
  </si>
  <si>
    <t>Biodiesel Consumption</t>
  </si>
  <si>
    <t>Renewable Diesel Fuel Production</t>
  </si>
  <si>
    <t>Renewable Diesel Fuel Imports</t>
  </si>
  <si>
    <t>Renewable Diesel Fuel Stocks</t>
  </si>
  <si>
    <t>Renewable Diesel Fuel Stock Change</t>
  </si>
  <si>
    <t>Renewable Diesel Fuel Consumption</t>
  </si>
  <si>
    <t>Other Biofuels Feedstock</t>
  </si>
  <si>
    <t>Other Biofuels Losses and Co-products</t>
  </si>
  <si>
    <t>Other Biofuels Production</t>
  </si>
  <si>
    <t>Other Biofuels Imports</t>
  </si>
  <si>
    <t>Other Biofuels Stocks</t>
  </si>
  <si>
    <t>Other Biofuels Stock Change</t>
  </si>
  <si>
    <t>Other Biofuels Consumption</t>
  </si>
  <si>
    <t>U.S. Refinery and Blender Net Production of Distillate Fuel Oil Thousand Barrels</t>
  </si>
  <si>
    <t>U.S. Imports of Distillate Fuel Oil Thousand Barrels</t>
  </si>
  <si>
    <t>U.S. Product Supplied of Distillate Fuel Oil Thousand Barrels</t>
  </si>
  <si>
    <t>U.S. Ending Stocks of Distillate Fuel Oil Thousand Barrels</t>
  </si>
  <si>
    <t>Distillate Fuel Oil Refinery and Blender Net Production</t>
  </si>
  <si>
    <t>Distillate Fuel Oil Imports</t>
  </si>
  <si>
    <t>Distillate Fuel Oil Product Supplied</t>
  </si>
  <si>
    <t>Distillate Fuel Oil Stocks</t>
  </si>
  <si>
    <t>(Trillion Btu)</t>
  </si>
  <si>
    <t>(Thousand Barrels)</t>
  </si>
  <si>
    <t>(Million Gallons)</t>
  </si>
  <si>
    <t>https://www.eia.gov/dnav/pet/hist/LeafHandler.ashx?n=pet&amp;s=mdirpus1&amp;f=a</t>
  </si>
  <si>
    <t>https://www.eia.gov/dnav/pet/hist/LeafHandler.ashx?n=pet&amp;s=mdiimus1&amp;f=a</t>
  </si>
  <si>
    <t>https://www.eia.gov/dnav/pet/hist/LeafHandler.ashx?n=pet&amp;s=mdiupus1&amp;f=a</t>
  </si>
  <si>
    <t>https://www.eia.gov/dnav/pet/hist/LeafHandler.ashx?n=pet&amp;s=mdistus1&amp;f=a</t>
  </si>
  <si>
    <t>(Million gallons)</t>
  </si>
  <si>
    <t>Not Available</t>
  </si>
  <si>
    <t>Renewable Diesel Fuel Exports</t>
  </si>
  <si>
    <t>Diesel Consumption</t>
  </si>
  <si>
    <t>Distillate Fuel Refinery Output</t>
  </si>
  <si>
    <t>Distillate Fuel Imports</t>
  </si>
  <si>
    <t>Distillate Fuel Exports</t>
  </si>
  <si>
    <t xml:space="preserve">Distillate Fuel U.S. Refinery and Blender Net Production </t>
  </si>
  <si>
    <t>Biodiesel Exports GTT Code 3826</t>
  </si>
  <si>
    <t>Biodiesel Imports GTT Code 3826</t>
  </si>
  <si>
    <t>Petroleum-based distillate fuel oil consumption</t>
  </si>
  <si>
    <t>Jet Fuel Consumption</t>
  </si>
  <si>
    <t>West Texas Intermediate Crude Oil Spot Price $/bbl</t>
  </si>
  <si>
    <t>No. 2 Diesel Fuel Wholesale Price $/gal</t>
  </si>
  <si>
    <t>Jet Fuel Wholesale Price $/gal</t>
  </si>
  <si>
    <t>Gasoline Wholesale Price $/gal</t>
  </si>
  <si>
    <t>(million gallons)</t>
  </si>
  <si>
    <t xml:space="preserve"> (million gallons)</t>
  </si>
  <si>
    <t>tons</t>
  </si>
  <si>
    <t>STEO DFTCPUS_P million bbl/d</t>
  </si>
  <si>
    <t>STEO JFTCPUS million bbl/d</t>
  </si>
  <si>
    <t>STEO WTIPUUS</t>
  </si>
  <si>
    <t>STEO DSWHUUS_$</t>
  </si>
  <si>
    <t>STEO  JKTCUUS_$</t>
  </si>
  <si>
    <t>STEO  MGWHUUS_$</t>
  </si>
  <si>
    <t>No Data Reported</t>
  </si>
  <si>
    <t>US BIODIESEL SUPPLY AND DEMAND</t>
  </si>
  <si>
    <t>2025e</t>
  </si>
  <si>
    <t>2026f</t>
  </si>
  <si>
    <t>2027f</t>
  </si>
  <si>
    <t xml:space="preserve">BD SUPPLY AND DEMAND </t>
  </si>
  <si>
    <t>Beginning Stocks</t>
  </si>
  <si>
    <t xml:space="preserve">Production </t>
  </si>
  <si>
    <t xml:space="preserve">Imports </t>
  </si>
  <si>
    <t xml:space="preserve">    Total Supply</t>
  </si>
  <si>
    <t>Domestic Consumption</t>
  </si>
  <si>
    <t>Exports</t>
  </si>
  <si>
    <t xml:space="preserve">    Total Use</t>
  </si>
  <si>
    <t xml:space="preserve">Final Stocks  </t>
  </si>
  <si>
    <t>Yield</t>
  </si>
  <si>
    <t>Stocks/Use</t>
  </si>
  <si>
    <t>Total Diesel Consumption (Petro+BD+RD)</t>
  </si>
  <si>
    <t>Actual Consumption Percent of Diesel (Line 8)</t>
  </si>
  <si>
    <t>Biodiesel Capacity</t>
  </si>
  <si>
    <t>Biodiesel Operating Rate</t>
  </si>
  <si>
    <t>Biomass-Based Diesel Operating Rate</t>
  </si>
  <si>
    <t>BIODIESEL PRODUCTION (million gallons)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</si>
  <si>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</si>
  <si>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</si>
  <si>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</si>
  <si>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</si>
  <si>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</si>
  <si>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</si>
  <si>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</si>
  <si>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</si>
  <si>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</si>
  <si>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</si>
  <si>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</si>
  <si>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</si>
  <si>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 Total</t>
  </si>
  <si>
    <t>BIODIESEL IMPORTS (million gallons)</t>
  </si>
  <si>
    <t>BIODIESEL EXPORTS (million gallons)</t>
  </si>
  <si>
    <t>BIODIESEL CONSUMPTION (millions of gallons)</t>
  </si>
  <si>
    <t>A</t>
  </si>
  <si>
    <t>BIODIESEL STOCKS (million gallons)</t>
  </si>
  <si>
    <t>BIODIESEL PRICES (West Coast - excluding credits$/gal)</t>
  </si>
  <si>
    <t xml:space="preserve">  Average</t>
  </si>
  <si>
    <t>BIODIESEL PERCENT OF BIOMASS-BASED DIESEL PRODUCTION</t>
  </si>
  <si>
    <t>EIA BIODIESEL EXPORTS (million gallons)</t>
  </si>
  <si>
    <t>GTT BIODIESEL EXPORTS (million gallons)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</si>
  <si>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</si>
  <si>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</si>
  <si>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</si>
  <si>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</si>
  <si>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</si>
  <si>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</si>
  <si>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</si>
  <si>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</si>
  <si>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</si>
  <si>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</si>
  <si>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</si>
  <si>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US RENEWABLE DIESEL SUPPLY AND DEMAND</t>
  </si>
  <si>
    <t>million gallons</t>
  </si>
  <si>
    <t>RENEWABLE DIESEL SUPPLY AND DEMAND  (Million Gallons)</t>
  </si>
  <si>
    <t>Final Stocks  (December 31)</t>
  </si>
  <si>
    <t>Renewable Diesel Capacity</t>
  </si>
  <si>
    <t>Operating Rate</t>
  </si>
  <si>
    <t>Total BBD Capacity</t>
  </si>
  <si>
    <t>Consumption Percent of RD in total diesel consumed by market</t>
  </si>
  <si>
    <t>BBD Domestic Production</t>
  </si>
  <si>
    <t>BBD Domestic Use</t>
  </si>
  <si>
    <t>RENEWABLE DIESEL PRODUCTION (millions of gallons)</t>
  </si>
  <si>
    <t>RENEWABLE DIESEL IMPORTS (million gallons)</t>
  </si>
  <si>
    <t>RENEWABLE DIESEL EXPORTS (millions of gallons)</t>
  </si>
  <si>
    <t>RENEWABLE DIESEL CONSUMPTION (millions of gallons)</t>
  </si>
  <si>
    <t>RENEWABLE DIESEL STOCKS (million gallons)</t>
  </si>
  <si>
    <t>RENEWABLE DIESEL PRICES (West Coast - excluding credits$/gal)</t>
  </si>
  <si>
    <t>RENEWABLE DIESEL CAPACITY (million gallons per year)</t>
  </si>
  <si>
    <t>RENEWABLE DIESEL CAPACITY UTILIZATION</t>
  </si>
  <si>
    <t>U.S. Sustainable Aviation Fuel Supply and Demand</t>
  </si>
  <si>
    <t>million cubic meters</t>
  </si>
  <si>
    <t>Production</t>
  </si>
  <si>
    <t>Imports</t>
  </si>
  <si>
    <t xml:space="preserve">  Total Supply</t>
  </si>
  <si>
    <t xml:space="preserve">  Total Demand</t>
  </si>
  <si>
    <t xml:space="preserve">  Ending Stocks</t>
  </si>
  <si>
    <t>Production Growth</t>
  </si>
  <si>
    <t>Demand Growth</t>
  </si>
  <si>
    <t>Blending Rate</t>
  </si>
  <si>
    <t>Capacity</t>
  </si>
  <si>
    <t>SAF Domestic Production</t>
  </si>
  <si>
    <t xml:space="preserve">  Total</t>
  </si>
  <si>
    <t>SAF Imports</t>
  </si>
  <si>
    <t>SAF Exports</t>
  </si>
  <si>
    <t>SAF Domestic Use</t>
  </si>
  <si>
    <t>SAF Ending Stocks</t>
  </si>
  <si>
    <t>U.S. Aviation Fuel Supply and Demand</t>
  </si>
  <si>
    <t>Domestic Use</t>
  </si>
  <si>
    <t>Days of Coverage</t>
  </si>
  <si>
    <t>Average Price ($/gal)</t>
  </si>
  <si>
    <t>Passenger Miles</t>
  </si>
  <si>
    <t>Jet Fuel Domestic Production</t>
  </si>
  <si>
    <t>Jet Fuel Imports (EIA)</t>
  </si>
  <si>
    <t>Jet Fuel Exports (EIA)</t>
  </si>
  <si>
    <t>Jet Fuel Domestic Use</t>
  </si>
  <si>
    <t>Jet Fuel End-of-Month Inventory</t>
  </si>
  <si>
    <t>US DISTILATE FUEL OIL SUPPLY AND DEMAND  (Million Gallons)</t>
  </si>
  <si>
    <t>RENEWABLE DISTILATE FUEL OIL SUPPLY AND DEMAND  (Million Gallons)</t>
  </si>
  <si>
    <t>Reported Domestic Consumption</t>
  </si>
  <si>
    <t>Diesel Adjustment</t>
  </si>
  <si>
    <t xml:space="preserve">Stocks Change  </t>
  </si>
  <si>
    <t>Domestic Consumption Growth</t>
  </si>
  <si>
    <t>DISTILATE FUEL OIL PRODUCTION (millions of gallons)</t>
  </si>
  <si>
    <t>IMPORTS (million gallons)</t>
  </si>
  <si>
    <t>EXPORTS (million gallons)</t>
  </si>
  <si>
    <t>DISTILATE FUEL OIL CONSUMPTION (millions of gallons)</t>
  </si>
  <si>
    <t>DFTCPUS_P</t>
  </si>
  <si>
    <t>DISTILATE FUEL OIL ADJUSTMENT (millions of gallons)</t>
  </si>
  <si>
    <t>DISTILATE FUEL OIL CALCULATED DOMESTIC CONSUMPTION (millions of gallons)</t>
  </si>
  <si>
    <t>DISTILATE FUEL OIL ENDING STOCKS (million gallons)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</si>
</sst>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"/>
    <numFmt numFmtId="165" formatCode="[$-409]mmm\-yy;@"/>
    <numFmt numFmtId="166" formatCode="#,##0.000_);[Red]\(#,##0.000\)"/>
    <numFmt numFmtId="167" formatCode="#,##0.0_);[Red]\(#,##0.0\)"/>
    <numFmt numFmtId="168" formatCode="0.000%"/>
    <numFmt numFmtId="169" formatCode="0_);[Red]\(0\)"/>
  </numFmts>
  <fonts count="3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Display"/>
      <family val="2"/>
    </font>
    <font>
      <sz val="11"/>
      <color theme="1"/>
      <name val="Aptos Display"/>
      <family val="2"/>
    </font>
    <font>
      <u/>
      <sz val="11"/>
      <color theme="10"/>
      <name val="Aptos Display"/>
      <family val="2"/>
    </font>
    <font>
      <sz val="11"/>
      <name val="Aptos Display"/>
      <family val="2"/>
    </font>
    <font>
      <u/>
      <sz val="11"/>
      <name val="Aptos Display"/>
      <family val="2"/>
    </font>
    <font>
      <b/>
      <sz val="11"/>
      <color rgb="FFFF0000"/>
      <name val="Aptos Display"/>
      <family val="2"/>
    </font>
    <font>
      <sz val="8"/>
      <color theme="1"/>
      <name val="Avenir Next LT Pro Demi"/>
      <family val="2"/>
    </font>
    <font>
      <b/>
      <sz val="8"/>
      <color theme="1"/>
      <name val="Avenir Next LT Pro Demi"/>
      <family val="2"/>
    </font>
    <font>
      <b/>
      <sz val="10"/>
      <color rgb="FF000000"/>
      <name val="Aptos Narrow"/>
      <family val="2"/>
      <scheme val="minor"/>
    </font>
    <font>
      <b/>
      <sz val="8"/>
      <color rgb="FF000000"/>
      <name val="Avenir Next LT Pro Demi"/>
      <family val="2"/>
    </font>
    <font>
      <b/>
      <sz val="8"/>
      <color rgb="FFFF0000"/>
      <name val="Avenir Next LT Pro Demi"/>
      <family val="2"/>
    </font>
    <font>
      <u/>
      <sz val="8"/>
      <color theme="10"/>
      <name val="Avenir Next LT Pro Demi"/>
      <family val="2"/>
    </font>
    <font>
      <sz val="8"/>
      <color rgb="FFFF0000"/>
      <name val="Avenir Next LT Pro Demi"/>
      <family val="2"/>
    </font>
    <font>
      <b/>
      <sz val="8"/>
      <color theme="0"/>
      <name val="Avenir Next LT Pro Demi"/>
      <family val="2"/>
    </font>
    <font>
      <sz val="10"/>
      <name val="MS Sans Serif"/>
      <family val="2"/>
    </font>
    <font>
      <b/>
      <sz val="8"/>
      <name val="Avenir Next LT Pro Demi"/>
      <family val="2"/>
    </font>
    <font>
      <sz val="8"/>
      <name val="Avenir Next LT Pro Demi"/>
      <family val="2"/>
    </font>
    <font>
      <b/>
      <sz val="8"/>
      <color rgb="FF6F0791"/>
      <name val="Avenir Next LT Pro Demi"/>
      <family val="2"/>
    </font>
    <font>
      <sz val="8"/>
      <color rgb="FF6F0791"/>
      <name val="Avenir Next LT Pro Demi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  <font>
      <sz val="10"/>
      <color rgb="FF8C8C8C"/>
      <name val="Avenir Next LT Pro Demi"/>
      <family val="2"/>
    </font>
    <font>
      <b/>
      <sz val="10"/>
      <color rgb="FF8C8C8C"/>
      <name val="Avenir Next LT Pro Demi"/>
      <family val="2"/>
    </font>
    <font>
      <b/>
      <sz val="10"/>
      <color rgb="FF6F0791"/>
      <name val="Avenir Next LT Pro Demi"/>
      <family val="2"/>
    </font>
    <font>
      <sz val="10"/>
      <color theme="1"/>
      <name val="Arial Narrow"/>
      <family val="2"/>
    </font>
    <font>
      <sz val="10"/>
      <name val="Avenir Next LT Pro Demi"/>
      <family val="2"/>
    </font>
    <font>
      <sz val="10"/>
      <color rgb="FF6F0791"/>
      <name val="Avenir Next LT Pro Demi"/>
      <family val="2"/>
    </font>
    <font>
      <b/>
      <i/>
      <sz val="8"/>
      <color rgb="FFFF0000"/>
      <name val="Avenir Next LT Pro Demi"/>
      <family val="2"/>
    </font>
    <font>
      <b/>
      <u/>
      <sz val="8"/>
      <color theme="10"/>
      <name val="Avenir Next LT Pro Dem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8C8C8C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6F0791"/>
      </top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7030A0"/>
      </bottom>
      <diagonal/>
    </border>
    <border>
      <left/>
      <right/>
      <top style="medium">
        <color theme="3"/>
      </top>
      <bottom style="medium">
        <color theme="3"/>
      </bottom>
      <diagonal/>
    </border>
    <border>
      <left/>
      <right/>
      <top style="thick">
        <color auto="1"/>
      </top>
      <bottom/>
      <diagonal/>
    </border>
    <border>
      <left/>
      <right/>
      <top style="thick">
        <color rgb="FF8C8C8C"/>
      </top>
      <bottom style="medium">
        <color rgb="FF8C8C8C"/>
      </bottom>
      <diagonal/>
    </border>
    <border>
      <left/>
      <right/>
      <top style="medium">
        <color rgb="FF8C8C8C"/>
      </top>
      <bottom style="medium">
        <color rgb="FF8C8C8C"/>
      </bottom>
      <diagonal/>
    </border>
    <border>
      <left/>
      <right/>
      <top style="thick">
        <color rgb="FF8C8C8C"/>
      </top>
      <bottom/>
      <diagonal/>
    </border>
    <border>
      <left/>
      <right/>
      <top style="medium">
        <color rgb="FF8C8C8C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40" fontId="17" fillId="0" borderId="0" applyFont="0" applyFill="0" applyBorder="0" applyAlignment="0" applyProtection="0"/>
    <xf numFmtId="0" fontId="1" fillId="0" borderId="0"/>
    <xf numFmtId="9" fontId="27" fillId="0" borderId="0" applyFont="0" applyFill="0" applyBorder="0" applyAlignment="0" applyProtection="0"/>
  </cellStyleXfs>
  <cellXfs count="267">
    <xf numFmtId="0" fontId="0" fillId="0" borderId="0" xfId="0"/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2" fillId="0" borderId="0" xfId="2"/>
    <xf numFmtId="0" fontId="4" fillId="0" borderId="0" xfId="0" applyFont="1" applyAlignment="1">
      <alignment horizontal="left" vertical="center"/>
    </xf>
    <xf numFmtId="0" fontId="4" fillId="2" borderId="0" xfId="0" applyFont="1" applyFill="1"/>
    <xf numFmtId="0" fontId="5" fillId="2" borderId="0" xfId="2" applyFont="1" applyFill="1"/>
    <xf numFmtId="0" fontId="4" fillId="0" borderId="0" xfId="0" applyFont="1"/>
    <xf numFmtId="0" fontId="6" fillId="3" borderId="0" xfId="0" applyFont="1" applyFill="1"/>
    <xf numFmtId="0" fontId="7" fillId="3" borderId="0" xfId="2" applyFont="1" applyFill="1"/>
    <xf numFmtId="0" fontId="4" fillId="3" borderId="0" xfId="0" applyFont="1" applyFill="1"/>
    <xf numFmtId="0" fontId="5" fillId="3" borderId="0" xfId="2" applyFont="1" applyFill="1"/>
    <xf numFmtId="0" fontId="2" fillId="3" borderId="0" xfId="2" applyFill="1"/>
    <xf numFmtId="0" fontId="4" fillId="4" borderId="0" xfId="0" applyFont="1" applyFill="1"/>
    <xf numFmtId="0" fontId="2" fillId="4" borderId="0" xfId="2" applyFill="1"/>
    <xf numFmtId="0" fontId="8" fillId="0" borderId="0" xfId="0" applyFont="1"/>
    <xf numFmtId="0" fontId="5" fillId="0" borderId="0" xfId="2" applyFont="1"/>
    <xf numFmtId="0" fontId="9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7" fontId="9" fillId="0" borderId="0" xfId="0" applyNumberFormat="1" applyFont="1"/>
    <xf numFmtId="38" fontId="9" fillId="0" borderId="0" xfId="0" applyNumberFormat="1" applyFont="1"/>
    <xf numFmtId="164" fontId="9" fillId="0" borderId="0" xfId="1" applyNumberFormat="1" applyFont="1"/>
    <xf numFmtId="38" fontId="10" fillId="0" borderId="0" xfId="0" applyNumberFormat="1" applyFont="1"/>
    <xf numFmtId="164" fontId="10" fillId="0" borderId="0" xfId="1" applyNumberFormat="1" applyFont="1"/>
    <xf numFmtId="0" fontId="11" fillId="0" borderId="0" xfId="0" applyFont="1" applyAlignment="1">
      <alignment wrapText="1"/>
    </xf>
    <xf numFmtId="0" fontId="11" fillId="4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1" fillId="5" borderId="0" xfId="0" applyFont="1" applyFill="1" applyAlignment="1">
      <alignment wrapText="1"/>
    </xf>
    <xf numFmtId="0" fontId="11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11" fillId="0" borderId="0" xfId="0" applyFont="1"/>
    <xf numFmtId="0" fontId="11" fillId="4" borderId="0" xfId="0" applyFont="1" applyFill="1"/>
    <xf numFmtId="0" fontId="11" fillId="2" borderId="0" xfId="0" applyFont="1" applyFill="1"/>
    <xf numFmtId="0" fontId="11" fillId="5" borderId="0" xfId="0" applyFont="1" applyFill="1"/>
    <xf numFmtId="0" fontId="11" fillId="3" borderId="0" xfId="0" applyFont="1" applyFill="1"/>
    <xf numFmtId="0" fontId="1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3" borderId="0" xfId="0" applyFill="1"/>
    <xf numFmtId="2" fontId="0" fillId="2" borderId="0" xfId="0" applyNumberFormat="1" applyFill="1"/>
    <xf numFmtId="16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0" fontId="14" fillId="0" borderId="0" xfId="2" applyFont="1" applyAlignment="1">
      <alignment wrapText="1"/>
    </xf>
    <xf numFmtId="0" fontId="9" fillId="0" borderId="0" xfId="0" applyFont="1" applyAlignment="1">
      <alignment wrapText="1"/>
    </xf>
    <xf numFmtId="165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166" fontId="12" fillId="4" borderId="0" xfId="0" applyNumberFormat="1" applyFont="1" applyFill="1"/>
    <xf numFmtId="166" fontId="12" fillId="0" borderId="0" xfId="0" applyNumberFormat="1" applyFont="1"/>
    <xf numFmtId="166" fontId="9" fillId="5" borderId="0" xfId="0" applyNumberFormat="1" applyFont="1" applyFill="1"/>
    <xf numFmtId="166" fontId="9" fillId="0" borderId="0" xfId="0" applyNumberFormat="1" applyFont="1"/>
    <xf numFmtId="166" fontId="15" fillId="0" borderId="0" xfId="0" applyNumberFormat="1" applyFont="1"/>
    <xf numFmtId="166" fontId="9" fillId="3" borderId="0" xfId="0" applyNumberFormat="1" applyFont="1" applyFill="1"/>
    <xf numFmtId="167" fontId="9" fillId="2" borderId="0" xfId="0" applyNumberFormat="1" applyFont="1" applyFill="1"/>
    <xf numFmtId="166" fontId="9" fillId="4" borderId="0" xfId="0" applyNumberFormat="1" applyFont="1" applyFill="1"/>
    <xf numFmtId="40" fontId="9" fillId="0" borderId="0" xfId="0" applyNumberFormat="1" applyFont="1"/>
    <xf numFmtId="167" fontId="15" fillId="0" borderId="0" xfId="0" applyNumberFormat="1" applyFont="1"/>
    <xf numFmtId="166" fontId="15" fillId="0" borderId="0" xfId="0" applyNumberFormat="1" applyFont="1" applyAlignment="1">
      <alignment horizontal="center"/>
    </xf>
    <xf numFmtId="166" fontId="9" fillId="2" borderId="0" xfId="0" applyNumberFormat="1" applyFont="1" applyFill="1"/>
    <xf numFmtId="166" fontId="10" fillId="0" borderId="0" xfId="0" applyNumberFormat="1" applyFont="1" applyAlignment="1">
      <alignment horizontal="right"/>
    </xf>
    <xf numFmtId="40" fontId="10" fillId="0" borderId="0" xfId="0" applyNumberFormat="1" applyFont="1" applyAlignment="1">
      <alignment horizontal="right"/>
    </xf>
    <xf numFmtId="40" fontId="9" fillId="0" borderId="0" xfId="0" applyNumberFormat="1" applyFont="1" applyAlignment="1">
      <alignment horizontal="right"/>
    </xf>
    <xf numFmtId="0" fontId="9" fillId="4" borderId="0" xfId="0" applyFont="1" applyFill="1"/>
    <xf numFmtId="0" fontId="9" fillId="5" borderId="0" xfId="0" applyFont="1" applyFill="1"/>
    <xf numFmtId="0" fontId="15" fillId="0" borderId="0" xfId="0" applyFont="1"/>
    <xf numFmtId="0" fontId="9" fillId="3" borderId="0" xfId="0" applyFont="1" applyFill="1"/>
    <xf numFmtId="0" fontId="9" fillId="2" borderId="0" xfId="0" applyFont="1" applyFill="1"/>
    <xf numFmtId="165" fontId="9" fillId="0" borderId="0" xfId="0" applyNumberFormat="1" applyFont="1"/>
    <xf numFmtId="0" fontId="16" fillId="6" borderId="1" xfId="0" applyFont="1" applyFill="1" applyBorder="1"/>
    <xf numFmtId="0" fontId="9" fillId="6" borderId="2" xfId="0" applyFont="1" applyFill="1" applyBorder="1"/>
    <xf numFmtId="0" fontId="10" fillId="6" borderId="2" xfId="0" applyFont="1" applyFill="1" applyBorder="1"/>
    <xf numFmtId="0" fontId="9" fillId="0" borderId="2" xfId="0" applyFont="1" applyBorder="1"/>
    <xf numFmtId="0" fontId="9" fillId="7" borderId="0" xfId="0" applyFont="1" applyFill="1"/>
    <xf numFmtId="0" fontId="18" fillId="7" borderId="0" xfId="3" quotePrefix="1" applyNumberFormat="1" applyFont="1" applyFill="1" applyBorder="1" applyAlignment="1">
      <alignment horizontal="center"/>
    </xf>
    <xf numFmtId="0" fontId="9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8" fontId="9" fillId="7" borderId="0" xfId="0" applyNumberFormat="1" applyFont="1" applyFill="1" applyAlignment="1">
      <alignment horizontal="center"/>
    </xf>
    <xf numFmtId="38" fontId="10" fillId="7" borderId="0" xfId="0" applyNumberFormat="1" applyFont="1" applyFill="1" applyAlignment="1">
      <alignment horizontal="center"/>
    </xf>
    <xf numFmtId="0" fontId="19" fillId="7" borderId="3" xfId="0" applyFont="1" applyFill="1" applyBorder="1"/>
    <xf numFmtId="38" fontId="19" fillId="7" borderId="3" xfId="0" applyNumberFormat="1" applyFont="1" applyFill="1" applyBorder="1" applyAlignment="1">
      <alignment horizontal="center"/>
    </xf>
    <xf numFmtId="38" fontId="18" fillId="7" borderId="3" xfId="0" applyNumberFormat="1" applyFont="1" applyFill="1" applyBorder="1" applyAlignment="1">
      <alignment horizontal="center"/>
    </xf>
    <xf numFmtId="0" fontId="19" fillId="0" borderId="0" xfId="0" applyFont="1"/>
    <xf numFmtId="0" fontId="9" fillId="7" borderId="4" xfId="0" applyFont="1" applyFill="1" applyBorder="1"/>
    <xf numFmtId="38" fontId="9" fillId="7" borderId="4" xfId="0" applyNumberFormat="1" applyFont="1" applyFill="1" applyBorder="1" applyAlignment="1">
      <alignment horizontal="center"/>
    </xf>
    <xf numFmtId="38" fontId="10" fillId="7" borderId="4" xfId="0" applyNumberFormat="1" applyFont="1" applyFill="1" applyBorder="1" applyAlignment="1">
      <alignment horizontal="center"/>
    </xf>
    <xf numFmtId="38" fontId="9" fillId="7" borderId="0" xfId="0" applyNumberFormat="1" applyFont="1" applyFill="1"/>
    <xf numFmtId="38" fontId="9" fillId="7" borderId="5" xfId="0" applyNumberFormat="1" applyFont="1" applyFill="1" applyBorder="1"/>
    <xf numFmtId="38" fontId="9" fillId="7" borderId="5" xfId="0" applyNumberFormat="1" applyFont="1" applyFill="1" applyBorder="1" applyAlignment="1">
      <alignment horizontal="center"/>
    </xf>
    <xf numFmtId="38" fontId="10" fillId="7" borderId="5" xfId="0" applyNumberFormat="1" applyFont="1" applyFill="1" applyBorder="1" applyAlignment="1">
      <alignment horizontal="center"/>
    </xf>
    <xf numFmtId="2" fontId="19" fillId="7" borderId="0" xfId="0" applyNumberFormat="1" applyFont="1" applyFill="1"/>
    <xf numFmtId="2" fontId="19" fillId="7" borderId="0" xfId="0" applyNumberFormat="1" applyFont="1" applyFill="1" applyAlignment="1">
      <alignment horizontal="center"/>
    </xf>
    <xf numFmtId="2" fontId="18" fillId="7" borderId="0" xfId="1" applyNumberFormat="1" applyFont="1" applyFill="1" applyBorder="1" applyAlignment="1">
      <alignment horizontal="center"/>
    </xf>
    <xf numFmtId="0" fontId="9" fillId="7" borderId="3" xfId="0" applyFont="1" applyFill="1" applyBorder="1"/>
    <xf numFmtId="164" fontId="9" fillId="7" borderId="3" xfId="1" applyNumberFormat="1" applyFont="1" applyFill="1" applyBorder="1" applyAlignment="1">
      <alignment horizontal="center"/>
    </xf>
    <xf numFmtId="164" fontId="10" fillId="7" borderId="3" xfId="1" applyNumberFormat="1" applyFont="1" applyFill="1" applyBorder="1" applyAlignment="1">
      <alignment horizontal="center"/>
    </xf>
    <xf numFmtId="40" fontId="9" fillId="7" borderId="0" xfId="0" applyNumberFormat="1" applyFont="1" applyFill="1" applyAlignment="1">
      <alignment horizontal="center"/>
    </xf>
    <xf numFmtId="38" fontId="9" fillId="0" borderId="0" xfId="0" applyNumberFormat="1" applyFont="1" applyAlignment="1">
      <alignment horizontal="center"/>
    </xf>
    <xf numFmtId="9" fontId="9" fillId="0" borderId="0" xfId="1" applyFont="1" applyFill="1" applyAlignment="1">
      <alignment horizontal="center"/>
    </xf>
    <xf numFmtId="1" fontId="9" fillId="0" borderId="0" xfId="1" applyNumberFormat="1" applyFont="1" applyFill="1" applyAlignment="1">
      <alignment horizontal="center"/>
    </xf>
    <xf numFmtId="164" fontId="9" fillId="0" borderId="0" xfId="1" applyNumberFormat="1" applyFont="1" applyFill="1" applyAlignment="1">
      <alignment horizontal="center"/>
    </xf>
    <xf numFmtId="38" fontId="9" fillId="0" borderId="4" xfId="0" applyNumberFormat="1" applyFont="1" applyBorder="1"/>
    <xf numFmtId="9" fontId="9" fillId="0" borderId="4" xfId="1" applyFont="1" applyFill="1" applyBorder="1" applyAlignment="1">
      <alignment horizontal="center"/>
    </xf>
    <xf numFmtId="0" fontId="9" fillId="0" borderId="4" xfId="0" applyFont="1" applyBorder="1"/>
    <xf numFmtId="38" fontId="9" fillId="0" borderId="3" xfId="0" applyNumberFormat="1" applyFont="1" applyBorder="1"/>
    <xf numFmtId="9" fontId="9" fillId="0" borderId="3" xfId="1" applyFont="1" applyFill="1" applyBorder="1" applyAlignment="1">
      <alignment horizontal="center"/>
    </xf>
    <xf numFmtId="0" fontId="9" fillId="0" borderId="3" xfId="0" applyFont="1" applyBorder="1"/>
    <xf numFmtId="38" fontId="10" fillId="0" borderId="0" xfId="0" applyNumberFormat="1" applyFont="1" applyAlignment="1">
      <alignment horizontal="center"/>
    </xf>
    <xf numFmtId="9" fontId="10" fillId="0" borderId="0" xfId="1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0" fillId="0" borderId="6" xfId="0" applyFont="1" applyBorder="1"/>
    <xf numFmtId="38" fontId="19" fillId="0" borderId="0" xfId="0" applyNumberFormat="1" applyFont="1"/>
    <xf numFmtId="38" fontId="18" fillId="0" borderId="0" xfId="0" applyNumberFormat="1" applyFont="1"/>
    <xf numFmtId="38" fontId="10" fillId="0" borderId="3" xfId="0" applyNumberFormat="1" applyFont="1" applyBorder="1"/>
    <xf numFmtId="4" fontId="10" fillId="0" borderId="0" xfId="0" applyNumberFormat="1" applyFont="1" applyAlignment="1">
      <alignment horizontal="center"/>
    </xf>
    <xf numFmtId="4" fontId="9" fillId="0" borderId="0" xfId="0" applyNumberFormat="1" applyFont="1" applyAlignment="1">
      <alignment horizontal="center"/>
    </xf>
    <xf numFmtId="0" fontId="10" fillId="0" borderId="6" xfId="0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38" fontId="9" fillId="0" borderId="3" xfId="0" applyNumberFormat="1" applyFont="1" applyBorder="1" applyAlignment="1">
      <alignment horizontal="center"/>
    </xf>
    <xf numFmtId="38" fontId="9" fillId="0" borderId="3" xfId="0" applyNumberFormat="1" applyFont="1" applyBorder="1" applyAlignment="1">
      <alignment horizontal="right"/>
    </xf>
    <xf numFmtId="38" fontId="10" fillId="0" borderId="3" xfId="0" applyNumberFormat="1" applyFont="1" applyBorder="1" applyAlignment="1">
      <alignment horizontal="right"/>
    </xf>
    <xf numFmtId="3" fontId="10" fillId="0" borderId="0" xfId="0" applyNumberFormat="1" applyFont="1" applyAlignment="1">
      <alignment horizontal="center"/>
    </xf>
    <xf numFmtId="38" fontId="10" fillId="0" borderId="3" xfId="0" applyNumberFormat="1" applyFont="1" applyBorder="1" applyAlignment="1">
      <alignment horizontal="center"/>
    </xf>
    <xf numFmtId="38" fontId="10" fillId="0" borderId="4" xfId="0" applyNumberFormat="1" applyFont="1" applyBorder="1"/>
    <xf numFmtId="3" fontId="9" fillId="0" borderId="0" xfId="0" applyNumberFormat="1" applyFont="1"/>
    <xf numFmtId="3" fontId="10" fillId="0" borderId="0" xfId="0" applyNumberFormat="1" applyFont="1"/>
    <xf numFmtId="0" fontId="10" fillId="0" borderId="0" xfId="0" applyFont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38" fontId="9" fillId="0" borderId="4" xfId="0" applyNumberFormat="1" applyFont="1" applyBorder="1" applyAlignment="1">
      <alignment horizontal="center"/>
    </xf>
    <xf numFmtId="38" fontId="10" fillId="0" borderId="4" xfId="0" applyNumberFormat="1" applyFont="1" applyBorder="1" applyAlignment="1">
      <alignment horizontal="center"/>
    </xf>
    <xf numFmtId="0" fontId="18" fillId="0" borderId="0" xfId="0" applyFont="1"/>
    <xf numFmtId="4" fontId="18" fillId="0" borderId="0" xfId="0" applyNumberFormat="1" applyFont="1" applyAlignment="1">
      <alignment horizontal="center"/>
    </xf>
    <xf numFmtId="0" fontId="10" fillId="0" borderId="4" xfId="0" applyFont="1" applyBorder="1"/>
    <xf numFmtId="164" fontId="9" fillId="0" borderId="0" xfId="1" applyNumberFormat="1" applyFont="1" applyFill="1"/>
    <xf numFmtId="0" fontId="9" fillId="6" borderId="0" xfId="0" applyFont="1" applyFill="1"/>
    <xf numFmtId="0" fontId="9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9" fillId="7" borderId="7" xfId="0" applyFont="1" applyFill="1" applyBorder="1" applyAlignment="1">
      <alignment horizontal="right"/>
    </xf>
    <xf numFmtId="0" fontId="18" fillId="7" borderId="7" xfId="3" quotePrefix="1" applyNumberFormat="1" applyFont="1" applyFill="1" applyBorder="1" applyAlignment="1">
      <alignment horizontal="right"/>
    </xf>
    <xf numFmtId="0" fontId="18" fillId="7" borderId="7" xfId="3" quotePrefix="1" applyNumberFormat="1" applyFont="1" applyFill="1" applyBorder="1" applyAlignment="1">
      <alignment horizontal="center"/>
    </xf>
    <xf numFmtId="0" fontId="9" fillId="6" borderId="1" xfId="0" applyFont="1" applyFill="1" applyBorder="1"/>
    <xf numFmtId="38" fontId="20" fillId="7" borderId="0" xfId="0" applyNumberFormat="1" applyFont="1" applyFill="1" applyAlignment="1">
      <alignment horizontal="center"/>
    </xf>
    <xf numFmtId="38" fontId="9" fillId="7" borderId="3" xfId="0" applyNumberFormat="1" applyFont="1" applyFill="1" applyBorder="1"/>
    <xf numFmtId="38" fontId="9" fillId="7" borderId="3" xfId="0" applyNumberFormat="1" applyFont="1" applyFill="1" applyBorder="1" applyAlignment="1">
      <alignment horizontal="center"/>
    </xf>
    <xf numFmtId="38" fontId="20" fillId="7" borderId="3" xfId="0" applyNumberFormat="1" applyFont="1" applyFill="1" applyBorder="1" applyAlignment="1">
      <alignment horizontal="center"/>
    </xf>
    <xf numFmtId="38" fontId="9" fillId="7" borderId="4" xfId="0" applyNumberFormat="1" applyFont="1" applyFill="1" applyBorder="1"/>
    <xf numFmtId="38" fontId="20" fillId="7" borderId="4" xfId="0" applyNumberFormat="1" applyFont="1" applyFill="1" applyBorder="1" applyAlignment="1">
      <alignment horizontal="center"/>
    </xf>
    <xf numFmtId="38" fontId="20" fillId="0" borderId="0" xfId="0" applyNumberFormat="1" applyFont="1" applyAlignment="1">
      <alignment horizontal="center"/>
    </xf>
    <xf numFmtId="40" fontId="20" fillId="7" borderId="0" xfId="0" applyNumberFormat="1" applyFont="1" applyFill="1" applyAlignment="1">
      <alignment horizontal="center"/>
    </xf>
    <xf numFmtId="164" fontId="9" fillId="7" borderId="4" xfId="1" applyNumberFormat="1" applyFont="1" applyFill="1" applyBorder="1" applyAlignment="1">
      <alignment horizontal="center"/>
    </xf>
    <xf numFmtId="38" fontId="21" fillId="7" borderId="4" xfId="0" applyNumberFormat="1" applyFont="1" applyFill="1" applyBorder="1" applyAlignment="1">
      <alignment horizontal="center"/>
    </xf>
    <xf numFmtId="9" fontId="9" fillId="7" borderId="3" xfId="1" applyFont="1" applyFill="1" applyBorder="1" applyAlignment="1">
      <alignment horizontal="center"/>
    </xf>
    <xf numFmtId="9" fontId="21" fillId="7" borderId="3" xfId="1" applyFont="1" applyFill="1" applyBorder="1" applyAlignment="1">
      <alignment horizontal="center"/>
    </xf>
    <xf numFmtId="38" fontId="21" fillId="0" borderId="0" xfId="0" applyNumberFormat="1" applyFont="1" applyAlignment="1">
      <alignment horizontal="center"/>
    </xf>
    <xf numFmtId="1" fontId="21" fillId="0" borderId="0" xfId="1" applyNumberFormat="1" applyFont="1" applyFill="1" applyAlignment="1">
      <alignment horizontal="center"/>
    </xf>
    <xf numFmtId="0" fontId="9" fillId="0" borderId="0" xfId="1" applyNumberFormat="1" applyFont="1" applyFill="1" applyAlignment="1">
      <alignment horizontal="center"/>
    </xf>
    <xf numFmtId="9" fontId="9" fillId="0" borderId="0" xfId="1" applyFont="1" applyFill="1"/>
    <xf numFmtId="164" fontId="21" fillId="0" borderId="0" xfId="1" applyNumberFormat="1" applyFont="1" applyFill="1" applyAlignment="1">
      <alignment horizontal="center"/>
    </xf>
    <xf numFmtId="0" fontId="10" fillId="0" borderId="6" xfId="0" applyFont="1" applyBorder="1" applyAlignment="1">
      <alignment horizontal="right"/>
    </xf>
    <xf numFmtId="38" fontId="9" fillId="0" borderId="0" xfId="0" applyNumberFormat="1" applyFont="1" applyAlignment="1">
      <alignment horizontal="right"/>
    </xf>
    <xf numFmtId="38" fontId="10" fillId="0" borderId="0" xfId="0" applyNumberFormat="1" applyFont="1" applyAlignment="1">
      <alignment horizontal="right"/>
    </xf>
    <xf numFmtId="38" fontId="20" fillId="0" borderId="0" xfId="0" applyNumberFormat="1" applyFont="1" applyAlignment="1">
      <alignment horizontal="right"/>
    </xf>
    <xf numFmtId="38" fontId="21" fillId="0" borderId="0" xfId="0" applyNumberFormat="1" applyFont="1" applyAlignment="1">
      <alignment horizontal="right"/>
    </xf>
    <xf numFmtId="38" fontId="20" fillId="0" borderId="3" xfId="0" applyNumberFormat="1" applyFont="1" applyBorder="1" applyAlignment="1">
      <alignment horizontal="right"/>
    </xf>
    <xf numFmtId="164" fontId="9" fillId="0" borderId="0" xfId="1" applyNumberFormat="1" applyFont="1" applyAlignment="1">
      <alignment horizontal="center"/>
    </xf>
    <xf numFmtId="0" fontId="10" fillId="0" borderId="4" xfId="0" applyFont="1" applyBorder="1" applyAlignment="1">
      <alignment horizontal="center"/>
    </xf>
    <xf numFmtId="1" fontId="9" fillId="0" borderId="0" xfId="0" applyNumberFormat="1" applyFont="1" applyAlignment="1">
      <alignment horizontal="right"/>
    </xf>
    <xf numFmtId="3" fontId="20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1" fontId="10" fillId="0" borderId="0" xfId="0" applyNumberFormat="1" applyFont="1" applyAlignment="1">
      <alignment horizontal="center"/>
    </xf>
    <xf numFmtId="164" fontId="9" fillId="0" borderId="0" xfId="1" applyNumberFormat="1" applyFont="1" applyFill="1" applyAlignment="1">
      <alignment horizontal="right"/>
    </xf>
    <xf numFmtId="164" fontId="10" fillId="0" borderId="0" xfId="1" applyNumberFormat="1" applyFont="1" applyFill="1" applyAlignment="1">
      <alignment horizontal="right"/>
    </xf>
    <xf numFmtId="164" fontId="9" fillId="0" borderId="0" xfId="0" applyNumberFormat="1" applyFont="1"/>
    <xf numFmtId="164" fontId="10" fillId="0" borderId="0" xfId="0" applyNumberFormat="1" applyFont="1"/>
    <xf numFmtId="0" fontId="22" fillId="0" borderId="0" xfId="4" applyFont="1"/>
    <xf numFmtId="0" fontId="23" fillId="7" borderId="8" xfId="4" applyFont="1" applyFill="1" applyBorder="1"/>
    <xf numFmtId="0" fontId="23" fillId="0" borderId="8" xfId="4" applyFont="1" applyBorder="1"/>
    <xf numFmtId="0" fontId="23" fillId="0" borderId="0" xfId="4" applyFont="1"/>
    <xf numFmtId="0" fontId="22" fillId="7" borderId="9" xfId="4" applyFont="1" applyFill="1" applyBorder="1" applyAlignment="1">
      <alignment horizontal="right"/>
    </xf>
    <xf numFmtId="0" fontId="22" fillId="7" borderId="9" xfId="4" applyFont="1" applyFill="1" applyBorder="1" applyAlignment="1">
      <alignment horizontal="center"/>
    </xf>
    <xf numFmtId="0" fontId="22" fillId="0" borderId="9" xfId="4" applyFont="1" applyBorder="1" applyAlignment="1">
      <alignment horizontal="center"/>
    </xf>
    <xf numFmtId="0" fontId="22" fillId="7" borderId="0" xfId="4" applyFont="1" applyFill="1"/>
    <xf numFmtId="167" fontId="24" fillId="7" borderId="0" xfId="4" applyNumberFormat="1" applyFont="1" applyFill="1" applyAlignment="1">
      <alignment horizontal="center" vertical="center"/>
    </xf>
    <xf numFmtId="38" fontId="24" fillId="7" borderId="0" xfId="4" applyNumberFormat="1" applyFont="1" applyFill="1" applyAlignment="1">
      <alignment horizontal="center" vertical="center"/>
    </xf>
    <xf numFmtId="38" fontId="25" fillId="7" borderId="0" xfId="4" applyNumberFormat="1" applyFont="1" applyFill="1" applyAlignment="1">
      <alignment horizontal="center" vertical="center"/>
    </xf>
    <xf numFmtId="38" fontId="26" fillId="7" borderId="0" xfId="4" applyNumberFormat="1" applyFont="1" applyFill="1" applyAlignment="1">
      <alignment horizontal="center" vertical="center"/>
    </xf>
    <xf numFmtId="167" fontId="22" fillId="7" borderId="0" xfId="4" applyNumberFormat="1" applyFont="1" applyFill="1" applyAlignment="1">
      <alignment horizontal="center" vertical="center"/>
    </xf>
    <xf numFmtId="38" fontId="22" fillId="7" borderId="0" xfId="4" applyNumberFormat="1" applyFont="1" applyFill="1" applyAlignment="1">
      <alignment horizontal="center" vertical="center"/>
    </xf>
    <xf numFmtId="0" fontId="22" fillId="7" borderId="4" xfId="4" applyFont="1" applyFill="1" applyBorder="1"/>
    <xf numFmtId="167" fontId="22" fillId="7" borderId="4" xfId="4" applyNumberFormat="1" applyFont="1" applyFill="1" applyBorder="1" applyAlignment="1">
      <alignment horizontal="center" vertical="center"/>
    </xf>
    <xf numFmtId="38" fontId="22" fillId="7" borderId="4" xfId="4" applyNumberFormat="1" applyFont="1" applyFill="1" applyBorder="1" applyAlignment="1">
      <alignment horizontal="center" vertical="center"/>
    </xf>
    <xf numFmtId="38" fontId="26" fillId="7" borderId="4" xfId="4" applyNumberFormat="1" applyFont="1" applyFill="1" applyBorder="1" applyAlignment="1">
      <alignment horizontal="center" vertical="center"/>
    </xf>
    <xf numFmtId="167" fontId="24" fillId="7" borderId="4" xfId="4" applyNumberFormat="1" applyFont="1" applyFill="1" applyBorder="1" applyAlignment="1">
      <alignment horizontal="center" vertical="center"/>
    </xf>
    <xf numFmtId="0" fontId="22" fillId="7" borderId="0" xfId="4" applyFont="1" applyFill="1" applyAlignment="1">
      <alignment horizontal="center" vertical="center"/>
    </xf>
    <xf numFmtId="38" fontId="22" fillId="0" borderId="0" xfId="4" applyNumberFormat="1" applyFont="1" applyAlignment="1">
      <alignment horizontal="center" vertical="center"/>
    </xf>
    <xf numFmtId="40" fontId="22" fillId="7" borderId="0" xfId="4" applyNumberFormat="1" applyFont="1" applyFill="1" applyAlignment="1">
      <alignment horizontal="center" vertical="center"/>
    </xf>
    <xf numFmtId="9" fontId="22" fillId="7" borderId="0" xfId="1" applyFont="1" applyFill="1" applyAlignment="1">
      <alignment horizontal="center" vertical="center"/>
    </xf>
    <xf numFmtId="0" fontId="22" fillId="7" borderId="10" xfId="4" applyFont="1" applyFill="1" applyBorder="1"/>
    <xf numFmtId="168" fontId="22" fillId="7" borderId="0" xfId="5" applyNumberFormat="1" applyFont="1" applyFill="1"/>
    <xf numFmtId="10" fontId="22" fillId="7" borderId="0" xfId="5" applyNumberFormat="1" applyFont="1" applyFill="1"/>
    <xf numFmtId="38" fontId="22" fillId="7" borderId="0" xfId="4" applyNumberFormat="1" applyFont="1" applyFill="1"/>
    <xf numFmtId="9" fontId="22" fillId="7" borderId="0" xfId="1" applyFont="1" applyFill="1"/>
    <xf numFmtId="169" fontId="22" fillId="0" borderId="9" xfId="4" applyNumberFormat="1" applyFont="1" applyBorder="1"/>
    <xf numFmtId="167" fontId="22" fillId="0" borderId="0" xfId="4" applyNumberFormat="1" applyFont="1"/>
    <xf numFmtId="38" fontId="26" fillId="0" borderId="0" xfId="4" applyNumberFormat="1" applyFont="1"/>
    <xf numFmtId="167" fontId="28" fillId="0" borderId="0" xfId="4" applyNumberFormat="1" applyFont="1"/>
    <xf numFmtId="38" fontId="22" fillId="0" borderId="0" xfId="4" applyNumberFormat="1" applyFont="1"/>
    <xf numFmtId="0" fontId="22" fillId="0" borderId="11" xfId="4" applyFont="1" applyBorder="1"/>
    <xf numFmtId="0" fontId="22" fillId="0" borderId="9" xfId="4" applyFont="1" applyBorder="1" applyAlignment="1">
      <alignment horizontal="right"/>
    </xf>
    <xf numFmtId="38" fontId="24" fillId="0" borderId="0" xfId="4" applyNumberFormat="1" applyFont="1"/>
    <xf numFmtId="167" fontId="26" fillId="0" borderId="0" xfId="4" applyNumberFormat="1" applyFont="1"/>
    <xf numFmtId="38" fontId="29" fillId="0" borderId="0" xfId="4" applyNumberFormat="1" applyFont="1"/>
    <xf numFmtId="167" fontId="22" fillId="0" borderId="11" xfId="4" applyNumberFormat="1" applyFont="1" applyBorder="1"/>
    <xf numFmtId="167" fontId="29" fillId="0" borderId="0" xfId="4" applyNumberFormat="1" applyFont="1"/>
    <xf numFmtId="0" fontId="9" fillId="0" borderId="0" xfId="4" applyFont="1"/>
    <xf numFmtId="0" fontId="10" fillId="0" borderId="8" xfId="4" applyFont="1" applyBorder="1"/>
    <xf numFmtId="0" fontId="10" fillId="0" borderId="0" xfId="4" applyFont="1"/>
    <xf numFmtId="0" fontId="9" fillId="0" borderId="9" xfId="4" applyFont="1" applyBorder="1" applyAlignment="1">
      <alignment horizontal="right"/>
    </xf>
    <xf numFmtId="0" fontId="9" fillId="0" borderId="9" xfId="4" applyFont="1" applyBorder="1" applyAlignment="1">
      <alignment horizontal="center"/>
    </xf>
    <xf numFmtId="38" fontId="9" fillId="0" borderId="0" xfId="4" applyNumberFormat="1" applyFont="1" applyAlignment="1">
      <alignment horizontal="center" vertical="center"/>
    </xf>
    <xf numFmtId="38" fontId="10" fillId="0" borderId="0" xfId="4" applyNumberFormat="1" applyFont="1" applyAlignment="1">
      <alignment horizontal="center" vertical="center"/>
    </xf>
    <xf numFmtId="0" fontId="9" fillId="0" borderId="0" xfId="4" applyFont="1" applyAlignment="1">
      <alignment horizontal="center" vertical="center"/>
    </xf>
    <xf numFmtId="40" fontId="9" fillId="0" borderId="0" xfId="4" applyNumberFormat="1" applyFont="1" applyAlignment="1">
      <alignment horizontal="center" vertical="center"/>
    </xf>
    <xf numFmtId="40" fontId="10" fillId="0" borderId="0" xfId="4" applyNumberFormat="1" applyFont="1" applyAlignment="1">
      <alignment horizontal="center" vertical="center"/>
    </xf>
    <xf numFmtId="0" fontId="9" fillId="0" borderId="10" xfId="4" applyFont="1" applyBorder="1"/>
    <xf numFmtId="38" fontId="9" fillId="0" borderId="0" xfId="4" applyNumberFormat="1" applyFont="1"/>
    <xf numFmtId="38" fontId="20" fillId="0" borderId="0" xfId="4" applyNumberFormat="1" applyFont="1"/>
    <xf numFmtId="169" fontId="9" fillId="0" borderId="9" xfId="4" applyNumberFormat="1" applyFont="1" applyBorder="1"/>
    <xf numFmtId="167" fontId="19" fillId="0" borderId="0" xfId="4" applyNumberFormat="1" applyFont="1"/>
    <xf numFmtId="167" fontId="10" fillId="0" borderId="0" xfId="4" applyNumberFormat="1" applyFont="1"/>
    <xf numFmtId="38" fontId="10" fillId="0" borderId="0" xfId="4" applyNumberFormat="1" applyFont="1"/>
    <xf numFmtId="0" fontId="9" fillId="0" borderId="11" xfId="4" applyFont="1" applyBorder="1"/>
    <xf numFmtId="38" fontId="19" fillId="0" borderId="0" xfId="4" applyNumberFormat="1" applyFont="1"/>
    <xf numFmtId="0" fontId="9" fillId="7" borderId="7" xfId="0" applyFont="1" applyFill="1" applyBorder="1"/>
    <xf numFmtId="38" fontId="10" fillId="7" borderId="3" xfId="0" applyNumberFormat="1" applyFont="1" applyFill="1" applyBorder="1" applyAlignment="1">
      <alignment horizontal="center"/>
    </xf>
    <xf numFmtId="164" fontId="9" fillId="7" borderId="0" xfId="1" applyNumberFormat="1" applyFont="1" applyFill="1" applyAlignment="1">
      <alignment horizontal="center"/>
    </xf>
    <xf numFmtId="164" fontId="10" fillId="7" borderId="0" xfId="1" applyNumberFormat="1" applyFont="1" applyFill="1" applyAlignment="1">
      <alignment horizontal="center"/>
    </xf>
    <xf numFmtId="0" fontId="30" fillId="0" borderId="0" xfId="0" applyFont="1" applyAlignment="1">
      <alignment horizontal="left"/>
    </xf>
    <xf numFmtId="164" fontId="10" fillId="0" borderId="0" xfId="1" applyNumberFormat="1" applyFont="1" applyAlignment="1">
      <alignment horizontal="center"/>
    </xf>
    <xf numFmtId="3" fontId="9" fillId="2" borderId="0" xfId="0" applyNumberFormat="1" applyFont="1" applyFill="1" applyAlignment="1">
      <alignment horizontal="center"/>
    </xf>
    <xf numFmtId="38" fontId="19" fillId="2" borderId="0" xfId="0" applyNumberFormat="1" applyFont="1" applyFill="1" applyAlignment="1">
      <alignment horizontal="center"/>
    </xf>
    <xf numFmtId="0" fontId="10" fillId="2" borderId="0" xfId="0" applyFont="1" applyFill="1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/>
    <xf numFmtId="0" fontId="10" fillId="2" borderId="6" xfId="0" applyFont="1" applyFill="1" applyBorder="1" applyAlignment="1">
      <alignment horizontal="center"/>
    </xf>
    <xf numFmtId="38" fontId="9" fillId="2" borderId="0" xfId="0" applyNumberFormat="1" applyFont="1" applyFill="1" applyAlignment="1">
      <alignment horizontal="center"/>
    </xf>
    <xf numFmtId="3" fontId="10" fillId="2" borderId="0" xfId="0" applyNumberFormat="1" applyFont="1" applyFill="1" applyAlignment="1">
      <alignment horizontal="center"/>
    </xf>
    <xf numFmtId="0" fontId="9" fillId="2" borderId="3" xfId="0" applyFont="1" applyFill="1" applyBorder="1"/>
    <xf numFmtId="38" fontId="9" fillId="2" borderId="3" xfId="0" applyNumberFormat="1" applyFont="1" applyFill="1" applyBorder="1" applyAlignment="1">
      <alignment horizontal="center"/>
    </xf>
    <xf numFmtId="38" fontId="10" fillId="2" borderId="3" xfId="0" applyNumberFormat="1" applyFont="1" applyFill="1" applyBorder="1" applyAlignment="1">
      <alignment horizontal="center"/>
    </xf>
    <xf numFmtId="0" fontId="31" fillId="0" borderId="0" xfId="2" applyFont="1" applyAlignment="1">
      <alignment horizontal="center"/>
    </xf>
    <xf numFmtId="0" fontId="3" fillId="0" borderId="0" xfId="0" applyFont="1" applyAlignment="1">
      <alignment horizontal="left" vertical="center" wrapText="1"/>
    </xf>
  </cellXfs>
  <cellStyles count="6">
    <cellStyle name="Comma 9" xfId="3" xr:uid="{9B4128D0-3473-4AFF-9B8D-F241D047520B}"/>
    <cellStyle name="Hyperlink" xfId="2" builtinId="8"/>
    <cellStyle name="Normal" xfId="0" builtinId="0"/>
    <cellStyle name="Normal 2" xfId="4" xr:uid="{26A0E4D8-28E6-42E9-A8B7-A021FC68C45F}"/>
    <cellStyle name="Percent" xfId="1" builtinId="5"/>
    <cellStyle name="Percent 2" xfId="5" xr:uid="{BB9B036E-CF39-45FC-B2E6-BAAD98BB8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10" Type="http://schemas.openxmlformats.org/officeDocument/2006/relationships/externalLink" Target="externalLinks/externalLink1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RD%20Feedstock%20Build%20Up%20-%20HOBO.xlsx" TargetMode="External"/><Relationship Id="rId2" Type="http://schemas.openxmlformats.org/officeDocument/2006/relationships/externalLinkPath" Target="file:///C:\Users\torem\Dropbox\FM%20Files\HOBO\Biofuel%20Model\RD%20Feedstock%20Build%20Up%20-%20HOBO.xlsx" TargetMode="External"/><Relationship Id="rId1" Type="http://schemas.openxmlformats.org/officeDocument/2006/relationships/externalLinkPath" Target="/Users/torem/Dropbox/FM%20Files/HOBO/Biofuel%20Model/RD%20Feedstock%20Build%20Up%20-%20HOBO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wldbiodiesel%20-%20HOBO.xlsx" TargetMode="External"/><Relationship Id="rId2" Type="http://schemas.openxmlformats.org/officeDocument/2006/relationships/externalLinkPath" Target="file:///C:\Users\torem\Dropbox\FM%20Files\HOBO\Biofuel%20Model\wldbiodiesel%20-%20HOBO.xlsx" TargetMode="External"/><Relationship Id="rId1" Type="http://schemas.openxmlformats.org/officeDocument/2006/relationships/externalLinkPath" Target="/Users/torem/Dropbox/FM%20Files/HOBO/Biofuel%20Model/wldbiodiesel%20-%20HOBO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EMTS%20Forecast%20-%20HOBO.xlsx" TargetMode="External"/><Relationship Id="rId2" Type="http://schemas.openxmlformats.org/officeDocument/2006/relationships/externalLinkPath" Target="file:///C:\Users\torem\Dropbox\FM%20Files\HOBO\Biofuel%20Model\EMTS%20Forecast%20-%20HOBO.xlsx" TargetMode="External"/><Relationship Id="rId1" Type="http://schemas.openxmlformats.org/officeDocument/2006/relationships/externalLinkPath" Target="/Users/torem/Dropbox/FM%20Files/HOBO/Biofuel%20Model/EMTS%20Forecast%20-%20HOBO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usoilseedbal%20-%20HOBO.xlsx" TargetMode="External"/><Relationship Id="rId2" Type="http://schemas.openxmlformats.org/officeDocument/2006/relationships/externalLinkPath" Target="file:///C:\Users\torem\Dropbox\FM%20Files\HOBO\Biofuel%20Model\usoilseedbal%20-%20HOBO.xlsx" TargetMode="External"/><Relationship Id="rId1" Type="http://schemas.openxmlformats.org/officeDocument/2006/relationships/externalLinkPath" Target="/Users/torem/Dropbox/FM%20Files/HOBO/Biofuel%20Model/usoilseedbal%20-%20HOBO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Dropbox/FM%20Files/HOBO/Biofuel%20Model/Biodiesel%20and%20RD%20Forward%20Curve%20Forecast%20-%20HOBO%20-%20Apr%2025.xlsx" TargetMode="External"/><Relationship Id="rId1" Type="http://schemas.openxmlformats.org/officeDocument/2006/relationships/externalLinkPath" Target="/Users/torem/Dropbox/FM%20Files/HOBO/Biofuel%20Model/Biodiesel%20and%20RD%20Forward%20Curve%20Forecast%20-%20HOBO%20-%20Apr%2025.xlsx" TargetMode="External"/></Relationships>
</file>

<file path=xl/externalLinks/_rels/externalLink6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cabbdbal%20-%20HOBO.xlsx" TargetMode="External"/><Relationship Id="rId2" Type="http://schemas.openxmlformats.org/officeDocument/2006/relationships/externalLinkPath" Target="file:///C:\Users\torem\Dropbox\FM%20Files\HOBO\Biofuel%20Model\cabbdbal%20-%20HOBO.xlsx" TargetMode="External"/><Relationship Id="rId1" Type="http://schemas.openxmlformats.org/officeDocument/2006/relationships/externalLinkPath" Target="/Users/torem/Dropbox/FM%20Files/HOBO/Biofuel%20Model/cabbdbal%20-%20HOBO.xlsx" TargetMode="External"/></Relationships>
</file>

<file path=xl/externalLinks/_rels/externalLink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Global%20RD%20SAF%20Capacity%20-%20HOBO.xlsx" TargetMode="External"/><Relationship Id="rId2" Type="http://schemas.openxmlformats.org/officeDocument/2006/relationships/externalLinkPath" Target="file:///C:\Users\torem\Dropbox\FM%20Files\HOBO\Biofuel%20Model\Global%20RD%20SAF%20Capacity%20-%20HOBO.xlsx" TargetMode="External"/><Relationship Id="rId1" Type="http://schemas.openxmlformats.org/officeDocument/2006/relationships/externalLinkPath" Target="/Users/torem/Dropbox/FM%20Files/HOBO/Biofuel%20Model/Global%20RD%20SAF%20Capacity%20-%20HOBO.xlsx" TargetMode="External"/></Relationships>
</file>

<file path=xl/externalLinks/_rels/externalLink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ropbox/FM%20Files/HOBO/Biofuel%20Model/wldfuelprod%20-%20HOBO.xlsx" TargetMode="External"/><Relationship Id="rId2" Type="http://schemas.openxmlformats.org/officeDocument/2006/relationships/externalLinkPath" Target="file:///C:\Users\torem\Dropbox\FM%20Files\HOBO\Biofuel%20Model\wldfuelprod%20-%20HOBO.xlsx" TargetMode="External"/><Relationship Id="rId1" Type="http://schemas.openxmlformats.org/officeDocument/2006/relationships/externalLinkPath" Target="/Users/torem/Dropbox/FM%20Files/HOBO/Biofuel%20Model/wldfuelprod%20-%20HOB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shboard"/>
      <sheetName val="Biodiesel "/>
      <sheetName val="Removed Projects"/>
      <sheetName val="Canada Renewable Diesel"/>
      <sheetName val="Renewable Diesel"/>
      <sheetName val="RD Feedstock Breakdown"/>
      <sheetName val="Co-Processing"/>
      <sheetName val="Co-Pro Feedstock Breakdown"/>
      <sheetName val="Feedstock Conversion Rates"/>
      <sheetName val="SBO Use"/>
      <sheetName val="Sheet1"/>
      <sheetName val="RD Feedstock Use"/>
      <sheetName val="SAF Feedstock Use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7">
          <cell r="BE17">
            <v>0</v>
          </cell>
        </row>
        <row r="21">
          <cell r="AX21">
            <v>40</v>
          </cell>
        </row>
        <row r="22">
          <cell r="AX22">
            <v>40</v>
          </cell>
        </row>
        <row r="23">
          <cell r="AX23">
            <v>120</v>
          </cell>
        </row>
        <row r="24">
          <cell r="AX24">
            <v>120</v>
          </cell>
        </row>
        <row r="25">
          <cell r="AX25">
            <v>160</v>
          </cell>
        </row>
        <row r="26">
          <cell r="AX26">
            <v>160</v>
          </cell>
        </row>
        <row r="27">
          <cell r="AX27">
            <v>160</v>
          </cell>
        </row>
        <row r="28">
          <cell r="AX28">
            <v>160</v>
          </cell>
        </row>
        <row r="29">
          <cell r="AX29">
            <v>160</v>
          </cell>
        </row>
        <row r="30">
          <cell r="AX30">
            <v>160</v>
          </cell>
        </row>
        <row r="31">
          <cell r="AX31">
            <v>160</v>
          </cell>
        </row>
        <row r="32">
          <cell r="AX32">
            <v>160</v>
          </cell>
        </row>
        <row r="33">
          <cell r="AX33">
            <v>160</v>
          </cell>
        </row>
        <row r="34">
          <cell r="AX34">
            <v>160</v>
          </cell>
        </row>
        <row r="35">
          <cell r="AX35">
            <v>160</v>
          </cell>
        </row>
        <row r="36">
          <cell r="AX36">
            <v>160</v>
          </cell>
        </row>
        <row r="37">
          <cell r="AX37">
            <v>160</v>
          </cell>
        </row>
        <row r="38">
          <cell r="AX38">
            <v>160</v>
          </cell>
        </row>
        <row r="39">
          <cell r="AX39">
            <v>160</v>
          </cell>
        </row>
        <row r="40">
          <cell r="AX40">
            <v>160</v>
          </cell>
        </row>
        <row r="41">
          <cell r="AX41">
            <v>160</v>
          </cell>
        </row>
        <row r="42">
          <cell r="AX42">
            <v>160</v>
          </cell>
        </row>
        <row r="43">
          <cell r="AX43">
            <v>160</v>
          </cell>
        </row>
        <row r="44">
          <cell r="AX44">
            <v>160</v>
          </cell>
        </row>
        <row r="45">
          <cell r="AX45">
            <v>160</v>
          </cell>
        </row>
        <row r="46">
          <cell r="AX46">
            <v>160</v>
          </cell>
        </row>
        <row r="47">
          <cell r="AX47">
            <v>160</v>
          </cell>
        </row>
        <row r="48">
          <cell r="AX48">
            <v>160</v>
          </cell>
        </row>
        <row r="49">
          <cell r="AX49">
            <v>160</v>
          </cell>
        </row>
        <row r="50">
          <cell r="AX50">
            <v>160</v>
          </cell>
        </row>
        <row r="51">
          <cell r="AX51">
            <v>160</v>
          </cell>
        </row>
        <row r="52">
          <cell r="AX52">
            <v>160</v>
          </cell>
        </row>
        <row r="53">
          <cell r="AX53">
            <v>160</v>
          </cell>
        </row>
        <row r="54">
          <cell r="AX54">
            <v>160</v>
          </cell>
        </row>
        <row r="55">
          <cell r="AX55">
            <v>160</v>
          </cell>
        </row>
        <row r="56">
          <cell r="AX56">
            <v>160</v>
          </cell>
        </row>
        <row r="57">
          <cell r="AX57">
            <v>160</v>
          </cell>
        </row>
        <row r="58">
          <cell r="AX58">
            <v>160</v>
          </cell>
        </row>
        <row r="59">
          <cell r="AX59">
            <v>185</v>
          </cell>
        </row>
        <row r="60">
          <cell r="AX60">
            <v>210</v>
          </cell>
        </row>
        <row r="61">
          <cell r="AX61">
            <v>255</v>
          </cell>
        </row>
        <row r="62">
          <cell r="AX62">
            <v>255</v>
          </cell>
        </row>
        <row r="63">
          <cell r="AX63">
            <v>255</v>
          </cell>
        </row>
        <row r="64">
          <cell r="AX64">
            <v>255</v>
          </cell>
        </row>
        <row r="65">
          <cell r="AX65">
            <v>255</v>
          </cell>
        </row>
        <row r="66">
          <cell r="AX66">
            <v>255</v>
          </cell>
        </row>
        <row r="67">
          <cell r="AX67">
            <v>255</v>
          </cell>
        </row>
        <row r="68">
          <cell r="AX68">
            <v>255</v>
          </cell>
        </row>
        <row r="69">
          <cell r="AX69">
            <v>255</v>
          </cell>
        </row>
        <row r="70">
          <cell r="AX70">
            <v>255</v>
          </cell>
        </row>
        <row r="71">
          <cell r="AX71">
            <v>255</v>
          </cell>
        </row>
        <row r="72">
          <cell r="AX72">
            <v>255</v>
          </cell>
        </row>
        <row r="73">
          <cell r="AX73">
            <v>266</v>
          </cell>
        </row>
        <row r="74">
          <cell r="AX74">
            <v>277</v>
          </cell>
        </row>
        <row r="75">
          <cell r="AX75">
            <v>308</v>
          </cell>
        </row>
        <row r="76">
          <cell r="AX76">
            <v>333</v>
          </cell>
        </row>
        <row r="77">
          <cell r="AX77">
            <v>358</v>
          </cell>
        </row>
        <row r="78">
          <cell r="AX78">
            <v>408</v>
          </cell>
        </row>
        <row r="79">
          <cell r="AX79">
            <v>408</v>
          </cell>
        </row>
        <row r="80">
          <cell r="AX80">
            <v>408</v>
          </cell>
        </row>
        <row r="81">
          <cell r="AX81">
            <v>408</v>
          </cell>
        </row>
        <row r="82">
          <cell r="AX82">
            <v>408</v>
          </cell>
        </row>
        <row r="83">
          <cell r="AX83">
            <v>408</v>
          </cell>
        </row>
        <row r="84">
          <cell r="AX84">
            <v>408</v>
          </cell>
        </row>
        <row r="85">
          <cell r="AX85">
            <v>408</v>
          </cell>
        </row>
        <row r="86">
          <cell r="AX86">
            <v>408</v>
          </cell>
        </row>
        <row r="87">
          <cell r="AX87">
            <v>408</v>
          </cell>
        </row>
        <row r="88">
          <cell r="AX88">
            <v>408</v>
          </cell>
        </row>
        <row r="89">
          <cell r="AX89">
            <v>408</v>
          </cell>
        </row>
        <row r="90">
          <cell r="AX90">
            <v>408</v>
          </cell>
        </row>
        <row r="91">
          <cell r="AX91">
            <v>408</v>
          </cell>
        </row>
        <row r="92">
          <cell r="AX92">
            <v>408</v>
          </cell>
        </row>
        <row r="93">
          <cell r="AX93">
            <v>408</v>
          </cell>
        </row>
        <row r="94">
          <cell r="AX94">
            <v>408</v>
          </cell>
        </row>
        <row r="95">
          <cell r="AX95">
            <v>408</v>
          </cell>
        </row>
        <row r="96">
          <cell r="AX96">
            <v>408</v>
          </cell>
        </row>
        <row r="97">
          <cell r="AX97">
            <v>408</v>
          </cell>
        </row>
        <row r="98">
          <cell r="AX98">
            <v>408</v>
          </cell>
        </row>
        <row r="99">
          <cell r="AX99">
            <v>408</v>
          </cell>
        </row>
        <row r="100">
          <cell r="AX100">
            <v>408</v>
          </cell>
        </row>
        <row r="101">
          <cell r="AX101">
            <v>418</v>
          </cell>
        </row>
        <row r="102">
          <cell r="AX102">
            <v>428</v>
          </cell>
        </row>
        <row r="103">
          <cell r="AX103">
            <v>268</v>
          </cell>
        </row>
        <row r="104">
          <cell r="AX104">
            <v>456.75</v>
          </cell>
        </row>
        <row r="105">
          <cell r="AX105">
            <v>485.5</v>
          </cell>
        </row>
        <row r="106">
          <cell r="AX106">
            <v>514.29999999999995</v>
          </cell>
        </row>
        <row r="107">
          <cell r="AX107">
            <v>558</v>
          </cell>
        </row>
        <row r="108">
          <cell r="AX108">
            <v>558</v>
          </cell>
        </row>
        <row r="109">
          <cell r="AX109">
            <v>558</v>
          </cell>
        </row>
        <row r="110">
          <cell r="AX110">
            <v>558</v>
          </cell>
        </row>
        <row r="111">
          <cell r="AX111">
            <v>558</v>
          </cell>
        </row>
        <row r="112">
          <cell r="AX112">
            <v>558</v>
          </cell>
        </row>
        <row r="113">
          <cell r="AX113">
            <v>558</v>
          </cell>
        </row>
        <row r="114">
          <cell r="AX114">
            <v>558</v>
          </cell>
        </row>
        <row r="115">
          <cell r="AX115">
            <v>558</v>
          </cell>
        </row>
        <row r="116">
          <cell r="AX116">
            <v>558</v>
          </cell>
        </row>
        <row r="117">
          <cell r="AX117">
            <v>558</v>
          </cell>
        </row>
        <row r="118">
          <cell r="AX118">
            <v>558</v>
          </cell>
        </row>
        <row r="119">
          <cell r="AX119">
            <v>558</v>
          </cell>
        </row>
        <row r="120">
          <cell r="AX120">
            <v>558</v>
          </cell>
        </row>
        <row r="121">
          <cell r="AX121">
            <v>558</v>
          </cell>
        </row>
        <row r="122">
          <cell r="AX122">
            <v>558</v>
          </cell>
        </row>
        <row r="123">
          <cell r="AX123">
            <v>558</v>
          </cell>
        </row>
        <row r="124">
          <cell r="AX124">
            <v>558</v>
          </cell>
        </row>
        <row r="125">
          <cell r="AX125">
            <v>558</v>
          </cell>
        </row>
        <row r="126">
          <cell r="AX126">
            <v>558</v>
          </cell>
        </row>
        <row r="127">
          <cell r="AX127">
            <v>618</v>
          </cell>
        </row>
        <row r="128">
          <cell r="AX128">
            <v>678</v>
          </cell>
        </row>
        <row r="129">
          <cell r="AX129">
            <v>738</v>
          </cell>
        </row>
        <row r="130">
          <cell r="AX130">
            <v>738</v>
          </cell>
        </row>
        <row r="131">
          <cell r="AX131">
            <v>738</v>
          </cell>
        </row>
        <row r="132">
          <cell r="AX132">
            <v>738</v>
          </cell>
        </row>
        <row r="133">
          <cell r="AX133">
            <v>791</v>
          </cell>
        </row>
        <row r="134">
          <cell r="AX134">
            <v>791</v>
          </cell>
        </row>
        <row r="135">
          <cell r="AX135">
            <v>791</v>
          </cell>
        </row>
        <row r="136">
          <cell r="AX136">
            <v>971</v>
          </cell>
        </row>
        <row r="137">
          <cell r="AX137">
            <v>971</v>
          </cell>
        </row>
        <row r="138">
          <cell r="AX138">
            <v>911</v>
          </cell>
        </row>
        <row r="139">
          <cell r="AX139">
            <v>911</v>
          </cell>
        </row>
        <row r="140">
          <cell r="AX140">
            <v>911</v>
          </cell>
        </row>
        <row r="141">
          <cell r="AX141">
            <v>911</v>
          </cell>
        </row>
        <row r="142">
          <cell r="AX142">
            <v>1014</v>
          </cell>
        </row>
        <row r="143">
          <cell r="AX143">
            <v>1017</v>
          </cell>
        </row>
        <row r="144">
          <cell r="AX144">
            <v>1106</v>
          </cell>
        </row>
        <row r="145">
          <cell r="AX145">
            <v>1750</v>
          </cell>
        </row>
        <row r="146">
          <cell r="AX146">
            <v>1750</v>
          </cell>
        </row>
        <row r="147">
          <cell r="AX147">
            <v>1750</v>
          </cell>
        </row>
        <row r="148">
          <cell r="AX148">
            <v>1922</v>
          </cell>
        </row>
        <row r="149">
          <cell r="AX149">
            <v>1947</v>
          </cell>
        </row>
        <row r="150">
          <cell r="AX150">
            <v>1947</v>
          </cell>
        </row>
        <row r="151">
          <cell r="AX151">
            <v>2174</v>
          </cell>
        </row>
        <row r="152">
          <cell r="AX152">
            <v>2219</v>
          </cell>
        </row>
        <row r="153">
          <cell r="AX153">
            <v>2219</v>
          </cell>
        </row>
        <row r="154">
          <cell r="AX154">
            <v>2219</v>
          </cell>
        </row>
        <row r="155">
          <cell r="AX155">
            <v>2755</v>
          </cell>
        </row>
        <row r="156">
          <cell r="AX156">
            <v>2939</v>
          </cell>
        </row>
        <row r="157">
          <cell r="AX157">
            <v>2999</v>
          </cell>
        </row>
        <row r="158">
          <cell r="AX158">
            <v>3278</v>
          </cell>
        </row>
        <row r="159">
          <cell r="AX159">
            <v>3278</v>
          </cell>
        </row>
        <row r="160">
          <cell r="AX160">
            <v>3278</v>
          </cell>
        </row>
        <row r="161">
          <cell r="AX161">
            <v>3278</v>
          </cell>
        </row>
        <row r="162">
          <cell r="AX162">
            <v>3700</v>
          </cell>
        </row>
        <row r="163">
          <cell r="AX163">
            <v>3704</v>
          </cell>
        </row>
        <row r="164">
          <cell r="AX164">
            <v>3704</v>
          </cell>
        </row>
        <row r="165">
          <cell r="AX165">
            <v>3704</v>
          </cell>
        </row>
        <row r="166">
          <cell r="AX166">
            <v>3857</v>
          </cell>
        </row>
        <row r="167">
          <cell r="AX167">
            <v>3897</v>
          </cell>
        </row>
        <row r="168">
          <cell r="AX168">
            <v>3857</v>
          </cell>
        </row>
        <row r="169">
          <cell r="AX169">
            <v>3857</v>
          </cell>
        </row>
        <row r="170">
          <cell r="AX170">
            <v>3857</v>
          </cell>
        </row>
        <row r="171">
          <cell r="AX171">
            <v>3857</v>
          </cell>
        </row>
        <row r="172">
          <cell r="AX172">
            <v>4129</v>
          </cell>
        </row>
        <row r="173">
          <cell r="AX173">
            <v>4575</v>
          </cell>
        </row>
        <row r="174">
          <cell r="AX174">
            <v>4897</v>
          </cell>
        </row>
        <row r="175">
          <cell r="AX175">
            <v>4598</v>
          </cell>
        </row>
        <row r="176">
          <cell r="AX176">
            <v>4598</v>
          </cell>
        </row>
        <row r="177">
          <cell r="AX177">
            <v>4580</v>
          </cell>
        </row>
        <row r="178">
          <cell r="AX178">
            <v>4235.9999999999991</v>
          </cell>
        </row>
        <row r="179">
          <cell r="AX179">
            <v>4256</v>
          </cell>
        </row>
        <row r="180">
          <cell r="AX180">
            <v>4282</v>
          </cell>
        </row>
        <row r="181">
          <cell r="AX181">
            <v>4589.5</v>
          </cell>
        </row>
        <row r="182">
          <cell r="AX182">
            <v>4620.75</v>
          </cell>
        </row>
        <row r="183">
          <cell r="AX183">
            <v>4652</v>
          </cell>
        </row>
        <row r="184">
          <cell r="AX184">
            <v>4652.8000000000011</v>
          </cell>
        </row>
        <row r="185">
          <cell r="AX185">
            <v>4681.1000000000004</v>
          </cell>
        </row>
        <row r="186">
          <cell r="AX186">
            <v>4782.6000000000004</v>
          </cell>
        </row>
        <row r="187">
          <cell r="AX187">
            <v>4826.6000000000004</v>
          </cell>
        </row>
        <row r="188">
          <cell r="AX188">
            <v>4865.6000000000004</v>
          </cell>
        </row>
        <row r="189">
          <cell r="AX189">
            <v>4865.6000000000004</v>
          </cell>
        </row>
        <row r="190">
          <cell r="AX190">
            <v>4865.6000000000004</v>
          </cell>
        </row>
        <row r="191">
          <cell r="AX191">
            <v>4865.6000000000004</v>
          </cell>
        </row>
        <row r="192">
          <cell r="AX192">
            <v>4865.6000000000004</v>
          </cell>
        </row>
        <row r="193">
          <cell r="AX193">
            <v>4925.6000000000004</v>
          </cell>
        </row>
        <row r="194">
          <cell r="AX194">
            <v>4974.3500000000004</v>
          </cell>
        </row>
        <row r="195">
          <cell r="AX195">
            <v>5065.6000000000004</v>
          </cell>
        </row>
        <row r="196">
          <cell r="AX196">
            <v>5088.1000000000004</v>
          </cell>
        </row>
        <row r="197">
          <cell r="AX197">
            <v>5133.1000000000004</v>
          </cell>
        </row>
        <row r="198">
          <cell r="AX198">
            <v>5138.1000000000004</v>
          </cell>
        </row>
        <row r="199">
          <cell r="AX199">
            <v>5148.1000000000004</v>
          </cell>
        </row>
        <row r="200">
          <cell r="AX200">
            <v>5155.6000000000004</v>
          </cell>
        </row>
        <row r="201">
          <cell r="AX201">
            <v>5168.1000000000004</v>
          </cell>
        </row>
        <row r="202">
          <cell r="AX202">
            <v>5168.1000000000004</v>
          </cell>
        </row>
        <row r="203">
          <cell r="AX203">
            <v>5168.1000000000004</v>
          </cell>
        </row>
        <row r="204">
          <cell r="AX204">
            <v>5168.1000000000004</v>
          </cell>
        </row>
        <row r="205">
          <cell r="AX205">
            <v>5170.1000000000004</v>
          </cell>
        </row>
        <row r="206">
          <cell r="AX206">
            <v>5173.1000000000004</v>
          </cell>
        </row>
        <row r="207">
          <cell r="AX207">
            <v>5182.8500000000004</v>
          </cell>
        </row>
        <row r="208">
          <cell r="AX208">
            <v>5182.8500000000004</v>
          </cell>
        </row>
        <row r="209">
          <cell r="AX209">
            <v>5182.8500000000004</v>
          </cell>
        </row>
        <row r="210">
          <cell r="AX210">
            <v>5190.3500000000004</v>
          </cell>
        </row>
        <row r="211">
          <cell r="AX211">
            <v>5195.3500000000004</v>
          </cell>
        </row>
        <row r="212">
          <cell r="AX212">
            <v>5197.3500000000004</v>
          </cell>
        </row>
        <row r="213">
          <cell r="AX213">
            <v>5206.8500000000004</v>
          </cell>
        </row>
        <row r="214">
          <cell r="AX214">
            <v>5206.8500000000004</v>
          </cell>
        </row>
        <row r="215">
          <cell r="AX215">
            <v>5206.8500000000004</v>
          </cell>
        </row>
        <row r="216">
          <cell r="AX216">
            <v>5206.8500000000004</v>
          </cell>
        </row>
        <row r="217">
          <cell r="AX217">
            <v>5331.8500000000022</v>
          </cell>
        </row>
        <row r="218">
          <cell r="AX218">
            <v>5350.6000000000013</v>
          </cell>
        </row>
        <row r="219">
          <cell r="AX219">
            <v>5389.3500000000013</v>
          </cell>
        </row>
        <row r="220">
          <cell r="AX220">
            <v>5389.3500000000013</v>
          </cell>
        </row>
        <row r="221">
          <cell r="AX221">
            <v>5389.3500000000013</v>
          </cell>
        </row>
        <row r="222">
          <cell r="AX222">
            <v>5389.3500000000013</v>
          </cell>
        </row>
        <row r="223">
          <cell r="AX223">
            <v>5389.3500000000013</v>
          </cell>
        </row>
        <row r="224">
          <cell r="AX224">
            <v>5389.3500000000013</v>
          </cell>
        </row>
        <row r="225">
          <cell r="AX225">
            <v>5389.3500000000013</v>
          </cell>
        </row>
        <row r="226">
          <cell r="AX226">
            <v>5389.3500000000013</v>
          </cell>
        </row>
        <row r="227">
          <cell r="AX227">
            <v>5389.3500000000013</v>
          </cell>
        </row>
        <row r="228">
          <cell r="AX228">
            <v>5389.3500000000013</v>
          </cell>
        </row>
        <row r="229">
          <cell r="AX229">
            <v>5389.3500000000013</v>
          </cell>
        </row>
        <row r="230">
          <cell r="AX230">
            <v>5389.3500000000013</v>
          </cell>
        </row>
        <row r="231">
          <cell r="AX231">
            <v>5389.3500000000013</v>
          </cell>
        </row>
        <row r="232">
          <cell r="AX232">
            <v>5389.3500000000013</v>
          </cell>
        </row>
        <row r="233">
          <cell r="AX233">
            <v>5389.3500000000013</v>
          </cell>
        </row>
        <row r="234">
          <cell r="AX234">
            <v>5389.3500000000013</v>
          </cell>
        </row>
        <row r="235">
          <cell r="AX235">
            <v>5389.3500000000013</v>
          </cell>
        </row>
        <row r="236">
          <cell r="AX236">
            <v>5389.3500000000013</v>
          </cell>
        </row>
        <row r="237">
          <cell r="AX237">
            <v>5389.3500000000013</v>
          </cell>
        </row>
        <row r="238">
          <cell r="AX238">
            <v>5389.3500000000013</v>
          </cell>
        </row>
        <row r="239">
          <cell r="AX239">
            <v>5389.3500000000013</v>
          </cell>
        </row>
        <row r="240">
          <cell r="AX240">
            <v>5389.3500000000013</v>
          </cell>
        </row>
        <row r="241">
          <cell r="AX241">
            <v>5389.3500000000013</v>
          </cell>
        </row>
        <row r="242">
          <cell r="AX242">
            <v>5389.3500000000013</v>
          </cell>
        </row>
        <row r="243">
          <cell r="AX243">
            <v>5389.3500000000013</v>
          </cell>
        </row>
        <row r="244">
          <cell r="AX244">
            <v>5389.3500000000013</v>
          </cell>
        </row>
        <row r="245">
          <cell r="AX245">
            <v>5389.3500000000013</v>
          </cell>
        </row>
        <row r="246">
          <cell r="AX246">
            <v>5389.3500000000013</v>
          </cell>
        </row>
        <row r="247">
          <cell r="AX247">
            <v>5389.3500000000013</v>
          </cell>
        </row>
        <row r="248">
          <cell r="AX248">
            <v>5389.3500000000013</v>
          </cell>
        </row>
        <row r="249">
          <cell r="AX249">
            <v>5389.3500000000013</v>
          </cell>
        </row>
        <row r="250">
          <cell r="AX250">
            <v>5389.3500000000013</v>
          </cell>
        </row>
        <row r="251">
          <cell r="AX251">
            <v>5389.3500000000013</v>
          </cell>
        </row>
        <row r="252">
          <cell r="AX252">
            <v>5389.3500000000013</v>
          </cell>
        </row>
        <row r="253">
          <cell r="AX253">
            <v>5389.3500000000013</v>
          </cell>
        </row>
        <row r="254">
          <cell r="AX254">
            <v>5408.1000000000013</v>
          </cell>
        </row>
        <row r="255">
          <cell r="AX255">
            <v>5446.8500000000013</v>
          </cell>
        </row>
        <row r="256">
          <cell r="AX256">
            <v>5446.8500000000013</v>
          </cell>
        </row>
        <row r="257">
          <cell r="AX257">
            <v>5446.8500000000013</v>
          </cell>
        </row>
        <row r="258">
          <cell r="AX258">
            <v>5446.8500000000013</v>
          </cell>
        </row>
        <row r="259">
          <cell r="AX259">
            <v>5446.8500000000013</v>
          </cell>
        </row>
        <row r="260">
          <cell r="AX260">
            <v>5446.8500000000013</v>
          </cell>
        </row>
        <row r="261">
          <cell r="AX261">
            <v>5446.8500000000013</v>
          </cell>
        </row>
        <row r="262">
          <cell r="AX262">
            <v>5446.8500000000013</v>
          </cell>
        </row>
        <row r="263">
          <cell r="AX263">
            <v>5446.8500000000013</v>
          </cell>
        </row>
        <row r="264">
          <cell r="AX264">
            <v>5446.8500000000013</v>
          </cell>
        </row>
        <row r="265">
          <cell r="AX265">
            <v>5446.8500000000013</v>
          </cell>
        </row>
        <row r="266">
          <cell r="AX266">
            <v>5446.8500000000013</v>
          </cell>
        </row>
        <row r="267">
          <cell r="AX267">
            <v>5446.8500000000013</v>
          </cell>
        </row>
        <row r="268">
          <cell r="AX268">
            <v>5446.8500000000013</v>
          </cell>
        </row>
        <row r="269">
          <cell r="AX269">
            <v>5446.8500000000013</v>
          </cell>
        </row>
        <row r="270">
          <cell r="AX270">
            <v>5446.8500000000013</v>
          </cell>
        </row>
        <row r="271">
          <cell r="AX271">
            <v>5446.8500000000013</v>
          </cell>
        </row>
        <row r="272">
          <cell r="AX272">
            <v>5446.8500000000013</v>
          </cell>
        </row>
        <row r="273">
          <cell r="AX273">
            <v>5446.8500000000013</v>
          </cell>
        </row>
        <row r="274">
          <cell r="AX274">
            <v>5446.8500000000013</v>
          </cell>
        </row>
        <row r="275">
          <cell r="AX275">
            <v>5446.8500000000013</v>
          </cell>
        </row>
        <row r="276">
          <cell r="AX276">
            <v>5446.8500000000013</v>
          </cell>
        </row>
        <row r="277">
          <cell r="AX277">
            <v>5446.8500000000013</v>
          </cell>
        </row>
        <row r="278">
          <cell r="AX278">
            <v>5446.8500000000013</v>
          </cell>
        </row>
        <row r="279">
          <cell r="AX279">
            <v>5446.8500000000013</v>
          </cell>
        </row>
        <row r="280">
          <cell r="AX280">
            <v>5446.8500000000013</v>
          </cell>
        </row>
        <row r="281">
          <cell r="AX281">
            <v>5446.8500000000013</v>
          </cell>
        </row>
        <row r="282">
          <cell r="AX282">
            <v>5446.8500000000013</v>
          </cell>
        </row>
        <row r="283">
          <cell r="AX283">
            <v>5446.8500000000013</v>
          </cell>
        </row>
        <row r="284">
          <cell r="AX284">
            <v>5446.8500000000013</v>
          </cell>
        </row>
        <row r="285">
          <cell r="AX285">
            <v>5446.8500000000013</v>
          </cell>
        </row>
        <row r="286">
          <cell r="AX286">
            <v>5446.8500000000013</v>
          </cell>
        </row>
        <row r="287">
          <cell r="AX287">
            <v>5446.8500000000013</v>
          </cell>
        </row>
        <row r="288">
          <cell r="AX288">
            <v>5446.8500000000013</v>
          </cell>
        </row>
        <row r="289">
          <cell r="AX289">
            <v>5446.8500000000013</v>
          </cell>
        </row>
        <row r="290">
          <cell r="AX290">
            <v>5446.8500000000013</v>
          </cell>
        </row>
        <row r="291">
          <cell r="AX291">
            <v>5446.8500000000013</v>
          </cell>
        </row>
        <row r="292">
          <cell r="AX292">
            <v>5446.8500000000013</v>
          </cell>
        </row>
        <row r="293">
          <cell r="AX293">
            <v>5446.8500000000013</v>
          </cell>
        </row>
        <row r="294">
          <cell r="AX294">
            <v>5446.8500000000013</v>
          </cell>
        </row>
        <row r="295">
          <cell r="AX295">
            <v>5446.8500000000013</v>
          </cell>
        </row>
        <row r="296">
          <cell r="AX296">
            <v>5446.8500000000013</v>
          </cell>
        </row>
        <row r="297">
          <cell r="AX297">
            <v>5446.8500000000013</v>
          </cell>
        </row>
        <row r="298">
          <cell r="AX298">
            <v>5446.8500000000013</v>
          </cell>
        </row>
        <row r="299">
          <cell r="AX299">
            <v>5446.8500000000013</v>
          </cell>
        </row>
        <row r="300">
          <cell r="AX300">
            <v>5446.8500000000013</v>
          </cell>
        </row>
        <row r="301">
          <cell r="AX301">
            <v>5446.8500000000013</v>
          </cell>
        </row>
        <row r="302">
          <cell r="AX302">
            <v>5446.8500000000013</v>
          </cell>
        </row>
        <row r="303">
          <cell r="AX303">
            <v>5446.8500000000013</v>
          </cell>
        </row>
        <row r="304">
          <cell r="AX304">
            <v>5446.8500000000013</v>
          </cell>
        </row>
        <row r="305">
          <cell r="AX305">
            <v>5446.8500000000013</v>
          </cell>
        </row>
        <row r="306">
          <cell r="AX306">
            <v>5446.8500000000013</v>
          </cell>
        </row>
        <row r="307">
          <cell r="AX307">
            <v>5446.8500000000013</v>
          </cell>
        </row>
        <row r="308">
          <cell r="AX308">
            <v>5446.8500000000013</v>
          </cell>
        </row>
        <row r="309">
          <cell r="AX309">
            <v>5446.8500000000013</v>
          </cell>
        </row>
        <row r="310">
          <cell r="AX310">
            <v>5446.8500000000013</v>
          </cell>
        </row>
        <row r="311">
          <cell r="AX311">
            <v>5446.8500000000013</v>
          </cell>
        </row>
        <row r="312">
          <cell r="AX312">
            <v>5446.8500000000013</v>
          </cell>
        </row>
        <row r="313">
          <cell r="AX313">
            <v>5446.8500000000013</v>
          </cell>
        </row>
        <row r="314">
          <cell r="AX314">
            <v>5446.8500000000013</v>
          </cell>
        </row>
        <row r="315">
          <cell r="AX315">
            <v>5446.8500000000013</v>
          </cell>
        </row>
        <row r="316">
          <cell r="AX316">
            <v>5446.8500000000013</v>
          </cell>
        </row>
        <row r="317">
          <cell r="AX317">
            <v>5446.8500000000013</v>
          </cell>
        </row>
        <row r="318">
          <cell r="AX318">
            <v>5446.8500000000013</v>
          </cell>
        </row>
        <row r="319">
          <cell r="AX319">
            <v>5446.8500000000013</v>
          </cell>
        </row>
        <row r="320">
          <cell r="AX320">
            <v>5446.8500000000013</v>
          </cell>
        </row>
        <row r="321">
          <cell r="AX321">
            <v>5446.8500000000013</v>
          </cell>
        </row>
        <row r="322">
          <cell r="AX322">
            <v>5446.8500000000013</v>
          </cell>
        </row>
        <row r="323">
          <cell r="AX323">
            <v>5446.8500000000013</v>
          </cell>
        </row>
        <row r="324">
          <cell r="AX324">
            <v>5446.8500000000013</v>
          </cell>
        </row>
        <row r="325">
          <cell r="AX325">
            <v>5446.8500000000013</v>
          </cell>
        </row>
        <row r="326">
          <cell r="AX326">
            <v>5446.8500000000013</v>
          </cell>
        </row>
        <row r="327">
          <cell r="AX327">
            <v>5446.8500000000013</v>
          </cell>
        </row>
        <row r="328">
          <cell r="AX328">
            <v>5446.8500000000013</v>
          </cell>
        </row>
        <row r="329">
          <cell r="AX329">
            <v>5446.8500000000013</v>
          </cell>
        </row>
        <row r="330">
          <cell r="AX330">
            <v>5446.8500000000013</v>
          </cell>
        </row>
        <row r="331">
          <cell r="AX331">
            <v>5446.8500000000013</v>
          </cell>
        </row>
        <row r="332">
          <cell r="AX332">
            <v>5446.8500000000013</v>
          </cell>
        </row>
        <row r="333">
          <cell r="AX333">
            <v>5446.8500000000013</v>
          </cell>
        </row>
        <row r="334">
          <cell r="AX334">
            <v>5446.8500000000013</v>
          </cell>
        </row>
        <row r="335">
          <cell r="AX335">
            <v>5446.8500000000013</v>
          </cell>
        </row>
        <row r="336">
          <cell r="AX336">
            <v>5446.8500000000013</v>
          </cell>
        </row>
        <row r="337">
          <cell r="AX337">
            <v>5446.8500000000013</v>
          </cell>
        </row>
        <row r="338">
          <cell r="AX338">
            <v>5446.8500000000013</v>
          </cell>
        </row>
        <row r="339">
          <cell r="AX339">
            <v>5446.8500000000013</v>
          </cell>
        </row>
        <row r="340">
          <cell r="AX340">
            <v>5446.8500000000013</v>
          </cell>
        </row>
        <row r="341">
          <cell r="AX341">
            <v>5446.8500000000013</v>
          </cell>
        </row>
        <row r="342">
          <cell r="AX342">
            <v>5446.8500000000013</v>
          </cell>
        </row>
        <row r="343">
          <cell r="AX343">
            <v>5446.8500000000013</v>
          </cell>
        </row>
        <row r="344">
          <cell r="AX344">
            <v>5446.8500000000013</v>
          </cell>
        </row>
        <row r="345">
          <cell r="AX345">
            <v>5446.8500000000013</v>
          </cell>
        </row>
        <row r="346">
          <cell r="AX346">
            <v>5446.8500000000013</v>
          </cell>
        </row>
        <row r="347">
          <cell r="AX347">
            <v>5446.8500000000013</v>
          </cell>
        </row>
        <row r="348">
          <cell r="AX348">
            <v>5446.8500000000013</v>
          </cell>
        </row>
        <row r="349">
          <cell r="AX349">
            <v>5446.8500000000013</v>
          </cell>
        </row>
        <row r="350">
          <cell r="AX350">
            <v>5446.8500000000013</v>
          </cell>
        </row>
        <row r="351">
          <cell r="AX351">
            <v>5446.8500000000013</v>
          </cell>
        </row>
        <row r="352">
          <cell r="AX352">
            <v>5446.8500000000013</v>
          </cell>
        </row>
        <row r="353">
          <cell r="AX353">
            <v>5446.8500000000013</v>
          </cell>
        </row>
        <row r="354">
          <cell r="AX354">
            <v>5446.8500000000013</v>
          </cell>
        </row>
        <row r="355">
          <cell r="AX355">
            <v>5446.8500000000013</v>
          </cell>
        </row>
        <row r="356">
          <cell r="AX356">
            <v>5446.8500000000013</v>
          </cell>
        </row>
        <row r="357">
          <cell r="AX357">
            <v>5446.8500000000013</v>
          </cell>
        </row>
        <row r="358">
          <cell r="AX358">
            <v>5446.8500000000013</v>
          </cell>
        </row>
        <row r="359">
          <cell r="AX359">
            <v>5446.8500000000013</v>
          </cell>
        </row>
        <row r="360">
          <cell r="AX360">
            <v>5446.8500000000013</v>
          </cell>
        </row>
        <row r="361">
          <cell r="AX361">
            <v>5446.8500000000013</v>
          </cell>
        </row>
        <row r="362">
          <cell r="AX362">
            <v>5446.8500000000013</v>
          </cell>
        </row>
        <row r="363">
          <cell r="AX363">
            <v>5446.8500000000013</v>
          </cell>
        </row>
        <row r="364">
          <cell r="AX364">
            <v>5446.8500000000013</v>
          </cell>
        </row>
        <row r="365">
          <cell r="AX365">
            <v>5446.8500000000013</v>
          </cell>
        </row>
        <row r="366">
          <cell r="AX366">
            <v>5446.8500000000013</v>
          </cell>
        </row>
        <row r="367">
          <cell r="AX367">
            <v>5446.8500000000013</v>
          </cell>
        </row>
        <row r="368">
          <cell r="AX368">
            <v>5446.8500000000013</v>
          </cell>
        </row>
        <row r="369">
          <cell r="AX369">
            <v>5446.8500000000013</v>
          </cell>
        </row>
        <row r="370">
          <cell r="AX370">
            <v>5446.8500000000013</v>
          </cell>
        </row>
        <row r="371">
          <cell r="AX371">
            <v>5446.8500000000013</v>
          </cell>
        </row>
        <row r="372">
          <cell r="AX372">
            <v>5446.8500000000013</v>
          </cell>
        </row>
        <row r="373">
          <cell r="AX373">
            <v>5446.8500000000013</v>
          </cell>
        </row>
        <row r="374">
          <cell r="AX374">
            <v>5446.8500000000013</v>
          </cell>
        </row>
        <row r="375">
          <cell r="AX375">
            <v>5446.8500000000013</v>
          </cell>
        </row>
        <row r="376">
          <cell r="AX376">
            <v>5446.8500000000013</v>
          </cell>
        </row>
        <row r="377">
          <cell r="AX377">
            <v>5446.8500000000013</v>
          </cell>
        </row>
        <row r="378">
          <cell r="AX378">
            <v>5446.8500000000013</v>
          </cell>
        </row>
        <row r="379">
          <cell r="AX379">
            <v>5446.8500000000013</v>
          </cell>
        </row>
        <row r="380">
          <cell r="AX380">
            <v>5446.8500000000013</v>
          </cell>
        </row>
        <row r="381">
          <cell r="AX381">
            <v>5446.8500000000013</v>
          </cell>
        </row>
        <row r="382">
          <cell r="AX382">
            <v>5446.8500000000013</v>
          </cell>
        </row>
        <row r="383">
          <cell r="AX383">
            <v>5446.8500000000013</v>
          </cell>
        </row>
        <row r="384">
          <cell r="AX384">
            <v>5446.8500000000013</v>
          </cell>
        </row>
        <row r="385">
          <cell r="AX385">
            <v>5446.8500000000013</v>
          </cell>
        </row>
        <row r="386">
          <cell r="AX386">
            <v>5446.8500000000013</v>
          </cell>
        </row>
        <row r="387">
          <cell r="AX387">
            <v>5446.8500000000013</v>
          </cell>
        </row>
        <row r="388">
          <cell r="AX388">
            <v>5446.8500000000013</v>
          </cell>
        </row>
        <row r="389">
          <cell r="AX389">
            <v>5446.8500000000013</v>
          </cell>
        </row>
        <row r="390">
          <cell r="AX390">
            <v>5446.8500000000013</v>
          </cell>
        </row>
        <row r="391">
          <cell r="AX391">
            <v>5446.8500000000013</v>
          </cell>
        </row>
        <row r="392">
          <cell r="AX392">
            <v>5446.8500000000013</v>
          </cell>
        </row>
        <row r="393">
          <cell r="AX393">
            <v>5446.8500000000013</v>
          </cell>
        </row>
        <row r="394">
          <cell r="AX394">
            <v>5446.8500000000013</v>
          </cell>
        </row>
        <row r="395">
          <cell r="AX395">
            <v>5446.8500000000013</v>
          </cell>
        </row>
        <row r="396">
          <cell r="AX396">
            <v>5446.8500000000013</v>
          </cell>
        </row>
        <row r="397">
          <cell r="AX397">
            <v>5446.8500000000013</v>
          </cell>
        </row>
        <row r="398">
          <cell r="AX398">
            <v>5446.8500000000013</v>
          </cell>
        </row>
        <row r="399">
          <cell r="AX399">
            <v>5446.8500000000013</v>
          </cell>
        </row>
        <row r="400">
          <cell r="AX400">
            <v>5446.8500000000013</v>
          </cell>
        </row>
        <row r="401">
          <cell r="AX401">
            <v>5446.8500000000013</v>
          </cell>
        </row>
        <row r="402">
          <cell r="AX402">
            <v>5446.8500000000013</v>
          </cell>
        </row>
        <row r="403">
          <cell r="AX403">
            <v>5446.8500000000013</v>
          </cell>
        </row>
        <row r="404">
          <cell r="AX404">
            <v>5446.8500000000013</v>
          </cell>
        </row>
        <row r="405">
          <cell r="AX405">
            <v>5446.8500000000013</v>
          </cell>
        </row>
        <row r="406">
          <cell r="AX406">
            <v>5446.8500000000013</v>
          </cell>
        </row>
        <row r="407">
          <cell r="AX407">
            <v>5446.8500000000013</v>
          </cell>
        </row>
        <row r="408">
          <cell r="AX408">
            <v>5446.8500000000013</v>
          </cell>
        </row>
        <row r="409">
          <cell r="AX409">
            <v>5446.8500000000013</v>
          </cell>
        </row>
        <row r="410">
          <cell r="AX410">
            <v>5446.8500000000013</v>
          </cell>
        </row>
        <row r="411">
          <cell r="AX411">
            <v>5446.8500000000013</v>
          </cell>
        </row>
        <row r="412">
          <cell r="AX412">
            <v>5446.8500000000013</v>
          </cell>
        </row>
        <row r="413">
          <cell r="AX413">
            <v>5446.8500000000013</v>
          </cell>
        </row>
        <row r="414">
          <cell r="AX414">
            <v>5446.8500000000013</v>
          </cell>
        </row>
        <row r="415">
          <cell r="AX415">
            <v>5446.8500000000013</v>
          </cell>
        </row>
        <row r="416">
          <cell r="AX416">
            <v>5446.8500000000013</v>
          </cell>
        </row>
        <row r="417">
          <cell r="AX417">
            <v>5446.8500000000013</v>
          </cell>
        </row>
        <row r="418">
          <cell r="AX418">
            <v>5446.8500000000013</v>
          </cell>
        </row>
        <row r="419">
          <cell r="AX419">
            <v>5446.8500000000013</v>
          </cell>
        </row>
        <row r="420">
          <cell r="AX420">
            <v>5446.8500000000013</v>
          </cell>
        </row>
        <row r="421">
          <cell r="AX421">
            <v>5446.8500000000013</v>
          </cell>
        </row>
        <row r="422">
          <cell r="AX422">
            <v>5446.8500000000013</v>
          </cell>
        </row>
        <row r="423">
          <cell r="AX423">
            <v>5446.8500000000013</v>
          </cell>
        </row>
        <row r="424">
          <cell r="AX424">
            <v>5446.8500000000013</v>
          </cell>
        </row>
        <row r="425">
          <cell r="AX425">
            <v>5446.8500000000013</v>
          </cell>
        </row>
        <row r="426">
          <cell r="AX426">
            <v>5446.8500000000013</v>
          </cell>
        </row>
        <row r="427">
          <cell r="AX427">
            <v>5446.8500000000013</v>
          </cell>
        </row>
        <row r="428">
          <cell r="AX428">
            <v>5446.8500000000013</v>
          </cell>
        </row>
        <row r="429">
          <cell r="AX429">
            <v>5446.8500000000013</v>
          </cell>
        </row>
        <row r="430">
          <cell r="AX430">
            <v>5446.8500000000013</v>
          </cell>
        </row>
        <row r="431">
          <cell r="AX431">
            <v>5446.8500000000013</v>
          </cell>
        </row>
        <row r="432">
          <cell r="AX432">
            <v>5446.8500000000013</v>
          </cell>
        </row>
        <row r="433">
          <cell r="AX433">
            <v>5446.8500000000013</v>
          </cell>
        </row>
        <row r="434">
          <cell r="AX434">
            <v>5446.8500000000013</v>
          </cell>
        </row>
        <row r="435">
          <cell r="AX435">
            <v>5446.8500000000013</v>
          </cell>
        </row>
        <row r="436">
          <cell r="AX436">
            <v>5446.8500000000013</v>
          </cell>
        </row>
        <row r="437">
          <cell r="AX437">
            <v>5446.8500000000013</v>
          </cell>
        </row>
        <row r="438">
          <cell r="AX438">
            <v>5446.8500000000013</v>
          </cell>
        </row>
        <row r="439">
          <cell r="AX439">
            <v>5446.8500000000013</v>
          </cell>
        </row>
        <row r="440">
          <cell r="AX440">
            <v>5446.8500000000013</v>
          </cell>
        </row>
        <row r="441">
          <cell r="AX441">
            <v>5446.8500000000013</v>
          </cell>
        </row>
        <row r="442">
          <cell r="AX442">
            <v>5446.8500000000013</v>
          </cell>
        </row>
        <row r="443">
          <cell r="AX443">
            <v>5446.8500000000013</v>
          </cell>
        </row>
        <row r="444">
          <cell r="AX444">
            <v>5446.8500000000013</v>
          </cell>
        </row>
        <row r="445">
          <cell r="AX445">
            <v>5446.8500000000013</v>
          </cell>
        </row>
        <row r="446">
          <cell r="AX446">
            <v>5446.8500000000013</v>
          </cell>
        </row>
        <row r="447">
          <cell r="AX447">
            <v>5446.8500000000013</v>
          </cell>
        </row>
        <row r="448">
          <cell r="AX448">
            <v>5446.8500000000013</v>
          </cell>
        </row>
        <row r="449">
          <cell r="AX449">
            <v>5446.8500000000013</v>
          </cell>
        </row>
        <row r="450">
          <cell r="AX450">
            <v>5446.8500000000013</v>
          </cell>
        </row>
        <row r="451">
          <cell r="AX451">
            <v>5446.8500000000013</v>
          </cell>
        </row>
        <row r="452">
          <cell r="AX452">
            <v>5446.8500000000013</v>
          </cell>
        </row>
        <row r="453">
          <cell r="AX453">
            <v>5446.8500000000013</v>
          </cell>
        </row>
        <row r="454">
          <cell r="AX454">
            <v>5446.8500000000013</v>
          </cell>
        </row>
        <row r="455">
          <cell r="AX455">
            <v>5446.8500000000013</v>
          </cell>
        </row>
        <row r="456">
          <cell r="AX456">
            <v>5446.8500000000013</v>
          </cell>
        </row>
        <row r="457">
          <cell r="AX457">
            <v>5446.8500000000013</v>
          </cell>
        </row>
        <row r="458">
          <cell r="AX458">
            <v>5446.8500000000013</v>
          </cell>
        </row>
        <row r="459">
          <cell r="AX459">
            <v>5446.8500000000013</v>
          </cell>
        </row>
        <row r="460">
          <cell r="AX460">
            <v>5446.8500000000013</v>
          </cell>
        </row>
        <row r="461">
          <cell r="AX461">
            <v>5446.8500000000013</v>
          </cell>
        </row>
        <row r="462">
          <cell r="AX462">
            <v>5446.8500000000013</v>
          </cell>
        </row>
        <row r="463">
          <cell r="AX463">
            <v>5446.8500000000013</v>
          </cell>
        </row>
        <row r="464">
          <cell r="AX464">
            <v>5446.8500000000013</v>
          </cell>
        </row>
        <row r="465">
          <cell r="AX465">
            <v>5446.8500000000013</v>
          </cell>
        </row>
        <row r="466">
          <cell r="AX466">
            <v>5446.8500000000013</v>
          </cell>
        </row>
        <row r="467">
          <cell r="AX467">
            <v>5446.8500000000013</v>
          </cell>
        </row>
        <row r="468">
          <cell r="AX468">
            <v>5446.8500000000013</v>
          </cell>
        </row>
        <row r="469">
          <cell r="AX469">
            <v>5446.8500000000013</v>
          </cell>
        </row>
        <row r="470">
          <cell r="AX470">
            <v>5446.8500000000013</v>
          </cell>
        </row>
        <row r="471">
          <cell r="AX471">
            <v>5446.8500000000013</v>
          </cell>
        </row>
        <row r="472">
          <cell r="AX472">
            <v>5446.8500000000013</v>
          </cell>
        </row>
        <row r="473">
          <cell r="AX473">
            <v>5446.8500000000013</v>
          </cell>
        </row>
        <row r="474">
          <cell r="AX474">
            <v>5446.8500000000013</v>
          </cell>
        </row>
        <row r="475">
          <cell r="AX475">
            <v>5446.8500000000013</v>
          </cell>
        </row>
        <row r="476">
          <cell r="AX476">
            <v>5446.8500000000013</v>
          </cell>
        </row>
        <row r="477">
          <cell r="AX477">
            <v>5446.8500000000013</v>
          </cell>
        </row>
        <row r="478">
          <cell r="AX478">
            <v>5446.8500000000013</v>
          </cell>
        </row>
        <row r="479">
          <cell r="AX479">
            <v>5446.8500000000013</v>
          </cell>
        </row>
        <row r="480">
          <cell r="AX480">
            <v>5446.8500000000013</v>
          </cell>
        </row>
        <row r="481">
          <cell r="AX481">
            <v>5446.8500000000013</v>
          </cell>
        </row>
        <row r="482">
          <cell r="AX482">
            <v>5446.8500000000013</v>
          </cell>
        </row>
        <row r="483">
          <cell r="AX483">
            <v>5446.8500000000013</v>
          </cell>
        </row>
        <row r="484">
          <cell r="AX484">
            <v>5446.8500000000013</v>
          </cell>
        </row>
        <row r="485">
          <cell r="AX485">
            <v>5446.8500000000013</v>
          </cell>
        </row>
        <row r="486">
          <cell r="AX486">
            <v>5446.8500000000013</v>
          </cell>
        </row>
        <row r="487">
          <cell r="AX487">
            <v>5446.8500000000013</v>
          </cell>
        </row>
        <row r="488">
          <cell r="AX488">
            <v>5446.8500000000013</v>
          </cell>
        </row>
        <row r="489">
          <cell r="AX489">
            <v>5446.8500000000013</v>
          </cell>
        </row>
        <row r="490">
          <cell r="AX490">
            <v>5446.8500000000013</v>
          </cell>
        </row>
        <row r="491">
          <cell r="AX491">
            <v>5446.8500000000013</v>
          </cell>
        </row>
        <row r="492">
          <cell r="AX492">
            <v>5446.8500000000013</v>
          </cell>
        </row>
      </sheetData>
      <sheetData sheetId="5">
        <row r="13">
          <cell r="EK13">
            <v>8.8824043025948303</v>
          </cell>
        </row>
      </sheetData>
      <sheetData sheetId="6"/>
      <sheetData sheetId="7">
        <row r="57">
          <cell r="Z57">
            <v>5.7260476065573771</v>
          </cell>
        </row>
      </sheetData>
      <sheetData sheetId="8" refreshError="1"/>
      <sheetData sheetId="9" refreshError="1"/>
      <sheetData sheetId="10" refreshError="1"/>
      <sheetData sheetId="11">
        <row r="132">
          <cell r="D132">
            <v>100</v>
          </cell>
        </row>
      </sheetData>
      <sheetData sheetId="12">
        <row r="63">
          <cell r="B63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hart6"/>
      <sheetName val="Chart7"/>
      <sheetName val="Chart8"/>
      <sheetName val="Chart11"/>
      <sheetName val="Chart12"/>
      <sheetName val="Chart13"/>
      <sheetName val="Chart14"/>
      <sheetName val="Delta to 5-Yr Cap U v HOBO"/>
      <sheetName val="US EIA"/>
      <sheetName val="Chart15"/>
      <sheetName val="SBO Fuel Value"/>
      <sheetName val="Chart16"/>
      <sheetName val="Chart17"/>
      <sheetName val="US LCFS"/>
      <sheetName val="Days of Sales Chart"/>
      <sheetName val="Sheet1"/>
      <sheetName val="Balance Sheet"/>
      <sheetName val="EPA Requirements"/>
      <sheetName val="Brazil"/>
      <sheetName val="Chart18"/>
      <sheetName val="Chart19"/>
      <sheetName val="Malaysia"/>
      <sheetName val="Thailand"/>
      <sheetName val="Philippines"/>
      <sheetName val="Peru"/>
      <sheetName val="Chart1"/>
      <sheetName val="European Union"/>
      <sheetName val="EU Plant List"/>
      <sheetName val="Australia"/>
      <sheetName val="Colombia"/>
      <sheetName val="Chart27"/>
      <sheetName val="Canada Biofuel Bal Sheets"/>
      <sheetName val="Chart33"/>
      <sheetName val="Canada"/>
      <sheetName val="Chart34"/>
      <sheetName val="Canada Biodiesel Plants"/>
      <sheetName val="Indonesia"/>
      <sheetName val="China"/>
      <sheetName val="Chart5"/>
      <sheetName val="Argentina"/>
      <sheetName val="India"/>
      <sheetName val="Brazil - GAIN"/>
      <sheetName val="Chart5 (2)"/>
      <sheetName val="Japan"/>
      <sheetName val="Chart35"/>
      <sheetName val="Sheet2"/>
      <sheetName val="Chart36"/>
      <sheetName val="World"/>
      <sheetName val="US Biodiesel Imports"/>
      <sheetName val="Chart37"/>
      <sheetName val="US Biodiesel Expor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3">
          <cell r="C3">
            <v>0</v>
          </cell>
        </row>
        <row r="319">
          <cell r="R319">
            <v>1967.3333333333333</v>
          </cell>
        </row>
        <row r="320">
          <cell r="R320">
            <v>1950.6666666666665</v>
          </cell>
        </row>
        <row r="321">
          <cell r="R321">
            <v>1933.9999999999998</v>
          </cell>
        </row>
        <row r="322">
          <cell r="R322">
            <v>1917.333333333333</v>
          </cell>
        </row>
        <row r="323">
          <cell r="R323">
            <v>1900.6666666666663</v>
          </cell>
        </row>
        <row r="324">
          <cell r="R324">
            <v>1883.9999999999995</v>
          </cell>
        </row>
        <row r="325">
          <cell r="R325">
            <v>1867.3333333333328</v>
          </cell>
        </row>
        <row r="326">
          <cell r="R326">
            <v>1850.6666666666661</v>
          </cell>
        </row>
        <row r="327">
          <cell r="R327">
            <v>1833.9999999999993</v>
          </cell>
        </row>
        <row r="328">
          <cell r="R328">
            <v>1817.3333333333326</v>
          </cell>
        </row>
        <row r="329">
          <cell r="R329">
            <v>1800.6666666666658</v>
          </cell>
        </row>
        <row r="330">
          <cell r="R330">
            <v>1800.1111111111102</v>
          </cell>
        </row>
        <row r="331">
          <cell r="R331">
            <v>1799.5555555555545</v>
          </cell>
        </row>
        <row r="332">
          <cell r="R332">
            <v>1798.9999999999989</v>
          </cell>
        </row>
        <row r="333">
          <cell r="R333">
            <v>1798.4444444444432</v>
          </cell>
        </row>
        <row r="334">
          <cell r="R334">
            <v>1797.8888888888875</v>
          </cell>
        </row>
        <row r="335">
          <cell r="R335">
            <v>1797.3333333333319</v>
          </cell>
        </row>
        <row r="336">
          <cell r="R336">
            <v>1796.7777777777762</v>
          </cell>
        </row>
        <row r="337">
          <cell r="R337">
            <v>1796.2222222222206</v>
          </cell>
        </row>
        <row r="338">
          <cell r="R338">
            <v>1795.6666666666649</v>
          </cell>
        </row>
        <row r="339">
          <cell r="R339">
            <v>1795.1111111111093</v>
          </cell>
        </row>
        <row r="340">
          <cell r="R340">
            <v>1794.5555555555536</v>
          </cell>
        </row>
        <row r="341">
          <cell r="R341">
            <v>1793.999999999998</v>
          </cell>
        </row>
        <row r="342">
          <cell r="R342">
            <v>1793.4444444444423</v>
          </cell>
        </row>
        <row r="343">
          <cell r="R343">
            <v>1792.8888888888866</v>
          </cell>
        </row>
        <row r="344">
          <cell r="R344">
            <v>1792.333333333331</v>
          </cell>
        </row>
        <row r="345">
          <cell r="R345">
            <v>1791.7777777777753</v>
          </cell>
        </row>
        <row r="346">
          <cell r="R346">
            <v>1791.2222222222197</v>
          </cell>
        </row>
        <row r="347">
          <cell r="R347">
            <v>1790.666666666664</v>
          </cell>
        </row>
        <row r="348">
          <cell r="R348">
            <v>1790.1111111111084</v>
          </cell>
        </row>
        <row r="349">
          <cell r="R349">
            <v>1789.5555555555527</v>
          </cell>
        </row>
        <row r="350">
          <cell r="R350">
            <v>1788.999999999997</v>
          </cell>
        </row>
        <row r="351">
          <cell r="R351">
            <v>1788.4444444444414</v>
          </cell>
        </row>
        <row r="352">
          <cell r="R352">
            <v>1787.8888888888857</v>
          </cell>
        </row>
        <row r="353">
          <cell r="R353">
            <v>1787.3333333333301</v>
          </cell>
        </row>
        <row r="354">
          <cell r="R354">
            <v>1786.7777777777744</v>
          </cell>
        </row>
        <row r="355">
          <cell r="R355">
            <v>1786.2222222222188</v>
          </cell>
        </row>
        <row r="356">
          <cell r="R356">
            <v>1777.3333333333298</v>
          </cell>
        </row>
        <row r="357">
          <cell r="R357">
            <v>1777.3333333333298</v>
          </cell>
        </row>
        <row r="358">
          <cell r="R358">
            <v>1777.3333333333298</v>
          </cell>
        </row>
        <row r="359">
          <cell r="R359">
            <v>1777.3333333333298</v>
          </cell>
        </row>
        <row r="360">
          <cell r="R360">
            <v>1777.3333333333298</v>
          </cell>
        </row>
        <row r="361">
          <cell r="R361">
            <v>1777.3333333333298</v>
          </cell>
        </row>
        <row r="362">
          <cell r="R362">
            <v>1777.3333333333298</v>
          </cell>
        </row>
        <row r="363">
          <cell r="R363">
            <v>1777.3333333333298</v>
          </cell>
        </row>
        <row r="364">
          <cell r="R364">
            <v>1777.3333333333298</v>
          </cell>
        </row>
        <row r="365">
          <cell r="R365">
            <v>1777.3333333333298</v>
          </cell>
        </row>
        <row r="366">
          <cell r="R366">
            <v>1797.3333333333298</v>
          </cell>
        </row>
        <row r="367">
          <cell r="R367">
            <v>1797.3333333333298</v>
          </cell>
        </row>
        <row r="368">
          <cell r="R368">
            <v>1797.3333333333298</v>
          </cell>
        </row>
        <row r="369">
          <cell r="R369">
            <v>1797.3333333333298</v>
          </cell>
        </row>
        <row r="370">
          <cell r="R370">
            <v>1797.3333333333298</v>
          </cell>
        </row>
        <row r="371">
          <cell r="R371">
            <v>1797.3333333333298</v>
          </cell>
        </row>
        <row r="372">
          <cell r="R372">
            <v>1797.3333333333298</v>
          </cell>
        </row>
        <row r="373">
          <cell r="R373">
            <v>1797.3333333333298</v>
          </cell>
        </row>
        <row r="374">
          <cell r="R374">
            <v>1797.3333333333298</v>
          </cell>
        </row>
        <row r="375">
          <cell r="R375">
            <v>1793.9999999999966</v>
          </cell>
        </row>
        <row r="376">
          <cell r="R376">
            <v>1790.6666666666633</v>
          </cell>
        </row>
        <row r="377">
          <cell r="R377">
            <v>1787.3333333333301</v>
          </cell>
        </row>
        <row r="378">
          <cell r="R378">
            <v>1783.9999999999968</v>
          </cell>
        </row>
        <row r="379">
          <cell r="R379">
            <v>1783.9999999999968</v>
          </cell>
        </row>
        <row r="380">
          <cell r="R380">
            <v>1783.9999999999968</v>
          </cell>
        </row>
        <row r="381">
          <cell r="R381">
            <v>1780.6666666666636</v>
          </cell>
        </row>
        <row r="382">
          <cell r="R382">
            <v>1780.6666666666636</v>
          </cell>
        </row>
        <row r="383">
          <cell r="R383">
            <v>1780.6666666666636</v>
          </cell>
        </row>
        <row r="384">
          <cell r="R384">
            <v>1780.6666666666636</v>
          </cell>
        </row>
        <row r="385">
          <cell r="R385">
            <v>1780.6666666666636</v>
          </cell>
        </row>
        <row r="386">
          <cell r="R386">
            <v>1780.6666666666636</v>
          </cell>
        </row>
        <row r="387">
          <cell r="R387">
            <v>1780.6666666666636</v>
          </cell>
        </row>
        <row r="388">
          <cell r="R388">
            <v>1780.6666666666636</v>
          </cell>
        </row>
        <row r="389">
          <cell r="R389">
            <v>1780.6666666666636</v>
          </cell>
        </row>
        <row r="390">
          <cell r="R390">
            <v>1800.6666666666636</v>
          </cell>
        </row>
        <row r="391">
          <cell r="R391">
            <v>1800.6666666666636</v>
          </cell>
        </row>
        <row r="392">
          <cell r="R392">
            <v>1800.6666666666636</v>
          </cell>
        </row>
        <row r="393">
          <cell r="R393">
            <v>1810.6666666666636</v>
          </cell>
        </row>
        <row r="394">
          <cell r="R394">
            <v>1810.6666666666636</v>
          </cell>
        </row>
        <row r="395">
          <cell r="R395">
            <v>1810.6666666666636</v>
          </cell>
        </row>
        <row r="396">
          <cell r="R396">
            <v>1820.6666666666636</v>
          </cell>
        </row>
        <row r="397">
          <cell r="R397">
            <v>1820.6666666666636</v>
          </cell>
        </row>
        <row r="398">
          <cell r="R398">
            <v>1820.6666666666636</v>
          </cell>
        </row>
        <row r="399">
          <cell r="R399">
            <v>1830.6666666666636</v>
          </cell>
        </row>
        <row r="400">
          <cell r="R400">
            <v>1830.6666666666636</v>
          </cell>
        </row>
        <row r="401">
          <cell r="R401">
            <v>1830.6666666666636</v>
          </cell>
        </row>
        <row r="402">
          <cell r="R402">
            <v>1830.6666666666636</v>
          </cell>
        </row>
        <row r="403">
          <cell r="R403">
            <v>1830.6666666666636</v>
          </cell>
        </row>
        <row r="404">
          <cell r="R404">
            <v>1830.6666666666636</v>
          </cell>
        </row>
        <row r="405">
          <cell r="R405">
            <v>1830.6666666666636</v>
          </cell>
        </row>
        <row r="406">
          <cell r="R406">
            <v>1830.6666666666636</v>
          </cell>
        </row>
        <row r="407">
          <cell r="R407">
            <v>1830.6666666666636</v>
          </cell>
        </row>
        <row r="408">
          <cell r="R408">
            <v>1830.6666666666636</v>
          </cell>
        </row>
        <row r="409">
          <cell r="R409">
            <v>1830.6666666666636</v>
          </cell>
        </row>
        <row r="410">
          <cell r="R410">
            <v>1830.6666666666636</v>
          </cell>
        </row>
        <row r="411">
          <cell r="R411">
            <v>1830.6666666666636</v>
          </cell>
        </row>
        <row r="412">
          <cell r="R412">
            <v>1830.6666666666636</v>
          </cell>
        </row>
        <row r="413">
          <cell r="R413">
            <v>1830.6666666666636</v>
          </cell>
        </row>
        <row r="414">
          <cell r="R414">
            <v>1830.6666666666636</v>
          </cell>
        </row>
        <row r="415">
          <cell r="R415">
            <v>1830.6666666666636</v>
          </cell>
        </row>
        <row r="416">
          <cell r="R416">
            <v>1830.6666666666636</v>
          </cell>
        </row>
        <row r="417">
          <cell r="R417">
            <v>1830.6666666666636</v>
          </cell>
        </row>
        <row r="418">
          <cell r="R418">
            <v>1830.6666666666636</v>
          </cell>
        </row>
        <row r="419">
          <cell r="R419">
            <v>1830.6666666666636</v>
          </cell>
        </row>
        <row r="420">
          <cell r="R420">
            <v>1830.6666666666636</v>
          </cell>
        </row>
        <row r="421">
          <cell r="R421">
            <v>1830.6666666666636</v>
          </cell>
        </row>
        <row r="422">
          <cell r="R422">
            <v>1830.6666666666636</v>
          </cell>
        </row>
        <row r="423">
          <cell r="R423">
            <v>1830.6666666666636</v>
          </cell>
        </row>
        <row r="424">
          <cell r="R424">
            <v>1830.6666666666636</v>
          </cell>
        </row>
        <row r="425">
          <cell r="R425">
            <v>1830.6666666666636</v>
          </cell>
        </row>
        <row r="426">
          <cell r="R426">
            <v>1780.6666666666636</v>
          </cell>
        </row>
        <row r="427">
          <cell r="R427">
            <v>1780.6666666666636</v>
          </cell>
        </row>
        <row r="428">
          <cell r="R428">
            <v>1780.6666666666636</v>
          </cell>
        </row>
        <row r="429">
          <cell r="R429">
            <v>1780.6666666666636</v>
          </cell>
        </row>
        <row r="430">
          <cell r="R430">
            <v>1780.6666666666636</v>
          </cell>
        </row>
        <row r="431">
          <cell r="R431">
            <v>1780.6666666666636</v>
          </cell>
        </row>
        <row r="432">
          <cell r="R432">
            <v>1780.6666666666636</v>
          </cell>
        </row>
        <row r="433">
          <cell r="R433">
            <v>1780.6666666666636</v>
          </cell>
        </row>
        <row r="434">
          <cell r="R434">
            <v>1780.6666666666636</v>
          </cell>
        </row>
        <row r="435">
          <cell r="R435">
            <v>1780.6666666666636</v>
          </cell>
        </row>
        <row r="436">
          <cell r="R436">
            <v>1780.6666666666636</v>
          </cell>
        </row>
        <row r="437">
          <cell r="R437">
            <v>1780.6666666666636</v>
          </cell>
        </row>
        <row r="438">
          <cell r="R438">
            <v>1780.6666666666636</v>
          </cell>
        </row>
        <row r="439">
          <cell r="R439">
            <v>1780.6666666666636</v>
          </cell>
        </row>
        <row r="440">
          <cell r="R440">
            <v>1780.6666666666636</v>
          </cell>
        </row>
        <row r="441">
          <cell r="R441">
            <v>1780.6666666666636</v>
          </cell>
        </row>
        <row r="442">
          <cell r="R442">
            <v>1780.6666666666636</v>
          </cell>
        </row>
        <row r="443">
          <cell r="R443">
            <v>1780.6666666666636</v>
          </cell>
        </row>
        <row r="444">
          <cell r="R444">
            <v>1780.6666666666636</v>
          </cell>
        </row>
        <row r="445">
          <cell r="R445">
            <v>1780.6666666666636</v>
          </cell>
        </row>
        <row r="446">
          <cell r="R446">
            <v>1780.6666666666636</v>
          </cell>
        </row>
        <row r="447">
          <cell r="R447">
            <v>1780.6666666666636</v>
          </cell>
        </row>
        <row r="448">
          <cell r="R448">
            <v>1780.6666666666636</v>
          </cell>
        </row>
        <row r="449">
          <cell r="R449">
            <v>1780.6666666666636</v>
          </cell>
        </row>
        <row r="450">
          <cell r="R450">
            <v>1763.9999999999968</v>
          </cell>
        </row>
        <row r="451">
          <cell r="R451">
            <v>1746.222222222219</v>
          </cell>
        </row>
        <row r="452">
          <cell r="R452">
            <v>1728.4444444444412</v>
          </cell>
        </row>
        <row r="453">
          <cell r="R453">
            <v>1710.6666666666633</v>
          </cell>
        </row>
        <row r="454">
          <cell r="R454">
            <v>1692.8888888888855</v>
          </cell>
        </row>
        <row r="455">
          <cell r="R455">
            <v>1675.1111111111077</v>
          </cell>
        </row>
        <row r="456">
          <cell r="R456">
            <v>1657.3333333333298</v>
          </cell>
        </row>
        <row r="457">
          <cell r="R457">
            <v>1639.555555555552</v>
          </cell>
        </row>
        <row r="458">
          <cell r="R458">
            <v>1621.7777777777742</v>
          </cell>
        </row>
        <row r="459">
          <cell r="R459">
            <v>1603.9999999999964</v>
          </cell>
        </row>
        <row r="460">
          <cell r="R460">
            <v>1586.2222222222185</v>
          </cell>
        </row>
        <row r="461">
          <cell r="R461">
            <v>1568.4444444444407</v>
          </cell>
        </row>
        <row r="462">
          <cell r="R462">
            <v>1550.6666666666629</v>
          </cell>
        </row>
        <row r="463">
          <cell r="R463">
            <v>1532.888888888885</v>
          </cell>
        </row>
        <row r="464">
          <cell r="R464">
            <v>1515.1111111111072</v>
          </cell>
        </row>
        <row r="465">
          <cell r="R465">
            <v>1497.3333333333294</v>
          </cell>
        </row>
        <row r="466">
          <cell r="R466">
            <v>1479.5555555555516</v>
          </cell>
        </row>
        <row r="467">
          <cell r="R467">
            <v>1461.7777777777737</v>
          </cell>
        </row>
        <row r="468">
          <cell r="R468">
            <v>1443.9999999999959</v>
          </cell>
        </row>
        <row r="469">
          <cell r="R469">
            <v>1426.2222222222181</v>
          </cell>
        </row>
        <row r="470">
          <cell r="R470">
            <v>1408.4444444444403</v>
          </cell>
        </row>
        <row r="471">
          <cell r="R471">
            <v>1390.6666666666624</v>
          </cell>
        </row>
        <row r="472">
          <cell r="R472">
            <v>1372.8888888888846</v>
          </cell>
        </row>
        <row r="473">
          <cell r="R473">
            <v>1355.1111111111068</v>
          </cell>
        </row>
        <row r="474">
          <cell r="R474">
            <v>1337.3333333333289</v>
          </cell>
        </row>
        <row r="475">
          <cell r="R475">
            <v>1319.5555555555511</v>
          </cell>
        </row>
        <row r="476">
          <cell r="R476">
            <v>1301.7777777777733</v>
          </cell>
        </row>
        <row r="477">
          <cell r="R477">
            <v>1283.9999999999955</v>
          </cell>
        </row>
        <row r="478">
          <cell r="R478">
            <v>1266.2222222222176</v>
          </cell>
        </row>
        <row r="479">
          <cell r="R479">
            <v>1248.4444444444398</v>
          </cell>
        </row>
        <row r="480">
          <cell r="R480">
            <v>1230.666666666662</v>
          </cell>
        </row>
        <row r="481">
          <cell r="R481">
            <v>1212.8888888888841</v>
          </cell>
        </row>
        <row r="482">
          <cell r="R482">
            <v>1195.1111111111063</v>
          </cell>
        </row>
        <row r="483">
          <cell r="R483">
            <v>1177.3333333333285</v>
          </cell>
        </row>
        <row r="484">
          <cell r="R484">
            <v>1159.5555555555507</v>
          </cell>
        </row>
        <row r="485">
          <cell r="R485">
            <v>1141.7777777777728</v>
          </cell>
        </row>
        <row r="486">
          <cell r="R486">
            <v>1123.999999999995</v>
          </cell>
        </row>
        <row r="487">
          <cell r="R487">
            <v>1106.2222222222172</v>
          </cell>
        </row>
        <row r="488">
          <cell r="R488">
            <v>1088.4444444444393</v>
          </cell>
        </row>
        <row r="489">
          <cell r="R489">
            <v>1070.6666666666615</v>
          </cell>
        </row>
        <row r="490">
          <cell r="R490">
            <v>1052.8888888888837</v>
          </cell>
        </row>
        <row r="491">
          <cell r="R491">
            <v>1035.1111111111059</v>
          </cell>
        </row>
        <row r="492">
          <cell r="R492">
            <v>1017.333333333328</v>
          </cell>
        </row>
        <row r="493">
          <cell r="R493">
            <v>999.5555555555502</v>
          </cell>
        </row>
        <row r="494">
          <cell r="R494">
            <v>981.77777777777237</v>
          </cell>
        </row>
        <row r="495">
          <cell r="R495">
            <v>963.99999999999454</v>
          </cell>
        </row>
        <row r="496">
          <cell r="R496">
            <v>946.22222222221671</v>
          </cell>
        </row>
        <row r="497">
          <cell r="R497">
            <v>928.44444444443889</v>
          </cell>
        </row>
        <row r="498">
          <cell r="R498">
            <v>910.66666666666106</v>
          </cell>
        </row>
        <row r="499">
          <cell r="R499">
            <v>892.88888888888323</v>
          </cell>
        </row>
        <row r="500">
          <cell r="R500">
            <v>875.1111111111054</v>
          </cell>
        </row>
        <row r="501">
          <cell r="R501">
            <v>857.33333333332757</v>
          </cell>
        </row>
        <row r="502">
          <cell r="R502">
            <v>839.55555555554974</v>
          </cell>
        </row>
        <row r="503">
          <cell r="R503">
            <v>821.77777777777192</v>
          </cell>
        </row>
        <row r="504">
          <cell r="R504">
            <v>803.99999999999409</v>
          </cell>
        </row>
        <row r="505">
          <cell r="R505">
            <v>786.22222222221626</v>
          </cell>
        </row>
        <row r="506">
          <cell r="R506">
            <v>768.44444444443843</v>
          </cell>
        </row>
        <row r="507">
          <cell r="R507">
            <v>750.6666666666606</v>
          </cell>
        </row>
        <row r="508">
          <cell r="R508">
            <v>732.88888888888278</v>
          </cell>
        </row>
        <row r="509">
          <cell r="R509">
            <v>715.11111111110495</v>
          </cell>
        </row>
        <row r="510">
          <cell r="R510">
            <v>712.33333333332712</v>
          </cell>
        </row>
        <row r="511">
          <cell r="R511">
            <v>709.55555555554929</v>
          </cell>
        </row>
        <row r="512">
          <cell r="R512">
            <v>706.77777777777146</v>
          </cell>
        </row>
        <row r="513">
          <cell r="R513">
            <v>703.99999999999363</v>
          </cell>
        </row>
        <row r="514">
          <cell r="R514">
            <v>701.22222222221581</v>
          </cell>
        </row>
        <row r="515">
          <cell r="R515">
            <v>698.44444444443798</v>
          </cell>
        </row>
        <row r="516">
          <cell r="R516">
            <v>695.66666666666015</v>
          </cell>
        </row>
        <row r="517">
          <cell r="R517">
            <v>692.88888888888232</v>
          </cell>
        </row>
        <row r="518">
          <cell r="R518">
            <v>690.11111111110449</v>
          </cell>
        </row>
        <row r="519">
          <cell r="R519">
            <v>687.33333333332666</v>
          </cell>
        </row>
        <row r="520">
          <cell r="R520">
            <v>684.55555555554884</v>
          </cell>
        </row>
        <row r="521">
          <cell r="R521">
            <v>681.77777777777101</v>
          </cell>
        </row>
        <row r="522">
          <cell r="R522">
            <v>663.99999999999318</v>
          </cell>
        </row>
        <row r="523">
          <cell r="R523">
            <v>646.22222222221535</v>
          </cell>
        </row>
        <row r="524">
          <cell r="R524">
            <v>628.44444444443752</v>
          </cell>
        </row>
        <row r="525">
          <cell r="R525">
            <v>610.66666666665969</v>
          </cell>
        </row>
        <row r="526">
          <cell r="R526">
            <v>592.88888888888187</v>
          </cell>
        </row>
        <row r="527">
          <cell r="R527">
            <v>575.11111111110404</v>
          </cell>
        </row>
        <row r="528">
          <cell r="R528">
            <v>557.33333333332621</v>
          </cell>
        </row>
        <row r="529">
          <cell r="R529">
            <v>539.55555555554838</v>
          </cell>
        </row>
        <row r="530">
          <cell r="R530">
            <v>539.55555555554838</v>
          </cell>
        </row>
        <row r="531">
          <cell r="R531">
            <v>539.55555555554838</v>
          </cell>
        </row>
        <row r="532">
          <cell r="R532">
            <v>539.55555555554838</v>
          </cell>
        </row>
        <row r="533">
          <cell r="R533">
            <v>539.55555555554838</v>
          </cell>
        </row>
        <row r="534">
          <cell r="R534">
            <v>539.55555555554838</v>
          </cell>
        </row>
        <row r="535">
          <cell r="R535">
            <v>539.55555555554838</v>
          </cell>
        </row>
        <row r="536">
          <cell r="R536">
            <v>539.55555555554838</v>
          </cell>
        </row>
        <row r="537">
          <cell r="R537">
            <v>539.55555555554838</v>
          </cell>
        </row>
        <row r="538">
          <cell r="R538">
            <v>539.55555555554838</v>
          </cell>
        </row>
        <row r="539">
          <cell r="R539">
            <v>539.55555555554838</v>
          </cell>
        </row>
        <row r="540">
          <cell r="R540">
            <v>539.55555555554838</v>
          </cell>
        </row>
        <row r="541">
          <cell r="R541">
            <v>539.55555555554838</v>
          </cell>
        </row>
        <row r="542">
          <cell r="R542">
            <v>539.55555555554838</v>
          </cell>
        </row>
        <row r="543">
          <cell r="R543">
            <v>539.55555555554838</v>
          </cell>
        </row>
        <row r="544">
          <cell r="R544">
            <v>539.55555555554838</v>
          </cell>
        </row>
        <row r="545">
          <cell r="R545">
            <v>539.55555555554838</v>
          </cell>
        </row>
        <row r="546">
          <cell r="R546">
            <v>539.55555555554838</v>
          </cell>
        </row>
        <row r="547">
          <cell r="R547">
            <v>539.55555555554838</v>
          </cell>
        </row>
        <row r="548">
          <cell r="R548">
            <v>539.55555555554838</v>
          </cell>
        </row>
        <row r="549">
          <cell r="R549">
            <v>539.55555555554838</v>
          </cell>
        </row>
        <row r="550">
          <cell r="R550">
            <v>539.55555555554838</v>
          </cell>
        </row>
        <row r="551">
          <cell r="R551">
            <v>539.55555555554838</v>
          </cell>
        </row>
        <row r="552">
          <cell r="R552">
            <v>539.55555555554838</v>
          </cell>
        </row>
        <row r="553">
          <cell r="R553">
            <v>539.55555555554838</v>
          </cell>
        </row>
        <row r="554">
          <cell r="R554">
            <v>539.55555555554838</v>
          </cell>
        </row>
        <row r="555">
          <cell r="R555">
            <v>539.55555555554838</v>
          </cell>
        </row>
        <row r="556">
          <cell r="R556">
            <v>539.55555555554838</v>
          </cell>
        </row>
        <row r="557">
          <cell r="R557">
            <v>539.55555555554838</v>
          </cell>
        </row>
        <row r="558">
          <cell r="R558">
            <v>539.55555555554838</v>
          </cell>
        </row>
        <row r="559">
          <cell r="R559">
            <v>539.55555555554838</v>
          </cell>
        </row>
        <row r="560">
          <cell r="R560">
            <v>539.55555555554838</v>
          </cell>
        </row>
        <row r="561">
          <cell r="R561">
            <v>539.55555555554838</v>
          </cell>
        </row>
        <row r="562">
          <cell r="R562">
            <v>539.55555555554838</v>
          </cell>
        </row>
        <row r="563">
          <cell r="R563">
            <v>539.55555555554838</v>
          </cell>
        </row>
        <row r="564">
          <cell r="R564">
            <v>539.55555555554838</v>
          </cell>
        </row>
        <row r="565">
          <cell r="R565">
            <v>539.55555555554838</v>
          </cell>
        </row>
        <row r="566">
          <cell r="R566">
            <v>539.55555555554838</v>
          </cell>
        </row>
        <row r="567">
          <cell r="R567">
            <v>539.55555555554838</v>
          </cell>
        </row>
        <row r="568">
          <cell r="R568">
            <v>539.55555555554838</v>
          </cell>
        </row>
        <row r="569">
          <cell r="R569">
            <v>539.55555555554838</v>
          </cell>
        </row>
        <row r="570">
          <cell r="R570">
            <v>539.55555555554838</v>
          </cell>
        </row>
        <row r="571">
          <cell r="R571">
            <v>539.55555555554838</v>
          </cell>
        </row>
        <row r="572">
          <cell r="R572">
            <v>539.55555555554838</v>
          </cell>
        </row>
        <row r="573">
          <cell r="R573">
            <v>539.55555555554838</v>
          </cell>
        </row>
        <row r="574">
          <cell r="R574">
            <v>539.55555555554838</v>
          </cell>
        </row>
        <row r="575">
          <cell r="R575">
            <v>539.55555555554838</v>
          </cell>
        </row>
        <row r="576">
          <cell r="R576">
            <v>539.55555555554838</v>
          </cell>
        </row>
        <row r="577">
          <cell r="R577">
            <v>539.55555555554838</v>
          </cell>
        </row>
        <row r="578">
          <cell r="R578">
            <v>539.55555555554838</v>
          </cell>
        </row>
        <row r="579">
          <cell r="R579">
            <v>539.55555555554838</v>
          </cell>
        </row>
        <row r="580">
          <cell r="R580">
            <v>539.55555555554838</v>
          </cell>
        </row>
        <row r="581">
          <cell r="R581">
            <v>539.55555555554838</v>
          </cell>
        </row>
        <row r="582">
          <cell r="R582">
            <v>539.55555555554838</v>
          </cell>
        </row>
        <row r="583">
          <cell r="R583">
            <v>539.55555555554838</v>
          </cell>
        </row>
        <row r="584">
          <cell r="R584">
            <v>539.55555555554838</v>
          </cell>
        </row>
        <row r="585">
          <cell r="R585">
            <v>539.55555555554838</v>
          </cell>
        </row>
        <row r="586">
          <cell r="R586">
            <v>539.55555555554838</v>
          </cell>
        </row>
        <row r="587">
          <cell r="R587">
            <v>539.55555555554838</v>
          </cell>
        </row>
        <row r="588">
          <cell r="R588">
            <v>539.55555555554838</v>
          </cell>
        </row>
        <row r="589">
          <cell r="R589">
            <v>539.55555555554838</v>
          </cell>
        </row>
        <row r="590">
          <cell r="R590">
            <v>539.55555555554838</v>
          </cell>
        </row>
        <row r="591">
          <cell r="R591">
            <v>539.55555555554838</v>
          </cell>
        </row>
        <row r="592">
          <cell r="R592">
            <v>539.55555555554838</v>
          </cell>
        </row>
        <row r="593">
          <cell r="R593">
            <v>539.55555555554838</v>
          </cell>
        </row>
        <row r="594">
          <cell r="R594">
            <v>539.55555555554838</v>
          </cell>
        </row>
        <row r="595">
          <cell r="R595">
            <v>539.55555555554838</v>
          </cell>
        </row>
        <row r="596">
          <cell r="R596">
            <v>539.55555555554838</v>
          </cell>
        </row>
        <row r="597">
          <cell r="R597">
            <v>539.55555555554838</v>
          </cell>
        </row>
        <row r="598">
          <cell r="R598">
            <v>539.55555555554838</v>
          </cell>
        </row>
        <row r="599">
          <cell r="R599">
            <v>539.55555555554838</v>
          </cell>
        </row>
        <row r="600">
          <cell r="R600">
            <v>539.55555555554838</v>
          </cell>
        </row>
        <row r="601">
          <cell r="R601">
            <v>539.55555555554838</v>
          </cell>
        </row>
        <row r="602">
          <cell r="R602">
            <v>539.55555555554838</v>
          </cell>
        </row>
        <row r="603">
          <cell r="R603">
            <v>539.55555555554838</v>
          </cell>
        </row>
        <row r="604">
          <cell r="R604">
            <v>539.55555555554838</v>
          </cell>
        </row>
        <row r="605">
          <cell r="R605">
            <v>539.55555555554838</v>
          </cell>
        </row>
        <row r="606">
          <cell r="R606">
            <v>539.55555555554838</v>
          </cell>
        </row>
        <row r="607">
          <cell r="R607">
            <v>539.55555555554838</v>
          </cell>
        </row>
        <row r="608">
          <cell r="R608">
            <v>539.55555555554838</v>
          </cell>
        </row>
        <row r="609">
          <cell r="R609">
            <v>539.55555555554838</v>
          </cell>
        </row>
        <row r="610">
          <cell r="R610">
            <v>539.55555555554838</v>
          </cell>
        </row>
        <row r="611">
          <cell r="R611">
            <v>539.55555555554838</v>
          </cell>
        </row>
        <row r="612">
          <cell r="R612">
            <v>539.55555555554838</v>
          </cell>
        </row>
        <row r="613">
          <cell r="R613">
            <v>539.55555555554838</v>
          </cell>
        </row>
        <row r="614">
          <cell r="R614">
            <v>539.55555555554838</v>
          </cell>
        </row>
        <row r="615">
          <cell r="R615">
            <v>539.55555555554838</v>
          </cell>
        </row>
        <row r="616">
          <cell r="R616">
            <v>539.55555555554838</v>
          </cell>
        </row>
        <row r="617">
          <cell r="R617">
            <v>539.55555555554838</v>
          </cell>
        </row>
        <row r="618">
          <cell r="R618">
            <v>539.55555555554838</v>
          </cell>
        </row>
        <row r="619">
          <cell r="R619">
            <v>539.55555555554838</v>
          </cell>
        </row>
        <row r="620">
          <cell r="R620">
            <v>539.55555555554838</v>
          </cell>
        </row>
        <row r="621">
          <cell r="R621">
            <v>539.55555555554838</v>
          </cell>
        </row>
        <row r="622">
          <cell r="R622">
            <v>539.55555555554838</v>
          </cell>
        </row>
        <row r="623">
          <cell r="R623">
            <v>539.55555555554838</v>
          </cell>
        </row>
        <row r="624">
          <cell r="R624">
            <v>539.55555555554838</v>
          </cell>
        </row>
        <row r="625">
          <cell r="R625">
            <v>539.55555555554838</v>
          </cell>
        </row>
        <row r="626">
          <cell r="R626">
            <v>539.55555555554838</v>
          </cell>
        </row>
        <row r="627">
          <cell r="R627">
            <v>539.55555555554838</v>
          </cell>
        </row>
        <row r="628">
          <cell r="R628">
            <v>539.55555555554838</v>
          </cell>
        </row>
        <row r="629">
          <cell r="R629">
            <v>539.55555555554838</v>
          </cell>
        </row>
      </sheetData>
      <sheetData sheetId="9" refreshError="1"/>
      <sheetData sheetId="10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/>
      <sheetData sheetId="34" refreshError="1"/>
      <sheetData sheetId="35"/>
      <sheetData sheetId="36"/>
      <sheetData sheetId="37"/>
      <sheetData sheetId="38" refreshError="1"/>
      <sheetData sheetId="39"/>
      <sheetData sheetId="40"/>
      <sheetData sheetId="41"/>
      <sheetData sheetId="42" refreshError="1"/>
      <sheetData sheetId="43"/>
      <sheetData sheetId="44" refreshError="1"/>
      <sheetData sheetId="45"/>
      <sheetData sheetId="46" refreshError="1"/>
      <sheetData sheetId="47"/>
      <sheetData sheetId="48"/>
      <sheetData sheetId="49" refreshError="1"/>
      <sheetData sheetId="5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RFS Data"/>
      <sheetName val="RIN Summary"/>
      <sheetName val="Monthly RIN Summary"/>
      <sheetName val="Monthly Gallon Summary"/>
      <sheetName val="Qtrly Gallon Summary"/>
      <sheetName val="Production Summary"/>
      <sheetName val="D3 Gallon Forecast"/>
      <sheetName val="Monthly D3 Gallon Data"/>
      <sheetName val="D3 RIN Forecast"/>
      <sheetName val="Monthly D3 RIN Data"/>
      <sheetName val="D4 Gallon Forecast"/>
      <sheetName val="Monthly D4 Gallon Data"/>
      <sheetName val="D4 RIN Forecast"/>
      <sheetName val="Monthly D4 RIN Data"/>
      <sheetName val="D5 Gallon Forecast"/>
      <sheetName val="Monthly D5 Gallon Data"/>
      <sheetName val="D5 RIN Forecast"/>
      <sheetName val="Monthly D5 RIN Data"/>
      <sheetName val="D6 Gallon Forecast"/>
      <sheetName val="Monthly D6 Gallon Data"/>
      <sheetName val="D6 RIN Forecast"/>
      <sheetName val="Monthly D6 RIN Data"/>
      <sheetName val="D7 Gallon Forecast"/>
      <sheetName val="Monthly D7 Gallon Data"/>
      <sheetName val="D7 RIN Forecast"/>
      <sheetName val="Monthly D7 RIN Data"/>
    </sheetNames>
    <sheetDataSet>
      <sheetData sheetId="0" refreshError="1"/>
      <sheetData sheetId="1" refreshError="1"/>
      <sheetData sheetId="2" refreshError="1"/>
      <sheetData sheetId="3">
        <row r="19">
          <cell r="C19">
            <v>33003428</v>
          </cell>
          <cell r="D19">
            <v>60117730</v>
          </cell>
          <cell r="E19">
            <v>71163938</v>
          </cell>
          <cell r="F19">
            <v>56695627</v>
          </cell>
          <cell r="G19">
            <v>55879853</v>
          </cell>
          <cell r="H19">
            <v>85571711</v>
          </cell>
          <cell r="I19">
            <v>65936175</v>
          </cell>
          <cell r="J19">
            <v>110496056</v>
          </cell>
          <cell r="K19">
            <v>107680155</v>
          </cell>
          <cell r="L19">
            <v>118403817</v>
          </cell>
          <cell r="M19">
            <v>107302585</v>
          </cell>
          <cell r="N19">
            <v>90715015</v>
          </cell>
          <cell r="O19">
            <v>119548309</v>
          </cell>
          <cell r="P19">
            <v>121805230</v>
          </cell>
          <cell r="Q19">
            <v>65635810</v>
          </cell>
          <cell r="R19">
            <v>98403929.712170094</v>
          </cell>
          <cell r="S19">
            <v>91177516.230390653</v>
          </cell>
          <cell r="T19">
            <v>74141256.932401523</v>
          </cell>
          <cell r="U19">
            <v>82870173.62170437</v>
          </cell>
          <cell r="V19">
            <v>80201548.42160511</v>
          </cell>
          <cell r="W19">
            <v>85099990.535403058</v>
          </cell>
          <cell r="X19">
            <v>88554416.594787568</v>
          </cell>
          <cell r="Y19">
            <v>103020164.23829782</v>
          </cell>
          <cell r="Z19">
            <v>91550663.978546694</v>
          </cell>
          <cell r="AA19">
            <v>89185582.602539837</v>
          </cell>
          <cell r="AB19">
            <v>72152327.431409553</v>
          </cell>
          <cell r="AC19">
            <v>59525288.88632378</v>
          </cell>
          <cell r="AD19">
            <v>59952771.686018005</v>
          </cell>
          <cell r="AE19">
            <v>48936842.763469808</v>
          </cell>
          <cell r="AF19">
            <v>29492825.349619936</v>
          </cell>
          <cell r="AG19">
            <v>32507729.327958819</v>
          </cell>
          <cell r="AH19">
            <v>32228544.007321235</v>
          </cell>
          <cell r="AI19">
            <v>26844185.880740315</v>
          </cell>
          <cell r="AJ19">
            <v>27013877.851393197</v>
          </cell>
          <cell r="AK19">
            <v>27120565.456817143</v>
          </cell>
          <cell r="AL19">
            <v>27037295.703058902</v>
          </cell>
          <cell r="AM19">
            <v>27062926.746440075</v>
          </cell>
          <cell r="AN19">
            <v>27528461.504392359</v>
          </cell>
          <cell r="AO19">
            <v>28000588.079461295</v>
          </cell>
          <cell r="AP19">
            <v>28605820.310721993</v>
          </cell>
        </row>
        <row r="20">
          <cell r="C20">
            <v>41762104</v>
          </cell>
          <cell r="D20">
            <v>72928196</v>
          </cell>
          <cell r="E20">
            <v>74517662</v>
          </cell>
          <cell r="F20">
            <v>69859288</v>
          </cell>
          <cell r="G20">
            <v>62847310</v>
          </cell>
          <cell r="H20">
            <v>100401918</v>
          </cell>
          <cell r="I20">
            <v>78476257</v>
          </cell>
          <cell r="J20">
            <v>115536272</v>
          </cell>
          <cell r="K20">
            <v>117330452</v>
          </cell>
          <cell r="L20">
            <v>128033003</v>
          </cell>
          <cell r="M20">
            <v>109881050</v>
          </cell>
          <cell r="N20">
            <v>110442650</v>
          </cell>
          <cell r="O20">
            <v>114742607</v>
          </cell>
          <cell r="P20">
            <v>126446027</v>
          </cell>
          <cell r="Q20">
            <v>73824502</v>
          </cell>
          <cell r="R20">
            <v>104395754.92991993</v>
          </cell>
          <cell r="S20">
            <v>97454869.70230253</v>
          </cell>
          <cell r="T20">
            <v>77238131.167809233</v>
          </cell>
          <cell r="U20">
            <v>88125514.124583527</v>
          </cell>
          <cell r="V20">
            <v>85786369.292106777</v>
          </cell>
          <cell r="W20">
            <v>90325960.577935055</v>
          </cell>
          <cell r="X20">
            <v>94003417.252430812</v>
          </cell>
          <cell r="Y20">
            <v>87994138.750292599</v>
          </cell>
          <cell r="Z20">
            <v>85805420.643432975</v>
          </cell>
          <cell r="AA20">
            <v>82361307.922389552</v>
          </cell>
          <cell r="AB20">
            <v>69504679.76273784</v>
          </cell>
          <cell r="AC20">
            <v>56244934.347341754</v>
          </cell>
          <cell r="AD20">
            <v>55167090.064765602</v>
          </cell>
          <cell r="AE20">
            <v>45936323.337684371</v>
          </cell>
          <cell r="AF20">
            <v>27733737.867534786</v>
          </cell>
          <cell r="AG20">
            <v>30701361.125791837</v>
          </cell>
          <cell r="AH20">
            <v>30232122.44401766</v>
          </cell>
          <cell r="AI20">
            <v>25143292.362227891</v>
          </cell>
          <cell r="AJ20">
            <v>25426358.466015618</v>
          </cell>
          <cell r="AK20">
            <v>25522894.243461803</v>
          </cell>
          <cell r="AL20">
            <v>25442065.938274447</v>
          </cell>
          <cell r="AM20">
            <v>25432458.703081127</v>
          </cell>
          <cell r="AN20">
            <v>25876271.594432261</v>
          </cell>
          <cell r="AO20">
            <v>26341027.215544645</v>
          </cell>
          <cell r="AP20">
            <v>26905155.903602924</v>
          </cell>
        </row>
        <row r="21">
          <cell r="C21">
            <v>63521035</v>
          </cell>
          <cell r="D21">
            <v>95151425</v>
          </cell>
          <cell r="E21">
            <v>101030322</v>
          </cell>
          <cell r="F21">
            <v>90811260</v>
          </cell>
          <cell r="G21">
            <v>92371029</v>
          </cell>
          <cell r="H21">
            <v>126756378</v>
          </cell>
          <cell r="I21">
            <v>111494709</v>
          </cell>
          <cell r="J21">
            <v>145194734</v>
          </cell>
          <cell r="K21">
            <v>147658797</v>
          </cell>
          <cell r="L21">
            <v>150090658</v>
          </cell>
          <cell r="M21">
            <v>150336910</v>
          </cell>
          <cell r="N21">
            <v>135867416</v>
          </cell>
          <cell r="O21">
            <v>130887285</v>
          </cell>
          <cell r="P21">
            <v>134362588</v>
          </cell>
          <cell r="Q21">
            <v>95833393</v>
          </cell>
          <cell r="R21">
            <v>114811945.59047434</v>
          </cell>
          <cell r="S21">
            <v>112551116.86989789</v>
          </cell>
          <cell r="T21">
            <v>87967575.88659586</v>
          </cell>
          <cell r="U21">
            <v>100313009.16682284</v>
          </cell>
          <cell r="V21">
            <v>99525647.188424557</v>
          </cell>
          <cell r="W21">
            <v>102732083.20875344</v>
          </cell>
          <cell r="X21">
            <v>107753010.50959034</v>
          </cell>
          <cell r="Y21">
            <v>100696338.31275597</v>
          </cell>
          <cell r="Z21">
            <v>98275048.444190457</v>
          </cell>
          <cell r="AA21">
            <v>94448147.282101542</v>
          </cell>
          <cell r="AB21">
            <v>79529934.41327025</v>
          </cell>
          <cell r="AC21">
            <v>64454751.820695102</v>
          </cell>
          <cell r="AD21">
            <v>63215595.76909171</v>
          </cell>
          <cell r="AE21">
            <v>52668274.493032731</v>
          </cell>
          <cell r="AF21">
            <v>31833836.949735973</v>
          </cell>
          <cell r="AG21">
            <v>35218421.165871389</v>
          </cell>
          <cell r="AH21">
            <v>34695203.778580017</v>
          </cell>
          <cell r="AI21">
            <v>28877510.744823832</v>
          </cell>
          <cell r="AJ21">
            <v>29204532.279186379</v>
          </cell>
          <cell r="AK21">
            <v>29313876.998979244</v>
          </cell>
          <cell r="AL21">
            <v>29220072.667137213</v>
          </cell>
          <cell r="AM21">
            <v>29208559.257200319</v>
          </cell>
          <cell r="AN21">
            <v>29720146.093059704</v>
          </cell>
          <cell r="AO21">
            <v>30255812.62343847</v>
          </cell>
          <cell r="AP21">
            <v>30902250.794365857</v>
          </cell>
        </row>
        <row r="22">
          <cell r="C22">
            <v>70300597</v>
          </cell>
          <cell r="D22">
            <v>92581599</v>
          </cell>
          <cell r="E22">
            <v>111043708</v>
          </cell>
          <cell r="F22">
            <v>103389773</v>
          </cell>
          <cell r="G22">
            <v>106504091</v>
          </cell>
          <cell r="H22">
            <v>126266788</v>
          </cell>
          <cell r="I22">
            <v>124324164</v>
          </cell>
          <cell r="J22">
            <v>144637673</v>
          </cell>
          <cell r="K22">
            <v>160888556</v>
          </cell>
          <cell r="L22">
            <v>149356126</v>
          </cell>
          <cell r="M22">
            <v>144396494</v>
          </cell>
          <cell r="N22">
            <v>144286382</v>
          </cell>
          <cell r="O22">
            <v>133835520</v>
          </cell>
          <cell r="P22">
            <v>136033783</v>
          </cell>
          <cell r="Q22">
            <v>132224667.72068669</v>
          </cell>
          <cell r="R22">
            <v>122416244.47003295</v>
          </cell>
          <cell r="S22">
            <v>122921344.03755736</v>
          </cell>
          <cell r="T22">
            <v>96679670.029158905</v>
          </cell>
          <cell r="U22">
            <v>112101894.90846491</v>
          </cell>
          <cell r="V22">
            <v>113977908.28088255</v>
          </cell>
          <cell r="W22">
            <v>113276475.06123026</v>
          </cell>
          <cell r="X22">
            <v>119707652.3851067</v>
          </cell>
          <cell r="Y22">
            <v>112293438.61396642</v>
          </cell>
          <cell r="Z22">
            <v>109862226.22683734</v>
          </cell>
          <cell r="AA22">
            <v>105587189.65716207</v>
          </cell>
          <cell r="AB22">
            <v>88474462.677411586</v>
          </cell>
          <cell r="AC22">
            <v>71820743.607586741</v>
          </cell>
          <cell r="AD22">
            <v>70491451.620413065</v>
          </cell>
          <cell r="AE22">
            <v>58713037.71930261</v>
          </cell>
          <cell r="AF22">
            <v>35425968.714917175</v>
          </cell>
          <cell r="AG22">
            <v>39177092.053561442</v>
          </cell>
          <cell r="AH22">
            <v>38610543.850432716</v>
          </cell>
          <cell r="AI22">
            <v>32111140.083339047</v>
          </cell>
          <cell r="AJ22">
            <v>32470653.858680107</v>
          </cell>
          <cell r="AK22">
            <v>32588077.145624436</v>
          </cell>
          <cell r="AL22">
            <v>32482879.22203064</v>
          </cell>
          <cell r="AM22">
            <v>32476041.410351411</v>
          </cell>
          <cell r="AN22">
            <v>33042220.938280769</v>
          </cell>
          <cell r="AO22">
            <v>33634376.955314659</v>
          </cell>
          <cell r="AP22">
            <v>34354115.004330941</v>
          </cell>
        </row>
        <row r="23">
          <cell r="C23">
            <v>77877755</v>
          </cell>
          <cell r="D23">
            <v>107554758</v>
          </cell>
          <cell r="E23">
            <v>118981878</v>
          </cell>
          <cell r="F23">
            <v>110374751</v>
          </cell>
          <cell r="G23">
            <v>121530326</v>
          </cell>
          <cell r="H23">
            <v>135286354</v>
          </cell>
          <cell r="I23">
            <v>147074058</v>
          </cell>
          <cell r="J23">
            <v>166235446</v>
          </cell>
          <cell r="K23">
            <v>164042436</v>
          </cell>
          <cell r="L23">
            <v>143174223</v>
          </cell>
          <cell r="M23">
            <v>150501950</v>
          </cell>
          <cell r="N23">
            <v>139875243</v>
          </cell>
          <cell r="O23">
            <v>163593533</v>
          </cell>
          <cell r="P23">
            <v>143484967</v>
          </cell>
          <cell r="Q23">
            <v>138267096.32826346</v>
          </cell>
          <cell r="R23">
            <v>130310192.52272382</v>
          </cell>
          <cell r="S23">
            <v>131435944.45511936</v>
          </cell>
          <cell r="T23">
            <v>105519961.3953646</v>
          </cell>
          <cell r="U23">
            <v>119149255.52638401</v>
          </cell>
          <cell r="V23">
            <v>121425566.67723595</v>
          </cell>
          <cell r="W23">
            <v>121197076.49309711</v>
          </cell>
          <cell r="X23">
            <v>128220648.95417902</v>
          </cell>
          <cell r="Y23">
            <v>120324280.34561735</v>
          </cell>
          <cell r="Z23">
            <v>117348155.98831487</v>
          </cell>
          <cell r="AA23">
            <v>112889956.92296641</v>
          </cell>
          <cell r="AB23">
            <v>94659421.307093531</v>
          </cell>
          <cell r="AC23">
            <v>76834850.829395309</v>
          </cell>
          <cell r="AD23">
            <v>75390379.516968921</v>
          </cell>
          <cell r="AE23">
            <v>62758216.741239719</v>
          </cell>
          <cell r="AF23">
            <v>37862171.733304806</v>
          </cell>
          <cell r="AG23">
            <v>41880938.924156576</v>
          </cell>
          <cell r="AH23">
            <v>41270140.080673009</v>
          </cell>
          <cell r="AI23">
            <v>34309714.241686858</v>
          </cell>
          <cell r="AJ23">
            <v>34691843.448946357</v>
          </cell>
          <cell r="AK23">
            <v>34820435.513393946</v>
          </cell>
          <cell r="AL23">
            <v>34708333.011227734</v>
          </cell>
          <cell r="AM23">
            <v>34701083.847314343</v>
          </cell>
          <cell r="AN23">
            <v>35304660.993889481</v>
          </cell>
          <cell r="AO23">
            <v>35936612.979545347</v>
          </cell>
          <cell r="AP23">
            <v>36706661.814046271</v>
          </cell>
        </row>
        <row r="24">
          <cell r="C24">
            <v>78205276</v>
          </cell>
          <cell r="D24">
            <v>106613644</v>
          </cell>
          <cell r="E24">
            <v>117539910</v>
          </cell>
          <cell r="F24">
            <v>113673723</v>
          </cell>
          <cell r="G24">
            <v>130919551</v>
          </cell>
          <cell r="H24">
            <v>142593935</v>
          </cell>
          <cell r="I24">
            <v>145011076</v>
          </cell>
          <cell r="J24">
            <v>160548223</v>
          </cell>
          <cell r="K24">
            <v>144102423</v>
          </cell>
          <cell r="L24">
            <v>165519330</v>
          </cell>
          <cell r="M24">
            <v>154457118</v>
          </cell>
          <cell r="N24">
            <v>142855221</v>
          </cell>
          <cell r="O24">
            <v>153006295</v>
          </cell>
          <cell r="P24">
            <v>135252503</v>
          </cell>
          <cell r="Q24">
            <v>140045050.30770057</v>
          </cell>
          <cell r="R24">
            <v>128359653.65193625</v>
          </cell>
          <cell r="S24">
            <v>128330012.29655263</v>
          </cell>
          <cell r="T24">
            <v>102091759.37814935</v>
          </cell>
          <cell r="U24">
            <v>116238479.60861513</v>
          </cell>
          <cell r="V24">
            <v>119558749.84713495</v>
          </cell>
          <cell r="W24">
            <v>118555530.76508413</v>
          </cell>
          <cell r="X24">
            <v>125235511.15922807</v>
          </cell>
          <cell r="Y24">
            <v>117532728.66920386</v>
          </cell>
          <cell r="Z24">
            <v>114814686.13028248</v>
          </cell>
          <cell r="AA24">
            <v>110516323.32493848</v>
          </cell>
          <cell r="AB24">
            <v>92562963.773777321</v>
          </cell>
          <cell r="AC24">
            <v>75131863.807259098</v>
          </cell>
          <cell r="AD24">
            <v>73739981.688929409</v>
          </cell>
          <cell r="AE24">
            <v>61408734.843822375</v>
          </cell>
          <cell r="AF24">
            <v>37057040.818554834</v>
          </cell>
          <cell r="AG24">
            <v>40977202.278882362</v>
          </cell>
          <cell r="AH24">
            <v>40383088.553454258</v>
          </cell>
          <cell r="AI24">
            <v>33582137.001945212</v>
          </cell>
          <cell r="AJ24">
            <v>33957841.315480307</v>
          </cell>
          <cell r="AK24">
            <v>34081911.750806212</v>
          </cell>
          <cell r="AL24">
            <v>33971174.015363589</v>
          </cell>
          <cell r="AM24">
            <v>33964175.102074891</v>
          </cell>
          <cell r="AN24">
            <v>34556067.683388256</v>
          </cell>
          <cell r="AO24">
            <v>35175165.87181332</v>
          </cell>
          <cell r="AP24">
            <v>35928157.919193357</v>
          </cell>
        </row>
        <row r="25">
          <cell r="C25">
            <v>87034571</v>
          </cell>
          <cell r="D25">
            <v>97342403</v>
          </cell>
          <cell r="E25">
            <v>128491052</v>
          </cell>
          <cell r="F25">
            <v>128244034</v>
          </cell>
          <cell r="G25">
            <v>129173039</v>
          </cell>
          <cell r="H25">
            <v>137963278</v>
          </cell>
          <cell r="I25">
            <v>150290364</v>
          </cell>
          <cell r="J25">
            <v>169779870</v>
          </cell>
          <cell r="K25">
            <v>169452631</v>
          </cell>
          <cell r="L25">
            <v>162738265</v>
          </cell>
          <cell r="M25">
            <v>146890338</v>
          </cell>
          <cell r="N25">
            <v>137545866</v>
          </cell>
          <cell r="O25">
            <v>142593233</v>
          </cell>
          <cell r="P25">
            <v>145558251</v>
          </cell>
          <cell r="Q25">
            <v>137425657.82361212</v>
          </cell>
          <cell r="R25">
            <v>125903831.35632521</v>
          </cell>
          <cell r="S25">
            <v>126720348.27339973</v>
          </cell>
          <cell r="T25">
            <v>101335614.18540274</v>
          </cell>
          <cell r="U25">
            <v>117078946.28193803</v>
          </cell>
          <cell r="V25">
            <v>118277573.84951545</v>
          </cell>
          <cell r="W25">
            <v>117507349.35108256</v>
          </cell>
          <cell r="X25">
            <v>124410774.71316451</v>
          </cell>
          <cell r="Y25">
            <v>116913123.98936598</v>
          </cell>
          <cell r="Z25">
            <v>114251425.22002986</v>
          </cell>
          <cell r="AA25">
            <v>109713150.0084217</v>
          </cell>
          <cell r="AB25">
            <v>91955704.225734934</v>
          </cell>
          <cell r="AC25">
            <v>74676173.923987448</v>
          </cell>
          <cell r="AD25">
            <v>73302088.254906744</v>
          </cell>
          <cell r="AE25">
            <v>61034821.961538091</v>
          </cell>
          <cell r="AF25">
            <v>36821600.708692029</v>
          </cell>
          <cell r="AG25">
            <v>40726110.852190033</v>
          </cell>
          <cell r="AH25">
            <v>40140155.453395896</v>
          </cell>
          <cell r="AI25">
            <v>33381409.638825245</v>
          </cell>
          <cell r="AJ25">
            <v>33752769.407070599</v>
          </cell>
          <cell r="AK25">
            <v>33875153.106504776</v>
          </cell>
          <cell r="AL25">
            <v>33766684.910991088</v>
          </cell>
          <cell r="AM25">
            <v>33759897.603563339</v>
          </cell>
          <cell r="AN25">
            <v>34347972.961582012</v>
          </cell>
          <cell r="AO25">
            <v>34963170.482454456</v>
          </cell>
          <cell r="AP25">
            <v>35711576.723966397</v>
          </cell>
        </row>
        <row r="26">
          <cell r="C26">
            <v>100953452</v>
          </cell>
          <cell r="D26">
            <v>96353439</v>
          </cell>
          <cell r="E26">
            <v>129887145</v>
          </cell>
          <cell r="F26">
            <v>127450802</v>
          </cell>
          <cell r="G26">
            <v>125610667</v>
          </cell>
          <cell r="H26">
            <v>161646399</v>
          </cell>
          <cell r="I26">
            <v>157536696</v>
          </cell>
          <cell r="J26">
            <v>180631297</v>
          </cell>
          <cell r="K26">
            <v>153598697</v>
          </cell>
          <cell r="L26">
            <v>171493499</v>
          </cell>
          <cell r="M26">
            <v>154582245</v>
          </cell>
          <cell r="N26">
            <v>151833118</v>
          </cell>
          <cell r="O26">
            <v>152399674</v>
          </cell>
          <cell r="P26">
            <v>138600768</v>
          </cell>
          <cell r="Q26">
            <v>143752082.98970303</v>
          </cell>
          <cell r="R26">
            <v>131475908.29297099</v>
          </cell>
          <cell r="S26">
            <v>132110220.97514307</v>
          </cell>
          <cell r="T26">
            <v>104388940.9027721</v>
          </cell>
          <cell r="U26">
            <v>119604912.1428645</v>
          </cell>
          <cell r="V26">
            <v>122721772.14856309</v>
          </cell>
          <cell r="W26">
            <v>121691323.80987105</v>
          </cell>
          <cell r="X26">
            <v>128607593.97721606</v>
          </cell>
          <cell r="Y26">
            <v>120631964.02645169</v>
          </cell>
          <cell r="Z26">
            <v>117918263.70912711</v>
          </cell>
          <cell r="AA26">
            <v>113462377.29517195</v>
          </cell>
          <cell r="AB26">
            <v>95034666.632337198</v>
          </cell>
          <cell r="AC26">
            <v>77143115.833632678</v>
          </cell>
          <cell r="AD26">
            <v>75711171.137630075</v>
          </cell>
          <cell r="AE26">
            <v>63056741.793221153</v>
          </cell>
          <cell r="AF26">
            <v>38051462.875882626</v>
          </cell>
          <cell r="AG26">
            <v>42076809.084460407</v>
          </cell>
          <cell r="AH26">
            <v>41467524.428641975</v>
          </cell>
          <cell r="AI26">
            <v>34485499.88038151</v>
          </cell>
          <cell r="AJ26">
            <v>34871762.7057354</v>
          </cell>
          <cell r="AK26">
            <v>34998692.538332857</v>
          </cell>
          <cell r="AL26">
            <v>34885090.858536355</v>
          </cell>
          <cell r="AM26">
            <v>34877826.00412336</v>
          </cell>
          <cell r="AN26">
            <v>35485784.261556916</v>
          </cell>
          <cell r="AO26">
            <v>36121693.268018834</v>
          </cell>
          <cell r="AP26">
            <v>36894795.723247439</v>
          </cell>
        </row>
        <row r="27">
          <cell r="C27">
            <v>114227507</v>
          </cell>
          <cell r="D27">
            <v>81339106</v>
          </cell>
          <cell r="E27">
            <v>127648582</v>
          </cell>
          <cell r="F27">
            <v>124535190</v>
          </cell>
          <cell r="G27">
            <v>117829158</v>
          </cell>
          <cell r="H27">
            <v>146664055</v>
          </cell>
          <cell r="I27">
            <v>148333215</v>
          </cell>
          <cell r="J27">
            <v>157006356</v>
          </cell>
          <cell r="K27">
            <v>143659811</v>
          </cell>
          <cell r="L27">
            <v>167865219</v>
          </cell>
          <cell r="M27">
            <v>139934774</v>
          </cell>
          <cell r="N27">
            <v>141860945</v>
          </cell>
          <cell r="O27">
            <v>144886635</v>
          </cell>
          <cell r="P27">
            <v>132467476</v>
          </cell>
          <cell r="Q27">
            <v>135739748.92643583</v>
          </cell>
          <cell r="R27">
            <v>123099044.01997577</v>
          </cell>
          <cell r="S27">
            <v>124572875.40011436</v>
          </cell>
          <cell r="T27">
            <v>98628047.359791368</v>
          </cell>
          <cell r="U27">
            <v>113017669.14022888</v>
          </cell>
          <cell r="V27">
            <v>115670094.34432831</v>
          </cell>
          <cell r="W27">
            <v>114649633.28719929</v>
          </cell>
          <cell r="X27">
            <v>121330212.16149899</v>
          </cell>
          <cell r="Y27">
            <v>113818287.34066346</v>
          </cell>
          <cell r="Z27">
            <v>111231758.62128012</v>
          </cell>
          <cell r="AA27">
            <v>106992320.87279445</v>
          </cell>
          <cell r="AB27">
            <v>89623621.266138628</v>
          </cell>
          <cell r="AC27">
            <v>72765236.805982843</v>
          </cell>
          <cell r="AD27">
            <v>71411522.756728321</v>
          </cell>
          <cell r="AE27">
            <v>59470379.481899112</v>
          </cell>
          <cell r="AF27">
            <v>35884399.764903747</v>
          </cell>
          <cell r="AG27">
            <v>39682827.098170899</v>
          </cell>
          <cell r="AH27">
            <v>39109295.640294701</v>
          </cell>
          <cell r="AI27">
            <v>32522701.503456492</v>
          </cell>
          <cell r="AJ27">
            <v>32886360.264410749</v>
          </cell>
          <cell r="AK27">
            <v>33006169.618444882</v>
          </cell>
          <cell r="AL27">
            <v>32899363.618523415</v>
          </cell>
          <cell r="AM27">
            <v>32892660.596924592</v>
          </cell>
          <cell r="AN27">
            <v>33465748.392685734</v>
          </cell>
          <cell r="AO27">
            <v>34065324.60691873</v>
          </cell>
          <cell r="AP27">
            <v>34794525.866983548</v>
          </cell>
        </row>
        <row r="28">
          <cell r="C28">
            <v>113677550</v>
          </cell>
          <cell r="D28">
            <v>80712245</v>
          </cell>
          <cell r="E28">
            <v>131441848</v>
          </cell>
          <cell r="F28">
            <v>121338129</v>
          </cell>
          <cell r="G28">
            <v>105030916</v>
          </cell>
          <cell r="H28">
            <v>143085368</v>
          </cell>
          <cell r="I28">
            <v>149347918</v>
          </cell>
          <cell r="J28">
            <v>171276906</v>
          </cell>
          <cell r="K28">
            <v>146618360</v>
          </cell>
          <cell r="L28">
            <v>149489760</v>
          </cell>
          <cell r="M28">
            <v>139778878</v>
          </cell>
          <cell r="N28">
            <v>138040230</v>
          </cell>
          <cell r="O28">
            <v>144786525</v>
          </cell>
          <cell r="P28">
            <v>147634604</v>
          </cell>
          <cell r="Q28">
            <v>134449712.49941987</v>
          </cell>
          <cell r="R28">
            <v>124895677.74049518</v>
          </cell>
          <cell r="S28">
            <v>126794414.22090545</v>
          </cell>
          <cell r="T28">
            <v>101330165.27627791</v>
          </cell>
          <cell r="U28">
            <v>116809823.76312448</v>
          </cell>
          <cell r="V28">
            <v>117455108.54819994</v>
          </cell>
          <cell r="W28">
            <v>117095291.15289834</v>
          </cell>
          <cell r="X28">
            <v>124096226.52302906</v>
          </cell>
          <cell r="Y28">
            <v>116536792.55036797</v>
          </cell>
          <cell r="Z28">
            <v>113819998.63931493</v>
          </cell>
          <cell r="AA28">
            <v>109264485.76943095</v>
          </cell>
          <cell r="AB28">
            <v>91628278.048741817</v>
          </cell>
          <cell r="AC28">
            <v>74398617.004710644</v>
          </cell>
          <cell r="AD28">
            <v>73008361.632279664</v>
          </cell>
          <cell r="AE28">
            <v>60768658.407289259</v>
          </cell>
          <cell r="AF28">
            <v>36634810.12737789</v>
          </cell>
          <cell r="AG28">
            <v>40531580.883837223</v>
          </cell>
          <cell r="AH28">
            <v>39942714.021808483</v>
          </cell>
          <cell r="AI28">
            <v>33197674.960756879</v>
          </cell>
          <cell r="AJ28">
            <v>33565748.80997058</v>
          </cell>
          <cell r="AK28">
            <v>33688647.718583331</v>
          </cell>
          <cell r="AL28">
            <v>33581312.243334755</v>
          </cell>
          <cell r="AM28">
            <v>33575537.819567166</v>
          </cell>
          <cell r="AN28">
            <v>34158540.693213806</v>
          </cell>
          <cell r="AO28">
            <v>34768953.886756167</v>
          </cell>
          <cell r="AP28">
            <v>35514388.43051257</v>
          </cell>
        </row>
        <row r="29">
          <cell r="C29">
            <v>105783510</v>
          </cell>
          <cell r="D29">
            <v>68025280</v>
          </cell>
          <cell r="E29">
            <v>111900793</v>
          </cell>
          <cell r="F29">
            <v>97343855</v>
          </cell>
          <cell r="G29">
            <v>96476718</v>
          </cell>
          <cell r="H29">
            <v>139707687</v>
          </cell>
          <cell r="I29">
            <v>147829945</v>
          </cell>
          <cell r="J29">
            <v>150780540</v>
          </cell>
          <cell r="K29">
            <v>119139678</v>
          </cell>
          <cell r="L29">
            <v>142828517</v>
          </cell>
          <cell r="M29">
            <v>140856752</v>
          </cell>
          <cell r="N29">
            <v>141295576</v>
          </cell>
          <cell r="O29">
            <v>136021020</v>
          </cell>
          <cell r="P29">
            <v>133189802</v>
          </cell>
          <cell r="Q29">
            <v>129614678.22144295</v>
          </cell>
          <cell r="R29">
            <v>120630853.93563154</v>
          </cell>
          <cell r="S29">
            <v>121391903.59820768</v>
          </cell>
          <cell r="T29">
            <v>95651513.565506816</v>
          </cell>
          <cell r="U29">
            <v>110445019.7423079</v>
          </cell>
          <cell r="V29">
            <v>112293502.05433841</v>
          </cell>
          <cell r="W29">
            <v>111736263.27206521</v>
          </cell>
          <cell r="X29">
            <v>118106425.76109533</v>
          </cell>
          <cell r="Y29">
            <v>110766951.87518163</v>
          </cell>
          <cell r="Z29">
            <v>108311515.02438718</v>
          </cell>
          <cell r="AA29">
            <v>104107972.44294466</v>
          </cell>
          <cell r="AB29">
            <v>87243459.486070484</v>
          </cell>
          <cell r="AC29">
            <v>70804481.280589849</v>
          </cell>
          <cell r="AD29">
            <v>69480637.12825118</v>
          </cell>
          <cell r="AE29">
            <v>57849376.496037237</v>
          </cell>
          <cell r="AF29">
            <v>34876109.645105585</v>
          </cell>
          <cell r="AG29">
            <v>38578193.835964009</v>
          </cell>
          <cell r="AH29">
            <v>38014510.466681942</v>
          </cell>
          <cell r="AI29">
            <v>31594534.541580729</v>
          </cell>
          <cell r="AJ29">
            <v>31946974.386598431</v>
          </cell>
          <cell r="AK29">
            <v>32063511.185896713</v>
          </cell>
          <cell r="AL29">
            <v>31960171.184090961</v>
          </cell>
          <cell r="AM29">
            <v>31954790.816344947</v>
          </cell>
          <cell r="AN29">
            <v>32509964.415392071</v>
          </cell>
          <cell r="AO29">
            <v>33090960.839761157</v>
          </cell>
          <cell r="AP29">
            <v>33800325.727959841</v>
          </cell>
        </row>
        <row r="30">
          <cell r="C30">
            <v>150743545</v>
          </cell>
          <cell r="D30">
            <v>58227854</v>
          </cell>
          <cell r="E30">
            <v>160946844</v>
          </cell>
          <cell r="F30">
            <v>163496685</v>
          </cell>
          <cell r="G30">
            <v>110100066</v>
          </cell>
          <cell r="H30">
            <v>187163249</v>
          </cell>
          <cell r="I30">
            <v>162595163</v>
          </cell>
          <cell r="J30">
            <v>183329377</v>
          </cell>
          <cell r="K30">
            <v>139601581</v>
          </cell>
          <cell r="L30">
            <v>175881221</v>
          </cell>
          <cell r="M30">
            <v>165708240</v>
          </cell>
          <cell r="N30">
            <v>145591401</v>
          </cell>
          <cell r="O30">
            <v>135846697</v>
          </cell>
          <cell r="P30">
            <v>174870333</v>
          </cell>
          <cell r="Q30">
            <v>259142037.04696232</v>
          </cell>
          <cell r="R30">
            <v>137679947.75373727</v>
          </cell>
          <cell r="S30">
            <v>156686802.54305419</v>
          </cell>
          <cell r="T30">
            <v>128931588.74783976</v>
          </cell>
          <cell r="U30">
            <v>157413064.75928372</v>
          </cell>
          <cell r="V30">
            <v>162994128.46223143</v>
          </cell>
          <cell r="W30">
            <v>148256160.93157899</v>
          </cell>
          <cell r="X30">
            <v>161497265.14174828</v>
          </cell>
          <cell r="Y30">
            <v>133333809.9194559</v>
          </cell>
          <cell r="Z30">
            <v>139753514.09198946</v>
          </cell>
          <cell r="AA30">
            <v>132314042.78848526</v>
          </cell>
          <cell r="AB30">
            <v>112776134.18250845</v>
          </cell>
          <cell r="AC30">
            <v>90985032.099230856</v>
          </cell>
          <cell r="AD30">
            <v>87887990.178734228</v>
          </cell>
          <cell r="AE30">
            <v>74033525.979352921</v>
          </cell>
          <cell r="AF30">
            <v>44475946.083278269</v>
          </cell>
          <cell r="AG30">
            <v>49319470.20871225</v>
          </cell>
          <cell r="AH30">
            <v>48454651.010795355</v>
          </cell>
          <cell r="AI30">
            <v>40154375.078910664</v>
          </cell>
          <cell r="AJ30">
            <v>40711139.313525096</v>
          </cell>
          <cell r="AK30">
            <v>40842295.090669729</v>
          </cell>
          <cell r="AL30">
            <v>40710885.154861346</v>
          </cell>
          <cell r="AM30">
            <v>40687837.500472859</v>
          </cell>
          <cell r="AN30">
            <v>41391441.200926237</v>
          </cell>
          <cell r="AO30">
            <v>42142271.629108533</v>
          </cell>
          <cell r="AP30">
            <v>43043835.497218534</v>
          </cell>
        </row>
        <row r="35">
          <cell r="C35">
            <v>2636424</v>
          </cell>
          <cell r="D35">
            <v>1038381</v>
          </cell>
          <cell r="E35">
            <v>975984</v>
          </cell>
          <cell r="F35">
            <v>1981954</v>
          </cell>
          <cell r="G35">
            <v>8626445</v>
          </cell>
          <cell r="H35">
            <v>20718362</v>
          </cell>
          <cell r="I35">
            <v>21190089</v>
          </cell>
          <cell r="J35">
            <v>10696089</v>
          </cell>
          <cell r="K35">
            <v>11809234</v>
          </cell>
          <cell r="L35">
            <v>13737888</v>
          </cell>
          <cell r="M35">
            <v>8536219</v>
          </cell>
          <cell r="N35">
            <v>12701046</v>
          </cell>
          <cell r="O35">
            <v>24582474</v>
          </cell>
          <cell r="P35">
            <v>40314733</v>
          </cell>
          <cell r="Q35">
            <v>3135355</v>
          </cell>
          <cell r="R35">
            <v>10025806.092925757</v>
          </cell>
          <cell r="S35">
            <v>10847888.627231512</v>
          </cell>
          <cell r="T35">
            <v>11977678.325456975</v>
          </cell>
          <cell r="U35">
            <v>12452286.649546627</v>
          </cell>
          <cell r="V35">
            <v>9522199.4699888881</v>
          </cell>
          <cell r="W35">
            <v>10861726.815737216</v>
          </cell>
          <cell r="X35">
            <v>9792350.1654746588</v>
          </cell>
          <cell r="Y35">
            <v>9186096.6885203607</v>
          </cell>
          <cell r="Z35">
            <v>8803461.6146814134</v>
          </cell>
          <cell r="AA35">
            <v>7823891.9398014285</v>
          </cell>
          <cell r="AB35">
            <v>6601943.7586316494</v>
          </cell>
          <cell r="AC35">
            <v>5560301.6268048445</v>
          </cell>
          <cell r="AD35">
            <v>4526904.1146484409</v>
          </cell>
          <cell r="AE35">
            <v>3757500.3445001254</v>
          </cell>
          <cell r="AF35">
            <v>3752726.7855380289</v>
          </cell>
          <cell r="AG35">
            <v>3781152.5984567325</v>
          </cell>
          <cell r="AH35">
            <v>3772692.553520266</v>
          </cell>
          <cell r="AI35">
            <v>3767497.268589153</v>
          </cell>
          <cell r="AJ35">
            <v>3766316.3101208615</v>
          </cell>
          <cell r="AK35">
            <v>3768079.9032450086</v>
          </cell>
          <cell r="AL35">
            <v>3771150.7267864048</v>
          </cell>
          <cell r="AM35">
            <v>3769150.3524523387</v>
          </cell>
          <cell r="AN35">
            <v>3768441.9122387529</v>
          </cell>
          <cell r="AO35">
            <v>3768630.8409686736</v>
          </cell>
          <cell r="AP35">
            <v>3769093.7471382362</v>
          </cell>
        </row>
        <row r="36">
          <cell r="C36">
            <v>1336045</v>
          </cell>
          <cell r="D36">
            <v>4022017</v>
          </cell>
          <cell r="E36">
            <v>3073611</v>
          </cell>
          <cell r="F36">
            <v>3895094</v>
          </cell>
          <cell r="G36">
            <v>5025091</v>
          </cell>
          <cell r="H36">
            <v>13775403</v>
          </cell>
          <cell r="I36">
            <v>29772126</v>
          </cell>
          <cell r="J36">
            <v>11584681</v>
          </cell>
          <cell r="K36">
            <v>10968228</v>
          </cell>
          <cell r="L36">
            <v>11466902</v>
          </cell>
          <cell r="M36">
            <v>7661613</v>
          </cell>
          <cell r="N36">
            <v>6743825</v>
          </cell>
          <cell r="O36">
            <v>40796313</v>
          </cell>
          <cell r="P36">
            <v>53484825</v>
          </cell>
          <cell r="Q36">
            <v>6409113</v>
          </cell>
          <cell r="R36">
            <v>12754540.988961799</v>
          </cell>
          <cell r="S36">
            <v>14182597.242042266</v>
          </cell>
          <cell r="T36">
            <v>16988271.552466348</v>
          </cell>
          <cell r="U36">
            <v>16693603.390226046</v>
          </cell>
          <cell r="V36">
            <v>13176469.247820672</v>
          </cell>
          <cell r="W36">
            <v>14619859.725017546</v>
          </cell>
          <cell r="X36">
            <v>13310696.499943377</v>
          </cell>
          <cell r="Y36">
            <v>12581310.350266652</v>
          </cell>
          <cell r="Z36">
            <v>11958096.468274761</v>
          </cell>
          <cell r="AA36">
            <v>10663379.864580387</v>
          </cell>
          <cell r="AB36">
            <v>8969764.5661756862</v>
          </cell>
          <cell r="AC36">
            <v>7572643.416067658</v>
          </cell>
          <cell r="AD36">
            <v>6168301.35083823</v>
          </cell>
          <cell r="AE36">
            <v>5112652.5187146682</v>
          </cell>
          <cell r="AF36">
            <v>5108859.5198730035</v>
          </cell>
          <cell r="AG36">
            <v>5145659.5893233195</v>
          </cell>
          <cell r="AH36">
            <v>5136727.422614743</v>
          </cell>
          <cell r="AI36">
            <v>5129271.1156469164</v>
          </cell>
          <cell r="AJ36">
            <v>5126636.4332345305</v>
          </cell>
          <cell r="AK36">
            <v>5129433.616138503</v>
          </cell>
          <cell r="AL36">
            <v>5133548.6353916023</v>
          </cell>
          <cell r="AM36">
            <v>5131126.4446052592</v>
          </cell>
          <cell r="AN36">
            <v>5130006.2490033628</v>
          </cell>
          <cell r="AO36">
            <v>5130153.2756746514</v>
          </cell>
          <cell r="AP36">
            <v>5130856.6441626763</v>
          </cell>
        </row>
        <row r="37">
          <cell r="C37">
            <v>4627645</v>
          </cell>
          <cell r="D37">
            <v>4310074</v>
          </cell>
          <cell r="E37">
            <v>9369422</v>
          </cell>
          <cell r="F37">
            <v>13088434</v>
          </cell>
          <cell r="G37">
            <v>13440537</v>
          </cell>
          <cell r="H37">
            <v>9815784</v>
          </cell>
          <cell r="I37">
            <v>40549915</v>
          </cell>
          <cell r="J37">
            <v>15643523</v>
          </cell>
          <cell r="K37">
            <v>12055979</v>
          </cell>
          <cell r="L37">
            <v>18577254</v>
          </cell>
          <cell r="M37">
            <v>15146974</v>
          </cell>
          <cell r="N37">
            <v>22680677</v>
          </cell>
          <cell r="O37">
            <v>44788401</v>
          </cell>
          <cell r="P37">
            <v>29890832</v>
          </cell>
          <cell r="Q37">
            <v>3901575</v>
          </cell>
          <cell r="R37">
            <v>13073719.046305515</v>
          </cell>
          <cell r="S37">
            <v>13665751.06353388</v>
          </cell>
          <cell r="T37">
            <v>14189017.273756305</v>
          </cell>
          <cell r="U37">
            <v>12194340.486072693</v>
          </cell>
          <cell r="V37">
            <v>11209925.350447634</v>
          </cell>
          <cell r="W37">
            <v>12745168.090777704</v>
          </cell>
          <cell r="X37">
            <v>11259998.546547925</v>
          </cell>
          <cell r="Y37">
            <v>10362356.032306923</v>
          </cell>
          <cell r="Z37">
            <v>9815595.1345405392</v>
          </cell>
          <cell r="AA37">
            <v>8997854.725623671</v>
          </cell>
          <cell r="AB37">
            <v>7555766.5889328737</v>
          </cell>
          <cell r="AC37">
            <v>6322242.8899098346</v>
          </cell>
          <cell r="AD37">
            <v>5132242.8919446962</v>
          </cell>
          <cell r="AE37">
            <v>4265831.0786787532</v>
          </cell>
          <cell r="AF37">
            <v>4284151.085188915</v>
          </cell>
          <cell r="AG37">
            <v>4306286.6460398547</v>
          </cell>
          <cell r="AH37">
            <v>4290134.1632521274</v>
          </cell>
          <cell r="AI37">
            <v>4284356.7817508355</v>
          </cell>
          <cell r="AJ37">
            <v>4286154.350982097</v>
          </cell>
          <cell r="AK37">
            <v>4290219.405442765</v>
          </cell>
          <cell r="AL37">
            <v>4291433.2694935352</v>
          </cell>
          <cell r="AM37">
            <v>4288462.594184272</v>
          </cell>
          <cell r="AN37">
            <v>4288128.2803707002</v>
          </cell>
          <cell r="AO37">
            <v>4288882.5800946746</v>
          </cell>
          <cell r="AP37">
            <v>4289428.2259171894</v>
          </cell>
        </row>
        <row r="38">
          <cell r="C38">
            <v>2211755</v>
          </cell>
          <cell r="D38">
            <v>2657742</v>
          </cell>
          <cell r="E38">
            <v>4789267</v>
          </cell>
          <cell r="F38">
            <v>5759471</v>
          </cell>
          <cell r="G38">
            <v>19801586</v>
          </cell>
          <cell r="H38">
            <v>34059686</v>
          </cell>
          <cell r="I38">
            <v>20854252</v>
          </cell>
          <cell r="J38">
            <v>15936188</v>
          </cell>
          <cell r="K38">
            <v>21520142</v>
          </cell>
          <cell r="L38">
            <v>18683140</v>
          </cell>
          <cell r="M38">
            <v>17336621</v>
          </cell>
          <cell r="N38">
            <v>29873220</v>
          </cell>
          <cell r="O38">
            <v>34964458</v>
          </cell>
          <cell r="P38">
            <v>50717206</v>
          </cell>
          <cell r="Q38">
            <v>32480444.956097625</v>
          </cell>
          <cell r="R38">
            <v>18300201.315653235</v>
          </cell>
          <cell r="S38">
            <v>19590947.583573449</v>
          </cell>
          <cell r="T38">
            <v>20696940.348730329</v>
          </cell>
          <cell r="U38">
            <v>22743163.925226785</v>
          </cell>
          <cell r="V38">
            <v>22373239.803192075</v>
          </cell>
          <cell r="W38">
            <v>20545229.740602769</v>
          </cell>
          <cell r="X38">
            <v>18639267.653936878</v>
          </cell>
          <cell r="Y38">
            <v>17663188.284957003</v>
          </cell>
          <cell r="Z38">
            <v>17323995.77318953</v>
          </cell>
          <cell r="AA38">
            <v>15682423.757300021</v>
          </cell>
          <cell r="AB38">
            <v>12766157.024369624</v>
          </cell>
          <cell r="AC38">
            <v>10812279.729715971</v>
          </cell>
          <cell r="AD38">
            <v>8850760.2798117809</v>
          </cell>
          <cell r="AE38">
            <v>7379956.7553819856</v>
          </cell>
          <cell r="AF38">
            <v>7366138.6123777954</v>
          </cell>
          <cell r="AG38">
            <v>7371139.4377589291</v>
          </cell>
          <cell r="AH38">
            <v>7372990.6732434928</v>
          </cell>
          <cell r="AI38">
            <v>7373268.2997257663</v>
          </cell>
          <cell r="AJ38">
            <v>7372701.1556975935</v>
          </cell>
          <cell r="AK38">
            <v>7371250.435760716</v>
          </cell>
          <cell r="AL38">
            <v>7372273.0004373007</v>
          </cell>
          <cell r="AM38">
            <v>7372499.7129729744</v>
          </cell>
          <cell r="AN38">
            <v>7372401.5209188703</v>
          </cell>
          <cell r="AO38">
            <v>7372228.1651574913</v>
          </cell>
          <cell r="AP38">
            <v>7372133.5670494707</v>
          </cell>
        </row>
        <row r="39">
          <cell r="C39">
            <v>2249922</v>
          </cell>
          <cell r="D39">
            <v>2132126</v>
          </cell>
          <cell r="E39">
            <v>10033114</v>
          </cell>
          <cell r="F39">
            <v>7796210</v>
          </cell>
          <cell r="G39">
            <v>18863894</v>
          </cell>
          <cell r="H39">
            <v>47584612</v>
          </cell>
          <cell r="I39">
            <v>39031612</v>
          </cell>
          <cell r="J39">
            <v>16056827</v>
          </cell>
          <cell r="K39">
            <v>15655745</v>
          </cell>
          <cell r="L39">
            <v>18646666</v>
          </cell>
          <cell r="M39">
            <v>13326443</v>
          </cell>
          <cell r="N39">
            <v>11776660</v>
          </cell>
          <cell r="O39">
            <v>39419838</v>
          </cell>
          <cell r="P39">
            <v>35451412</v>
          </cell>
          <cell r="Q39">
            <v>25832523.487314109</v>
          </cell>
          <cell r="R39">
            <v>14129246.030895434</v>
          </cell>
          <cell r="S39">
            <v>15132840.116583182</v>
          </cell>
          <cell r="T39">
            <v>17509333.059616942</v>
          </cell>
          <cell r="U39">
            <v>17634475.568807781</v>
          </cell>
          <cell r="V39">
            <v>17739176.239777789</v>
          </cell>
          <cell r="W39">
            <v>16274023.503106639</v>
          </cell>
          <cell r="X39">
            <v>14828769.641388467</v>
          </cell>
          <cell r="Y39">
            <v>14128448.637650065</v>
          </cell>
          <cell r="Z39">
            <v>13695006.192599883</v>
          </cell>
          <cell r="AA39">
            <v>12453266.877485942</v>
          </cell>
          <cell r="AB39">
            <v>10141351.836928993</v>
          </cell>
          <cell r="AC39">
            <v>8595392.515527986</v>
          </cell>
          <cell r="AD39">
            <v>7034717.8084998121</v>
          </cell>
          <cell r="AE39">
            <v>5855609.2365837544</v>
          </cell>
          <cell r="AF39">
            <v>5851372.3373928964</v>
          </cell>
          <cell r="AG39">
            <v>5856006.8335833512</v>
          </cell>
          <cell r="AH39">
            <v>5857606.6585154943</v>
          </cell>
          <cell r="AI39">
            <v>5856792.7451106356</v>
          </cell>
          <cell r="AJ39">
            <v>5855479.9622372258</v>
          </cell>
          <cell r="AK39">
            <v>5855454.5073679201</v>
          </cell>
          <cell r="AL39">
            <v>5856271.141362926</v>
          </cell>
          <cell r="AM39">
            <v>5856324.0029188395</v>
          </cell>
          <cell r="AN39">
            <v>5856067.4717995096</v>
          </cell>
          <cell r="AO39">
            <v>5855922.4171372848</v>
          </cell>
          <cell r="AP39">
            <v>5856010.9081172952</v>
          </cell>
        </row>
        <row r="40">
          <cell r="C40">
            <v>3510101</v>
          </cell>
          <cell r="D40">
            <v>5877535</v>
          </cell>
          <cell r="E40">
            <v>14747164</v>
          </cell>
          <cell r="F40">
            <v>10072934</v>
          </cell>
          <cell r="G40">
            <v>25511910</v>
          </cell>
          <cell r="H40">
            <v>73601957</v>
          </cell>
          <cell r="I40">
            <v>83762771</v>
          </cell>
          <cell r="J40">
            <v>12234295</v>
          </cell>
          <cell r="K40">
            <v>19389140</v>
          </cell>
          <cell r="L40">
            <v>16749201</v>
          </cell>
          <cell r="M40">
            <v>17588416</v>
          </cell>
          <cell r="N40">
            <v>19314836</v>
          </cell>
          <cell r="O40">
            <v>41179873</v>
          </cell>
          <cell r="P40">
            <v>39789929</v>
          </cell>
          <cell r="Q40">
            <v>28821440.119581573</v>
          </cell>
          <cell r="R40">
            <v>16219458.665915268</v>
          </cell>
          <cell r="S40">
            <v>17097748.13535852</v>
          </cell>
          <cell r="T40">
            <v>18973260.072930049</v>
          </cell>
          <cell r="U40">
            <v>19359504.85724223</v>
          </cell>
          <cell r="V40">
            <v>19750790.363877229</v>
          </cell>
          <cell r="W40">
            <v>18107698.150960274</v>
          </cell>
          <cell r="X40">
            <v>16411953.981731458</v>
          </cell>
          <cell r="Y40">
            <v>15578109.660573293</v>
          </cell>
          <cell r="Z40">
            <v>15156708.716036197</v>
          </cell>
          <cell r="AA40">
            <v>13807961.157064522</v>
          </cell>
          <cell r="AB40">
            <v>11232913.788663989</v>
          </cell>
          <cell r="AC40">
            <v>9509749.9442486707</v>
          </cell>
          <cell r="AD40">
            <v>7782370.7205202654</v>
          </cell>
          <cell r="AE40">
            <v>6483801.2398346225</v>
          </cell>
          <cell r="AF40">
            <v>6480105.776592752</v>
          </cell>
          <cell r="AG40">
            <v>6482647.1046656715</v>
          </cell>
          <cell r="AH40">
            <v>6483296.5504462328</v>
          </cell>
          <cell r="AI40">
            <v>6483121.3061652966</v>
          </cell>
          <cell r="AJ40">
            <v>6482596.7955409149</v>
          </cell>
          <cell r="AK40">
            <v>6482356.3066821732</v>
          </cell>
          <cell r="AL40">
            <v>6482806.6127000581</v>
          </cell>
          <cell r="AM40">
            <v>6482838.5143069355</v>
          </cell>
          <cell r="AN40">
            <v>6482746.9070790755</v>
          </cell>
          <cell r="AO40">
            <v>6482672.0272618309</v>
          </cell>
          <cell r="AP40">
            <v>6482687.0736060143</v>
          </cell>
        </row>
        <row r="41">
          <cell r="C41">
            <v>2521122</v>
          </cell>
          <cell r="D41">
            <v>2650483</v>
          </cell>
          <cell r="E41">
            <v>6520032</v>
          </cell>
          <cell r="F41">
            <v>24687905</v>
          </cell>
          <cell r="G41">
            <v>50409126</v>
          </cell>
          <cell r="H41">
            <v>41162765</v>
          </cell>
          <cell r="I41">
            <v>54630838</v>
          </cell>
          <cell r="J41">
            <v>5311333</v>
          </cell>
          <cell r="K41">
            <v>16326425</v>
          </cell>
          <cell r="L41">
            <v>19995093</v>
          </cell>
          <cell r="M41">
            <v>15382342</v>
          </cell>
          <cell r="N41">
            <v>8715707</v>
          </cell>
          <cell r="O41">
            <v>30319251</v>
          </cell>
          <cell r="P41">
            <v>22459889</v>
          </cell>
          <cell r="Q41">
            <v>23596223.259005353</v>
          </cell>
          <cell r="R41">
            <v>11284069.686876141</v>
          </cell>
          <cell r="S41">
            <v>11519100.194899365</v>
          </cell>
          <cell r="T41">
            <v>13361585.681085302</v>
          </cell>
          <cell r="U41">
            <v>13418325.162611175</v>
          </cell>
          <cell r="V41">
            <v>14385675.142247684</v>
          </cell>
          <cell r="W41">
            <v>12673055.407755783</v>
          </cell>
          <cell r="X41">
            <v>11498121.20540173</v>
          </cell>
          <cell r="Y41">
            <v>10991231.091437666</v>
          </cell>
          <cell r="Z41">
            <v>10698176.118111124</v>
          </cell>
          <cell r="AA41">
            <v>9786194.3496371973</v>
          </cell>
          <cell r="AB41">
            <v>7906099.6310433391</v>
          </cell>
          <cell r="AC41">
            <v>6702731.0940352287</v>
          </cell>
          <cell r="AD41">
            <v>5493508.4842169667</v>
          </cell>
          <cell r="AE41">
            <v>4577448.4598169765</v>
          </cell>
          <cell r="AF41">
            <v>4575130.3564712005</v>
          </cell>
          <cell r="AG41">
            <v>4571080.9414974544</v>
          </cell>
          <cell r="AH41">
            <v>4574100.8828302054</v>
          </cell>
          <cell r="AI41">
            <v>4575245.870160155</v>
          </cell>
          <cell r="AJ41">
            <v>4574603.702155198</v>
          </cell>
          <cell r="AK41">
            <v>4574035.1506228428</v>
          </cell>
          <cell r="AL41">
            <v>4573816.3094531717</v>
          </cell>
          <cell r="AM41">
            <v>4574363.3830443155</v>
          </cell>
          <cell r="AN41">
            <v>4574415.8830871377</v>
          </cell>
          <cell r="AO41">
            <v>4574249.885672532</v>
          </cell>
          <cell r="AP41">
            <v>4574179.1223760005</v>
          </cell>
        </row>
        <row r="42">
          <cell r="C42">
            <v>2583842</v>
          </cell>
          <cell r="D42">
            <v>3399417</v>
          </cell>
          <cell r="E42">
            <v>17424036</v>
          </cell>
          <cell r="F42">
            <v>13829568</v>
          </cell>
          <cell r="G42">
            <v>47655602</v>
          </cell>
          <cell r="H42">
            <v>64517887</v>
          </cell>
          <cell r="I42">
            <v>52041080</v>
          </cell>
          <cell r="J42">
            <v>13020993</v>
          </cell>
          <cell r="K42">
            <v>8822166</v>
          </cell>
          <cell r="L42">
            <v>16351622</v>
          </cell>
          <cell r="M42">
            <v>11048139</v>
          </cell>
          <cell r="N42">
            <v>15269993</v>
          </cell>
          <cell r="O42">
            <v>44239929</v>
          </cell>
          <cell r="P42">
            <v>24497122</v>
          </cell>
          <cell r="Q42">
            <v>25261458.307057053</v>
          </cell>
          <cell r="R42">
            <v>13512643.140852682</v>
          </cell>
          <cell r="S42">
            <v>14675240.080099355</v>
          </cell>
          <cell r="T42">
            <v>16461263.351296833</v>
          </cell>
          <cell r="U42">
            <v>15407202.705206882</v>
          </cell>
          <cell r="V42">
            <v>16771876.704647817</v>
          </cell>
          <cell r="W42">
            <v>15220686.279473348</v>
          </cell>
          <cell r="X42">
            <v>13816565.863831114</v>
          </cell>
          <cell r="Y42">
            <v>13067258.955889791</v>
          </cell>
          <cell r="Z42">
            <v>12620998.387459774</v>
          </cell>
          <cell r="AA42">
            <v>11613788.619906897</v>
          </cell>
          <cell r="AB42">
            <v>9425255.468691716</v>
          </cell>
          <cell r="AC42">
            <v>7975838.8054320021</v>
          </cell>
          <cell r="AD42">
            <v>6520904.1342572393</v>
          </cell>
          <cell r="AE42">
            <v>5431216.4002722884</v>
          </cell>
          <cell r="AF42">
            <v>5438097.800251347</v>
          </cell>
          <cell r="AG42">
            <v>5436142.5951413428</v>
          </cell>
          <cell r="AH42">
            <v>5435683.30623898</v>
          </cell>
          <cell r="AI42">
            <v>5435010.3146463837</v>
          </cell>
          <cell r="AJ42">
            <v>5435232.483310068</v>
          </cell>
          <cell r="AK42">
            <v>5436036.0999176232</v>
          </cell>
          <cell r="AL42">
            <v>5435623.9598508794</v>
          </cell>
          <cell r="AM42">
            <v>5435520.2327927873</v>
          </cell>
          <cell r="AN42">
            <v>5435487.6181035489</v>
          </cell>
          <cell r="AO42">
            <v>5435583.0787949814</v>
          </cell>
          <cell r="AP42">
            <v>5435653.1978919646</v>
          </cell>
        </row>
        <row r="43">
          <cell r="C43">
            <v>4644979</v>
          </cell>
          <cell r="D43">
            <v>4003665</v>
          </cell>
          <cell r="E43">
            <v>20231679</v>
          </cell>
          <cell r="F43">
            <v>21700223</v>
          </cell>
          <cell r="G43">
            <v>24990488</v>
          </cell>
          <cell r="H43">
            <v>90173986</v>
          </cell>
          <cell r="I43">
            <v>27897293</v>
          </cell>
          <cell r="J43">
            <v>11814679</v>
          </cell>
          <cell r="K43">
            <v>14859020</v>
          </cell>
          <cell r="L43">
            <v>14054214</v>
          </cell>
          <cell r="M43">
            <v>11792295</v>
          </cell>
          <cell r="N43">
            <v>19091391</v>
          </cell>
          <cell r="O43">
            <v>42614486</v>
          </cell>
          <cell r="P43">
            <v>26648068</v>
          </cell>
          <cell r="Q43">
            <v>26401629.575841647</v>
          </cell>
          <cell r="R43">
            <v>13971002.642596131</v>
          </cell>
          <cell r="S43">
            <v>15128884.448407082</v>
          </cell>
          <cell r="T43">
            <v>16518882.187209332</v>
          </cell>
          <cell r="U43">
            <v>16102549.226461956</v>
          </cell>
          <cell r="V43">
            <v>17323314.579930529</v>
          </cell>
          <cell r="W43">
            <v>15659785.799780242</v>
          </cell>
          <cell r="X43">
            <v>14203101.00549994</v>
          </cell>
          <cell r="Y43">
            <v>13425583.087662391</v>
          </cell>
          <cell r="Z43">
            <v>13033988.735323919</v>
          </cell>
          <cell r="AA43">
            <v>11962765.19117921</v>
          </cell>
          <cell r="AB43">
            <v>9701725.7885551285</v>
          </cell>
          <cell r="AC43">
            <v>8210764.0944961254</v>
          </cell>
          <cell r="AD43">
            <v>6715409.8288072972</v>
          </cell>
          <cell r="AE43">
            <v>5596765.4479355272</v>
          </cell>
          <cell r="AF43">
            <v>5600101.3740230026</v>
          </cell>
          <cell r="AG43">
            <v>5597619.7709089192</v>
          </cell>
          <cell r="AH43">
            <v>5597764.6205007415</v>
          </cell>
          <cell r="AI43">
            <v>5597628.9311875934</v>
          </cell>
          <cell r="AJ43">
            <v>5597978.428911157</v>
          </cell>
          <cell r="AK43">
            <v>5598221.4251062823</v>
          </cell>
          <cell r="AL43">
            <v>5597845.6353229387</v>
          </cell>
          <cell r="AM43">
            <v>5597890.8082057433</v>
          </cell>
          <cell r="AN43">
            <v>5597916.0457467427</v>
          </cell>
          <cell r="AO43">
            <v>5597973.468658573</v>
          </cell>
          <cell r="AP43">
            <v>5597972.4766080566</v>
          </cell>
        </row>
        <row r="44">
          <cell r="C44">
            <v>4553366</v>
          </cell>
          <cell r="D44">
            <v>1813495</v>
          </cell>
          <cell r="E44">
            <v>21399710</v>
          </cell>
          <cell r="F44">
            <v>21877641</v>
          </cell>
          <cell r="G44">
            <v>49009535</v>
          </cell>
          <cell r="H44">
            <v>66892361</v>
          </cell>
          <cell r="I44">
            <v>36685627</v>
          </cell>
          <cell r="J44">
            <v>20321432</v>
          </cell>
          <cell r="K44">
            <v>13781446</v>
          </cell>
          <cell r="L44">
            <v>15282502</v>
          </cell>
          <cell r="M44">
            <v>17888148</v>
          </cell>
          <cell r="N44">
            <v>17330959</v>
          </cell>
          <cell r="O44">
            <v>57044013</v>
          </cell>
          <cell r="P44">
            <v>26663796</v>
          </cell>
          <cell r="Q44">
            <v>28227264.88046572</v>
          </cell>
          <cell r="R44">
            <v>16526740.701209962</v>
          </cell>
          <cell r="S44">
            <v>17425671.885121524</v>
          </cell>
          <cell r="T44">
            <v>19654335.35357222</v>
          </cell>
          <cell r="U44">
            <v>17706683.433902681</v>
          </cell>
          <cell r="V44">
            <v>19567829.178190242</v>
          </cell>
          <cell r="W44">
            <v>18004778.033886127</v>
          </cell>
          <cell r="X44">
            <v>16248394.998229472</v>
          </cell>
          <cell r="Y44">
            <v>15339031.569720125</v>
          </cell>
          <cell r="Z44">
            <v>14758908.264502438</v>
          </cell>
          <cell r="AA44">
            <v>13631503.276268573</v>
          </cell>
          <cell r="AB44">
            <v>11079497.375452325</v>
          </cell>
          <cell r="AC44">
            <v>9360846.5907293689</v>
          </cell>
          <cell r="AD44">
            <v>7649378.5919212643</v>
          </cell>
          <cell r="AE44">
            <v>6369939.9359632293</v>
          </cell>
          <cell r="AF44">
            <v>6383783.0668585962</v>
          </cell>
          <cell r="AG44">
            <v>6381788.3688944969</v>
          </cell>
          <cell r="AH44">
            <v>6378660.3919471093</v>
          </cell>
          <cell r="AI44">
            <v>6377607.6453047507</v>
          </cell>
          <cell r="AJ44">
            <v>6378358.2817936363</v>
          </cell>
          <cell r="AK44">
            <v>6380042.3509597173</v>
          </cell>
          <cell r="AL44">
            <v>6379294.4077799413</v>
          </cell>
          <cell r="AM44">
            <v>6378795.6155570317</v>
          </cell>
          <cell r="AN44">
            <v>6378822.6602790151</v>
          </cell>
          <cell r="AO44">
            <v>6379065.6632738682</v>
          </cell>
          <cell r="AP44">
            <v>6379207.139569913</v>
          </cell>
        </row>
        <row r="45">
          <cell r="C45">
            <v>3194691</v>
          </cell>
          <cell r="D45">
            <v>809682</v>
          </cell>
          <cell r="E45">
            <v>29530582</v>
          </cell>
          <cell r="F45">
            <v>32014643</v>
          </cell>
          <cell r="G45">
            <v>29950806</v>
          </cell>
          <cell r="H45">
            <v>85678433</v>
          </cell>
          <cell r="I45">
            <v>24382225</v>
          </cell>
          <cell r="J45">
            <v>12920360</v>
          </cell>
          <cell r="K45">
            <v>15235613</v>
          </cell>
          <cell r="L45">
            <v>21944490</v>
          </cell>
          <cell r="M45">
            <v>21482583</v>
          </cell>
          <cell r="N45">
            <v>33817396</v>
          </cell>
          <cell r="O45">
            <v>42541477</v>
          </cell>
          <cell r="P45">
            <v>22975700</v>
          </cell>
          <cell r="Q45">
            <v>29089714.154138416</v>
          </cell>
          <cell r="R45">
            <v>16835892.514531154</v>
          </cell>
          <cell r="S45">
            <v>17362014.362543028</v>
          </cell>
          <cell r="T45">
            <v>17352911.870414302</v>
          </cell>
          <cell r="U45">
            <v>16910017.396205623</v>
          </cell>
          <cell r="V45">
            <v>19176603.90470212</v>
          </cell>
          <cell r="W45">
            <v>17362134.349210575</v>
          </cell>
          <cell r="X45">
            <v>15510277.368318863</v>
          </cell>
          <cell r="Y45">
            <v>14519766.429900246</v>
          </cell>
          <cell r="Z45">
            <v>14183291.168406844</v>
          </cell>
          <cell r="AA45">
            <v>13117088.035823537</v>
          </cell>
          <cell r="AB45">
            <v>10612057.328651156</v>
          </cell>
          <cell r="AC45">
            <v>8950506.3909234386</v>
          </cell>
          <cell r="AD45">
            <v>7317144.1613688348</v>
          </cell>
          <cell r="AE45">
            <v>6110536.1374256182</v>
          </cell>
          <cell r="AF45">
            <v>6120442.3080786616</v>
          </cell>
          <cell r="AG45">
            <v>6111044.7385074543</v>
          </cell>
          <cell r="AH45">
            <v>6107590.4828771772</v>
          </cell>
          <cell r="AI45">
            <v>6108993.6977418736</v>
          </cell>
          <cell r="AJ45">
            <v>6111723.872926157</v>
          </cell>
          <cell r="AK45">
            <v>6111961.8200262645</v>
          </cell>
          <cell r="AL45">
            <v>6110265.9224157846</v>
          </cell>
          <cell r="AM45">
            <v>6110110.1591974506</v>
          </cell>
          <cell r="AN45">
            <v>6110614.0944615062</v>
          </cell>
          <cell r="AO45">
            <v>6110938.1738054315</v>
          </cell>
          <cell r="AP45">
            <v>6110781.0339812879</v>
          </cell>
        </row>
        <row r="46">
          <cell r="C46">
            <v>10389680</v>
          </cell>
          <cell r="D46">
            <v>732245</v>
          </cell>
          <cell r="E46">
            <v>45701773</v>
          </cell>
          <cell r="F46">
            <v>24806004</v>
          </cell>
          <cell r="G46">
            <v>42379836</v>
          </cell>
          <cell r="H46">
            <v>126187081</v>
          </cell>
          <cell r="I46">
            <v>31116816</v>
          </cell>
          <cell r="J46">
            <v>29600921</v>
          </cell>
          <cell r="K46">
            <v>24318415</v>
          </cell>
          <cell r="L46">
            <v>24004702</v>
          </cell>
          <cell r="M46">
            <v>51260934</v>
          </cell>
          <cell r="N46">
            <v>43008881</v>
          </cell>
          <cell r="O46">
            <v>68856138</v>
          </cell>
          <cell r="P46">
            <v>31390220</v>
          </cell>
          <cell r="Q46">
            <v>106843258.26049849</v>
          </cell>
          <cell r="R46">
            <v>33366679.173276901</v>
          </cell>
          <cell r="S46">
            <v>33371316.260606855</v>
          </cell>
          <cell r="T46">
            <v>36316520.923465073</v>
          </cell>
          <cell r="U46">
            <v>39377847.198489517</v>
          </cell>
          <cell r="V46">
            <v>49002900.015177369</v>
          </cell>
          <cell r="W46">
            <v>37925854.103691757</v>
          </cell>
          <cell r="X46">
            <v>34480503.069696128</v>
          </cell>
          <cell r="Y46">
            <v>33157619.211115479</v>
          </cell>
          <cell r="Z46">
            <v>32951773.426873595</v>
          </cell>
          <cell r="AA46">
            <v>30459882.205328599</v>
          </cell>
          <cell r="AB46">
            <v>24007466.843903512</v>
          </cell>
          <cell r="AC46">
            <v>20426702.902108863</v>
          </cell>
          <cell r="AD46">
            <v>16808357.633165181</v>
          </cell>
          <cell r="AE46">
            <v>14058742.444892451</v>
          </cell>
          <cell r="AF46">
            <v>14039090.977353789</v>
          </cell>
          <cell r="AG46">
            <v>13959431.375222467</v>
          </cell>
          <cell r="AH46">
            <v>13992764.294013426</v>
          </cell>
          <cell r="AI46">
            <v>14011230.023970641</v>
          </cell>
          <cell r="AJ46">
            <v>14012254.223090559</v>
          </cell>
          <cell r="AK46">
            <v>14002956.978730187</v>
          </cell>
          <cell r="AL46">
            <v>13995730.379005454</v>
          </cell>
          <cell r="AM46">
            <v>14002990.179762051</v>
          </cell>
          <cell r="AN46">
            <v>14005035.356911778</v>
          </cell>
          <cell r="AO46">
            <v>14003796.423500009</v>
          </cell>
          <cell r="AP46">
            <v>14002104.863581896</v>
          </cell>
        </row>
        <row r="47">
          <cell r="Q47">
            <v>340000000</v>
          </cell>
          <cell r="R47">
            <v>190000000</v>
          </cell>
          <cell r="S47">
            <v>200000000</v>
          </cell>
          <cell r="T47">
            <v>220000000</v>
          </cell>
          <cell r="U47">
            <v>220000000</v>
          </cell>
          <cell r="V47">
            <v>230000000</v>
          </cell>
          <cell r="W47">
            <v>210000000</v>
          </cell>
          <cell r="X47">
            <v>190000000</v>
          </cell>
          <cell r="Y47">
            <v>180000000</v>
          </cell>
          <cell r="Z47">
            <v>175000000</v>
          </cell>
          <cell r="AA47">
            <v>160000000</v>
          </cell>
          <cell r="AB47">
            <v>130000000</v>
          </cell>
          <cell r="AC47">
            <v>110000000</v>
          </cell>
          <cell r="AD47">
            <v>90000000</v>
          </cell>
          <cell r="AE47">
            <v>75000000</v>
          </cell>
          <cell r="AF47">
            <v>75000000</v>
          </cell>
          <cell r="AG47">
            <v>75000000</v>
          </cell>
          <cell r="AH47">
            <v>75000012</v>
          </cell>
          <cell r="AI47">
            <v>75000024</v>
          </cell>
          <cell r="AJ47">
            <v>75000036</v>
          </cell>
          <cell r="AK47">
            <v>75000048</v>
          </cell>
          <cell r="AL47">
            <v>75000060</v>
          </cell>
          <cell r="AM47">
            <v>75000072</v>
          </cell>
          <cell r="AN47">
            <v>75000084</v>
          </cell>
          <cell r="AO47">
            <v>75000096</v>
          </cell>
          <cell r="AP47">
            <v>75000108</v>
          </cell>
        </row>
        <row r="83">
          <cell r="C83">
            <v>4427855</v>
          </cell>
          <cell r="D83">
            <v>4217364</v>
          </cell>
          <cell r="E83">
            <v>1278753</v>
          </cell>
          <cell r="F83">
            <v>10328729</v>
          </cell>
          <cell r="G83">
            <v>17504679</v>
          </cell>
          <cell r="H83">
            <v>11758144</v>
          </cell>
          <cell r="I83">
            <v>18560535</v>
          </cell>
          <cell r="J83">
            <v>13680652</v>
          </cell>
          <cell r="K83">
            <v>36487021</v>
          </cell>
          <cell r="L83">
            <v>41857492</v>
          </cell>
          <cell r="M83">
            <v>50374630</v>
          </cell>
          <cell r="N83">
            <v>87010244</v>
          </cell>
          <cell r="O83">
            <v>148278375</v>
          </cell>
          <cell r="P83">
            <v>230210264</v>
          </cell>
          <cell r="Q83">
            <v>217367275</v>
          </cell>
          <cell r="R83">
            <v>173301039.9201065</v>
          </cell>
          <cell r="S83">
            <v>190327727.21764925</v>
          </cell>
          <cell r="T83">
            <v>194312790.4450902</v>
          </cell>
          <cell r="U83">
            <v>196315383.19321719</v>
          </cell>
          <cell r="V83">
            <v>205707631.69478792</v>
          </cell>
          <cell r="W83">
            <v>222782293.77920413</v>
          </cell>
          <cell r="X83">
            <v>264059013.18170139</v>
          </cell>
          <cell r="Y83">
            <v>262890228.64060161</v>
          </cell>
          <cell r="Z83">
            <v>255777133.45371303</v>
          </cell>
          <cell r="AA83">
            <v>270948489.35168308</v>
          </cell>
          <cell r="AB83">
            <v>292548204.23721027</v>
          </cell>
          <cell r="AC83">
            <v>332801022.16583556</v>
          </cell>
          <cell r="AD83">
            <v>367138905.77510345</v>
          </cell>
          <cell r="AE83">
            <v>368537907.28145385</v>
          </cell>
          <cell r="AF83">
            <v>324292401.80549532</v>
          </cell>
          <cell r="AG83">
            <v>342928676.57374358</v>
          </cell>
          <cell r="AH83">
            <v>362474628.86067653</v>
          </cell>
          <cell r="AI83">
            <v>393875036.93947524</v>
          </cell>
          <cell r="AJ83">
            <v>401734178.58368695</v>
          </cell>
          <cell r="AK83">
            <v>399457153.46708328</v>
          </cell>
          <cell r="AL83">
            <v>380775025.91852134</v>
          </cell>
          <cell r="AM83">
            <v>396257812.08964473</v>
          </cell>
          <cell r="AN83">
            <v>410485418.23343176</v>
          </cell>
          <cell r="AO83">
            <v>425327998.7978344</v>
          </cell>
          <cell r="AP83">
            <v>443622958.22248584</v>
          </cell>
        </row>
        <row r="84">
          <cell r="C84">
            <v>962206</v>
          </cell>
          <cell r="D84">
            <v>3189484</v>
          </cell>
          <cell r="E84">
            <v>1292690</v>
          </cell>
          <cell r="F84">
            <v>12293217</v>
          </cell>
          <cell r="G84">
            <v>13481081</v>
          </cell>
          <cell r="H84">
            <v>7354950</v>
          </cell>
          <cell r="I84">
            <v>21042625</v>
          </cell>
          <cell r="J84">
            <v>21604812</v>
          </cell>
          <cell r="K84">
            <v>40173701</v>
          </cell>
          <cell r="L84">
            <v>37300666</v>
          </cell>
          <cell r="M84">
            <v>51175710</v>
          </cell>
          <cell r="N84">
            <v>101396491</v>
          </cell>
          <cell r="O84">
            <v>141070359</v>
          </cell>
          <cell r="P84">
            <v>230073636</v>
          </cell>
          <cell r="Q84">
            <v>186102792</v>
          </cell>
          <cell r="R84">
            <v>188920877.88275504</v>
          </cell>
          <cell r="S84">
            <v>208087458.74720728</v>
          </cell>
          <cell r="T84">
            <v>211940257.3015556</v>
          </cell>
          <cell r="U84">
            <v>214020412.68485782</v>
          </cell>
          <cell r="V84">
            <v>224248992.3909564</v>
          </cell>
          <cell r="W84">
            <v>242941688.091079</v>
          </cell>
          <cell r="X84">
            <v>288186763.80865526</v>
          </cell>
          <cell r="Y84">
            <v>286740408.06441188</v>
          </cell>
          <cell r="Z84">
            <v>278759454.26224506</v>
          </cell>
          <cell r="AA84">
            <v>295300319.29712445</v>
          </cell>
          <cell r="AB84">
            <v>319194658.98223019</v>
          </cell>
          <cell r="AC84">
            <v>363312467.39881754</v>
          </cell>
          <cell r="AD84">
            <v>400787882.50954103</v>
          </cell>
          <cell r="AE84">
            <v>401959953.89041197</v>
          </cell>
          <cell r="AF84">
            <v>353174697.14437717</v>
          </cell>
          <cell r="AG84">
            <v>373708707.81553322</v>
          </cell>
          <cell r="AH84">
            <v>395037232.16588795</v>
          </cell>
          <cell r="AI84">
            <v>429289163.77650756</v>
          </cell>
          <cell r="AJ84">
            <v>437830509.35546809</v>
          </cell>
          <cell r="AK84">
            <v>435329697.64782506</v>
          </cell>
          <cell r="AL84">
            <v>414752077.1269027</v>
          </cell>
          <cell r="AM84">
            <v>431912772.61670196</v>
          </cell>
          <cell r="AN84">
            <v>447408531.64359641</v>
          </cell>
          <cell r="AO84">
            <v>463586697.81772697</v>
          </cell>
          <cell r="AP84">
            <v>483711987.43685955</v>
          </cell>
        </row>
        <row r="85">
          <cell r="C85">
            <v>3151383</v>
          </cell>
          <cell r="D85">
            <v>5354270</v>
          </cell>
          <cell r="E85">
            <v>1874493</v>
          </cell>
          <cell r="F85">
            <v>14953326</v>
          </cell>
          <cell r="G85">
            <v>16109924</v>
          </cell>
          <cell r="H85">
            <v>17925081</v>
          </cell>
          <cell r="I85">
            <v>15856580</v>
          </cell>
          <cell r="J85">
            <v>25067979</v>
          </cell>
          <cell r="K85">
            <v>35740265</v>
          </cell>
          <cell r="L85">
            <v>45226785</v>
          </cell>
          <cell r="M85">
            <v>59222033</v>
          </cell>
          <cell r="N85">
            <v>110055959</v>
          </cell>
          <cell r="O85">
            <v>184173779</v>
          </cell>
          <cell r="P85">
            <v>215237303</v>
          </cell>
          <cell r="Q85">
            <v>229398492</v>
          </cell>
          <cell r="R85">
            <v>201085525.47234574</v>
          </cell>
          <cell r="S85">
            <v>222329447.36161846</v>
          </cell>
          <cell r="T85">
            <v>227264879.74707708</v>
          </cell>
          <cell r="U85">
            <v>228578264.88394293</v>
          </cell>
          <cell r="V85">
            <v>239817437.50720793</v>
          </cell>
          <cell r="W85">
            <v>259740557.4406063</v>
          </cell>
          <cell r="X85">
            <v>308028345.58673579</v>
          </cell>
          <cell r="Y85">
            <v>306627190.56984639</v>
          </cell>
          <cell r="Z85">
            <v>298274996.33242476</v>
          </cell>
          <cell r="AA85">
            <v>316042904.1115849</v>
          </cell>
          <cell r="AB85">
            <v>341122710.72358978</v>
          </cell>
          <cell r="AC85">
            <v>387999393.02523911</v>
          </cell>
          <cell r="AD85">
            <v>428003408.27289242</v>
          </cell>
          <cell r="AE85">
            <v>429759633.69802207</v>
          </cell>
          <cell r="AF85">
            <v>378387410.96765256</v>
          </cell>
          <cell r="AG85">
            <v>400041962.07578814</v>
          </cell>
          <cell r="AH85">
            <v>422830876.71840817</v>
          </cell>
          <cell r="AI85">
            <v>459441787.41338158</v>
          </cell>
          <cell r="AJ85">
            <v>468618846.21794415</v>
          </cell>
          <cell r="AK85">
            <v>465973457.87264115</v>
          </cell>
          <cell r="AL85">
            <v>444266293.48293</v>
          </cell>
          <cell r="AM85">
            <v>462213116.95904553</v>
          </cell>
          <cell r="AN85">
            <v>478812916.39649665</v>
          </cell>
          <cell r="AO85">
            <v>496126292.14758509</v>
          </cell>
          <cell r="AP85">
            <v>517394201.78451204</v>
          </cell>
        </row>
        <row r="86">
          <cell r="C86">
            <v>1966907</v>
          </cell>
          <cell r="D86">
            <v>3552348</v>
          </cell>
          <cell r="E86">
            <v>1673823</v>
          </cell>
          <cell r="F86">
            <v>13676328</v>
          </cell>
          <cell r="G86">
            <v>15732656</v>
          </cell>
          <cell r="H86">
            <v>21253081</v>
          </cell>
          <cell r="I86">
            <v>20403202</v>
          </cell>
          <cell r="J86">
            <v>25750984</v>
          </cell>
          <cell r="K86">
            <v>38557434</v>
          </cell>
          <cell r="L86">
            <v>38638856</v>
          </cell>
          <cell r="M86">
            <v>50634433</v>
          </cell>
          <cell r="N86">
            <v>106480662</v>
          </cell>
          <cell r="O86">
            <v>174407540</v>
          </cell>
          <cell r="P86">
            <v>283189357</v>
          </cell>
          <cell r="Q86">
            <v>201331356.4815461</v>
          </cell>
          <cell r="R86">
            <v>193344202.49970382</v>
          </cell>
          <cell r="S86">
            <v>213396859.74068043</v>
          </cell>
          <cell r="T86">
            <v>217371467.25445896</v>
          </cell>
          <cell r="U86">
            <v>218955341.14504278</v>
          </cell>
          <cell r="V86">
            <v>229462278.14924833</v>
          </cell>
          <cell r="W86">
            <v>248826445.36842561</v>
          </cell>
          <cell r="X86">
            <v>295175326.88767368</v>
          </cell>
          <cell r="Y86">
            <v>293643197.48746473</v>
          </cell>
          <cell r="Z86">
            <v>285421262.34656847</v>
          </cell>
          <cell r="AA86">
            <v>302397508.53541154</v>
          </cell>
          <cell r="AB86">
            <v>326861443.74999732</v>
          </cell>
          <cell r="AC86">
            <v>372006049.33358061</v>
          </cell>
          <cell r="AD86">
            <v>410359869.85578811</v>
          </cell>
          <cell r="AE86">
            <v>411597041.79497296</v>
          </cell>
          <cell r="AF86">
            <v>361716665.73921573</v>
          </cell>
          <cell r="AG86">
            <v>382721970.09857023</v>
          </cell>
          <cell r="AH86">
            <v>404557748.23663205</v>
          </cell>
          <cell r="AI86">
            <v>439628319.67919081</v>
          </cell>
          <cell r="AJ86">
            <v>448378916.80213147</v>
          </cell>
          <cell r="AK86">
            <v>445822220.49405354</v>
          </cell>
          <cell r="AL86">
            <v>424775437.69649988</v>
          </cell>
          <cell r="AM86">
            <v>442313554.22764301</v>
          </cell>
          <cell r="AN86">
            <v>458183683.48848301</v>
          </cell>
          <cell r="AO86">
            <v>474751720.2714451</v>
          </cell>
          <cell r="AP86">
            <v>495339261.25581235</v>
          </cell>
        </row>
        <row r="87">
          <cell r="C87">
            <v>7525643</v>
          </cell>
          <cell r="D87">
            <v>3766248</v>
          </cell>
          <cell r="E87">
            <v>2792467</v>
          </cell>
          <cell r="F87">
            <v>16218844</v>
          </cell>
          <cell r="G87">
            <v>15741162</v>
          </cell>
          <cell r="H87">
            <v>21933497</v>
          </cell>
          <cell r="I87">
            <v>24392752</v>
          </cell>
          <cell r="J87">
            <v>21508247</v>
          </cell>
          <cell r="K87">
            <v>40382855</v>
          </cell>
          <cell r="L87">
            <v>46421171</v>
          </cell>
          <cell r="M87">
            <v>60051437</v>
          </cell>
          <cell r="N87">
            <v>136075722</v>
          </cell>
          <cell r="O87">
            <v>229265334</v>
          </cell>
          <cell r="P87">
            <v>220402735</v>
          </cell>
          <cell r="Q87">
            <v>198336988.21685207</v>
          </cell>
          <cell r="R87">
            <v>216099681.58198112</v>
          </cell>
          <cell r="S87">
            <v>238853185.10802394</v>
          </cell>
          <cell r="T87">
            <v>242702114.27576911</v>
          </cell>
          <cell r="U87">
            <v>244000037.58973342</v>
          </cell>
          <cell r="V87">
            <v>256351694.14983538</v>
          </cell>
          <cell r="W87">
            <v>277936054.80820769</v>
          </cell>
          <cell r="X87">
            <v>329674933.86319137</v>
          </cell>
          <cell r="Y87">
            <v>327838041.39430302</v>
          </cell>
          <cell r="Z87">
            <v>318640962.61132663</v>
          </cell>
          <cell r="AA87">
            <v>337697976.64706576</v>
          </cell>
          <cell r="AB87">
            <v>365006830.42158008</v>
          </cell>
          <cell r="AC87">
            <v>415410348.78232515</v>
          </cell>
          <cell r="AD87">
            <v>458223615.86661655</v>
          </cell>
          <cell r="AE87">
            <v>459599408.71388924</v>
          </cell>
          <cell r="AF87">
            <v>403891971.94833112</v>
          </cell>
          <cell r="AG87">
            <v>427348987.91155642</v>
          </cell>
          <cell r="AH87">
            <v>451728709.96381629</v>
          </cell>
          <cell r="AI87">
            <v>490889319.8509407</v>
          </cell>
          <cell r="AJ87">
            <v>500661953.8854807</v>
          </cell>
          <cell r="AK87">
            <v>497807396.27595097</v>
          </cell>
          <cell r="AL87">
            <v>474295541.19663417</v>
          </cell>
          <cell r="AM87">
            <v>493890684.47622216</v>
          </cell>
          <cell r="AN87">
            <v>511611135.12325239</v>
          </cell>
          <cell r="AO87">
            <v>530111591.03694379</v>
          </cell>
          <cell r="AP87">
            <v>553107719.81817889</v>
          </cell>
        </row>
        <row r="88">
          <cell r="C88">
            <v>4563727</v>
          </cell>
          <cell r="D88">
            <v>3592628</v>
          </cell>
          <cell r="E88">
            <v>7255975</v>
          </cell>
          <cell r="F88">
            <v>15664923</v>
          </cell>
          <cell r="G88">
            <v>14419983</v>
          </cell>
          <cell r="H88">
            <v>22569322</v>
          </cell>
          <cell r="I88">
            <v>17747238</v>
          </cell>
          <cell r="J88">
            <v>12384025</v>
          </cell>
          <cell r="K88">
            <v>39760652</v>
          </cell>
          <cell r="L88">
            <v>53207936</v>
          </cell>
          <cell r="M88">
            <v>68859545</v>
          </cell>
          <cell r="N88">
            <v>116253275</v>
          </cell>
          <cell r="O88">
            <v>202490999</v>
          </cell>
          <cell r="P88">
            <v>282589564</v>
          </cell>
          <cell r="Q88">
            <v>195595310.42807597</v>
          </cell>
          <cell r="R88">
            <v>215722928.55995023</v>
          </cell>
          <cell r="S88">
            <v>238366010.68480831</v>
          </cell>
          <cell r="T88">
            <v>243606682.90877292</v>
          </cell>
          <cell r="U88">
            <v>244970522.4732177</v>
          </cell>
          <cell r="V88">
            <v>256708443.04556444</v>
          </cell>
          <cell r="W88">
            <v>278342482.54892325</v>
          </cell>
          <cell r="X88">
            <v>330115541.04007667</v>
          </cell>
          <cell r="Y88">
            <v>328556808.6677587</v>
          </cell>
          <cell r="Z88">
            <v>319494028.72717369</v>
          </cell>
          <cell r="AA88">
            <v>338504106.54127818</v>
          </cell>
          <cell r="AB88">
            <v>365555781.46483302</v>
          </cell>
          <cell r="AC88">
            <v>415860895.26614875</v>
          </cell>
          <cell r="AD88">
            <v>458732480.2883575</v>
          </cell>
          <cell r="AE88">
            <v>460461090.31863701</v>
          </cell>
          <cell r="AF88">
            <v>405196599.80051374</v>
          </cell>
          <cell r="AG88">
            <v>428490873.9332031</v>
          </cell>
          <cell r="AH88">
            <v>452909815.18144464</v>
          </cell>
          <cell r="AI88">
            <v>492137597.67026901</v>
          </cell>
          <cell r="AJ88">
            <v>501957049.62916809</v>
          </cell>
          <cell r="AK88">
            <v>499115830.75627995</v>
          </cell>
          <cell r="AL88">
            <v>475773664.89115649</v>
          </cell>
          <cell r="AM88">
            <v>495117455.28483742</v>
          </cell>
          <cell r="AN88">
            <v>512893850.03131956</v>
          </cell>
          <cell r="AO88">
            <v>531439779.40409589</v>
          </cell>
          <cell r="AP88">
            <v>554299303.5024761</v>
          </cell>
        </row>
        <row r="89">
          <cell r="C89">
            <v>6466366</v>
          </cell>
          <cell r="D89">
            <v>6278711</v>
          </cell>
          <cell r="E89">
            <v>15712345</v>
          </cell>
          <cell r="F89">
            <v>13997563</v>
          </cell>
          <cell r="G89">
            <v>15521249</v>
          </cell>
          <cell r="H89">
            <v>19520008</v>
          </cell>
          <cell r="I89">
            <v>19651809</v>
          </cell>
          <cell r="J89">
            <v>10553514</v>
          </cell>
          <cell r="K89">
            <v>46282285</v>
          </cell>
          <cell r="L89">
            <v>46684399</v>
          </cell>
          <cell r="M89">
            <v>69500573</v>
          </cell>
          <cell r="N89">
            <v>108975538</v>
          </cell>
          <cell r="O89">
            <v>182796774</v>
          </cell>
          <cell r="P89">
            <v>292486189</v>
          </cell>
          <cell r="Q89">
            <v>192075200.21665865</v>
          </cell>
          <cell r="R89">
            <v>210519340.09415069</v>
          </cell>
          <cell r="S89">
            <v>232082093.56796181</v>
          </cell>
          <cell r="T89">
            <v>236773522.09535536</v>
          </cell>
          <cell r="U89">
            <v>238956910.24844706</v>
          </cell>
          <cell r="V89">
            <v>250033211.12136015</v>
          </cell>
          <cell r="W89">
            <v>271095635.63357651</v>
          </cell>
          <cell r="X89">
            <v>321538833.71866876</v>
          </cell>
          <cell r="Y89">
            <v>319993427.68153834</v>
          </cell>
          <cell r="Z89">
            <v>311153167.81072766</v>
          </cell>
          <cell r="AA89">
            <v>329588685.68030602</v>
          </cell>
          <cell r="AB89">
            <v>356114822.16137314</v>
          </cell>
          <cell r="AC89">
            <v>405229578.33277351</v>
          </cell>
          <cell r="AD89">
            <v>447020944.42079216</v>
          </cell>
          <cell r="AE89">
            <v>448514912.47089088</v>
          </cell>
          <cell r="AF89">
            <v>394372836.6787504</v>
          </cell>
          <cell r="AG89">
            <v>417178581.6266951</v>
          </cell>
          <cell r="AH89">
            <v>440970847.72339886</v>
          </cell>
          <cell r="AI89">
            <v>479185426.11763954</v>
          </cell>
          <cell r="AJ89">
            <v>488732302.66466373</v>
          </cell>
          <cell r="AK89">
            <v>485952618.05736911</v>
          </cell>
          <cell r="AL89">
            <v>463103713.50400579</v>
          </cell>
          <cell r="AM89">
            <v>482100027.13165694</v>
          </cell>
          <cell r="AN89">
            <v>499402600.78882289</v>
          </cell>
          <cell r="AO89">
            <v>517460661.01597357</v>
          </cell>
          <cell r="AP89">
            <v>539822657.84982312</v>
          </cell>
        </row>
        <row r="90">
          <cell r="C90">
            <v>8445355</v>
          </cell>
          <cell r="D90">
            <v>5481101</v>
          </cell>
          <cell r="E90">
            <v>15256251</v>
          </cell>
          <cell r="F90">
            <v>2043114</v>
          </cell>
          <cell r="G90">
            <v>15100408</v>
          </cell>
          <cell r="H90">
            <v>24799964</v>
          </cell>
          <cell r="I90">
            <v>24672392</v>
          </cell>
          <cell r="J90">
            <v>16024601</v>
          </cell>
          <cell r="K90">
            <v>30180616</v>
          </cell>
          <cell r="L90">
            <v>43952654</v>
          </cell>
          <cell r="M90">
            <v>82392520</v>
          </cell>
          <cell r="N90">
            <v>122248954</v>
          </cell>
          <cell r="O90">
            <v>236669072</v>
          </cell>
          <cell r="P90">
            <v>260490373</v>
          </cell>
          <cell r="Q90">
            <v>196758801.69768375</v>
          </cell>
          <cell r="R90">
            <v>216241453.26312792</v>
          </cell>
          <cell r="S90">
            <v>238636897.18670946</v>
          </cell>
          <cell r="T90">
            <v>243626568.18724155</v>
          </cell>
          <cell r="U90">
            <v>245851134.01359108</v>
          </cell>
          <cell r="V90">
            <v>257412084.30610371</v>
          </cell>
          <cell r="W90">
            <v>278979038.75780982</v>
          </cell>
          <cell r="X90">
            <v>330667683.35045755</v>
          </cell>
          <cell r="Y90">
            <v>329211311.18897265</v>
          </cell>
          <cell r="Z90">
            <v>320438706.51265907</v>
          </cell>
          <cell r="AA90">
            <v>339448029.86728585</v>
          </cell>
          <cell r="AB90">
            <v>366246298.28555048</v>
          </cell>
          <cell r="AC90">
            <v>416468554.18677682</v>
          </cell>
          <cell r="AD90">
            <v>459413346.3473981</v>
          </cell>
          <cell r="AE90">
            <v>461480173.25302553</v>
          </cell>
          <cell r="AF90">
            <v>406563130.11718684</v>
          </cell>
          <cell r="AG90">
            <v>429719415.64624351</v>
          </cell>
          <cell r="AH90">
            <v>454183895.50973094</v>
          </cell>
          <cell r="AI90">
            <v>493495134.25461197</v>
          </cell>
          <cell r="AJ90">
            <v>503364860.06139028</v>
          </cell>
          <cell r="AK90">
            <v>500531409.09394163</v>
          </cell>
          <cell r="AL90">
            <v>477320939.33113724</v>
          </cell>
          <cell r="AM90">
            <v>496458838.36562479</v>
          </cell>
          <cell r="AN90">
            <v>514294464.48160762</v>
          </cell>
          <cell r="AO90">
            <v>532890569.32980841</v>
          </cell>
          <cell r="AP90">
            <v>555644560.33273005</v>
          </cell>
        </row>
        <row r="91">
          <cell r="C91">
            <v>5899070</v>
          </cell>
          <cell r="D91">
            <v>3738917</v>
          </cell>
          <cell r="E91">
            <v>17641091</v>
          </cell>
          <cell r="F91">
            <v>5949426</v>
          </cell>
          <cell r="G91">
            <v>13846255</v>
          </cell>
          <cell r="H91">
            <v>19215411</v>
          </cell>
          <cell r="I91">
            <v>21967038</v>
          </cell>
          <cell r="J91">
            <v>32248456</v>
          </cell>
          <cell r="K91">
            <v>40692380</v>
          </cell>
          <cell r="L91">
            <v>48112771</v>
          </cell>
          <cell r="M91">
            <v>55747506</v>
          </cell>
          <cell r="N91">
            <v>127613378</v>
          </cell>
          <cell r="O91">
            <v>234008508</v>
          </cell>
          <cell r="P91">
            <v>257927937</v>
          </cell>
          <cell r="Q91">
            <v>199567496.23015037</v>
          </cell>
          <cell r="R91">
            <v>219228704.34448102</v>
          </cell>
          <cell r="S91">
            <v>242156755.52030525</v>
          </cell>
          <cell r="T91">
            <v>246630143.23247263</v>
          </cell>
          <cell r="U91">
            <v>248718331.233812</v>
          </cell>
          <cell r="V91">
            <v>260670373.02903578</v>
          </cell>
          <cell r="W91">
            <v>282559598.33993489</v>
          </cell>
          <cell r="X91">
            <v>334977538.00954771</v>
          </cell>
          <cell r="Y91">
            <v>333356989.57658458</v>
          </cell>
          <cell r="Z91">
            <v>324359063.04280567</v>
          </cell>
          <cell r="AA91">
            <v>343646725.72550035</v>
          </cell>
          <cell r="AB91">
            <v>370967127.54239714</v>
          </cell>
          <cell r="AC91">
            <v>421936438.03856432</v>
          </cell>
          <cell r="AD91">
            <v>465435352.69876647</v>
          </cell>
          <cell r="AE91">
            <v>467332325.68381387</v>
          </cell>
          <cell r="AF91">
            <v>411421668.76684034</v>
          </cell>
          <cell r="AG91">
            <v>434986958.52978539</v>
          </cell>
          <cell r="AH91">
            <v>459765443.83089226</v>
          </cell>
          <cell r="AI91">
            <v>499577849.43475699</v>
          </cell>
          <cell r="AJ91">
            <v>509556674.75729841</v>
          </cell>
          <cell r="AK91">
            <v>506677597.34702885</v>
          </cell>
          <cell r="AL91">
            <v>483056718.48419172</v>
          </cell>
          <cell r="AM91">
            <v>502594012.62212807</v>
          </cell>
          <cell r="AN91">
            <v>520643383.6052413</v>
          </cell>
          <cell r="AO91">
            <v>539469533.74594188</v>
          </cell>
          <cell r="AP91">
            <v>562610092.02643621</v>
          </cell>
        </row>
        <row r="92">
          <cell r="C92">
            <v>6918026</v>
          </cell>
          <cell r="D92">
            <v>3853854</v>
          </cell>
          <cell r="E92">
            <v>18931762</v>
          </cell>
          <cell r="F92">
            <v>14721823</v>
          </cell>
          <cell r="G92">
            <v>13414121</v>
          </cell>
          <cell r="H92">
            <v>20639765</v>
          </cell>
          <cell r="I92">
            <v>25346827</v>
          </cell>
          <cell r="J92">
            <v>39005346</v>
          </cell>
          <cell r="K92">
            <v>48569223</v>
          </cell>
          <cell r="L92">
            <v>25237496</v>
          </cell>
          <cell r="M92">
            <v>77344974</v>
          </cell>
          <cell r="N92">
            <v>113679693</v>
          </cell>
          <cell r="O92">
            <v>214035407</v>
          </cell>
          <cell r="P92">
            <v>289557293</v>
          </cell>
          <cell r="Q92">
            <v>216647542.43543953</v>
          </cell>
          <cell r="R92">
            <v>238583297.33016378</v>
          </cell>
          <cell r="S92">
            <v>263133733.24879843</v>
          </cell>
          <cell r="T92">
            <v>268323811.52612466</v>
          </cell>
          <cell r="U92">
            <v>270208426.65035695</v>
          </cell>
          <cell r="V92">
            <v>283206545.38055897</v>
          </cell>
          <cell r="W92">
            <v>307061170.11684263</v>
          </cell>
          <cell r="X92">
            <v>364211403.58770156</v>
          </cell>
          <cell r="Y92">
            <v>362381018.27605021</v>
          </cell>
          <cell r="Z92">
            <v>352270081.06497884</v>
          </cell>
          <cell r="AA92">
            <v>373224152.01937723</v>
          </cell>
          <cell r="AB92">
            <v>403334353.46090245</v>
          </cell>
          <cell r="AC92">
            <v>458998305.58736235</v>
          </cell>
          <cell r="AD92">
            <v>506325404.38053089</v>
          </cell>
          <cell r="AE92">
            <v>507930410.99449974</v>
          </cell>
          <cell r="AF92">
            <v>446496644.92050314</v>
          </cell>
          <cell r="AG92">
            <v>472370630.98572713</v>
          </cell>
          <cell r="AH92">
            <v>499315236.69568378</v>
          </cell>
          <cell r="AI92">
            <v>542593217.69076204</v>
          </cell>
          <cell r="AJ92">
            <v>553398477.27520537</v>
          </cell>
          <cell r="AK92">
            <v>550247459.81934953</v>
          </cell>
          <cell r="AL92">
            <v>524320739.92370009</v>
          </cell>
          <cell r="AM92">
            <v>545901079.71907055</v>
          </cell>
          <cell r="AN92">
            <v>565490634.75281751</v>
          </cell>
          <cell r="AO92">
            <v>585938757.52156663</v>
          </cell>
          <cell r="AP92">
            <v>611305676.8457607</v>
          </cell>
        </row>
        <row r="93">
          <cell r="C93">
            <v>5233920</v>
          </cell>
          <cell r="D93">
            <v>5580709</v>
          </cell>
          <cell r="E93">
            <v>15678898</v>
          </cell>
          <cell r="F93">
            <v>16462802</v>
          </cell>
          <cell r="G93">
            <v>12655566</v>
          </cell>
          <cell r="H93">
            <v>27361235</v>
          </cell>
          <cell r="I93">
            <v>23176779</v>
          </cell>
          <cell r="J93">
            <v>40325399</v>
          </cell>
          <cell r="K93">
            <v>42514597</v>
          </cell>
          <cell r="L93">
            <v>49060129</v>
          </cell>
          <cell r="M93">
            <v>101861084</v>
          </cell>
          <cell r="N93">
            <v>171787630</v>
          </cell>
          <cell r="O93">
            <v>205783834</v>
          </cell>
          <cell r="P93">
            <v>261189424</v>
          </cell>
          <cell r="Q93">
            <v>233980933.73434195</v>
          </cell>
          <cell r="R93">
            <v>288005904.49351925</v>
          </cell>
          <cell r="S93">
            <v>318437765.19553727</v>
          </cell>
          <cell r="T93">
            <v>324105784.34622979</v>
          </cell>
          <cell r="U93">
            <v>326915957.51048094</v>
          </cell>
          <cell r="V93">
            <v>342127884.18371904</v>
          </cell>
          <cell r="W93">
            <v>371062267.34164441</v>
          </cell>
          <cell r="X93">
            <v>440363381.72453421</v>
          </cell>
          <cell r="Y93">
            <v>438022232.40879124</v>
          </cell>
          <cell r="Z93">
            <v>425692985.24432093</v>
          </cell>
          <cell r="AA93">
            <v>450938234.56570315</v>
          </cell>
          <cell r="AB93">
            <v>487595627.41366339</v>
          </cell>
          <cell r="AC93">
            <v>555044045.36868405</v>
          </cell>
          <cell r="AD93">
            <v>612266921.57508743</v>
          </cell>
          <cell r="AE93">
            <v>613952846.32622719</v>
          </cell>
          <cell r="AF93">
            <v>539304425.54450047</v>
          </cell>
          <cell r="AG93">
            <v>570734219.15428579</v>
          </cell>
          <cell r="AH93">
            <v>603311704.82833278</v>
          </cell>
          <cell r="AI93">
            <v>655625283.77727413</v>
          </cell>
          <cell r="AJ93">
            <v>668663192.27012849</v>
          </cell>
          <cell r="AK93">
            <v>664840910.18463349</v>
          </cell>
          <cell r="AL93">
            <v>633358192.98578227</v>
          </cell>
          <cell r="AM93">
            <v>659640959.16620398</v>
          </cell>
          <cell r="AN93">
            <v>683303159.60383523</v>
          </cell>
          <cell r="AO93">
            <v>708011595.0872823</v>
          </cell>
          <cell r="AP93">
            <v>738796929.08413994</v>
          </cell>
        </row>
        <row r="94">
          <cell r="C94">
            <v>6480832</v>
          </cell>
          <cell r="D94">
            <v>3795468</v>
          </cell>
          <cell r="E94">
            <v>13897310</v>
          </cell>
          <cell r="F94">
            <v>22831111</v>
          </cell>
          <cell r="G94">
            <v>13320532</v>
          </cell>
          <cell r="H94">
            <v>27156977</v>
          </cell>
          <cell r="I94">
            <v>25524348</v>
          </cell>
          <cell r="J94">
            <v>47330432</v>
          </cell>
          <cell r="K94">
            <v>52796160</v>
          </cell>
          <cell r="L94">
            <v>57807992</v>
          </cell>
          <cell r="M94">
            <v>118270462</v>
          </cell>
          <cell r="N94">
            <v>153759160</v>
          </cell>
          <cell r="O94">
            <v>274816428</v>
          </cell>
          <cell r="P94">
            <v>314111589</v>
          </cell>
          <cell r="Q94">
            <v>283976602.73018843</v>
          </cell>
          <cell r="R94">
            <v>327988261.60637504</v>
          </cell>
          <cell r="S94">
            <v>360408804.48522425</v>
          </cell>
          <cell r="T94">
            <v>366605883.8644672</v>
          </cell>
          <cell r="U94">
            <v>369856670.91491246</v>
          </cell>
          <cell r="V94">
            <v>387299754.70567995</v>
          </cell>
          <cell r="W94">
            <v>420348949.46926063</v>
          </cell>
          <cell r="X94">
            <v>498475419.86634046</v>
          </cell>
          <cell r="Y94">
            <v>495804608.01874244</v>
          </cell>
          <cell r="Z94">
            <v>481822710.00184309</v>
          </cell>
          <cell r="AA94">
            <v>510443586.60780591</v>
          </cell>
          <cell r="AB94">
            <v>552062997.22252452</v>
          </cell>
          <cell r="AC94">
            <v>628438287.86428332</v>
          </cell>
          <cell r="AD94">
            <v>693244759.61271596</v>
          </cell>
          <cell r="AE94">
            <v>695037731.12350714</v>
          </cell>
          <cell r="AF94">
            <v>610341055.9153254</v>
          </cell>
          <cell r="AG94">
            <v>645991489.15770173</v>
          </cell>
          <cell r="AH94">
            <v>682868215.24964094</v>
          </cell>
          <cell r="AI94">
            <v>742096839.95330358</v>
          </cell>
          <cell r="AJ94">
            <v>756847476.378196</v>
          </cell>
          <cell r="AK94">
            <v>752513445.44148159</v>
          </cell>
          <cell r="AL94">
            <v>716797919.59206676</v>
          </cell>
          <cell r="AM94">
            <v>746651631.44184577</v>
          </cell>
          <cell r="AN94">
            <v>773431573.27484298</v>
          </cell>
          <cell r="AO94">
            <v>801399399.2506671</v>
          </cell>
          <cell r="AP94">
            <v>836312779.50156879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5612400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2859906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</row>
        <row r="100">
          <cell r="C100">
            <v>0</v>
          </cell>
          <cell r="D100">
            <v>0</v>
          </cell>
          <cell r="E100">
            <v>2405892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</row>
        <row r="101">
          <cell r="C101">
            <v>0</v>
          </cell>
          <cell r="D101">
            <v>0</v>
          </cell>
          <cell r="E101">
            <v>4938884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12677402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</row>
        <row r="103"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</row>
        <row r="104">
          <cell r="C104">
            <v>0</v>
          </cell>
          <cell r="D104">
            <v>0</v>
          </cell>
          <cell r="E104">
            <v>4744730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</row>
        <row r="105">
          <cell r="C105">
            <v>0</v>
          </cell>
          <cell r="D105">
            <v>0</v>
          </cell>
          <cell r="E105">
            <v>7236919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25177925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</row>
        <row r="106">
          <cell r="C106">
            <v>0</v>
          </cell>
          <cell r="D106">
            <v>0</v>
          </cell>
          <cell r="E106">
            <v>2276174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</row>
        <row r="107"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757255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24555303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</row>
        <row r="108"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</row>
        <row r="109"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29840946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</row>
        <row r="110"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32902548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</row>
        <row r="111">
          <cell r="Q111">
            <v>12677402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</row>
        <row r="115">
          <cell r="C115">
            <v>0</v>
          </cell>
          <cell r="D115">
            <v>0</v>
          </cell>
          <cell r="E115">
            <v>7009715</v>
          </cell>
          <cell r="F115">
            <v>27788271</v>
          </cell>
          <cell r="G115">
            <v>30183332</v>
          </cell>
          <cell r="H115">
            <v>26199125</v>
          </cell>
          <cell r="I115">
            <v>30476695</v>
          </cell>
          <cell r="J115">
            <v>31803799</v>
          </cell>
          <cell r="K115">
            <v>27498052</v>
          </cell>
          <cell r="L115">
            <v>29777983</v>
          </cell>
          <cell r="M115">
            <v>33116197</v>
          </cell>
          <cell r="N115">
            <v>34614001</v>
          </cell>
          <cell r="O115">
            <v>42148711</v>
          </cell>
          <cell r="P115">
            <v>24232960</v>
          </cell>
          <cell r="Q115">
            <v>0</v>
          </cell>
          <cell r="R115">
            <v>19880459.240872473</v>
          </cell>
          <cell r="S115">
            <v>17883204.211857177</v>
          </cell>
          <cell r="T115">
            <v>15357222.123277105</v>
          </cell>
          <cell r="U115">
            <v>12728717.603032351</v>
          </cell>
          <cell r="V115">
            <v>10582971.939488428</v>
          </cell>
          <cell r="W115">
            <v>12507148.65575905</v>
          </cell>
          <cell r="X115">
            <v>10832825.809162999</v>
          </cell>
          <cell r="Y115">
            <v>10026968.821137691</v>
          </cell>
          <cell r="Z115">
            <v>9359774.2285729293</v>
          </cell>
          <cell r="AA115">
            <v>9407592.2566096038</v>
          </cell>
          <cell r="AB115">
            <v>4010331.5208647889</v>
          </cell>
          <cell r="AC115">
            <v>2708206.4522907496</v>
          </cell>
          <cell r="AD115">
            <v>2638676.0055625509</v>
          </cell>
          <cell r="AE115">
            <v>2599937.2857147027</v>
          </cell>
          <cell r="AF115">
            <v>2613220.0712804459</v>
          </cell>
          <cell r="AG115">
            <v>2673554.3472431935</v>
          </cell>
          <cell r="AH115">
            <v>2644696.5234150314</v>
          </cell>
          <cell r="AI115">
            <v>2630583.2058870941</v>
          </cell>
          <cell r="AJ115">
            <v>2628465.4639159464</v>
          </cell>
          <cell r="AK115">
            <v>2637622.6569188139</v>
          </cell>
          <cell r="AL115">
            <v>2649158.4246751345</v>
          </cell>
          <cell r="AM115">
            <v>2646718.8324183286</v>
          </cell>
          <cell r="AN115">
            <v>2634016.8466431848</v>
          </cell>
          <cell r="AO115">
            <v>2632398.2867080937</v>
          </cell>
          <cell r="AP115">
            <v>2638103.9223483424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35953652</v>
          </cell>
          <cell r="G116">
            <v>25603549</v>
          </cell>
          <cell r="H116">
            <v>24430108</v>
          </cell>
          <cell r="I116">
            <v>24245167</v>
          </cell>
          <cell r="J116">
            <v>28296030</v>
          </cell>
          <cell r="K116">
            <v>33386661</v>
          </cell>
          <cell r="L116">
            <v>40666518</v>
          </cell>
          <cell r="M116">
            <v>35138122</v>
          </cell>
          <cell r="N116">
            <v>33553587</v>
          </cell>
          <cell r="O116">
            <v>33382186</v>
          </cell>
          <cell r="P116">
            <v>56213823</v>
          </cell>
          <cell r="Q116">
            <v>0</v>
          </cell>
          <cell r="R116">
            <v>23468739.279069103</v>
          </cell>
          <cell r="S116">
            <v>22370115.195129227</v>
          </cell>
          <cell r="T116">
            <v>20731065.204576124</v>
          </cell>
          <cell r="U116">
            <v>20204290.7519814</v>
          </cell>
          <cell r="V116">
            <v>13945855.247800048</v>
          </cell>
          <cell r="W116">
            <v>16481465.292854603</v>
          </cell>
          <cell r="X116">
            <v>14703183.010563359</v>
          </cell>
          <cell r="Y116">
            <v>13917032.601257322</v>
          </cell>
          <cell r="Z116">
            <v>13087457.653946983</v>
          </cell>
          <cell r="AA116">
            <v>12729704.789368644</v>
          </cell>
          <cell r="AB116">
            <v>5455295.6421531457</v>
          </cell>
          <cell r="AC116">
            <v>3675795.7526408397</v>
          </cell>
          <cell r="AD116">
            <v>3662377.0003308752</v>
          </cell>
          <cell r="AE116">
            <v>3635404.9038741626</v>
          </cell>
          <cell r="AF116">
            <v>3536029.1081579574</v>
          </cell>
          <cell r="AG116">
            <v>3636863.7614354319</v>
          </cell>
          <cell r="AH116">
            <v>3629859.0119569371</v>
          </cell>
          <cell r="AI116">
            <v>3619650.8473605146</v>
          </cell>
          <cell r="AJ116">
            <v>3608470.1718168682</v>
          </cell>
          <cell r="AK116">
            <v>3599824.4553540335</v>
          </cell>
          <cell r="AL116">
            <v>3629982.2558467248</v>
          </cell>
          <cell r="AM116">
            <v>3629294.1052878527</v>
          </cell>
          <cell r="AN116">
            <v>3620106.7571510724</v>
          </cell>
          <cell r="AO116">
            <v>3611561.5265570008</v>
          </cell>
          <cell r="AP116">
            <v>3606174.580145542</v>
          </cell>
        </row>
        <row r="117">
          <cell r="C117">
            <v>0</v>
          </cell>
          <cell r="D117">
            <v>3118428</v>
          </cell>
          <cell r="E117">
            <v>13007403</v>
          </cell>
          <cell r="F117">
            <v>35769457</v>
          </cell>
          <cell r="G117">
            <v>26064696</v>
          </cell>
          <cell r="H117">
            <v>25938754</v>
          </cell>
          <cell r="I117">
            <v>30878391</v>
          </cell>
          <cell r="J117">
            <v>28445622</v>
          </cell>
          <cell r="K117">
            <v>32948386</v>
          </cell>
          <cell r="L117">
            <v>43695657</v>
          </cell>
          <cell r="M117">
            <v>46570075</v>
          </cell>
          <cell r="N117">
            <v>43011803</v>
          </cell>
          <cell r="O117">
            <v>41029273</v>
          </cell>
          <cell r="P117">
            <v>26633514</v>
          </cell>
          <cell r="Q117">
            <v>7434618</v>
          </cell>
          <cell r="R117">
            <v>23866352.757887889</v>
          </cell>
          <cell r="S117">
            <v>21043662.833512601</v>
          </cell>
          <cell r="T117">
            <v>17997338.760218736</v>
          </cell>
          <cell r="U117">
            <v>15957494.692020211</v>
          </cell>
          <cell r="V117">
            <v>13869557.203442052</v>
          </cell>
          <cell r="W117">
            <v>15174721.022249699</v>
          </cell>
          <cell r="X117">
            <v>13183180.315520521</v>
          </cell>
          <cell r="Y117">
            <v>12318838.705324028</v>
          </cell>
          <cell r="Z117">
            <v>11642828.026550615</v>
          </cell>
          <cell r="AA117">
            <v>11680433.871721221</v>
          </cell>
          <cell r="AB117">
            <v>4923077.0724127758</v>
          </cell>
          <cell r="AC117">
            <v>3295795.0788801303</v>
          </cell>
          <cell r="AD117">
            <v>3241799.6592957973</v>
          </cell>
          <cell r="AE117">
            <v>3234118.8962640604</v>
          </cell>
          <cell r="AF117">
            <v>3244564.9643670064</v>
          </cell>
          <cell r="AG117">
            <v>3282051.3816085178</v>
          </cell>
          <cell r="AH117">
            <v>3257476.2419108585</v>
          </cell>
          <cell r="AI117">
            <v>3248960.9448065762</v>
          </cell>
          <cell r="AJ117">
            <v>3250834.9260617332</v>
          </cell>
          <cell r="AK117">
            <v>3256200.565256048</v>
          </cell>
          <cell r="AL117">
            <v>3261701.031130868</v>
          </cell>
          <cell r="AM117">
            <v>3259665.9960831022</v>
          </cell>
          <cell r="AN117">
            <v>3252002.2286892487</v>
          </cell>
          <cell r="AO117">
            <v>3253434.4857914038</v>
          </cell>
          <cell r="AP117">
            <v>3256777.6917509385</v>
          </cell>
        </row>
        <row r="118">
          <cell r="C118">
            <v>0</v>
          </cell>
          <cell r="D118">
            <v>648881</v>
          </cell>
          <cell r="E118">
            <v>8589960</v>
          </cell>
          <cell r="F118">
            <v>38494565</v>
          </cell>
          <cell r="G118">
            <v>27472168</v>
          </cell>
          <cell r="H118">
            <v>34395316</v>
          </cell>
          <cell r="I118">
            <v>28890013</v>
          </cell>
          <cell r="J118">
            <v>31753453</v>
          </cell>
          <cell r="K118">
            <v>35712304</v>
          </cell>
          <cell r="L118">
            <v>34143404</v>
          </cell>
          <cell r="M118">
            <v>43085986</v>
          </cell>
          <cell r="N118">
            <v>43291572</v>
          </cell>
          <cell r="O118">
            <v>43711679</v>
          </cell>
          <cell r="P118">
            <v>27627664</v>
          </cell>
          <cell r="Q118">
            <v>18783896.830137823</v>
          </cell>
          <cell r="R118">
            <v>25636030.997711245</v>
          </cell>
          <cell r="S118">
            <v>23651913.529208843</v>
          </cell>
          <cell r="T118">
            <v>20835365.962812115</v>
          </cell>
          <cell r="U118">
            <v>19176027.473370172</v>
          </cell>
          <cell r="V118">
            <v>17370519.877485029</v>
          </cell>
          <cell r="W118">
            <v>17455067.646641575</v>
          </cell>
          <cell r="X118">
            <v>15449238.351296905</v>
          </cell>
          <cell r="Y118">
            <v>14599473.761025619</v>
          </cell>
          <cell r="Z118">
            <v>13879870.531896766</v>
          </cell>
          <cell r="AA118">
            <v>13897794.735590452</v>
          </cell>
          <cell r="AB118">
            <v>5790880.3866501004</v>
          </cell>
          <cell r="AC118">
            <v>3862309.5878242264</v>
          </cell>
          <cell r="AD118">
            <v>3841966.7792172688</v>
          </cell>
          <cell r="AE118">
            <v>3855519.5921935472</v>
          </cell>
          <cell r="AF118">
            <v>3860498.5376640153</v>
          </cell>
          <cell r="AG118">
            <v>3860586.9244334013</v>
          </cell>
          <cell r="AH118">
            <v>3855591.379785446</v>
          </cell>
          <cell r="AI118">
            <v>3854098.4446657165</v>
          </cell>
          <cell r="AJ118">
            <v>3857273.0860914784</v>
          </cell>
          <cell r="AK118">
            <v>3857835.9359846418</v>
          </cell>
          <cell r="AL118">
            <v>3856577.2515543932</v>
          </cell>
          <cell r="AM118">
            <v>3856176.2842664924</v>
          </cell>
          <cell r="AN118">
            <v>3854832.6426587361</v>
          </cell>
          <cell r="AO118">
            <v>3857258.9757484249</v>
          </cell>
          <cell r="AP118">
            <v>3857609.6745280121</v>
          </cell>
        </row>
        <row r="119">
          <cell r="C119">
            <v>0</v>
          </cell>
          <cell r="D119">
            <v>3437634</v>
          </cell>
          <cell r="E119">
            <v>23447487</v>
          </cell>
          <cell r="F119">
            <v>29257927</v>
          </cell>
          <cell r="G119">
            <v>30007923</v>
          </cell>
          <cell r="H119">
            <v>31019277</v>
          </cell>
          <cell r="I119">
            <v>30832290</v>
          </cell>
          <cell r="J119">
            <v>31714034</v>
          </cell>
          <cell r="K119">
            <v>36623654</v>
          </cell>
          <cell r="L119">
            <v>35796446</v>
          </cell>
          <cell r="M119">
            <v>38273455</v>
          </cell>
          <cell r="N119">
            <v>44935719</v>
          </cell>
          <cell r="O119">
            <v>55758515</v>
          </cell>
          <cell r="P119">
            <v>29680714</v>
          </cell>
          <cell r="Q119">
            <v>20510382.244069804</v>
          </cell>
          <cell r="R119">
            <v>27054449.148971412</v>
          </cell>
          <cell r="S119">
            <v>25954708.324242711</v>
          </cell>
          <cell r="T119">
            <v>23374585.168831293</v>
          </cell>
          <cell r="U119">
            <v>20828122.607654978</v>
          </cell>
          <cell r="V119">
            <v>18919646.918641642</v>
          </cell>
          <cell r="W119">
            <v>19003338.354819603</v>
          </cell>
          <cell r="X119">
            <v>16953788.45085337</v>
          </cell>
          <cell r="Y119">
            <v>16021362.96608695</v>
          </cell>
          <cell r="Z119">
            <v>15147455.663899247</v>
          </cell>
          <cell r="AA119">
            <v>15184516.297817789</v>
          </cell>
          <cell r="AB119">
            <v>6331573.9794982271</v>
          </cell>
          <cell r="AC119">
            <v>4238447.1127133425</v>
          </cell>
          <cell r="AD119">
            <v>4216148.148970251</v>
          </cell>
          <cell r="AE119">
            <v>4207626.573305347</v>
          </cell>
          <cell r="AF119">
            <v>4217921.193838276</v>
          </cell>
          <cell r="AG119">
            <v>4221049.319665486</v>
          </cell>
          <cell r="AH119">
            <v>4220527.1126154903</v>
          </cell>
          <cell r="AI119">
            <v>4216544.8903715238</v>
          </cell>
          <cell r="AJ119">
            <v>4216648.7105512964</v>
          </cell>
          <cell r="AK119">
            <v>4219544.7052228348</v>
          </cell>
          <cell r="AL119">
            <v>4220312.1833318993</v>
          </cell>
          <cell r="AM119">
            <v>4220238.4696985409</v>
          </cell>
          <cell r="AN119">
            <v>4216654.4696789701</v>
          </cell>
          <cell r="AO119">
            <v>4216733.8179592248</v>
          </cell>
          <cell r="AP119">
            <v>4218538.2454084139</v>
          </cell>
        </row>
        <row r="120">
          <cell r="C120">
            <v>0</v>
          </cell>
          <cell r="D120">
            <v>2690200</v>
          </cell>
          <cell r="E120">
            <v>23618469</v>
          </cell>
          <cell r="F120">
            <v>32073850</v>
          </cell>
          <cell r="G120">
            <v>27769942</v>
          </cell>
          <cell r="H120">
            <v>29704812</v>
          </cell>
          <cell r="I120">
            <v>27728403</v>
          </cell>
          <cell r="J120">
            <v>28811262</v>
          </cell>
          <cell r="K120">
            <v>35745741</v>
          </cell>
          <cell r="L120">
            <v>21827208</v>
          </cell>
          <cell r="M120">
            <v>44681302</v>
          </cell>
          <cell r="N120">
            <v>34653522</v>
          </cell>
          <cell r="O120">
            <v>38408311</v>
          </cell>
          <cell r="P120">
            <v>56471169</v>
          </cell>
          <cell r="Q120">
            <v>20293640.747774504</v>
          </cell>
          <cell r="R120">
            <v>29292945.59642696</v>
          </cell>
          <cell r="S120">
            <v>27714957.653552011</v>
          </cell>
          <cell r="T120">
            <v>26536959.200748578</v>
          </cell>
          <cell r="U120">
            <v>26379251.493636698</v>
          </cell>
          <cell r="V120">
            <v>20927853.432665158</v>
          </cell>
          <cell r="W120">
            <v>21412140.116241176</v>
          </cell>
          <cell r="X120">
            <v>19289594.023034297</v>
          </cell>
          <cell r="Y120">
            <v>18522299.294129293</v>
          </cell>
          <cell r="Z120">
            <v>17592298.077749718</v>
          </cell>
          <cell r="AA120">
            <v>17248973.813615233</v>
          </cell>
          <cell r="AB120">
            <v>7235792.7172899777</v>
          </cell>
          <cell r="AC120">
            <v>4822398.5057585742</v>
          </cell>
          <cell r="AD120">
            <v>4874289.2879287619</v>
          </cell>
          <cell r="AE120">
            <v>4886749.4660415892</v>
          </cell>
          <cell r="AF120">
            <v>4791381.6148931207</v>
          </cell>
          <cell r="AG120">
            <v>4823861.8115266534</v>
          </cell>
          <cell r="AH120">
            <v>4841755.0258071842</v>
          </cell>
          <cell r="AI120">
            <v>4846056.4747068742</v>
          </cell>
          <cell r="AJ120">
            <v>4838668.4488170343</v>
          </cell>
          <cell r="AK120">
            <v>4823235.0358807584</v>
          </cell>
          <cell r="AL120">
            <v>4838293.016711277</v>
          </cell>
          <cell r="AM120">
            <v>4839736.1372297406</v>
          </cell>
          <cell r="AN120">
            <v>4843607.4412394613</v>
          </cell>
          <cell r="AO120">
            <v>4837960.878595084</v>
          </cell>
          <cell r="AP120">
            <v>4828344.6751501728</v>
          </cell>
        </row>
        <row r="121">
          <cell r="C121">
            <v>0</v>
          </cell>
          <cell r="D121">
            <v>3085274</v>
          </cell>
          <cell r="E121">
            <v>33218452</v>
          </cell>
          <cell r="F121">
            <v>38563530</v>
          </cell>
          <cell r="G121">
            <v>30307441</v>
          </cell>
          <cell r="H121">
            <v>30723688</v>
          </cell>
          <cell r="I121">
            <v>30797970</v>
          </cell>
          <cell r="J121">
            <v>29674375</v>
          </cell>
          <cell r="K121">
            <v>36893681</v>
          </cell>
          <cell r="L121">
            <v>21925486</v>
          </cell>
          <cell r="M121">
            <v>1808458</v>
          </cell>
          <cell r="N121">
            <v>15245724</v>
          </cell>
          <cell r="O121">
            <v>47149908</v>
          </cell>
          <cell r="P121">
            <v>22045675</v>
          </cell>
          <cell r="Q121">
            <v>14613410.606759492</v>
          </cell>
          <cell r="R121">
            <v>15307116.154142732</v>
          </cell>
          <cell r="S121">
            <v>17284380.951269526</v>
          </cell>
          <cell r="T121">
            <v>17840507.414250024</v>
          </cell>
          <cell r="U121">
            <v>14330999.108120734</v>
          </cell>
          <cell r="V121">
            <v>12756923.716265758</v>
          </cell>
          <cell r="W121">
            <v>12685079.019935252</v>
          </cell>
          <cell r="X121">
            <v>11748688.660367265</v>
          </cell>
          <cell r="Y121">
            <v>11216014.982636947</v>
          </cell>
          <cell r="Z121">
            <v>10360355.034604285</v>
          </cell>
          <cell r="AA121">
            <v>10370657.896554619</v>
          </cell>
          <cell r="AB121">
            <v>4336984.276469104</v>
          </cell>
          <cell r="AC121">
            <v>2937172.1650918163</v>
          </cell>
          <cell r="AD121">
            <v>2951582.8901676182</v>
          </cell>
          <cell r="AE121">
            <v>2877876.3985011908</v>
          </cell>
          <cell r="AF121">
            <v>2880738.3045985061</v>
          </cell>
          <cell r="AG121">
            <v>2891322.8509794036</v>
          </cell>
          <cell r="AH121">
            <v>2911072.7788261957</v>
          </cell>
          <cell r="AI121">
            <v>2905272.9152116128</v>
          </cell>
          <cell r="AJ121">
            <v>2893154.4170922847</v>
          </cell>
          <cell r="AK121">
            <v>2898058.4724425129</v>
          </cell>
          <cell r="AL121">
            <v>2906246.1881505889</v>
          </cell>
          <cell r="AM121">
            <v>2907738.5218677074</v>
          </cell>
          <cell r="AN121">
            <v>2902518.6446145838</v>
          </cell>
          <cell r="AO121">
            <v>2893256.6496233819</v>
          </cell>
          <cell r="AP121">
            <v>2896312.2533416003</v>
          </cell>
        </row>
        <row r="122">
          <cell r="C122">
            <v>0</v>
          </cell>
          <cell r="D122">
            <v>1030821</v>
          </cell>
          <cell r="E122">
            <v>35688974</v>
          </cell>
          <cell r="F122">
            <v>28467617</v>
          </cell>
          <cell r="G122">
            <v>29977019</v>
          </cell>
          <cell r="H122">
            <v>31186692</v>
          </cell>
          <cell r="I122">
            <v>31467596</v>
          </cell>
          <cell r="J122">
            <v>29795498</v>
          </cell>
          <cell r="K122">
            <v>29840623</v>
          </cell>
          <cell r="L122">
            <v>24200463</v>
          </cell>
          <cell r="M122">
            <v>27890042</v>
          </cell>
          <cell r="N122">
            <v>13400586</v>
          </cell>
          <cell r="O122">
            <v>9015174</v>
          </cell>
          <cell r="P122">
            <v>22976837</v>
          </cell>
          <cell r="Q122">
            <v>13889072.991061935</v>
          </cell>
          <cell r="R122">
            <v>13809419.090967605</v>
          </cell>
          <cell r="S122">
            <v>11673993.698898958</v>
          </cell>
          <cell r="T122">
            <v>11468099.439572299</v>
          </cell>
          <cell r="U122">
            <v>12146792.633668374</v>
          </cell>
          <cell r="V122">
            <v>10122971.440848617</v>
          </cell>
          <cell r="W122">
            <v>9690754.3042836841</v>
          </cell>
          <cell r="X122">
            <v>8643546.90467011</v>
          </cell>
          <cell r="Y122">
            <v>8420179.8275559042</v>
          </cell>
          <cell r="Z122">
            <v>8095746.8990686275</v>
          </cell>
          <cell r="AA122">
            <v>7936446.948781224</v>
          </cell>
          <cell r="AB122">
            <v>3291282.6834122729</v>
          </cell>
          <cell r="AC122">
            <v>2160886.7261675275</v>
          </cell>
          <cell r="AD122">
            <v>2215836.7967252382</v>
          </cell>
          <cell r="AE122">
            <v>2248818.5830746191</v>
          </cell>
          <cell r="AF122">
            <v>2204568.5968836737</v>
          </cell>
          <cell r="AG122">
            <v>2194188.4556081826</v>
          </cell>
          <cell r="AH122">
            <v>2205285.0462720091</v>
          </cell>
          <cell r="AI122">
            <v>2215151.33962856</v>
          </cell>
          <cell r="AJ122">
            <v>2214971.9676780277</v>
          </cell>
          <cell r="AK122">
            <v>2204107.6219951711</v>
          </cell>
          <cell r="AL122">
            <v>2203889.7065933333</v>
          </cell>
          <cell r="AM122">
            <v>2204859.8316918486</v>
          </cell>
          <cell r="AN122">
            <v>2213739.4957127445</v>
          </cell>
          <cell r="AO122">
            <v>2213602.4042934091</v>
          </cell>
          <cell r="AP122">
            <v>2206833.0812140908</v>
          </cell>
        </row>
        <row r="123">
          <cell r="C123">
            <v>0</v>
          </cell>
          <cell r="D123">
            <v>8813936</v>
          </cell>
          <cell r="E123">
            <v>36721277</v>
          </cell>
          <cell r="F123">
            <v>0</v>
          </cell>
          <cell r="G123">
            <v>27810105</v>
          </cell>
          <cell r="H123">
            <v>29858022</v>
          </cell>
          <cell r="I123">
            <v>28723162</v>
          </cell>
          <cell r="J123">
            <v>22397593</v>
          </cell>
          <cell r="K123">
            <v>27898130</v>
          </cell>
          <cell r="L123">
            <v>55120083</v>
          </cell>
          <cell r="M123">
            <v>47663087</v>
          </cell>
          <cell r="N123">
            <v>42101847</v>
          </cell>
          <cell r="O123">
            <v>7533913</v>
          </cell>
          <cell r="P123">
            <v>18250310</v>
          </cell>
          <cell r="Q123">
            <v>18042274.536135055</v>
          </cell>
          <cell r="R123">
            <v>19793062.848750956</v>
          </cell>
          <cell r="S123">
            <v>16022774.236714164</v>
          </cell>
          <cell r="T123">
            <v>12737771.041761836</v>
          </cell>
          <cell r="U123">
            <v>13961597.100472977</v>
          </cell>
          <cell r="V123">
            <v>12946737.819187766</v>
          </cell>
          <cell r="W123">
            <v>12348317.953127079</v>
          </cell>
          <cell r="X123">
            <v>10669364.415884525</v>
          </cell>
          <cell r="Y123">
            <v>10132867.900240419</v>
          </cell>
          <cell r="Z123">
            <v>9917981.0403709169</v>
          </cell>
          <cell r="AA123">
            <v>9885047.4933195375</v>
          </cell>
          <cell r="AB123">
            <v>4073352.21561096</v>
          </cell>
          <cell r="AC123">
            <v>2667341.1039711311</v>
          </cell>
          <cell r="AD123">
            <v>2666544.1842737952</v>
          </cell>
          <cell r="AE123">
            <v>2754994.7334363661</v>
          </cell>
          <cell r="AF123">
            <v>2745846.525922094</v>
          </cell>
          <cell r="AG123">
            <v>2715568.1437406405</v>
          </cell>
          <cell r="AH123">
            <v>2707794.7312379614</v>
          </cell>
          <cell r="AI123">
            <v>2716784.4261861457</v>
          </cell>
          <cell r="AJ123">
            <v>2729931.4053781624</v>
          </cell>
          <cell r="AK123">
            <v>2721886.3864952833</v>
          </cell>
          <cell r="AL123">
            <v>2710559.7751298822</v>
          </cell>
          <cell r="AM123">
            <v>2710058.9382688054</v>
          </cell>
          <cell r="AN123">
            <v>2718149.6637221714</v>
          </cell>
          <cell r="AO123">
            <v>2728197.7121046418</v>
          </cell>
          <cell r="AP123">
            <v>2723185.0464930008</v>
          </cell>
        </row>
        <row r="124">
          <cell r="C124">
            <v>0</v>
          </cell>
          <cell r="D124">
            <v>12718015</v>
          </cell>
          <cell r="E124">
            <v>35231798</v>
          </cell>
          <cell r="F124">
            <v>817739</v>
          </cell>
          <cell r="G124">
            <v>29548908</v>
          </cell>
          <cell r="H124">
            <v>29032099</v>
          </cell>
          <cell r="I124">
            <v>32315111</v>
          </cell>
          <cell r="J124">
            <v>0</v>
          </cell>
          <cell r="K124">
            <v>43803568</v>
          </cell>
          <cell r="L124">
            <v>38235426</v>
          </cell>
          <cell r="M124">
            <v>47052037</v>
          </cell>
          <cell r="N124">
            <v>45048892</v>
          </cell>
          <cell r="O124">
            <v>45134277</v>
          </cell>
          <cell r="P124">
            <v>15413235</v>
          </cell>
          <cell r="Q124">
            <v>18677867.257025421</v>
          </cell>
          <cell r="R124">
            <v>24683901.871777788</v>
          </cell>
          <cell r="S124">
            <v>22304498.820663068</v>
          </cell>
          <cell r="T124">
            <v>20290254.418766204</v>
          </cell>
          <cell r="U124">
            <v>16680580.072264178</v>
          </cell>
          <cell r="V124">
            <v>16495248.606508391</v>
          </cell>
          <cell r="W124">
            <v>16438006.438360302</v>
          </cell>
          <cell r="X124">
            <v>14464092.291225439</v>
          </cell>
          <cell r="Y124">
            <v>13642514.508215878</v>
          </cell>
          <cell r="Z124">
            <v>12834568.389892986</v>
          </cell>
          <cell r="AA124">
            <v>13036664.158976998</v>
          </cell>
          <cell r="AB124">
            <v>5416603.5220516613</v>
          </cell>
          <cell r="AC124">
            <v>3616023.0728063597</v>
          </cell>
          <cell r="AD124">
            <v>3590135.396898916</v>
          </cell>
          <cell r="AE124">
            <v>3565157.8860813854</v>
          </cell>
          <cell r="AF124">
            <v>3621295.5997158336</v>
          </cell>
          <cell r="AG124">
            <v>3611069.0147011089</v>
          </cell>
          <cell r="AH124">
            <v>3599663.2042644233</v>
          </cell>
          <cell r="AI124">
            <v>3596027.6779217697</v>
          </cell>
          <cell r="AJ124">
            <v>3597569.5832361612</v>
          </cell>
          <cell r="AK124">
            <v>3607973.3378784354</v>
          </cell>
          <cell r="AL124">
            <v>3601675.5413734829</v>
          </cell>
          <cell r="AM124">
            <v>3600736.1940407213</v>
          </cell>
          <cell r="AN124">
            <v>3597464.2203323338</v>
          </cell>
          <cell r="AO124">
            <v>3598642.6765369046</v>
          </cell>
          <cell r="AP124">
            <v>3605125.0159678594</v>
          </cell>
        </row>
        <row r="125">
          <cell r="C125">
            <v>0</v>
          </cell>
          <cell r="D125">
            <v>10308273</v>
          </cell>
          <cell r="E125">
            <v>35137995</v>
          </cell>
          <cell r="F125">
            <v>28597517</v>
          </cell>
          <cell r="G125">
            <v>26831313</v>
          </cell>
          <cell r="H125">
            <v>28792959</v>
          </cell>
          <cell r="I125">
            <v>16007543</v>
          </cell>
          <cell r="J125">
            <v>11371102</v>
          </cell>
          <cell r="K125">
            <v>37253948</v>
          </cell>
          <cell r="L125">
            <v>44453798</v>
          </cell>
          <cell r="M125">
            <v>38155377</v>
          </cell>
          <cell r="N125">
            <v>32881128</v>
          </cell>
          <cell r="O125">
            <v>43040497</v>
          </cell>
          <cell r="P125">
            <v>7265849</v>
          </cell>
          <cell r="Q125">
            <v>16859024.316303566</v>
          </cell>
          <cell r="R125">
            <v>19886348.568507258</v>
          </cell>
          <cell r="S125">
            <v>18075205.539549988</v>
          </cell>
          <cell r="T125">
            <v>16900310.280594748</v>
          </cell>
          <cell r="U125">
            <v>12997413.007001387</v>
          </cell>
          <cell r="V125">
            <v>13615441.346564511</v>
          </cell>
          <cell r="W125">
            <v>13332226.70327202</v>
          </cell>
          <cell r="X125">
            <v>11752250.490507085</v>
          </cell>
          <cell r="Y125">
            <v>11092384.636007279</v>
          </cell>
          <cell r="Z125">
            <v>10368943.956883863</v>
          </cell>
          <cell r="AA125">
            <v>10616690.670570839</v>
          </cell>
          <cell r="AB125">
            <v>4397115.1120954677</v>
          </cell>
          <cell r="AC125">
            <v>2938062.6226267712</v>
          </cell>
          <cell r="AD125">
            <v>2919048.5884229685</v>
          </cell>
          <cell r="AE125">
            <v>2880262.210245518</v>
          </cell>
          <cell r="AF125">
            <v>2949080.7418252337</v>
          </cell>
          <cell r="AG125">
            <v>2931410.0747303125</v>
          </cell>
          <cell r="AH125">
            <v>2922871.8100645179</v>
          </cell>
          <cell r="AI125">
            <v>2919496.073939573</v>
          </cell>
          <cell r="AJ125">
            <v>2919613.1729532629</v>
          </cell>
          <cell r="AK125">
            <v>2932244.3461680952</v>
          </cell>
          <cell r="AL125">
            <v>2924285.3227665387</v>
          </cell>
          <cell r="AM125">
            <v>2923572.8475701609</v>
          </cell>
          <cell r="AN125">
            <v>2920534.6850577104</v>
          </cell>
          <cell r="AO125">
            <v>2920624.1821610308</v>
          </cell>
          <cell r="AP125">
            <v>2928494.3747025803</v>
          </cell>
        </row>
        <row r="126">
          <cell r="C126">
            <v>0</v>
          </cell>
          <cell r="D126">
            <v>4421460</v>
          </cell>
          <cell r="E126">
            <v>30125413</v>
          </cell>
          <cell r="F126">
            <v>27354965</v>
          </cell>
          <cell r="G126">
            <v>24720562</v>
          </cell>
          <cell r="H126">
            <v>28405184</v>
          </cell>
          <cell r="I126">
            <v>31262099</v>
          </cell>
          <cell r="J126">
            <v>35783869</v>
          </cell>
          <cell r="K126">
            <v>40392744</v>
          </cell>
          <cell r="L126">
            <v>43441682</v>
          </cell>
          <cell r="M126">
            <v>46419914</v>
          </cell>
          <cell r="N126">
            <v>43042472</v>
          </cell>
          <cell r="O126">
            <v>45979079</v>
          </cell>
          <cell r="P126">
            <v>4236635</v>
          </cell>
          <cell r="Q126">
            <v>61474518.720732391</v>
          </cell>
          <cell r="R126">
            <v>31073492.569914579</v>
          </cell>
          <cell r="S126">
            <v>28715032.505401701</v>
          </cell>
          <cell r="T126">
            <v>27567097.859590977</v>
          </cell>
          <cell r="U126">
            <v>25187419.70677653</v>
          </cell>
          <cell r="V126">
            <v>27967108.076102614</v>
          </cell>
          <cell r="W126">
            <v>22992570.117455989</v>
          </cell>
          <cell r="X126">
            <v>20773212.27691415</v>
          </cell>
          <cell r="Y126">
            <v>20129878.746382654</v>
          </cell>
          <cell r="Z126">
            <v>19329388.996563092</v>
          </cell>
          <cell r="AA126">
            <v>19622145.567073837</v>
          </cell>
          <cell r="AB126">
            <v>7911322.7464915067</v>
          </cell>
          <cell r="AC126">
            <v>5193303.0692285374</v>
          </cell>
          <cell r="AD126">
            <v>5297336.5122059658</v>
          </cell>
          <cell r="AE126">
            <v>5369274.7212675214</v>
          </cell>
          <cell r="AF126">
            <v>5450595.9908538461</v>
          </cell>
          <cell r="AG126">
            <v>5274215.1643276811</v>
          </cell>
          <cell r="AH126">
            <v>5319148.3838439509</v>
          </cell>
          <cell r="AI126">
            <v>5347114.0093140528</v>
          </cell>
          <cell r="AJ126">
            <v>5360139.8964077532</v>
          </cell>
          <cell r="AK126">
            <v>5357207.7304033861</v>
          </cell>
          <cell r="AL126">
            <v>5313060.5527358875</v>
          </cell>
          <cell r="AM126">
            <v>5316945.0915767029</v>
          </cell>
          <cell r="AN126">
            <v>5342114.1544997916</v>
          </cell>
          <cell r="AO126">
            <v>5352069.653921403</v>
          </cell>
          <cell r="AP126">
            <v>5350242.6889494509</v>
          </cell>
        </row>
        <row r="127">
          <cell r="Q127">
            <v>210578706.25</v>
          </cell>
          <cell r="R127">
            <v>273752318.125</v>
          </cell>
          <cell r="S127">
            <v>252694447.49999997</v>
          </cell>
          <cell r="T127">
            <v>231636576.87500003</v>
          </cell>
          <cell r="U127">
            <v>210578706.25</v>
          </cell>
          <cell r="V127">
            <v>189520835.625</v>
          </cell>
          <cell r="W127">
            <v>189520835.625</v>
          </cell>
          <cell r="X127">
            <v>168462965.00000003</v>
          </cell>
          <cell r="Y127">
            <v>160039816.75</v>
          </cell>
          <cell r="Z127">
            <v>151616668.5</v>
          </cell>
          <cell r="AA127">
            <v>151616668.5</v>
          </cell>
          <cell r="AB127">
            <v>63173611.874999993</v>
          </cell>
          <cell r="AC127">
            <v>42115741.250000007</v>
          </cell>
          <cell r="AD127">
            <v>42115741.250000007</v>
          </cell>
          <cell r="AE127">
            <v>42115741.250000007</v>
          </cell>
          <cell r="AF127">
            <v>42115741.250000007</v>
          </cell>
          <cell r="AG127">
            <v>42115741.250000007</v>
          </cell>
          <cell r="AH127">
            <v>42115741.250000007</v>
          </cell>
          <cell r="AI127">
            <v>42115741.250000007</v>
          </cell>
          <cell r="AJ127">
            <v>42115741.250000007</v>
          </cell>
          <cell r="AK127">
            <v>42115741.250000007</v>
          </cell>
          <cell r="AL127">
            <v>42115741.250000007</v>
          </cell>
          <cell r="AM127">
            <v>42115741.250000007</v>
          </cell>
          <cell r="AN127">
            <v>42115741.250000007</v>
          </cell>
          <cell r="AO127">
            <v>42115741.250000007</v>
          </cell>
          <cell r="AP127">
            <v>42115741.250000007</v>
          </cell>
        </row>
        <row r="196">
          <cell r="J196">
            <v>139714</v>
          </cell>
          <cell r="K196">
            <v>194630</v>
          </cell>
          <cell r="L196">
            <v>41590</v>
          </cell>
          <cell r="M196">
            <v>289825</v>
          </cell>
          <cell r="N196">
            <v>402120</v>
          </cell>
          <cell r="O196">
            <v>100937</v>
          </cell>
          <cell r="P196">
            <v>833897</v>
          </cell>
          <cell r="Q196">
            <v>8475344</v>
          </cell>
          <cell r="R196">
            <v>23893126.179649942</v>
          </cell>
          <cell r="S196">
            <v>68451166.585377201</v>
          </cell>
          <cell r="T196">
            <v>89387901.643266886</v>
          </cell>
          <cell r="U196">
            <v>117385330.87423706</v>
          </cell>
          <cell r="V196">
            <v>159261725.44323626</v>
          </cell>
          <cell r="W196">
            <v>185466582.8150773</v>
          </cell>
          <cell r="X196">
            <v>234587648.48402637</v>
          </cell>
          <cell r="Y196">
            <v>245012961.90866026</v>
          </cell>
          <cell r="Z196">
            <v>266411351.41822481</v>
          </cell>
          <cell r="AA196">
            <v>278358621.71511191</v>
          </cell>
          <cell r="AB196">
            <v>214097894.14772648</v>
          </cell>
          <cell r="AC196">
            <v>233718178.31806746</v>
          </cell>
          <cell r="AD196">
            <v>263183367.04348183</v>
          </cell>
          <cell r="AE196">
            <v>263103099.37063354</v>
          </cell>
          <cell r="AF196">
            <v>261654578.54580531</v>
          </cell>
          <cell r="AG196">
            <v>273020100.644651</v>
          </cell>
          <cell r="AH196">
            <v>281873905.02968735</v>
          </cell>
          <cell r="AI196">
            <v>288354734.98635715</v>
          </cell>
          <cell r="AJ196">
            <v>291649181.10102969</v>
          </cell>
          <cell r="AK196">
            <v>300312804.89545679</v>
          </cell>
          <cell r="AL196">
            <v>316754724.74837255</v>
          </cell>
          <cell r="AM196">
            <v>328193303.39483994</v>
          </cell>
          <cell r="AN196">
            <v>328569010.11343735</v>
          </cell>
          <cell r="AO196">
            <v>328019659.05087328</v>
          </cell>
          <cell r="AP196">
            <v>335730614.99024582</v>
          </cell>
        </row>
        <row r="197">
          <cell r="J197">
            <v>237996</v>
          </cell>
          <cell r="K197">
            <v>187609</v>
          </cell>
          <cell r="L197">
            <v>0</v>
          </cell>
          <cell r="M197">
            <v>294725</v>
          </cell>
          <cell r="N197">
            <v>1108870</v>
          </cell>
          <cell r="O197">
            <v>1578596</v>
          </cell>
          <cell r="P197">
            <v>1254939</v>
          </cell>
          <cell r="Q197">
            <v>15728119</v>
          </cell>
          <cell r="R197">
            <v>45244644.57274276</v>
          </cell>
          <cell r="S197">
            <v>129885775.12177198</v>
          </cell>
          <cell r="T197">
            <v>170152013.0006552</v>
          </cell>
          <cell r="U197">
            <v>222593880.73946691</v>
          </cell>
          <cell r="V197">
            <v>302171663.15545493</v>
          </cell>
          <cell r="W197">
            <v>352033441.4087075</v>
          </cell>
          <cell r="X197">
            <v>445310372.95188993</v>
          </cell>
          <cell r="Y197">
            <v>465116914.86002159</v>
          </cell>
          <cell r="Z197">
            <v>505607053.25518018</v>
          </cell>
          <cell r="AA197">
            <v>528328342.24558318</v>
          </cell>
          <cell r="AB197">
            <v>406379956.00577486</v>
          </cell>
          <cell r="AC197">
            <v>443621535.19489545</v>
          </cell>
          <cell r="AD197">
            <v>499541357.99300319</v>
          </cell>
          <cell r="AE197">
            <v>499375527.98162818</v>
          </cell>
          <cell r="AF197">
            <v>496636149.71817642</v>
          </cell>
          <cell r="AG197">
            <v>518211486.68275392</v>
          </cell>
          <cell r="AH197">
            <v>535015112.55638307</v>
          </cell>
          <cell r="AI197">
            <v>547314188.6058799</v>
          </cell>
          <cell r="AJ197">
            <v>553566408.73780203</v>
          </cell>
          <cell r="AK197">
            <v>570012347.69929874</v>
          </cell>
          <cell r="AL197">
            <v>601220239.23310149</v>
          </cell>
          <cell r="AM197">
            <v>622930866.45601022</v>
          </cell>
          <cell r="AN197">
            <v>623643704.16930509</v>
          </cell>
          <cell r="AO197">
            <v>622601088.24775302</v>
          </cell>
          <cell r="AP197">
            <v>637237224.08494902</v>
          </cell>
        </row>
        <row r="198">
          <cell r="J198">
            <v>103790</v>
          </cell>
          <cell r="K198">
            <v>183940</v>
          </cell>
          <cell r="L198">
            <v>280826</v>
          </cell>
          <cell r="M198">
            <v>288906</v>
          </cell>
          <cell r="N198">
            <v>1026537</v>
          </cell>
          <cell r="O198">
            <v>797170</v>
          </cell>
          <cell r="P198">
            <v>2119258</v>
          </cell>
          <cell r="Q198">
            <v>3845015</v>
          </cell>
          <cell r="R198">
            <v>18303595.228116713</v>
          </cell>
          <cell r="S198">
            <v>52446592.878731005</v>
          </cell>
          <cell r="T198">
            <v>68091377.268205896</v>
          </cell>
          <cell r="U198">
            <v>88975887.423838913</v>
          </cell>
          <cell r="V198">
            <v>119947398.0919919</v>
          </cell>
          <cell r="W198">
            <v>140710467.1858601</v>
          </cell>
          <cell r="X198">
            <v>177911117.31121516</v>
          </cell>
          <cell r="Y198">
            <v>185651454.26298955</v>
          </cell>
          <cell r="Z198">
            <v>201763535.67193198</v>
          </cell>
          <cell r="AA198">
            <v>210792400.77562943</v>
          </cell>
          <cell r="AB198">
            <v>162245927.2591306</v>
          </cell>
          <cell r="AC198">
            <v>177083898.6748009</v>
          </cell>
          <cell r="AD198">
            <v>199373302.58687672</v>
          </cell>
          <cell r="AE198">
            <v>199303475.4453105</v>
          </cell>
          <cell r="AF198">
            <v>198215810.21517587</v>
          </cell>
          <cell r="AG198">
            <v>206842861.06158769</v>
          </cell>
          <cell r="AH198">
            <v>213541202.54829344</v>
          </cell>
          <cell r="AI198">
            <v>218445697.56765974</v>
          </cell>
          <cell r="AJ198">
            <v>220942202.27381268</v>
          </cell>
          <cell r="AK198">
            <v>227508293.3043544</v>
          </cell>
          <cell r="AL198">
            <v>239965568.85772124</v>
          </cell>
          <cell r="AM198">
            <v>248629031.41110516</v>
          </cell>
          <cell r="AN198">
            <v>248913158.45657554</v>
          </cell>
          <cell r="AO198">
            <v>248497498.97531804</v>
          </cell>
          <cell r="AP198">
            <v>254339530.78464967</v>
          </cell>
        </row>
        <row r="199">
          <cell r="J199">
            <v>184634</v>
          </cell>
          <cell r="K199">
            <v>245975</v>
          </cell>
          <cell r="L199">
            <v>1234442</v>
          </cell>
          <cell r="M199">
            <v>293289</v>
          </cell>
          <cell r="N199">
            <v>408991</v>
          </cell>
          <cell r="O199">
            <v>913521</v>
          </cell>
          <cell r="P199">
            <v>2781201</v>
          </cell>
          <cell r="Q199">
            <v>8404474.9199190307</v>
          </cell>
          <cell r="R199">
            <v>28923927.353115387</v>
          </cell>
          <cell r="S199">
            <v>83355933.002837479</v>
          </cell>
          <cell r="T199">
            <v>109229354.93369608</v>
          </cell>
          <cell r="U199">
            <v>142955854.88060638</v>
          </cell>
          <cell r="V199">
            <v>193059895.2271235</v>
          </cell>
          <cell r="W199">
            <v>225582309.85068756</v>
          </cell>
          <cell r="X199">
            <v>285379991.09891659</v>
          </cell>
          <cell r="Y199">
            <v>298036421.23796737</v>
          </cell>
          <cell r="Z199">
            <v>323925068.68341893</v>
          </cell>
          <cell r="AA199">
            <v>338393109.16389787</v>
          </cell>
          <cell r="AB199">
            <v>260370452.06182569</v>
          </cell>
          <cell r="AC199">
            <v>284225342.16662228</v>
          </cell>
          <cell r="AD199">
            <v>320037354.05648094</v>
          </cell>
          <cell r="AE199">
            <v>319919901.25644851</v>
          </cell>
          <cell r="AF199">
            <v>318162229.56939334</v>
          </cell>
          <cell r="AG199">
            <v>332000092.05509609</v>
          </cell>
          <cell r="AH199">
            <v>342761904.05742484</v>
          </cell>
          <cell r="AI199">
            <v>350638082.08908695</v>
          </cell>
          <cell r="AJ199">
            <v>354642505.65695173</v>
          </cell>
          <cell r="AK199">
            <v>365179719.8424052</v>
          </cell>
          <cell r="AL199">
            <v>385175082.77066052</v>
          </cell>
          <cell r="AM199">
            <v>399083000.98258507</v>
          </cell>
          <cell r="AN199">
            <v>399539152.94475967</v>
          </cell>
          <cell r="AO199">
            <v>398871270.24936539</v>
          </cell>
          <cell r="AP199">
            <v>408248266.88676333</v>
          </cell>
        </row>
        <row r="200">
          <cell r="J200">
            <v>64189</v>
          </cell>
          <cell r="K200">
            <v>254288</v>
          </cell>
          <cell r="L200">
            <v>0</v>
          </cell>
          <cell r="M200">
            <v>287496</v>
          </cell>
          <cell r="N200">
            <v>202831</v>
          </cell>
          <cell r="O200">
            <v>1626715</v>
          </cell>
          <cell r="P200">
            <v>3266216</v>
          </cell>
          <cell r="Q200">
            <v>10976167.97756708</v>
          </cell>
          <cell r="R200">
            <v>38073237.291912429</v>
          </cell>
          <cell r="S200">
            <v>109837029.55094272</v>
          </cell>
          <cell r="T200">
            <v>143874698.90103579</v>
          </cell>
          <cell r="U200">
            <v>188038378.30701107</v>
          </cell>
          <cell r="V200">
            <v>254120250.94949621</v>
          </cell>
          <cell r="W200">
            <v>296963726.71365535</v>
          </cell>
          <cell r="X200">
            <v>375684484.37097663</v>
          </cell>
          <cell r="Y200">
            <v>392313361.18468958</v>
          </cell>
          <cell r="Z200">
            <v>426364929.53210127</v>
          </cell>
          <cell r="AA200">
            <v>445440739.38154668</v>
          </cell>
          <cell r="AB200">
            <v>342738510.04728287</v>
          </cell>
          <cell r="AC200">
            <v>374136377.92329395</v>
          </cell>
          <cell r="AD200">
            <v>421271062.99150306</v>
          </cell>
          <cell r="AE200">
            <v>421115927.37514073</v>
          </cell>
          <cell r="AF200">
            <v>418807093.62650222</v>
          </cell>
          <cell r="AG200">
            <v>437021630.05349731</v>
          </cell>
          <cell r="AH200">
            <v>451186611.20667756</v>
          </cell>
          <cell r="AI200">
            <v>461553589.61231804</v>
          </cell>
          <cell r="AJ200">
            <v>466825144.41902298</v>
          </cell>
          <cell r="AK200">
            <v>480696187.74489999</v>
          </cell>
          <cell r="AL200">
            <v>507016344.33260828</v>
          </cell>
          <cell r="AM200">
            <v>525323499.07992679</v>
          </cell>
          <cell r="AN200">
            <v>525923930.99888676</v>
          </cell>
          <cell r="AO200">
            <v>525044899.08814824</v>
          </cell>
          <cell r="AP200">
            <v>537388142.71860778</v>
          </cell>
        </row>
        <row r="201">
          <cell r="J201">
            <v>140194</v>
          </cell>
          <cell r="K201">
            <v>223279</v>
          </cell>
          <cell r="L201">
            <v>508513</v>
          </cell>
          <cell r="M201">
            <v>357317</v>
          </cell>
          <cell r="N201">
            <v>802264</v>
          </cell>
          <cell r="O201">
            <v>1121861</v>
          </cell>
          <cell r="P201">
            <v>2998612</v>
          </cell>
          <cell r="Q201">
            <v>10802570.811467988</v>
          </cell>
          <cell r="R201">
            <v>36445958.845373936</v>
          </cell>
          <cell r="S201">
            <v>104669298.16987525</v>
          </cell>
          <cell r="T201">
            <v>137074432.0324741</v>
          </cell>
          <cell r="U201">
            <v>179413670.29720333</v>
          </cell>
          <cell r="V201">
            <v>242525572.25580677</v>
          </cell>
          <cell r="W201">
            <v>283281846.34963793</v>
          </cell>
          <cell r="X201">
            <v>358327736.08893472</v>
          </cell>
          <cell r="Y201">
            <v>374217409.88050759</v>
          </cell>
          <cell r="Z201">
            <v>406744663.62686306</v>
          </cell>
          <cell r="AA201">
            <v>424935415.13276678</v>
          </cell>
          <cell r="AB201">
            <v>326942653.39627159</v>
          </cell>
          <cell r="AC201">
            <v>356892661.65201229</v>
          </cell>
          <cell r="AD201">
            <v>401863801.65960729</v>
          </cell>
          <cell r="AE201">
            <v>401720573.79123837</v>
          </cell>
          <cell r="AF201">
            <v>399514559.7619276</v>
          </cell>
          <cell r="AG201">
            <v>416886920.29490292</v>
          </cell>
          <cell r="AH201">
            <v>430400375.67974269</v>
          </cell>
          <cell r="AI201">
            <v>440291291.20100427</v>
          </cell>
          <cell r="AJ201">
            <v>445320140.93675435</v>
          </cell>
          <cell r="AK201">
            <v>458551336.62133384</v>
          </cell>
          <cell r="AL201">
            <v>483658705.4162572</v>
          </cell>
          <cell r="AM201">
            <v>501122836.16229832</v>
          </cell>
          <cell r="AN201">
            <v>501695805.331774</v>
          </cell>
          <cell r="AO201">
            <v>500857178.0697338</v>
          </cell>
          <cell r="AP201">
            <v>512631656.95782721</v>
          </cell>
        </row>
        <row r="202">
          <cell r="J202">
            <v>82231</v>
          </cell>
          <cell r="K202">
            <v>146613</v>
          </cell>
          <cell r="L202">
            <v>1536725</v>
          </cell>
          <cell r="M202">
            <v>1093159</v>
          </cell>
          <cell r="N202">
            <v>1137973</v>
          </cell>
          <cell r="O202">
            <v>1770762</v>
          </cell>
          <cell r="P202">
            <v>3256887</v>
          </cell>
          <cell r="Q202">
            <v>10933554.606466778</v>
          </cell>
          <cell r="R202">
            <v>39976921.76103799</v>
          </cell>
          <cell r="S202">
            <v>113978484.88508038</v>
          </cell>
          <cell r="T202">
            <v>149266063.01052725</v>
          </cell>
          <cell r="U202">
            <v>195033617.43180668</v>
          </cell>
          <cell r="V202">
            <v>263641552.68483701</v>
          </cell>
          <cell r="W202">
            <v>308273915.13317132</v>
          </cell>
          <cell r="X202">
            <v>389821189.605676</v>
          </cell>
          <cell r="Y202">
            <v>407073186.95247626</v>
          </cell>
          <cell r="Z202">
            <v>442411963.37090188</v>
          </cell>
          <cell r="AA202">
            <v>462226636.22094756</v>
          </cell>
          <cell r="AB202">
            <v>355663914.97845483</v>
          </cell>
          <cell r="AC202">
            <v>388224907.21705157</v>
          </cell>
          <cell r="AD202">
            <v>437136654.29824138</v>
          </cell>
          <cell r="AE202">
            <v>436978857.05731893</v>
          </cell>
          <cell r="AF202">
            <v>434585897.58986247</v>
          </cell>
          <cell r="AG202">
            <v>453485869.98691624</v>
          </cell>
          <cell r="AH202">
            <v>468181633.19149017</v>
          </cell>
          <cell r="AI202">
            <v>478940012.97739762</v>
          </cell>
          <cell r="AJ202">
            <v>484410871.98217189</v>
          </cell>
          <cell r="AK202">
            <v>498804641.53052044</v>
          </cell>
          <cell r="AL202">
            <v>526115917.04737741</v>
          </cell>
          <cell r="AM202">
            <v>545112400.17848992</v>
          </cell>
          <cell r="AN202">
            <v>545735697.52009904</v>
          </cell>
          <cell r="AO202">
            <v>544823654.04887807</v>
          </cell>
          <cell r="AP202">
            <v>557631844.53683186</v>
          </cell>
        </row>
        <row r="203">
          <cell r="J203">
            <v>70236</v>
          </cell>
          <cell r="K203">
            <v>271757</v>
          </cell>
          <cell r="L203">
            <v>63855</v>
          </cell>
          <cell r="M203">
            <v>722058</v>
          </cell>
          <cell r="N203">
            <v>392568</v>
          </cell>
          <cell r="O203">
            <v>2911842</v>
          </cell>
          <cell r="P203">
            <v>4026790</v>
          </cell>
          <cell r="Q203">
            <v>11770394.176198298</v>
          </cell>
          <cell r="R203">
            <v>42945445.735034242</v>
          </cell>
          <cell r="S203">
            <v>124365788.44880567</v>
          </cell>
          <cell r="T203">
            <v>162645699.40454593</v>
          </cell>
          <cell r="U203">
            <v>212448474.47981218</v>
          </cell>
          <cell r="V203">
            <v>286934462.00556856</v>
          </cell>
          <cell r="W203">
            <v>335562378.64462978</v>
          </cell>
          <cell r="X203">
            <v>424544009.54681194</v>
          </cell>
          <cell r="Y203">
            <v>443259517.17043865</v>
          </cell>
          <cell r="Z203">
            <v>481708352.9436273</v>
          </cell>
          <cell r="AA203">
            <v>503259707.61227572</v>
          </cell>
          <cell r="AB203">
            <v>387256820.03295845</v>
          </cell>
          <cell r="AC203">
            <v>422728045.30291945</v>
          </cell>
          <cell r="AD203">
            <v>475970232.15940487</v>
          </cell>
          <cell r="AE203">
            <v>475793497.8353042</v>
          </cell>
          <cell r="AF203">
            <v>473188160.68332803</v>
          </cell>
          <cell r="AG203">
            <v>493772319.37976605</v>
          </cell>
          <cell r="AH203">
            <v>509774334.43475008</v>
          </cell>
          <cell r="AI203">
            <v>521485534.56446302</v>
          </cell>
          <cell r="AJ203">
            <v>527442051.93918288</v>
          </cell>
          <cell r="AK203">
            <v>543115106.44728863</v>
          </cell>
          <cell r="AL203">
            <v>572853291.73189974</v>
          </cell>
          <cell r="AM203">
            <v>593537068.20316672</v>
          </cell>
          <cell r="AN203">
            <v>594215278.47558987</v>
          </cell>
          <cell r="AO203">
            <v>593222292.30504501</v>
          </cell>
          <cell r="AP203">
            <v>607168442.55397356</v>
          </cell>
        </row>
        <row r="204">
          <cell r="J204">
            <v>151082</v>
          </cell>
          <cell r="K204">
            <v>275529</v>
          </cell>
          <cell r="L204">
            <v>371169</v>
          </cell>
          <cell r="M204">
            <v>300122</v>
          </cell>
          <cell r="N204">
            <v>393571</v>
          </cell>
          <cell r="O204">
            <v>659302</v>
          </cell>
          <cell r="P204">
            <v>9238825</v>
          </cell>
          <cell r="Q204">
            <v>12352933.632424854</v>
          </cell>
          <cell r="R204">
            <v>51996708.025440149</v>
          </cell>
          <cell r="S204">
            <v>150936320.87113687</v>
          </cell>
          <cell r="T204">
            <v>197816696.35851759</v>
          </cell>
          <cell r="U204">
            <v>259507549.87836725</v>
          </cell>
          <cell r="V204">
            <v>348256000.37040305</v>
          </cell>
          <cell r="W204">
            <v>408058415.89728802</v>
          </cell>
          <cell r="X204">
            <v>516349767.86017174</v>
          </cell>
          <cell r="Y204">
            <v>539213100.98474038</v>
          </cell>
          <cell r="Z204">
            <v>585995628.15935934</v>
          </cell>
          <cell r="AA204">
            <v>611940915.26851034</v>
          </cell>
          <cell r="AB204">
            <v>471000513.1409145</v>
          </cell>
          <cell r="AC204">
            <v>514155322.37966496</v>
          </cell>
          <cell r="AD204">
            <v>578915721.47631049</v>
          </cell>
          <cell r="AE204">
            <v>578683382.78706324</v>
          </cell>
          <cell r="AF204">
            <v>575489927.87385142</v>
          </cell>
          <cell r="AG204">
            <v>600551254.67594326</v>
          </cell>
          <cell r="AH204">
            <v>620013971.22608721</v>
          </cell>
          <cell r="AI204">
            <v>634255257.49864268</v>
          </cell>
          <cell r="AJ204">
            <v>641495949.18487644</v>
          </cell>
          <cell r="AK204">
            <v>660557182.06234705</v>
          </cell>
          <cell r="AL204">
            <v>696730183.44994998</v>
          </cell>
          <cell r="AM204">
            <v>721886079.01795352</v>
          </cell>
          <cell r="AN204">
            <v>722710121.16820073</v>
          </cell>
          <cell r="AO204">
            <v>721501953.68708563</v>
          </cell>
          <cell r="AP204">
            <v>738464122.65584946</v>
          </cell>
        </row>
        <row r="205">
          <cell r="J205">
            <v>229089</v>
          </cell>
          <cell r="K205">
            <v>216574</v>
          </cell>
          <cell r="L205">
            <v>188416</v>
          </cell>
          <cell r="M205">
            <v>437741</v>
          </cell>
          <cell r="N205">
            <v>1764631</v>
          </cell>
          <cell r="O205">
            <v>1953292</v>
          </cell>
          <cell r="P205">
            <v>4385751</v>
          </cell>
          <cell r="Q205">
            <v>14804325.59477609</v>
          </cell>
          <cell r="R205">
            <v>51799170.449949764</v>
          </cell>
          <cell r="S205">
            <v>146987407.50142556</v>
          </cell>
          <cell r="T205">
            <v>192772279.50451347</v>
          </cell>
          <cell r="U205">
            <v>252384512.43171611</v>
          </cell>
          <cell r="V205">
            <v>341078435.46241087</v>
          </cell>
          <cell r="W205">
            <v>398553442.25845426</v>
          </cell>
          <cell r="X205">
            <v>503938791.68250573</v>
          </cell>
          <cell r="Y205">
            <v>526352636.33238775</v>
          </cell>
          <cell r="Z205">
            <v>572111719.76345897</v>
          </cell>
          <cell r="AA205">
            <v>597690999.03600705</v>
          </cell>
          <cell r="AB205">
            <v>459867651.55774254</v>
          </cell>
          <cell r="AC205">
            <v>501975978.49151564</v>
          </cell>
          <cell r="AD205">
            <v>565240532.89830947</v>
          </cell>
          <cell r="AE205">
            <v>565039481.05127645</v>
          </cell>
          <cell r="AF205">
            <v>561935442.73680806</v>
          </cell>
          <cell r="AG205">
            <v>586370467.75575387</v>
          </cell>
          <cell r="AH205">
            <v>605376039.6682775</v>
          </cell>
          <cell r="AI205">
            <v>619289828.24733794</v>
          </cell>
          <cell r="AJ205">
            <v>626362980.64901257</v>
          </cell>
          <cell r="AK205">
            <v>644972984.62789977</v>
          </cell>
          <cell r="AL205">
            <v>680287550.5487324</v>
          </cell>
          <cell r="AM205">
            <v>704851538.19353807</v>
          </cell>
          <cell r="AN205">
            <v>705657706.53742337</v>
          </cell>
          <cell r="AO205">
            <v>704478070.10873139</v>
          </cell>
          <cell r="AP205">
            <v>721039351.58478773</v>
          </cell>
        </row>
        <row r="206">
          <cell r="J206">
            <v>152783</v>
          </cell>
          <cell r="K206">
            <v>91175</v>
          </cell>
          <cell r="L206">
            <v>188201</v>
          </cell>
          <cell r="M206">
            <v>403482</v>
          </cell>
          <cell r="N206">
            <v>152226</v>
          </cell>
          <cell r="O206">
            <v>449778</v>
          </cell>
          <cell r="P206">
            <v>2385423</v>
          </cell>
          <cell r="Q206">
            <v>16380536.413000446</v>
          </cell>
          <cell r="R206">
            <v>43786179.408729203</v>
          </cell>
          <cell r="S206">
            <v>126741845.49121414</v>
          </cell>
          <cell r="T206">
            <v>166288438.47560069</v>
          </cell>
          <cell r="U206">
            <v>218487472.43177387</v>
          </cell>
          <cell r="V206">
            <v>295999889.94310719</v>
          </cell>
          <cell r="W206">
            <v>344449298.80517775</v>
          </cell>
          <cell r="X206">
            <v>435899728.45442837</v>
          </cell>
          <cell r="Y206">
            <v>455412091.58544821</v>
          </cell>
          <cell r="Z206">
            <v>495146020.60505652</v>
          </cell>
          <cell r="AA206">
            <v>517269841.89440447</v>
          </cell>
          <cell r="AB206">
            <v>397846892.7623831</v>
          </cell>
          <cell r="AC206">
            <v>434342760.19127095</v>
          </cell>
          <cell r="AD206">
            <v>489113496.70413357</v>
          </cell>
          <cell r="AE206">
            <v>488950199.75573337</v>
          </cell>
          <cell r="AF206">
            <v>486248291.63399762</v>
          </cell>
          <cell r="AG206">
            <v>507374062.69245309</v>
          </cell>
          <cell r="AH206">
            <v>523833758.70202166</v>
          </cell>
          <cell r="AI206">
            <v>535877398.32850617</v>
          </cell>
          <cell r="AJ206">
            <v>541996698.55620825</v>
          </cell>
          <cell r="AK206">
            <v>558096380.04823458</v>
          </cell>
          <cell r="AL206">
            <v>588653158.76595783</v>
          </cell>
          <cell r="AM206">
            <v>609911185.05111206</v>
          </cell>
          <cell r="AN206">
            <v>610608945.57455766</v>
          </cell>
          <cell r="AO206">
            <v>609587575.00664842</v>
          </cell>
          <cell r="AP206">
            <v>623917610.26345956</v>
          </cell>
        </row>
        <row r="207">
          <cell r="J207">
            <v>272240</v>
          </cell>
          <cell r="K207">
            <v>137333</v>
          </cell>
          <cell r="L207">
            <v>194662</v>
          </cell>
          <cell r="M207">
            <v>308503</v>
          </cell>
          <cell r="N207">
            <v>100555</v>
          </cell>
          <cell r="O207">
            <v>132329</v>
          </cell>
          <cell r="P207">
            <v>2161094</v>
          </cell>
          <cell r="Q207">
            <v>15071413.644033596</v>
          </cell>
          <cell r="R207">
            <v>39496037.437086999</v>
          </cell>
          <cell r="S207">
            <v>113369049.15085673</v>
          </cell>
          <cell r="T207">
            <v>149528650.70780087</v>
          </cell>
          <cell r="U207">
            <v>196394213.84245372</v>
          </cell>
          <cell r="V207">
            <v>266059903.34325171</v>
          </cell>
          <cell r="W207">
            <v>309468017.41029167</v>
          </cell>
          <cell r="X207">
            <v>391571725.85410309</v>
          </cell>
          <cell r="Y207">
            <v>409250679.06665039</v>
          </cell>
          <cell r="Z207">
            <v>444930081.94314384</v>
          </cell>
          <cell r="AA207">
            <v>464793606.62914944</v>
          </cell>
          <cell r="AB207">
            <v>357470227.66794682</v>
          </cell>
          <cell r="AC207">
            <v>390266701.19342613</v>
          </cell>
          <cell r="AD207">
            <v>439499413.31568813</v>
          </cell>
          <cell r="AE207">
            <v>439345534.13390923</v>
          </cell>
          <cell r="AF207">
            <v>436914123.79586601</v>
          </cell>
          <cell r="AG207">
            <v>455895319.30239582</v>
          </cell>
          <cell r="AH207">
            <v>470687319.42735004</v>
          </cell>
          <cell r="AI207">
            <v>481511001.08934021</v>
          </cell>
          <cell r="AJ207">
            <v>487007779.77842999</v>
          </cell>
          <cell r="AK207">
            <v>501473541.98431492</v>
          </cell>
          <cell r="AL207">
            <v>528930301.44974709</v>
          </cell>
          <cell r="AM207">
            <v>548032045.3438158</v>
          </cell>
          <cell r="AN207">
            <v>548659093.50410557</v>
          </cell>
          <cell r="AO207">
            <v>547741032.26588535</v>
          </cell>
          <cell r="AP207">
            <v>560617173.41559696</v>
          </cell>
        </row>
        <row r="212"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8826729</v>
          </cell>
          <cell r="Q212">
            <v>7897206</v>
          </cell>
          <cell r="R212">
            <v>2289312.6179649946</v>
          </cell>
          <cell r="S212">
            <v>3387558.3292688606</v>
          </cell>
          <cell r="T212">
            <v>4469395.0821633441</v>
          </cell>
          <cell r="U212">
            <v>8273233.596917646</v>
          </cell>
          <cell r="V212">
            <v>10068287.870351942</v>
          </cell>
          <cell r="W212">
            <v>8136276.0563004846</v>
          </cell>
          <cell r="X212">
            <v>7503899.9199589891</v>
          </cell>
          <cell r="Y212">
            <v>8044937.4120936021</v>
          </cell>
          <cell r="Z212">
            <v>9050825.2891462334</v>
          </cell>
          <cell r="AA212">
            <v>9221538.9637561105</v>
          </cell>
          <cell r="AB212">
            <v>8395122.3357814979</v>
          </cell>
          <cell r="AC212">
            <v>8470685.5713187754</v>
          </cell>
          <cell r="AD212">
            <v>8716924.3697181884</v>
          </cell>
          <cell r="AE212">
            <v>7855386.5554032605</v>
          </cell>
          <cell r="AF212">
            <v>7427869.562026876</v>
          </cell>
          <cell r="AG212">
            <v>7564146.1394570982</v>
          </cell>
          <cell r="AH212">
            <v>7824851.5120473886</v>
          </cell>
          <cell r="AI212">
            <v>8009977.5739925178</v>
          </cell>
          <cell r="AJ212">
            <v>8098641.9875795599</v>
          </cell>
          <cell r="AK212">
            <v>8333312.1252960945</v>
          </cell>
          <cell r="AL212">
            <v>8790789.2720632851</v>
          </cell>
          <cell r="AM212">
            <v>9111100.9150479548</v>
          </cell>
          <cell r="AN212">
            <v>9121608.3276853431</v>
          </cell>
          <cell r="AO212">
            <v>9105355.3155277073</v>
          </cell>
          <cell r="AP212">
            <v>9318796.9903225489</v>
          </cell>
        </row>
        <row r="213"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1410999</v>
          </cell>
          <cell r="O213">
            <v>1486280</v>
          </cell>
          <cell r="P213">
            <v>0</v>
          </cell>
          <cell r="Q213">
            <v>0</v>
          </cell>
          <cell r="R213">
            <v>4524464.4572742768</v>
          </cell>
          <cell r="S213">
            <v>6524288.7560885986</v>
          </cell>
          <cell r="T213">
            <v>8507600.6500327606</v>
          </cell>
          <cell r="U213">
            <v>6021327.627539699</v>
          </cell>
          <cell r="V213">
            <v>9785550.8194537982</v>
          </cell>
          <cell r="W213">
            <v>10099942.663293034</v>
          </cell>
          <cell r="X213">
            <v>8947202.9999240506</v>
          </cell>
          <cell r="Y213">
            <v>9072344.486694511</v>
          </cell>
          <cell r="Z213">
            <v>9459950.5557137765</v>
          </cell>
          <cell r="AA213">
            <v>10204088.476595111</v>
          </cell>
          <cell r="AB213">
            <v>9560836.2483089268</v>
          </cell>
          <cell r="AC213">
            <v>9479571.243841555</v>
          </cell>
          <cell r="AD213">
            <v>9644202.9765538201</v>
          </cell>
          <cell r="AE213">
            <v>8660278.0820416864</v>
          </cell>
          <cell r="AF213">
            <v>8279194.3821031414</v>
          </cell>
          <cell r="AG213">
            <v>8444852.1703038253</v>
          </cell>
          <cell r="AH213">
            <v>8699117.2352069002</v>
          </cell>
          <cell r="AI213">
            <v>8892225.5079482626</v>
          </cell>
          <cell r="AJ213">
            <v>8997530.1885513812</v>
          </cell>
          <cell r="AK213">
            <v>9272589.9409893099</v>
          </cell>
          <cell r="AL213">
            <v>9778518.4888827093</v>
          </cell>
          <cell r="AM213">
            <v>10127984.946995489</v>
          </cell>
          <cell r="AN213">
            <v>10139462.775938636</v>
          </cell>
          <cell r="AO213">
            <v>10123818.922406681</v>
          </cell>
          <cell r="AP213">
            <v>10362595.841713604</v>
          </cell>
        </row>
        <row r="214"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1895971</v>
          </cell>
          <cell r="O214">
            <v>1414636</v>
          </cell>
          <cell r="P214">
            <v>5663440</v>
          </cell>
          <cell r="Q214">
            <v>4981693</v>
          </cell>
          <cell r="R214">
            <v>1830359.5228116715</v>
          </cell>
          <cell r="S214">
            <v>2622329.6439365507</v>
          </cell>
          <cell r="T214">
            <v>3404568.863410295</v>
          </cell>
          <cell r="U214">
            <v>5696816.4446013886</v>
          </cell>
          <cell r="V214">
            <v>7091443.947572941</v>
          </cell>
          <cell r="W214">
            <v>5896478.8764024405</v>
          </cell>
          <cell r="X214">
            <v>5400757.2992111025</v>
          </cell>
          <cell r="Y214">
            <v>5751614.3579164734</v>
          </cell>
          <cell r="Z214">
            <v>6425698.346992366</v>
          </cell>
          <cell r="AA214">
            <v>6584992.1038771914</v>
          </cell>
          <cell r="AB214">
            <v>6014506.5458687432</v>
          </cell>
          <cell r="AC214">
            <v>6055114.9800189482</v>
          </cell>
          <cell r="AD214">
            <v>6223719.7065062365</v>
          </cell>
          <cell r="AE214">
            <v>5607222.1719538234</v>
          </cell>
          <cell r="AF214">
            <v>5308123.4482470453</v>
          </cell>
          <cell r="AG214">
            <v>5406421.9311959855</v>
          </cell>
          <cell r="AH214">
            <v>5589993.6925328057</v>
          </cell>
          <cell r="AI214">
            <v>5721484.4811736187</v>
          </cell>
          <cell r="AJ214">
            <v>5785389.2165231574</v>
          </cell>
          <cell r="AK214">
            <v>5953970.0709243482</v>
          </cell>
          <cell r="AL214">
            <v>6280590.8557496006</v>
          </cell>
          <cell r="AM214">
            <v>6508947.9794914927</v>
          </cell>
          <cell r="AN214">
            <v>6516467.5663020341</v>
          </cell>
          <cell r="AO214">
            <v>6505031.4380742079</v>
          </cell>
          <cell r="AP214">
            <v>6657607.7379988618</v>
          </cell>
        </row>
        <row r="215"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1397929</v>
          </cell>
          <cell r="P215">
            <v>5660163</v>
          </cell>
          <cell r="Q215">
            <v>4903573.9856702527</v>
          </cell>
          <cell r="R215">
            <v>2892392.7353115394</v>
          </cell>
          <cell r="S215">
            <v>4160296.6501418739</v>
          </cell>
          <cell r="T215">
            <v>5461467.7466848036</v>
          </cell>
          <cell r="U215">
            <v>7105596.5957484469</v>
          </cell>
          <cell r="V215">
            <v>9382174.4433003888</v>
          </cell>
          <cell r="W215">
            <v>8283117.5918236915</v>
          </cell>
          <cell r="X215">
            <v>7516554.4899477586</v>
          </cell>
          <cell r="Y215">
            <v>7898023.3162649227</v>
          </cell>
          <cell r="Z215">
            <v>8654312.6075736154</v>
          </cell>
          <cell r="AA215">
            <v>8991013.7528802734</v>
          </cell>
          <cell r="AB215">
            <v>8272178.0456156377</v>
          </cell>
          <cell r="AC215">
            <v>8293262.8877278352</v>
          </cell>
          <cell r="AD215">
            <v>8500062.7950469814</v>
          </cell>
          <cell r="AE215">
            <v>7650423.9415513342</v>
          </cell>
          <cell r="AF215">
            <v>7261983.2583145294</v>
          </cell>
          <cell r="AG215">
            <v>7399766.2235446833</v>
          </cell>
          <cell r="AH215">
            <v>7643177.9837516332</v>
          </cell>
          <cell r="AI215">
            <v>7820092.2160399221</v>
          </cell>
          <cell r="AJ215">
            <v>7908793.8623335594</v>
          </cell>
          <cell r="AK215">
            <v>8142419.4232569924</v>
          </cell>
          <cell r="AL215">
            <v>8588475.7035297919</v>
          </cell>
          <cell r="AM215">
            <v>8899262.3326791395</v>
          </cell>
          <cell r="AN215">
            <v>8909469.6525654495</v>
          </cell>
          <cell r="AO215">
            <v>8894348.8603445105</v>
          </cell>
          <cell r="AP215">
            <v>9103299.3078456707</v>
          </cell>
        </row>
        <row r="216"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14789282</v>
          </cell>
          <cell r="Q216">
            <v>4719415.1537076579</v>
          </cell>
          <cell r="R216">
            <v>3707323.7291912432</v>
          </cell>
          <cell r="S216">
            <v>5441851.4775471361</v>
          </cell>
          <cell r="T216">
            <v>7193734.9450517902</v>
          </cell>
          <cell r="U216">
            <v>11038574.729635984</v>
          </cell>
          <cell r="V216">
            <v>12281214.337403223</v>
          </cell>
          <cell r="W216">
            <v>11327895.155780969</v>
          </cell>
          <cell r="X216">
            <v>10333814.026588807</v>
          </cell>
          <cell r="Y216">
            <v>10916373.448436027</v>
          </cell>
          <cell r="Z216">
            <v>12038124.691885026</v>
          </cell>
          <cell r="AA216">
            <v>12257709.882674122</v>
          </cell>
          <cell r="AB216">
            <v>11379699.626763849</v>
          </cell>
          <cell r="AC216">
            <v>11422119.323939856</v>
          </cell>
          <cell r="AD216">
            <v>11710687.130305609</v>
          </cell>
          <cell r="AE216">
            <v>10533832.669100465</v>
          </cell>
          <cell r="AF216">
            <v>9977740.5776681006</v>
          </cell>
          <cell r="AG216">
            <v>10184757.388199346</v>
          </cell>
          <cell r="AH216">
            <v>10520916.108689902</v>
          </cell>
          <cell r="AI216">
            <v>10763148.240256883</v>
          </cell>
          <cell r="AJ216">
            <v>10882790.230369529</v>
          </cell>
          <cell r="AK216">
            <v>11202861.266531074</v>
          </cell>
          <cell r="AL216">
            <v>11819610.955532201</v>
          </cell>
          <cell r="AM216">
            <v>12247083.684169462</v>
          </cell>
          <cell r="AN216">
            <v>12260604.36933103</v>
          </cell>
          <cell r="AO216">
            <v>12239446.081529563</v>
          </cell>
          <cell r="AP216">
            <v>12527073.65604257</v>
          </cell>
        </row>
        <row r="217"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1529485</v>
          </cell>
          <cell r="O217">
            <v>1310124</v>
          </cell>
          <cell r="P217">
            <v>3270652</v>
          </cell>
          <cell r="Q217">
            <v>5074742.9935648777</v>
          </cell>
          <cell r="R217">
            <v>3644595.8845373942</v>
          </cell>
          <cell r="S217">
            <v>5243464.9084937628</v>
          </cell>
          <cell r="T217">
            <v>6853721.6016237047</v>
          </cell>
          <cell r="U217">
            <v>7416351.1097335918</v>
          </cell>
          <cell r="V217">
            <v>10801379.626530886</v>
          </cell>
          <cell r="W217">
            <v>9699032.3872308377</v>
          </cell>
          <cell r="X217">
            <v>8745095.4288650956</v>
          </cell>
          <cell r="Y217">
            <v>9104555.8342933133</v>
          </cell>
          <cell r="Z217">
            <v>9856221.4687729944</v>
          </cell>
          <cell r="AA217">
            <v>10385332.686326662</v>
          </cell>
          <cell r="AB217">
            <v>9562178.5528565105</v>
          </cell>
          <cell r="AC217">
            <v>9561629.1173651814</v>
          </cell>
          <cell r="AD217">
            <v>9784117.2308337614</v>
          </cell>
          <cell r="AE217">
            <v>8803723.7980115078</v>
          </cell>
          <cell r="AF217">
            <v>8374612.5148622878</v>
          </cell>
          <cell r="AG217">
            <v>8530399.6927776765</v>
          </cell>
          <cell r="AH217">
            <v>8805908.0044271387</v>
          </cell>
          <cell r="AI217">
            <v>9008364.7555763144</v>
          </cell>
          <cell r="AJ217">
            <v>9112123.4214885831</v>
          </cell>
          <cell r="AK217">
            <v>9383589.9627484623</v>
          </cell>
          <cell r="AL217">
            <v>9896389.296432687</v>
          </cell>
          <cell r="AM217">
            <v>10253673.664124696</v>
          </cell>
          <cell r="AN217">
            <v>10265545.032838656</v>
          </cell>
          <cell r="AO217">
            <v>10248540.359506354</v>
          </cell>
          <cell r="AP217">
            <v>10489473.536981005</v>
          </cell>
        </row>
        <row r="218"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6937447</v>
          </cell>
          <cell r="Q218">
            <v>7710877.743724457</v>
          </cell>
          <cell r="R218">
            <v>4122692.1761037991</v>
          </cell>
          <cell r="S218">
            <v>5736424.2442540191</v>
          </cell>
          <cell r="T218">
            <v>7463303.1505263634</v>
          </cell>
          <cell r="U218">
            <v>9843671.6455045361</v>
          </cell>
          <cell r="V218">
            <v>13343287.283824084</v>
          </cell>
          <cell r="W218">
            <v>11569711.631184392</v>
          </cell>
          <cell r="X218">
            <v>10480926.786376985</v>
          </cell>
          <cell r="Y218">
            <v>11026356.293501768</v>
          </cell>
          <cell r="Z218">
            <v>12116963.830799777</v>
          </cell>
          <cell r="AA218">
            <v>12610985.800878592</v>
          </cell>
          <cell r="AB218">
            <v>11565985.532295106</v>
          </cell>
          <cell r="AC218">
            <v>11597787.299105642</v>
          </cell>
          <cell r="AD218">
            <v>11893178.643672295</v>
          </cell>
          <cell r="AE218">
            <v>10708755.550265765</v>
          </cell>
          <cell r="AF218">
            <v>10164508.628958957</v>
          </cell>
          <cell r="AG218">
            <v>10352479.933655554</v>
          </cell>
          <cell r="AH218">
            <v>10694392.430720307</v>
          </cell>
          <cell r="AI218">
            <v>10943194.760625416</v>
          </cell>
          <cell r="AJ218">
            <v>11067644.746455751</v>
          </cell>
          <cell r="AK218">
            <v>11394009.739525482</v>
          </cell>
          <cell r="AL218">
            <v>12017635.996307347</v>
          </cell>
          <cell r="AM218">
            <v>12452916.837284565</v>
          </cell>
          <cell r="AN218">
            <v>12467385.470164316</v>
          </cell>
          <cell r="AO218">
            <v>12446180.289094573</v>
          </cell>
          <cell r="AP218">
            <v>12738449.133281387</v>
          </cell>
        </row>
        <row r="219"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1646994</v>
          </cell>
          <cell r="O219">
            <v>1436324</v>
          </cell>
          <cell r="P219">
            <v>6991936</v>
          </cell>
          <cell r="Q219">
            <v>6350815.8989415001</v>
          </cell>
          <cell r="R219">
            <v>4294544.5735034244</v>
          </cell>
          <cell r="S219">
            <v>6148289.4224402839</v>
          </cell>
          <cell r="T219">
            <v>8132284.9702272965</v>
          </cell>
          <cell r="U219">
            <v>9827392.1097363532</v>
          </cell>
          <cell r="V219">
            <v>13295984.132807409</v>
          </cell>
          <cell r="W219">
            <v>11909330.206500689</v>
          </cell>
          <cell r="X219">
            <v>10777475.126047933</v>
          </cell>
          <cell r="Y219">
            <v>11286123.194577169</v>
          </cell>
          <cell r="Z219">
            <v>12296218.36012855</v>
          </cell>
          <cell r="AA219">
            <v>12832428.497888857</v>
          </cell>
          <cell r="AB219">
            <v>11825423.821660498</v>
          </cell>
          <cell r="AC219">
            <v>11841867.572182806</v>
          </cell>
          <cell r="AD219">
            <v>12128139.700800538</v>
          </cell>
          <cell r="AE219">
            <v>10912806.508710748</v>
          </cell>
          <cell r="AF219">
            <v>10367178.835596055</v>
          </cell>
          <cell r="AG219">
            <v>10564452.442690831</v>
          </cell>
          <cell r="AH219">
            <v>10908944.967033701</v>
          </cell>
          <cell r="AI219">
            <v>11160419.81232374</v>
          </cell>
          <cell r="AJ219">
            <v>11287574.94114396</v>
          </cell>
          <cell r="AK219">
            <v>11622297.996760199</v>
          </cell>
          <cell r="AL219">
            <v>12258636.283400008</v>
          </cell>
          <cell r="AM219">
            <v>12701677.541979495</v>
          </cell>
          <cell r="AN219">
            <v>12716236.954965601</v>
          </cell>
          <cell r="AO219">
            <v>12694860.642194292</v>
          </cell>
          <cell r="AP219">
            <v>12993221.997599801</v>
          </cell>
        </row>
        <row r="220"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1503762</v>
          </cell>
          <cell r="P220">
            <v>11456296</v>
          </cell>
          <cell r="Q220">
            <v>7208306.2547620367</v>
          </cell>
          <cell r="R220">
            <v>5199670.8025440155</v>
          </cell>
          <cell r="S220">
            <v>7501816.0435568439</v>
          </cell>
          <cell r="T220">
            <v>9890834.8179258797</v>
          </cell>
          <cell r="U220">
            <v>12702851.336950189</v>
          </cell>
          <cell r="V220">
            <v>16261049.947315782</v>
          </cell>
          <cell r="W220">
            <v>14724753.980159542</v>
          </cell>
          <cell r="X220">
            <v>13349390.797005443</v>
          </cell>
          <cell r="Y220">
            <v>14003208.293135442</v>
          </cell>
          <cell r="Z220">
            <v>15299392.485119617</v>
          </cell>
          <cell r="AA220">
            <v>15864176.395629117</v>
          </cell>
          <cell r="AB220">
            <v>14654515.341024792</v>
          </cell>
          <cell r="AC220">
            <v>14681663.248024389</v>
          </cell>
          <cell r="AD220">
            <v>15039135.373558152</v>
          </cell>
          <cell r="AE220">
            <v>13530630.910725281</v>
          </cell>
          <cell r="AF220">
            <v>12844801.544854779</v>
          </cell>
          <cell r="AG220">
            <v>13095706.39084699</v>
          </cell>
          <cell r="AH220">
            <v>13523578.657635964</v>
          </cell>
          <cell r="AI220">
            <v>13835009.044966334</v>
          </cell>
          <cell r="AJ220">
            <v>13991696.204138201</v>
          </cell>
          <cell r="AK220">
            <v>14405861.507172108</v>
          </cell>
          <cell r="AL220">
            <v>15195782.028210657</v>
          </cell>
          <cell r="AM220">
            <v>15744968.154151894</v>
          </cell>
          <cell r="AN220">
            <v>15762826.963005159</v>
          </cell>
          <cell r="AO220">
            <v>15736172.933887731</v>
          </cell>
          <cell r="AP220">
            <v>16106022.695472727</v>
          </cell>
        </row>
        <row r="221"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1430740</v>
          </cell>
          <cell r="P221">
            <v>4880590</v>
          </cell>
          <cell r="Q221">
            <v>5419007.9603766967</v>
          </cell>
          <cell r="R221">
            <v>5179917.0449949773</v>
          </cell>
          <cell r="S221">
            <v>7459370.3750712778</v>
          </cell>
          <cell r="T221">
            <v>9638613.975225674</v>
          </cell>
          <cell r="U221">
            <v>10030489.235194495</v>
          </cell>
          <cell r="V221">
            <v>14433809.269519532</v>
          </cell>
          <cell r="W221">
            <v>13349841.292860221</v>
          </cell>
          <cell r="X221">
            <v>12001108.870078409</v>
          </cell>
          <cell r="Y221">
            <v>12439246.129341371</v>
          </cell>
          <cell r="Z221">
            <v>13407082.384952661</v>
          </cell>
          <cell r="AA221">
            <v>14139249.404684341</v>
          </cell>
          <cell r="AB221">
            <v>13072953.310796414</v>
          </cell>
          <cell r="AC221">
            <v>13054186.236199539</v>
          </cell>
          <cell r="AD221">
            <v>13345485.393201845</v>
          </cell>
          <cell r="AE221">
            <v>12004529.765335547</v>
          </cell>
          <cell r="AF221">
            <v>11425082.057406815</v>
          </cell>
          <cell r="AG221">
            <v>11642975.737754909</v>
          </cell>
          <cell r="AH221">
            <v>12014765.922713714</v>
          </cell>
          <cell r="AI221">
            <v>12289306.530560831</v>
          </cell>
          <cell r="AJ221">
            <v>12431297.140196994</v>
          </cell>
          <cell r="AK221">
            <v>12802938.842391336</v>
          </cell>
          <cell r="AL221">
            <v>13502867.884288946</v>
          </cell>
          <cell r="AM221">
            <v>13989490.481012387</v>
          </cell>
          <cell r="AN221">
            <v>14005575.232434845</v>
          </cell>
          <cell r="AO221">
            <v>13982597.769974079</v>
          </cell>
          <cell r="AP221">
            <v>14311488.94810506</v>
          </cell>
        </row>
        <row r="222"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1270291</v>
          </cell>
          <cell r="Q222">
            <v>3743434.7121728687</v>
          </cell>
          <cell r="R222">
            <v>4378617.9408729207</v>
          </cell>
          <cell r="S222">
            <v>6302092.2745607076</v>
          </cell>
          <cell r="T222">
            <v>8314421.9237800343</v>
          </cell>
          <cell r="U222">
            <v>7392236.8196054809</v>
          </cell>
          <cell r="V222">
            <v>11527491.678945575</v>
          </cell>
          <cell r="W222">
            <v>10828702.398215698</v>
          </cell>
          <cell r="X222">
            <v>9696010.5689533241</v>
          </cell>
          <cell r="Y222">
            <v>9992357.6055616438</v>
          </cell>
          <cell r="Z222">
            <v>10646672.825124729</v>
          </cell>
          <cell r="AA222">
            <v>11351549.0524275</v>
          </cell>
          <cell r="AB222">
            <v>10507597.915895022</v>
          </cell>
          <cell r="AC222">
            <v>10472739.307122627</v>
          </cell>
          <cell r="AD222">
            <v>10692687.008819684</v>
          </cell>
          <cell r="AE222">
            <v>9613669.070679443</v>
          </cell>
          <cell r="AF222">
            <v>9165333.675596172</v>
          </cell>
          <cell r="AG222">
            <v>9338487.0913335793</v>
          </cell>
          <cell r="AH222">
            <v>9632356.2754457463</v>
          </cell>
          <cell r="AI222">
            <v>9851020.5663020853</v>
          </cell>
          <cell r="AJ222">
            <v>9965877.4623689018</v>
          </cell>
          <cell r="AK222">
            <v>10265971.604762895</v>
          </cell>
          <cell r="AL222">
            <v>10826281.5143937</v>
          </cell>
          <cell r="AM222">
            <v>11215684.387029476</v>
          </cell>
          <cell r="AN222">
            <v>11228611.704182427</v>
          </cell>
          <cell r="AO222">
            <v>11210528.843692688</v>
          </cell>
          <cell r="AP222">
            <v>11474405.153999219</v>
          </cell>
        </row>
        <row r="223"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1443291</v>
          </cell>
          <cell r="O223">
            <v>2304197</v>
          </cell>
          <cell r="P223">
            <v>3403591</v>
          </cell>
          <cell r="Q223">
            <v>1990926.2970796525</v>
          </cell>
          <cell r="R223">
            <v>4024603.7437086925</v>
          </cell>
          <cell r="S223">
            <v>5723452.4575428218</v>
          </cell>
          <cell r="T223">
            <v>7476432.5353900492</v>
          </cell>
          <cell r="U223">
            <v>6964306.6846553981</v>
          </cell>
          <cell r="V223">
            <v>10015880.344945386</v>
          </cell>
          <cell r="W223">
            <v>9769052.2467903495</v>
          </cell>
          <cell r="X223">
            <v>8730927.7697835118</v>
          </cell>
          <cell r="Y223">
            <v>8987603.013858214</v>
          </cell>
          <cell r="Z223">
            <v>9576546.3781223893</v>
          </cell>
          <cell r="AA223">
            <v>10142693.359277874</v>
          </cell>
          <cell r="AB223">
            <v>9445445.11488536</v>
          </cell>
          <cell r="AC223">
            <v>9407095.2025552094</v>
          </cell>
          <cell r="AD223">
            <v>9600317.1005589366</v>
          </cell>
          <cell r="AE223">
            <v>8628653.7776437551</v>
          </cell>
          <cell r="AF223">
            <v>8222645.2280051559</v>
          </cell>
          <cell r="AG223">
            <v>8385634.9345395863</v>
          </cell>
          <cell r="AH223">
            <v>8647566.7320866883</v>
          </cell>
          <cell r="AI223">
            <v>8842845.4623619318</v>
          </cell>
          <cell r="AJ223">
            <v>8945540.8183707893</v>
          </cell>
          <cell r="AK223">
            <v>9215068.5826171339</v>
          </cell>
          <cell r="AL223">
            <v>9719004.1566091776</v>
          </cell>
          <cell r="AM223">
            <v>10068078.999005646</v>
          </cell>
          <cell r="AN223">
            <v>10079509.651275501</v>
          </cell>
          <cell r="AO223">
            <v>10063288.136940375</v>
          </cell>
          <cell r="AP223">
            <v>10300258.610741928</v>
          </cell>
        </row>
      </sheetData>
      <sheetData sheetId="4" refreshError="1"/>
      <sheetData sheetId="5">
        <row r="74">
          <cell r="O74">
            <v>20677715718</v>
          </cell>
        </row>
      </sheetData>
      <sheetData sheetId="6">
        <row r="3">
          <cell r="J3">
            <v>8158168</v>
          </cell>
        </row>
      </sheetData>
      <sheetData sheetId="7" refreshError="1"/>
      <sheetData sheetId="8" refreshError="1"/>
      <sheetData sheetId="9" refreshError="1"/>
      <sheetData sheetId="10">
        <row r="4">
          <cell r="J4">
            <v>1855120823</v>
          </cell>
        </row>
      </sheetData>
      <sheetData sheetId="11">
        <row r="14">
          <cell r="B14">
            <v>32877627</v>
          </cell>
        </row>
      </sheetData>
      <sheetData sheetId="12">
        <row r="8">
          <cell r="B8">
            <v>1607200</v>
          </cell>
        </row>
      </sheetData>
      <sheetData sheetId="13" refreshError="1"/>
      <sheetData sheetId="14">
        <row r="3">
          <cell r="J3">
            <v>102382010</v>
          </cell>
        </row>
      </sheetData>
      <sheetData sheetId="15" refreshError="1"/>
      <sheetData sheetId="16">
        <row r="28">
          <cell r="AF28">
            <v>1.4259683792080682</v>
          </cell>
        </row>
      </sheetData>
      <sheetData sheetId="17" refreshError="1"/>
      <sheetData sheetId="18">
        <row r="4">
          <cell r="J4">
            <v>331927</v>
          </cell>
        </row>
      </sheetData>
      <sheetData sheetId="19">
        <row r="16">
          <cell r="B16">
            <v>125801</v>
          </cell>
        </row>
      </sheetData>
      <sheetData sheetId="20">
        <row r="23">
          <cell r="AP23">
            <v>1.0030464314918521</v>
          </cell>
        </row>
      </sheetData>
      <sheetData sheetId="21" refreshError="1"/>
      <sheetData sheetId="22">
        <row r="13">
          <cell r="D13">
            <v>1024</v>
          </cell>
        </row>
      </sheetData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_mgBOMa2PUKJtcAnuJC0ExKGZpoQRi1Lgi7DZfPxc16uUQNQTNyYRqvagvQVE-VN" itemId="01KT72473H2NNMB766WZDI6HXLG4EJHMOK">
      <xxl21:absoluteUrl r:id="rId2"/>
      <xxl21:relativeUrl r:id="rId3"/>
    </xxl21:alternateUrls>
    <sheetNames>
      <sheetName val="USDA Comp"/>
      <sheetName val="Long-Term Comparison"/>
      <sheetName val="Sheet2"/>
      <sheetName val="VO CY Balance Sheets"/>
      <sheetName val="VO MY Balance Sheets"/>
      <sheetName val="Soy Complex"/>
      <sheetName val="Soy Complex-old"/>
      <sheetName val="Acreage-Yield Scenario"/>
      <sheetName val="Slaughter"/>
      <sheetName val="Crop Progress"/>
      <sheetName val="Soy Monthly Bal"/>
      <sheetName val="Meal Monthly Bal"/>
      <sheetName val="Meal Domestic Use"/>
      <sheetName val="Protein Meal and Animal Units"/>
      <sheetName val="Meal and Co-Product Dom Use"/>
      <sheetName val="Oil Monthly Bal"/>
      <sheetName val="Oil Domestic Supply"/>
      <sheetName val="Veg Oil Imports"/>
      <sheetName val="Sun Complex"/>
      <sheetName val="Sunflower Meal Monthly Bal"/>
      <sheetName val="Sunflower Oil Monthly Bal"/>
      <sheetName val="Canola USDA Comp"/>
      <sheetName val="Canola Complex"/>
      <sheetName val="Canola State Production"/>
      <sheetName val="Canola Meal Monthly Bal"/>
      <sheetName val="Canola Oil Monthly Bal"/>
      <sheetName val="Cottonseed Complex"/>
      <sheetName val="Peanut Complex"/>
      <sheetName val="Flaxseed Complex"/>
      <sheetName val="Safflower Complex"/>
      <sheetName val="FOG MY Balance Sheet"/>
      <sheetName val="FOG CY Balance Sheet"/>
      <sheetName val="Corn Oil Balance Sheet"/>
      <sheetName val="Distillers' Corn Oil Complex"/>
      <sheetName val="Corn Oil Monthly Bal"/>
      <sheetName val="Palm Complex"/>
      <sheetName val="Copra Complex"/>
      <sheetName val="Meat and Bone Meal Complex"/>
      <sheetName val="Inedible Fat and Oil Bal"/>
      <sheetName val="Tallow Complex"/>
      <sheetName val="Technical Tallow"/>
      <sheetName val="Edible Tallow Complex"/>
      <sheetName val="Inedible Tallow Complex"/>
      <sheetName val="Grease Complex"/>
      <sheetName val="UCO-YG Combined Bal Sheets"/>
      <sheetName val="Yellow Grease Complex"/>
      <sheetName val="Used Cooking Oil Complex"/>
      <sheetName val="CWG Complex"/>
      <sheetName val="Lard Complex"/>
      <sheetName val="Feather Meal Complex"/>
      <sheetName val="Poultry Fat Non-Bio Use"/>
      <sheetName val="Poultry Fat Bio Use"/>
      <sheetName val="Poultry Byproduct Complex"/>
      <sheetName val="tblSAFFeedstock"/>
      <sheetName val="DataDepotMetaData"/>
    </sheetNames>
    <sheetDataSet>
      <sheetData sheetId="0"/>
      <sheetData sheetId="1"/>
      <sheetData sheetId="2"/>
      <sheetData sheetId="3">
        <row r="354">
          <cell r="AV354">
            <v>3187.4999999999995</v>
          </cell>
          <cell r="AW354">
            <v>4119.5</v>
          </cell>
          <cell r="AX354">
            <v>2297</v>
          </cell>
          <cell r="AY354">
            <v>1389</v>
          </cell>
          <cell r="AZ354">
            <v>5000</v>
          </cell>
          <cell r="BA354">
            <v>4833</v>
          </cell>
          <cell r="BB354">
            <v>6154</v>
          </cell>
          <cell r="BC354">
            <v>5849.74</v>
          </cell>
          <cell r="BD354">
            <v>5656.2</v>
          </cell>
          <cell r="BE354">
            <v>7306.12</v>
          </cell>
          <cell r="BF354">
            <v>7705.93</v>
          </cell>
          <cell r="BG354">
            <v>8799.4032910156257</v>
          </cell>
          <cell r="BH354">
            <v>8583.3963120268199</v>
          </cell>
          <cell r="BI354">
            <v>9641.4498306650494</v>
          </cell>
          <cell r="BJ354">
            <v>8248.598237923683</v>
          </cell>
          <cell r="BK354">
            <v>8443.858088212748</v>
          </cell>
          <cell r="BL354">
            <v>9206.5236084459957</v>
          </cell>
          <cell r="BM354">
            <v>8598.8660320250001</v>
          </cell>
          <cell r="BN354">
            <v>8283.5131770377593</v>
          </cell>
          <cell r="BO354">
            <v>7791.0313033244474</v>
          </cell>
          <cell r="BP354">
            <v>7733.9084916076281</v>
          </cell>
          <cell r="BQ354">
            <v>6136.4961379404504</v>
          </cell>
          <cell r="BR354">
            <v>6833.4269181132668</v>
          </cell>
          <cell r="BS354">
            <v>6762.6762521847286</v>
          </cell>
          <cell r="BT354">
            <v>6578.9995461899525</v>
          </cell>
          <cell r="BU354">
            <v>6797.6503432247919</v>
          </cell>
          <cell r="BV354">
            <v>4998.7532716555779</v>
          </cell>
          <cell r="BW354">
            <v>6039.0916570991949</v>
          </cell>
          <cell r="BX354">
            <v>6024.3030174459509</v>
          </cell>
          <cell r="BY354">
            <v>5256.6084540131997</v>
          </cell>
          <cell r="BZ354">
            <v>4312.0118976294643</v>
          </cell>
          <cell r="CA354">
            <v>4241.8630025573539</v>
          </cell>
          <cell r="CB354">
            <v>4068.043261611248</v>
          </cell>
          <cell r="CC354">
            <v>2310.5277114474602</v>
          </cell>
          <cell r="CD354">
            <v>2425.5708711714119</v>
          </cell>
          <cell r="CE354">
            <v>2267.9477618603719</v>
          </cell>
          <cell r="CF354">
            <v>1763.4387514569376</v>
          </cell>
          <cell r="CG354">
            <v>1662.6935384665992</v>
          </cell>
          <cell r="CH354">
            <v>1548.6226910536993</v>
          </cell>
          <cell r="CI354">
            <v>1418.3015364499165</v>
          </cell>
          <cell r="CJ354">
            <v>1292.4978392043888</v>
          </cell>
          <cell r="CK354">
            <v>1256.4844349441689</v>
          </cell>
          <cell r="CL354">
            <v>1174.7638884792825</v>
          </cell>
          <cell r="CM354">
            <v>1243.5977254515506</v>
          </cell>
        </row>
      </sheetData>
      <sheetData sheetId="4"/>
      <sheetData sheetId="5">
        <row r="3">
          <cell r="AK3" t="str">
            <v xml:space="preserve">95/96 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0">
          <cell r="AK10">
            <v>557.98277340959999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64">
          <cell r="O64">
            <v>232.10982552800735</v>
          </cell>
          <cell r="P64">
            <v>775.55899999999997</v>
          </cell>
          <cell r="Q64">
            <v>1344.5990000000002</v>
          </cell>
          <cell r="R64">
            <v>958</v>
          </cell>
          <cell r="S64">
            <v>1978</v>
          </cell>
          <cell r="T64">
            <v>2287</v>
          </cell>
          <cell r="U64">
            <v>3206</v>
          </cell>
          <cell r="V64">
            <v>3000.19</v>
          </cell>
          <cell r="W64">
            <v>3401.4</v>
          </cell>
          <cell r="X64">
            <v>3416.5299999999997</v>
          </cell>
          <cell r="Y64">
            <v>4206.8</v>
          </cell>
          <cell r="Z64">
            <v>4969.681884765625</v>
          </cell>
          <cell r="AA64">
            <v>4196.7116666666661</v>
          </cell>
          <cell r="AB64">
            <v>3717.5073107677081</v>
          </cell>
          <cell r="AC64">
            <v>3736.046010281666</v>
          </cell>
          <cell r="AD64">
            <v>4115.6804751926011</v>
          </cell>
          <cell r="AE64">
            <v>3842.1994816201009</v>
          </cell>
          <cell r="AF64">
            <v>3903.490122333948</v>
          </cell>
          <cell r="AG64">
            <v>3702.3731454382046</v>
          </cell>
          <cell r="AH64">
            <v>3389.0005039093703</v>
          </cell>
          <cell r="AI64">
            <v>3574.5894660242839</v>
          </cell>
          <cell r="AJ64">
            <v>2737.7253348237118</v>
          </cell>
          <cell r="AK64">
            <v>2914.7973463676826</v>
          </cell>
          <cell r="AL64">
            <v>2970.001777063761</v>
          </cell>
          <cell r="AM64">
            <v>2993.0640765931694</v>
          </cell>
          <cell r="AN64">
            <v>3216.5251819308533</v>
          </cell>
          <cell r="AO64">
            <v>3061.4901861995831</v>
          </cell>
          <cell r="AP64">
            <v>3020.2804083800897</v>
          </cell>
          <cell r="AQ64">
            <v>2847.1133010555136</v>
          </cell>
          <cell r="AR64">
            <v>2277.4661581632913</v>
          </cell>
          <cell r="AS64">
            <v>1820.9135833607418</v>
          </cell>
          <cell r="AT64">
            <v>1779.0129973579963</v>
          </cell>
          <cell r="AU64">
            <v>1709.3361087456447</v>
          </cell>
          <cell r="AV64">
            <v>1630.5998113964995</v>
          </cell>
          <cell r="AW64">
            <v>1676.8811618840396</v>
          </cell>
          <cell r="AX64">
            <v>1925.0919530465208</v>
          </cell>
          <cell r="AY64">
            <v>1905.7654433443599</v>
          </cell>
          <cell r="AZ64">
            <v>1888.3469729778676</v>
          </cell>
          <cell r="BA64">
            <v>1873.1513710731285</v>
          </cell>
          <cell r="BB64">
            <v>1860.9400682522555</v>
          </cell>
          <cell r="BC64">
            <v>1851.0812792014683</v>
          </cell>
          <cell r="BD64">
            <v>1843.1127160308486</v>
          </cell>
          <cell r="BE64">
            <v>1836.2955025303897</v>
          </cell>
          <cell r="BF64">
            <v>1830.6688543772825</v>
          </cell>
        </row>
      </sheetData>
      <sheetData sheetId="32"/>
      <sheetData sheetId="33">
        <row r="4">
          <cell r="D4"/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3">
          <cell r="A3" t="str">
            <v>Carryin (October 1)</v>
          </cell>
        </row>
      </sheetData>
      <sheetData sheetId="43"/>
      <sheetData sheetId="44"/>
      <sheetData sheetId="45">
        <row r="4">
          <cell r="D4">
            <v>9.3667530695770811</v>
          </cell>
        </row>
      </sheetData>
      <sheetData sheetId="46">
        <row r="4">
          <cell r="D4">
            <v>84.300777626193735</v>
          </cell>
        </row>
      </sheetData>
      <sheetData sheetId="47">
        <row r="4">
          <cell r="D4">
            <v>35.632469304229204</v>
          </cell>
        </row>
      </sheetData>
      <sheetData sheetId="48"/>
      <sheetData sheetId="49"/>
      <sheetData sheetId="50" refreshError="1"/>
      <sheetData sheetId="51" refreshError="1"/>
      <sheetData sheetId="52">
        <row r="16">
          <cell r="A16" t="str">
            <v>Carryin (Oct 1)</v>
          </cell>
        </row>
      </sheetData>
      <sheetData sheetId="53" refreshError="1"/>
      <sheetData sheetId="5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ashboard"/>
      <sheetName val="Forecasts"/>
      <sheetName val="AnnualForecast"/>
      <sheetName val="Sheet2"/>
      <sheetName val="Chart1"/>
      <sheetName val="Chart2"/>
      <sheetName val="Historical Comp"/>
      <sheetName val="Biodiesel and RD Forward Curve "/>
    </sheetNames>
    <sheetDataSet>
      <sheetData sheetId="0"/>
      <sheetData sheetId="1">
        <row r="2">
          <cell r="C2">
            <v>1.8632</v>
          </cell>
          <cell r="G2">
            <v>0.58384202922734396</v>
          </cell>
        </row>
        <row r="3">
          <cell r="C3">
            <v>1.6326000000000001</v>
          </cell>
          <cell r="G3">
            <v>0.37382052635725016</v>
          </cell>
        </row>
        <row r="4">
          <cell r="C4">
            <v>1.1818</v>
          </cell>
          <cell r="G4">
            <v>0.45743632442406268</v>
          </cell>
        </row>
        <row r="5">
          <cell r="C5">
            <v>0.87690000000000001</v>
          </cell>
          <cell r="G5">
            <v>0.47833293067984406</v>
          </cell>
        </row>
        <row r="6">
          <cell r="C6">
            <v>0.92020000000000002</v>
          </cell>
          <cell r="G6">
            <v>0.37915358278987521</v>
          </cell>
        </row>
        <row r="7">
          <cell r="C7">
            <v>1.1539999999999999</v>
          </cell>
          <cell r="G7">
            <v>0.43185317597242201</v>
          </cell>
        </row>
        <row r="8">
          <cell r="C8">
            <v>1.2476</v>
          </cell>
          <cell r="G8">
            <v>0.51716392611812534</v>
          </cell>
        </row>
        <row r="9">
          <cell r="C9">
            <v>1.2482</v>
          </cell>
          <cell r="G9">
            <v>0.51147596117500016</v>
          </cell>
        </row>
        <row r="10">
          <cell r="C10">
            <v>1.1354</v>
          </cell>
          <cell r="G10">
            <v>0.54982079988726562</v>
          </cell>
        </row>
        <row r="11">
          <cell r="C11">
            <v>1.1605000000000001</v>
          </cell>
          <cell r="G11">
            <v>0.61278013549275001</v>
          </cell>
        </row>
        <row r="12">
          <cell r="C12">
            <v>1.2509999999999999</v>
          </cell>
          <cell r="G12">
            <v>0.59844353171781695</v>
          </cell>
        </row>
        <row r="13">
          <cell r="C13">
            <v>1.4568000000000001</v>
          </cell>
          <cell r="G13">
            <v>0.74391555154515654</v>
          </cell>
        </row>
        <row r="14">
          <cell r="C14">
            <v>1.5874999999999999</v>
          </cell>
          <cell r="G14">
            <v>0.93268182654163367</v>
          </cell>
        </row>
        <row r="15">
          <cell r="C15">
            <v>1.7950999999999999</v>
          </cell>
          <cell r="G15">
            <v>1.2268009429640627</v>
          </cell>
        </row>
        <row r="16">
          <cell r="C16">
            <v>1.8698999999999999</v>
          </cell>
          <cell r="G16">
            <v>1.2103607574107815</v>
          </cell>
        </row>
        <row r="17">
          <cell r="C17">
            <v>1.8716999999999999</v>
          </cell>
          <cell r="G17">
            <v>1.5065667111645002</v>
          </cell>
        </row>
        <row r="18">
          <cell r="C18">
            <v>2.0308999999999999</v>
          </cell>
          <cell r="G18">
            <v>1.2096897435385003</v>
          </cell>
        </row>
        <row r="19">
          <cell r="C19">
            <v>2.1303999999999998</v>
          </cell>
          <cell r="G19">
            <v>1.6552803692895313</v>
          </cell>
        </row>
        <row r="20">
          <cell r="C20">
            <v>2.1139999999999999</v>
          </cell>
          <cell r="G20">
            <v>1.8380847997845002</v>
          </cell>
        </row>
        <row r="21">
          <cell r="C21">
            <v>2.0815000000000001</v>
          </cell>
          <cell r="G21">
            <v>1.7168598157978132</v>
          </cell>
        </row>
        <row r="22">
          <cell r="C22">
            <v>2.2090999999999998</v>
          </cell>
          <cell r="G22">
            <v>1.8660540980699376</v>
          </cell>
        </row>
        <row r="23">
          <cell r="C23">
            <v>2.5255999999999998</v>
          </cell>
          <cell r="G23">
            <v>1.8703441645247505</v>
          </cell>
        </row>
        <row r="24">
          <cell r="C24">
            <v>2.3986000000000001</v>
          </cell>
          <cell r="G24">
            <v>2.508785299785</v>
          </cell>
        </row>
        <row r="25">
          <cell r="C25">
            <v>2.2559</v>
          </cell>
          <cell r="G25">
            <v>2.3890110591559375</v>
          </cell>
        </row>
        <row r="26">
          <cell r="C26">
            <v>2.6183000000000001</v>
          </cell>
          <cell r="G26">
            <v>2.2699875251370627</v>
          </cell>
        </row>
        <row r="27">
          <cell r="C27">
            <v>2.8553999999999999</v>
          </cell>
          <cell r="G27">
            <v>2.6164661636718751</v>
          </cell>
        </row>
        <row r="28">
          <cell r="C28">
            <v>3.6623000000000001</v>
          </cell>
          <cell r="G28">
            <v>3.2548560126521875</v>
          </cell>
        </row>
        <row r="29">
          <cell r="C29">
            <v>3.8795000000000002</v>
          </cell>
          <cell r="G29">
            <v>3.7298203072097502</v>
          </cell>
        </row>
        <row r="30">
          <cell r="C30">
            <v>3.9176000000000002</v>
          </cell>
          <cell r="G30">
            <v>3.7191981844797652</v>
          </cell>
        </row>
        <row r="31">
          <cell r="C31">
            <v>4.3010999999999999</v>
          </cell>
          <cell r="G31">
            <v>3.9572046083717187</v>
          </cell>
        </row>
        <row r="32">
          <cell r="C32">
            <v>3.6501999999999999</v>
          </cell>
          <cell r="G32">
            <v>3.7202026297145006</v>
          </cell>
        </row>
        <row r="33">
          <cell r="C33">
            <v>3.6059999999999999</v>
          </cell>
          <cell r="G33">
            <v>3.3245347878546876</v>
          </cell>
        </row>
        <row r="34">
          <cell r="C34">
            <v>3.4216000000000002</v>
          </cell>
          <cell r="G34">
            <v>3.3245347878546876</v>
          </cell>
        </row>
        <row r="35">
          <cell r="C35">
            <v>3.9615785714285709</v>
          </cell>
          <cell r="G35">
            <v>3.8472365381502498</v>
          </cell>
        </row>
        <row r="36">
          <cell r="C36">
            <v>3.5769000000000002</v>
          </cell>
          <cell r="G36">
            <v>3.8472365381502498</v>
          </cell>
        </row>
        <row r="37">
          <cell r="C37">
            <v>2.9495</v>
          </cell>
          <cell r="G37">
            <v>3.7106194895280624</v>
          </cell>
        </row>
        <row r="38">
          <cell r="C38">
            <v>2.9518</v>
          </cell>
          <cell r="G38">
            <v>3.5535684345340628</v>
          </cell>
        </row>
        <row r="39">
          <cell r="C39">
            <v>2.8294000000000001</v>
          </cell>
          <cell r="G39">
            <v>3.332536634955781</v>
          </cell>
        </row>
        <row r="40">
          <cell r="C40">
            <v>2.6103000000000001</v>
          </cell>
          <cell r="G40">
            <v>2.7414457314490623</v>
          </cell>
        </row>
        <row r="41">
          <cell r="C41">
            <v>2.3999000000000001</v>
          </cell>
          <cell r="G41">
            <v>2.2833527645293747</v>
          </cell>
        </row>
        <row r="42">
          <cell r="C42">
            <v>2.1654</v>
          </cell>
          <cell r="G42">
            <v>2.1804004741771879</v>
          </cell>
        </row>
        <row r="43">
          <cell r="C43">
            <v>2.2235999999999998</v>
          </cell>
          <cell r="G43">
            <v>2.197786817252422</v>
          </cell>
        </row>
        <row r="44">
          <cell r="C44">
            <v>2.5154999999999998</v>
          </cell>
          <cell r="G44">
            <v>2.1653838241446874</v>
          </cell>
        </row>
        <row r="45">
          <cell r="C45">
            <v>3.1316000000000002</v>
          </cell>
          <cell r="G45">
            <v>2.98110994324625</v>
          </cell>
        </row>
        <row r="46">
          <cell r="C46">
            <v>3.7347999999999999</v>
          </cell>
          <cell r="G46">
            <v>3.232403167131094</v>
          </cell>
        </row>
        <row r="47">
          <cell r="C47">
            <v>3.2168000000000001</v>
          </cell>
          <cell r="G47">
            <v>3.2225846168725001</v>
          </cell>
        </row>
        <row r="48">
          <cell r="C48">
            <v>2.944</v>
          </cell>
          <cell r="G48">
            <v>2.9984840224057501</v>
          </cell>
        </row>
        <row r="49">
          <cell r="C49">
            <v>2.5878999999999999</v>
          </cell>
          <cell r="G49">
            <v>2.8554678180845312</v>
          </cell>
        </row>
        <row r="50">
          <cell r="C50">
            <v>2.5011000000000001</v>
          </cell>
          <cell r="G50">
            <v>2.7617393873552216</v>
          </cell>
        </row>
        <row r="51">
          <cell r="C51">
            <v>2.5948000000000002</v>
          </cell>
          <cell r="G51">
            <v>2.9281327310226564</v>
          </cell>
        </row>
        <row r="52">
          <cell r="C52">
            <v>2.6656</v>
          </cell>
          <cell r="G52">
            <v>2.55675304940875</v>
          </cell>
        </row>
        <row r="53">
          <cell r="C53">
            <v>2.6368</v>
          </cell>
          <cell r="G53">
            <v>2.6215420558218749</v>
          </cell>
        </row>
        <row r="54">
          <cell r="C54">
            <v>2.4277000000000002</v>
          </cell>
          <cell r="G54">
            <v>2.4313457317656249</v>
          </cell>
        </row>
        <row r="55">
          <cell r="C55">
            <v>2.4277000000000002</v>
          </cell>
          <cell r="G55">
            <v>2.3479876207913652</v>
          </cell>
        </row>
        <row r="56">
          <cell r="C56">
            <v>2.3199999999999998</v>
          </cell>
          <cell r="G56">
            <v>2.5143675800112497</v>
          </cell>
        </row>
        <row r="57">
          <cell r="C57">
            <v>2.11</v>
          </cell>
          <cell r="G57">
            <v>2.3097106565812497</v>
          </cell>
        </row>
        <row r="58">
          <cell r="C58">
            <v>2.02</v>
          </cell>
          <cell r="G58">
            <v>2.1314703314242185</v>
          </cell>
        </row>
        <row r="59">
          <cell r="C59">
            <v>2.17</v>
          </cell>
          <cell r="G59">
            <v>2.2325323760174998</v>
          </cell>
        </row>
        <row r="60">
          <cell r="C60">
            <v>2.29</v>
          </cell>
          <cell r="G60">
            <v>2.4390338017789062</v>
          </cell>
        </row>
        <row r="61">
          <cell r="C61">
            <v>2.5099999999999998</v>
          </cell>
          <cell r="G61">
            <v>2.5148179093137504</v>
          </cell>
        </row>
        <row r="62">
          <cell r="C62">
            <v>2.76</v>
          </cell>
          <cell r="G62">
            <v>2.0072675986513135</v>
          </cell>
        </row>
        <row r="63">
          <cell r="C63">
            <v>2.7</v>
          </cell>
          <cell r="G63">
            <v>1.7561055181408647</v>
          </cell>
        </row>
        <row r="64">
          <cell r="C64">
            <v>2.4500000000000002</v>
          </cell>
          <cell r="G64">
            <v>1.512941044456654</v>
          </cell>
        </row>
        <row r="65">
          <cell r="C65">
            <v>2.5731999999999999</v>
          </cell>
          <cell r="G65">
            <v>1.5178214361020856</v>
          </cell>
        </row>
        <row r="66">
          <cell r="C66">
            <v>2.5461999999999998</v>
          </cell>
          <cell r="G66">
            <v>1.6317828275280513</v>
          </cell>
        </row>
        <row r="67">
          <cell r="C67">
            <v>2.6409000000000002</v>
          </cell>
          <cell r="G67">
            <v>1.677433307158513</v>
          </cell>
        </row>
        <row r="68">
          <cell r="C68">
            <v>2.6913</v>
          </cell>
          <cell r="G68">
            <v>1.7608804274017595</v>
          </cell>
        </row>
        <row r="69">
          <cell r="C69">
            <v>2.7498</v>
          </cell>
          <cell r="G69">
            <v>1.8649845881891087</v>
          </cell>
        </row>
        <row r="70">
          <cell r="C70">
            <v>2.6375000000000002</v>
          </cell>
          <cell r="G70">
            <v>1.6939522431212002</v>
          </cell>
        </row>
        <row r="71">
          <cell r="C71">
            <v>2.7104999999999997</v>
          </cell>
          <cell r="G71">
            <v>1.6939522431212002</v>
          </cell>
        </row>
        <row r="72">
          <cell r="C72">
            <v>2.7595000000000001</v>
          </cell>
          <cell r="G72">
            <v>1.6939522431212002</v>
          </cell>
        </row>
        <row r="73">
          <cell r="C73">
            <v>2.7111000000000001</v>
          </cell>
          <cell r="G73">
            <v>1.6939522431212002</v>
          </cell>
        </row>
        <row r="74">
          <cell r="C74">
            <v>2.6727888000000002</v>
          </cell>
          <cell r="G74">
            <v>2.2933192678346006</v>
          </cell>
        </row>
        <row r="75">
          <cell r="C75">
            <v>2.6968438992000001</v>
          </cell>
          <cell r="G75">
            <v>2.405163420065743</v>
          </cell>
        </row>
        <row r="76">
          <cell r="C76">
            <v>2.7238123381920003</v>
          </cell>
          <cell r="G76">
            <v>2.4697905032631855</v>
          </cell>
        </row>
        <row r="77">
          <cell r="C77">
            <v>2.7483266492357283</v>
          </cell>
          <cell r="G77">
            <v>2.4578187530165532</v>
          </cell>
        </row>
        <row r="78">
          <cell r="C78">
            <v>2.7703132624296143</v>
          </cell>
          <cell r="G78">
            <v>2.4630967705183342</v>
          </cell>
        </row>
        <row r="79">
          <cell r="C79">
            <v>2.7897054552666214</v>
          </cell>
          <cell r="G79">
            <v>2.4494184727430741</v>
          </cell>
        </row>
        <row r="80">
          <cell r="C80">
            <v>2.8064436879982213</v>
          </cell>
          <cell r="G80">
            <v>2.4698325427986312</v>
          </cell>
        </row>
        <row r="81">
          <cell r="C81">
            <v>2.8204759064382126</v>
          </cell>
          <cell r="G81">
            <v>2.4955982100198106</v>
          </cell>
        </row>
        <row r="82">
          <cell r="C82">
            <v>2.8317578100639653</v>
          </cell>
          <cell r="G82">
            <v>2.4884099520769145</v>
          </cell>
        </row>
        <row r="83">
          <cell r="C83">
            <v>2.8459165991142852</v>
          </cell>
          <cell r="G83">
            <v>2.5204900145989586</v>
          </cell>
        </row>
        <row r="84">
          <cell r="C84">
            <v>2.862992098708971</v>
          </cell>
          <cell r="G84">
            <v>2.5277104099191363</v>
          </cell>
        </row>
        <row r="85">
          <cell r="C85">
            <v>2.8830330433999336</v>
          </cell>
          <cell r="G85">
            <v>2.5076448331555241</v>
          </cell>
        </row>
        <row r="86">
          <cell r="C86">
            <v>2.906097307747133</v>
          </cell>
          <cell r="G86">
            <v>2.6276102361879192</v>
          </cell>
        </row>
        <row r="87">
          <cell r="C87">
            <v>2.9264399889013628</v>
          </cell>
          <cell r="G87">
            <v>2.7020179532774784</v>
          </cell>
        </row>
        <row r="88">
          <cell r="C88">
            <v>2.943998628834771</v>
          </cell>
          <cell r="G88">
            <v>2.7379891421866773</v>
          </cell>
        </row>
        <row r="89">
          <cell r="C89">
            <v>2.958718621978945</v>
          </cell>
          <cell r="G89">
            <v>2.5823309074112988</v>
          </cell>
        </row>
        <row r="90">
          <cell r="C90">
            <v>2.9705534964668607</v>
          </cell>
          <cell r="G90">
            <v>2.5839296909643044</v>
          </cell>
        </row>
        <row r="91">
          <cell r="C91">
            <v>2.9824357104527284</v>
          </cell>
          <cell r="G91">
            <v>2.551119821254233</v>
          </cell>
        </row>
        <row r="92">
          <cell r="C92">
            <v>2.9943654532945394</v>
          </cell>
          <cell r="G92">
            <v>2.7698030391267214</v>
          </cell>
        </row>
        <row r="93">
          <cell r="C93">
            <v>3.0063429151077177</v>
          </cell>
          <cell r="G93">
            <v>2.8172330666645182</v>
          </cell>
        </row>
        <row r="94">
          <cell r="C94">
            <v>3.0183682867681485</v>
          </cell>
          <cell r="G94">
            <v>2.7406049542547817</v>
          </cell>
        </row>
        <row r="95">
          <cell r="C95">
            <v>3.0304417599152211</v>
          </cell>
          <cell r="G95">
            <v>2.7083912348556849</v>
          </cell>
        </row>
        <row r="96">
          <cell r="C96">
            <v>3.045593968714797</v>
          </cell>
          <cell r="G96">
            <v>2.744428936702012</v>
          </cell>
        </row>
        <row r="97">
          <cell r="C97">
            <v>3.0638675325270857</v>
          </cell>
          <cell r="G97">
            <v>2.7467933874761967</v>
          </cell>
        </row>
        <row r="98">
          <cell r="C98">
            <v>3.0853146052547751</v>
          </cell>
          <cell r="G98">
            <v>3.072277942783145</v>
          </cell>
        </row>
        <row r="99">
          <cell r="C99">
            <v>3.1038264928863035</v>
          </cell>
          <cell r="G99">
            <v>3.1702621329774705</v>
          </cell>
        </row>
        <row r="100">
          <cell r="C100">
            <v>2.9193456253507351</v>
          </cell>
          <cell r="G100">
            <v>3.1989413669262468</v>
          </cell>
        </row>
        <row r="101">
          <cell r="C101">
            <v>2.9310230078521382</v>
          </cell>
          <cell r="G101">
            <v>2.7583787992810742</v>
          </cell>
        </row>
        <row r="102">
          <cell r="C102">
            <v>2.9486091458992512</v>
          </cell>
          <cell r="G102">
            <v>2.9365763663870839</v>
          </cell>
        </row>
        <row r="103">
          <cell r="C103">
            <v>2.972198019066445</v>
          </cell>
          <cell r="G103">
            <v>3.0377590598609334</v>
          </cell>
        </row>
        <row r="104">
          <cell r="C104">
            <v>3.0019199992571095</v>
          </cell>
          <cell r="G104">
            <v>3.5126651152905195</v>
          </cell>
        </row>
        <row r="105">
          <cell r="C105">
            <v>3.0379430392481948</v>
          </cell>
          <cell r="G105">
            <v>3.561693926381321</v>
          </cell>
        </row>
        <row r="106">
          <cell r="C106">
            <v>3.0804742417976696</v>
          </cell>
          <cell r="G106">
            <v>3.1232280693442296</v>
          </cell>
        </row>
        <row r="107">
          <cell r="C107">
            <v>3.1297618296664322</v>
          </cell>
          <cell r="G107">
            <v>3.6988034669429335</v>
          </cell>
        </row>
        <row r="108">
          <cell r="C108">
            <v>3.1860975426004279</v>
          </cell>
          <cell r="G108">
            <v>3.8466798495901329</v>
          </cell>
        </row>
        <row r="109">
          <cell r="C109">
            <v>3.7498194934524363</v>
          </cell>
          <cell r="G109">
            <v>3.9311619348404849</v>
          </cell>
        </row>
        <row r="110">
          <cell r="C110">
            <v>3.8135664248411278</v>
          </cell>
          <cell r="G110">
            <v>3.7591794855055141</v>
          </cell>
        </row>
        <row r="111">
          <cell r="C111">
            <v>3.8669563547889036</v>
          </cell>
          <cell r="G111">
            <v>3.6598717207394156</v>
          </cell>
        </row>
        <row r="112">
          <cell r="C112">
            <v>3.7094928746915814</v>
          </cell>
          <cell r="G112">
            <v>3.6989014680037333</v>
          </cell>
        </row>
        <row r="113">
          <cell r="C113">
            <v>3.5391688176891138</v>
          </cell>
          <cell r="G113">
            <v>3.4678018728947846</v>
          </cell>
        </row>
        <row r="114">
          <cell r="C114">
            <v>3.5568646617775594</v>
          </cell>
          <cell r="G114">
            <v>3.7639845663686344</v>
          </cell>
        </row>
        <row r="115">
          <cell r="C115">
            <v>3.5639783911011147</v>
          </cell>
          <cell r="G115">
            <v>3.7396121610124409</v>
          </cell>
        </row>
        <row r="116">
          <cell r="C116">
            <v>3.6104144127100133</v>
          </cell>
          <cell r="G116">
            <v>4.4346914295432267</v>
          </cell>
        </row>
        <row r="117">
          <cell r="C117">
            <v>3.7959727550591733</v>
          </cell>
          <cell r="G117">
            <v>4.395180015436142</v>
          </cell>
        </row>
        <row r="118">
          <cell r="C118">
            <v>3.7694009457737589</v>
          </cell>
          <cell r="G118">
            <v>4.2210209869916318</v>
          </cell>
        </row>
        <row r="119">
          <cell r="C119">
            <v>3.7317069363160216</v>
          </cell>
          <cell r="G119">
            <v>4.2497846849266381</v>
          </cell>
        </row>
        <row r="120">
          <cell r="C120">
            <v>3.6831947461439132</v>
          </cell>
          <cell r="G120">
            <v>4.2104062966938116</v>
          </cell>
        </row>
        <row r="121">
          <cell r="C121">
            <v>3.9242636302056102</v>
          </cell>
          <cell r="G121">
            <v>4.1599627501049579</v>
          </cell>
        </row>
        <row r="122">
          <cell r="C122">
            <v>3.9949003755493111</v>
          </cell>
          <cell r="G122">
            <v>4.2132308790679431</v>
          </cell>
        </row>
        <row r="123">
          <cell r="C123">
            <v>4.0548238811825508</v>
          </cell>
          <cell r="G123">
            <v>4.3465958476080591</v>
          </cell>
        </row>
        <row r="124">
          <cell r="C124">
            <v>4.1034817677567412</v>
          </cell>
          <cell r="G124">
            <v>4.3783698878188337</v>
          </cell>
        </row>
        <row r="125">
          <cell r="C125">
            <v>4.1404131036665524</v>
          </cell>
          <cell r="G125">
            <v>3.8107992620885951</v>
          </cell>
        </row>
        <row r="126">
          <cell r="C126">
            <v>4.1652555822885518</v>
          </cell>
          <cell r="G126">
            <v>3.8202813473389465</v>
          </cell>
        </row>
        <row r="127">
          <cell r="C127">
            <v>3.9777513490354171</v>
          </cell>
          <cell r="G127">
            <v>3.7927848068640215</v>
          </cell>
        </row>
        <row r="128">
          <cell r="C128">
            <v>3.9777513490354171</v>
          </cell>
          <cell r="G128">
            <v>4.524347759725905</v>
          </cell>
        </row>
        <row r="129">
          <cell r="C129">
            <v>3.9658180949883106</v>
          </cell>
          <cell r="G129">
            <v>4.4803914444488662</v>
          </cell>
        </row>
        <row r="130">
          <cell r="C130">
            <v>3.9420231864183806</v>
          </cell>
          <cell r="G130">
            <v>4.3762305436573214</v>
          </cell>
        </row>
        <row r="131">
          <cell r="C131">
            <v>3.9065449777406154</v>
          </cell>
          <cell r="G131">
            <v>4.3325770652414182</v>
          </cell>
        </row>
        <row r="132">
          <cell r="C132">
            <v>3.8596664380077281</v>
          </cell>
          <cell r="G132">
            <v>4.3252781912308471</v>
          </cell>
        </row>
        <row r="133">
          <cell r="C133">
            <v>4.0017714414376124</v>
          </cell>
          <cell r="G133">
            <v>3.9532349249154723</v>
          </cell>
        </row>
        <row r="134">
          <cell r="C134">
            <v>4.0297838415276761</v>
          </cell>
          <cell r="G134">
            <v>4.0269223486642796</v>
          </cell>
        </row>
        <row r="135">
          <cell r="C135">
            <v>4.0539625445768426</v>
          </cell>
          <cell r="G135">
            <v>4.0745941457969757</v>
          </cell>
        </row>
        <row r="136">
          <cell r="C136">
            <v>4.074232357299727</v>
          </cell>
          <cell r="G136">
            <v>4.1014700106782449</v>
          </cell>
        </row>
        <row r="137">
          <cell r="C137">
            <v>4.090529286728926</v>
          </cell>
          <cell r="G137">
            <v>3.6569795667970597</v>
          </cell>
        </row>
        <row r="138">
          <cell r="C138">
            <v>4.1150724624492998</v>
          </cell>
          <cell r="G138">
            <v>3.6494467784152533</v>
          </cell>
        </row>
        <row r="139">
          <cell r="C139">
            <v>4.1479930421488946</v>
          </cell>
          <cell r="G139">
            <v>3.652366328019482</v>
          </cell>
        </row>
        <row r="140">
          <cell r="C140">
            <v>4.1894729725703836</v>
          </cell>
          <cell r="G140">
            <v>4.1109957695434449</v>
          </cell>
        </row>
        <row r="141">
          <cell r="C141">
            <v>4.239746648241228</v>
          </cell>
          <cell r="G141">
            <v>4.1688790712407924</v>
          </cell>
        </row>
        <row r="142">
          <cell r="C142">
            <v>4.2991031013166054</v>
          </cell>
          <cell r="G142">
            <v>4.1824624633957077</v>
          </cell>
        </row>
        <row r="143">
          <cell r="C143">
            <v>4.3678887509376709</v>
          </cell>
          <cell r="G143">
            <v>4.4686067550223063</v>
          </cell>
        </row>
        <row r="144">
          <cell r="C144">
            <v>4.446510748454549</v>
          </cell>
          <cell r="G144">
            <v>4.2658917909325798</v>
          </cell>
        </row>
        <row r="145">
          <cell r="C145">
            <v>4.5354409634236399</v>
          </cell>
          <cell r="G145">
            <v>4.3556872054180777</v>
          </cell>
        </row>
        <row r="146">
          <cell r="C146">
            <v>4.6125434598018415</v>
          </cell>
          <cell r="G146">
            <v>4.20878498908524</v>
          </cell>
        </row>
        <row r="147">
          <cell r="C147">
            <v>4.6771190682390671</v>
          </cell>
          <cell r="G147">
            <v>4.1681573944414341</v>
          </cell>
        </row>
        <row r="148">
          <cell r="C148">
            <v>4.7285673779896973</v>
          </cell>
          <cell r="G148">
            <v>3.9314930341248169</v>
          </cell>
        </row>
        <row r="149">
          <cell r="C149">
            <v>4.7663959170136145</v>
          </cell>
          <cell r="G149">
            <v>3.6354236486942728</v>
          </cell>
        </row>
        <row r="150">
          <cell r="C150">
            <v>4.2902278965986822</v>
          </cell>
          <cell r="G150">
            <v>3.6215035813241139</v>
          </cell>
        </row>
        <row r="151">
          <cell r="C151">
            <v>3.7644865292190905</v>
          </cell>
          <cell r="G151">
            <v>3.5075472660470735</v>
          </cell>
        </row>
        <row r="152">
          <cell r="C152">
            <v>3.7607220426898715</v>
          </cell>
          <cell r="G152">
            <v>3.9176294333454815</v>
          </cell>
        </row>
        <row r="153">
          <cell r="C153">
            <v>3.7456791545191122</v>
          </cell>
          <cell r="G153">
            <v>3.8592644648053662</v>
          </cell>
        </row>
        <row r="154">
          <cell r="C154">
            <v>3.7194594004374784</v>
          </cell>
          <cell r="G154">
            <v>3.7361472487367835</v>
          </cell>
        </row>
        <row r="155">
          <cell r="C155">
            <v>3.6822648064331034</v>
          </cell>
          <cell r="G155">
            <v>3.6337409386430828</v>
          </cell>
        </row>
        <row r="156">
          <cell r="C156">
            <v>3.6343953639494733</v>
          </cell>
          <cell r="G156">
            <v>3.6238730283438243</v>
          </cell>
        </row>
        <row r="157">
          <cell r="C157">
            <v>4.0762450381262818</v>
          </cell>
          <cell r="G157">
            <v>3.4966898171040435</v>
          </cell>
        </row>
        <row r="158">
          <cell r="C158">
            <v>4.1496174488125552</v>
          </cell>
          <cell r="G158">
            <v>3.6573305044062869</v>
          </cell>
        </row>
        <row r="159">
          <cell r="C159">
            <v>3.7118617105447438</v>
          </cell>
          <cell r="G159">
            <v>3.7167029097624811</v>
          </cell>
        </row>
        <row r="160">
          <cell r="C160">
            <v>3.7564040510712808</v>
          </cell>
          <cell r="G160">
            <v>3.7842063692875554</v>
          </cell>
        </row>
        <row r="161">
          <cell r="C161">
            <v>3.7902116875309222</v>
          </cell>
          <cell r="G161">
            <v>3.4560229632798909</v>
          </cell>
        </row>
        <row r="162">
          <cell r="C162">
            <v>3.3129529576561079</v>
          </cell>
          <cell r="G162">
            <v>3.335818377765388</v>
          </cell>
        </row>
        <row r="163">
          <cell r="C163">
            <v>3.3427695342750128</v>
          </cell>
          <cell r="G163">
            <v>3.3095701075279256</v>
          </cell>
        </row>
        <row r="164">
          <cell r="C164">
            <v>3.3628261514806628</v>
          </cell>
          <cell r="G164">
            <v>3.363606744683898</v>
          </cell>
        </row>
        <row r="165">
          <cell r="C165">
            <v>3.3527376730262208</v>
          </cell>
          <cell r="G165">
            <v>3.2205188574720474</v>
          </cell>
        </row>
        <row r="166">
          <cell r="C166">
            <v>3.3326212469880634</v>
          </cell>
          <cell r="G166">
            <v>3.1332338215617725</v>
          </cell>
        </row>
        <row r="167">
          <cell r="C167">
            <v>3.3026276557651708</v>
          </cell>
          <cell r="G167">
            <v>3.4351417416680272</v>
          </cell>
        </row>
        <row r="168">
          <cell r="C168">
            <v>3.2629961238959888</v>
          </cell>
          <cell r="G168">
            <v>3.3126020342360727</v>
          </cell>
        </row>
        <row r="169">
          <cell r="C169">
            <v>3.214051182037549</v>
          </cell>
          <cell r="G169">
            <v>3.0942733136028382</v>
          </cell>
        </row>
      </sheetData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Sources"/>
      <sheetName val="Capacity"/>
      <sheetName val="annual_data"/>
      <sheetName val="monthly_data"/>
      <sheetName val="BD"/>
      <sheetName val="RD"/>
      <sheetName val="SAF"/>
      <sheetName val="Jet Fuel"/>
      <sheetName val="Diesel"/>
    </sheetNames>
    <sheetDataSet>
      <sheetData sheetId="0"/>
      <sheetData sheetId="1"/>
      <sheetData sheetId="2"/>
      <sheetData sheetId="3"/>
      <sheetData sheetId="4"/>
      <sheetData sheetId="5">
        <row r="5">
          <cell r="G5">
            <v>0</v>
          </cell>
          <cell r="H5">
            <v>0</v>
          </cell>
          <cell r="I5">
            <v>37.533273600000001</v>
          </cell>
          <cell r="J5">
            <v>110.62620673000001</v>
          </cell>
          <cell r="K5">
            <v>273.06962313000008</v>
          </cell>
          <cell r="L5">
            <v>136.53481156500004</v>
          </cell>
          <cell r="M5">
            <v>170.66851445625005</v>
          </cell>
          <cell r="N5">
            <v>172.72478897031255</v>
          </cell>
          <cell r="O5">
            <v>172.72478897031255</v>
          </cell>
          <cell r="P5">
            <v>185.14450541837505</v>
          </cell>
          <cell r="Q5">
            <v>187.55948187605003</v>
          </cell>
          <cell r="R5">
            <v>185.48950205518577</v>
          </cell>
          <cell r="S5">
            <v>192.97805618735515</v>
          </cell>
          <cell r="T5">
            <v>196.04137684769162</v>
          </cell>
          <cell r="U5">
            <v>199.66607147504038</v>
          </cell>
          <cell r="V5">
            <v>200.51482611857293</v>
          </cell>
          <cell r="W5">
            <v>204.48483142546729</v>
          </cell>
          <cell r="X5">
            <v>207.2477351407662</v>
          </cell>
          <cell r="Y5">
            <v>210.06034275001136</v>
          </cell>
          <cell r="Z5">
            <v>213.57046284927216</v>
          </cell>
          <cell r="AA5">
            <v>216.51223522954598</v>
          </cell>
          <cell r="AB5">
            <v>219.43664356981088</v>
          </cell>
          <cell r="AC5">
            <v>222.26101101192097</v>
          </cell>
          <cell r="AD5">
            <v>225.36760885382787</v>
          </cell>
          <cell r="AE5">
            <v>228.3508627721651</v>
          </cell>
          <cell r="AF5">
            <v>231.36559529093637</v>
          </cell>
          <cell r="AG5">
            <v>234.40920279678281</v>
          </cell>
          <cell r="AH5">
            <v>237.38616564642714</v>
          </cell>
          <cell r="AI5">
            <v>240.36815570598159</v>
          </cell>
          <cell r="AJ5">
            <v>243.35837172543455</v>
          </cell>
          <cell r="AK5">
            <v>246.37228039879363</v>
          </cell>
        </row>
      </sheetData>
      <sheetData sheetId="6"/>
      <sheetData sheetId="7"/>
      <sheetData sheetId="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raph Dashboard"/>
      <sheetName val="Global Capacity Data"/>
      <sheetName val="NAm"/>
      <sheetName val="NAm Capacity Data"/>
      <sheetName val="SAm"/>
      <sheetName val="SAm Capacity Data"/>
      <sheetName val="Europe"/>
      <sheetName val="Europe Capacity Data"/>
      <sheetName val="Asia"/>
      <sheetName val="Asia Capacity Data"/>
      <sheetName val="MEA"/>
      <sheetName val="MEA Capacity Data"/>
      <sheetName val="Capacity by Region"/>
      <sheetName val="HEFA by Region"/>
      <sheetName val="AtJ by Region"/>
      <sheetName val="Non-HEFA or AtJ by Region"/>
    </sheetNames>
    <sheetDataSet>
      <sheetData sheetId="0"/>
      <sheetData sheetId="1">
        <row r="12">
          <cell r="B12" t="str">
            <v>&lt; 2021</v>
          </cell>
        </row>
      </sheetData>
      <sheetData sheetId="2"/>
      <sheetData sheetId="3">
        <row r="12">
          <cell r="B12" t="str">
            <v>&lt; 2021</v>
          </cell>
        </row>
        <row r="29">
          <cell r="B29">
            <v>142.1</v>
          </cell>
          <cell r="C29">
            <v>565.6</v>
          </cell>
          <cell r="D29">
            <v>965.601</v>
          </cell>
          <cell r="E29">
            <v>965.601</v>
          </cell>
          <cell r="F29">
            <v>1848.3172582652869</v>
          </cell>
          <cell r="G29">
            <v>2492.8350707652871</v>
          </cell>
          <cell r="H29">
            <v>3418.6350707652873</v>
          </cell>
          <cell r="I29">
            <v>5844.6350707652873</v>
          </cell>
          <cell r="J29">
            <v>6270.6350707652873</v>
          </cell>
          <cell r="K29">
            <v>6520.6350707652873</v>
          </cell>
          <cell r="L29">
            <v>6703.1350707652873</v>
          </cell>
          <cell r="M29">
            <v>6771.1750707652873</v>
          </cell>
          <cell r="N29">
            <v>6771.1750707652873</v>
          </cell>
          <cell r="O29">
            <v>6771.1750707652873</v>
          </cell>
          <cell r="P29">
            <v>6771.1750707652873</v>
          </cell>
          <cell r="Q29">
            <v>6771.1750707652873</v>
          </cell>
          <cell r="R29">
            <v>6771.1750707652873</v>
          </cell>
          <cell r="S29">
            <v>6771.1750707652873</v>
          </cell>
          <cell r="T29">
            <v>6771.1750707652873</v>
          </cell>
          <cell r="U29">
            <v>6771.1750707652873</v>
          </cell>
          <cell r="V29">
            <v>6771.1750707652873</v>
          </cell>
          <cell r="W29">
            <v>6771.1750707652873</v>
          </cell>
          <cell r="X29">
            <v>6771.1750707652873</v>
          </cell>
          <cell r="Y29">
            <v>6771.1750707652873</v>
          </cell>
          <cell r="Z29">
            <v>6771.1750707652873</v>
          </cell>
          <cell r="AA29">
            <v>6771.1750707652873</v>
          </cell>
          <cell r="AB29">
            <v>6771.1750707652873</v>
          </cell>
          <cell r="AC29">
            <v>6771.1750707652873</v>
          </cell>
          <cell r="AD29">
            <v>6771.1750707652873</v>
          </cell>
          <cell r="AE29">
            <v>6771.1750707652873</v>
          </cell>
          <cell r="AF29">
            <v>6771.1750707652873</v>
          </cell>
        </row>
      </sheetData>
      <sheetData sheetId="4"/>
      <sheetData sheetId="5">
        <row r="12">
          <cell r="B12" t="str">
            <v>&lt; 2021</v>
          </cell>
        </row>
      </sheetData>
      <sheetData sheetId="6"/>
      <sheetData sheetId="7">
        <row r="12">
          <cell r="B12" t="str">
            <v>&lt; 2021</v>
          </cell>
        </row>
      </sheetData>
      <sheetData sheetId="8"/>
      <sheetData sheetId="9">
        <row r="12">
          <cell r="B12" t="str">
            <v>&lt; 2021</v>
          </cell>
        </row>
      </sheetData>
      <sheetData sheetId="10"/>
      <sheetData sheetId="11">
        <row r="12">
          <cell r="B12" t="str">
            <v>&lt; 2021</v>
          </cell>
        </row>
      </sheetData>
      <sheetData sheetId="12">
        <row r="2">
          <cell r="C2">
            <v>2023</v>
          </cell>
        </row>
      </sheetData>
      <sheetData sheetId="13" refreshError="1"/>
      <sheetData sheetId="14" refreshError="1"/>
      <sheetData sheetId="15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ata Links"/>
      <sheetName val="Assumptions"/>
      <sheetName val="US Fuel Production"/>
      <sheetName val="US Jet Fuel"/>
    </sheetNames>
    <sheetDataSet>
      <sheetData sheetId="0"/>
      <sheetData sheetId="1">
        <row r="20">
          <cell r="BC20">
            <v>722415.33364099998</v>
          </cell>
          <cell r="BD20">
            <v>754450.05571900005</v>
          </cell>
          <cell r="BE20">
            <v>306058.02996800002</v>
          </cell>
          <cell r="BF20">
            <v>573403.84113099996</v>
          </cell>
          <cell r="BG20">
            <v>708959.95827800001</v>
          </cell>
          <cell r="BH20">
            <v>773411.55941999995</v>
          </cell>
          <cell r="BI20">
            <v>785786.14437071991</v>
          </cell>
          <cell r="BJ20">
            <v>807002.37026872928</v>
          </cell>
          <cell r="BK20">
            <v>828791.43426598492</v>
          </cell>
          <cell r="BL20">
            <v>851168.80299116648</v>
          </cell>
          <cell r="BM20">
            <v>874150.36067192792</v>
          </cell>
          <cell r="BN20">
            <v>897752.42041006987</v>
          </cell>
          <cell r="BO20">
            <v>921991.73576114164</v>
          </cell>
          <cell r="BP20">
            <v>946885.51262669242</v>
          </cell>
          <cell r="BQ20">
            <v>972451.42146761308</v>
          </cell>
          <cell r="BR20">
            <v>998707.60984723852</v>
          </cell>
          <cell r="BS20">
            <v>1025672.7153131139</v>
          </cell>
          <cell r="BT20">
            <v>1053365.8786265678</v>
          </cell>
          <cell r="BU20">
            <v>1081806.7573494851</v>
          </cell>
          <cell r="BV20">
            <v>1111015.539797921</v>
          </cell>
          <cell r="BW20">
            <v>1141012.9593724648</v>
          </cell>
          <cell r="BX20">
            <v>1171820.3092755212</v>
          </cell>
          <cell r="BY20">
            <v>1203459.4576259602</v>
          </cell>
          <cell r="BZ20">
            <v>1235952.862981861</v>
          </cell>
          <cell r="CA20">
            <v>1269323.590282371</v>
          </cell>
          <cell r="CB20">
            <v>1303595.327219995</v>
          </cell>
          <cell r="CC20">
            <v>1338792.4010549348</v>
          </cell>
          <cell r="CD20">
            <v>1374939.7958834181</v>
          </cell>
          <cell r="CE20">
            <v>1412063.1703722703</v>
          </cell>
          <cell r="CF20">
            <v>1450188.8759723215</v>
          </cell>
          <cell r="CG20">
            <v>1489343.9756235741</v>
          </cell>
          <cell r="CH20">
            <v>1529556.2629654105</v>
          </cell>
          <cell r="CI20">
            <v>1570854.2820654765</v>
          </cell>
          <cell r="CJ20"/>
        </row>
      </sheetData>
      <sheetData sheetId="2"/>
      <sheetData sheetId="3">
        <row r="639">
          <cell r="B639">
            <v>24037440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totalenergy/data/browser/xls.php?tbl=T10.02A&amp;freq=m" TargetMode="External"/><Relationship Id="rId3" Type="http://schemas.openxmlformats.org/officeDocument/2006/relationships/hyperlink" Target="https://www.eia.gov/totalenergy/data/browser/xls.php?tbl=T10.04A&amp;freq=m" TargetMode="External"/><Relationship Id="rId7" Type="http://schemas.openxmlformats.org/officeDocument/2006/relationships/hyperlink" Target="https://www.eia.gov/totalenergy/data/browser/xls.php?tbl=T10.04C&amp;freq=m" TargetMode="External"/><Relationship Id="rId12" Type="http://schemas.openxmlformats.org/officeDocument/2006/relationships/hyperlink" Target="https://www.eia.gov/dnav/pet/hist/LeafHandler.ashx?n=PET&amp;s=MKJEXUS1&amp;f=M" TargetMode="External"/><Relationship Id="rId2" Type="http://schemas.openxmlformats.org/officeDocument/2006/relationships/hyperlink" Target="https://www.eia.gov/totalenergy/data/browser/xls.php?tbl=T10.01&amp;freq=m" TargetMode="External"/><Relationship Id="rId1" Type="http://schemas.openxmlformats.org/officeDocument/2006/relationships/hyperlink" Target="https://www.eia.gov/dnav/pet/pet_stoc_typ_d_nus_SAE_mbbl_m.htm" TargetMode="External"/><Relationship Id="rId6" Type="http://schemas.openxmlformats.org/officeDocument/2006/relationships/hyperlink" Target="https://www.eia.gov/totalenergy/data/monthly/" TargetMode="External"/><Relationship Id="rId11" Type="http://schemas.openxmlformats.org/officeDocument/2006/relationships/hyperlink" Target="https://www.eia.gov/dnav/pet/hist/LeafHandler.ashx?n=PET&amp;s=MDIRPUS1&amp;f=M" TargetMode="External"/><Relationship Id="rId5" Type="http://schemas.openxmlformats.org/officeDocument/2006/relationships/hyperlink" Target="https://www.eia.gov/outlooks/steo/data/browser/" TargetMode="External"/><Relationship Id="rId10" Type="http://schemas.openxmlformats.org/officeDocument/2006/relationships/hyperlink" Target="https://www.epa.gov/fuels-registration-reporting-and-compliance-help/rins-generated-transactions" TargetMode="External"/><Relationship Id="rId4" Type="http://schemas.openxmlformats.org/officeDocument/2006/relationships/hyperlink" Target="https://www.eia.gov/totalenergy/data/browser/xls.php?tbl=T10.04B&amp;freq=m" TargetMode="External"/><Relationship Id="rId9" Type="http://schemas.openxmlformats.org/officeDocument/2006/relationships/hyperlink" Target="https://www.eia.gov/totalenergy/data/browser/xls.php?tbl=T10.02C&amp;freq=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ia.gov/dnav/pet/hist/LeafHandler.ashx?n=PET&amp;s=MKJUPUS1&amp;f=M" TargetMode="External"/><Relationship Id="rId3" Type="http://schemas.openxmlformats.org/officeDocument/2006/relationships/hyperlink" Target="https://www.eia.gov/dnav/pet/hist/LeafHandler.ashx?n=PET&amp;s=MDIIMUS1&amp;f=M" TargetMode="External"/><Relationship Id="rId7" Type="http://schemas.openxmlformats.org/officeDocument/2006/relationships/hyperlink" Target="https://www.eia.gov/dnav/pet/hist/LeafHandler.ashx?n=PET&amp;s=MKJRPUS1&amp;f=M" TargetMode="External"/><Relationship Id="rId12" Type="http://schemas.openxmlformats.org/officeDocument/2006/relationships/printerSettings" Target="../printerSettings/printerSettings2.bin"/><Relationship Id="rId2" Type="http://schemas.openxmlformats.org/officeDocument/2006/relationships/hyperlink" Target="https://www.eia.gov/dnav/pet/hist/LeafHandler.ashx?n=PET&amp;s=MDIRPUS1&amp;f=M" TargetMode="External"/><Relationship Id="rId1" Type="http://schemas.openxmlformats.org/officeDocument/2006/relationships/hyperlink" Target="https://www.eia.gov/dnav/pet/hist/LeafHandler.ashx?n=PET&amp;s=MDIUPUS1&amp;f=M" TargetMode="External"/><Relationship Id="rId6" Type="http://schemas.openxmlformats.org/officeDocument/2006/relationships/hyperlink" Target="https://www.eia.gov/dnav/pet/hist/LeafHandler.ashx?n=PET&amp;s=MD0RX_NUS_1&amp;f=M" TargetMode="External"/><Relationship Id="rId11" Type="http://schemas.openxmlformats.org/officeDocument/2006/relationships/hyperlink" Target="https://www.eia.gov/dnav/pet/hist/LeafHandler.ashx?n=PET&amp;s=MKJEXUS1&amp;f=M" TargetMode="External"/><Relationship Id="rId5" Type="http://schemas.openxmlformats.org/officeDocument/2006/relationships/hyperlink" Target="https://www.eia.gov/dnav/pet/hist/LeafHandler.ashx?n=PET&amp;s=MDIEXUS1&amp;f=M" TargetMode="External"/><Relationship Id="rId10" Type="http://schemas.openxmlformats.org/officeDocument/2006/relationships/hyperlink" Target="https://www.eia.gov/dnav/pet/hist/LeafHandler.ashx?n=PET&amp;s=MKJIMUS1&amp;f=M" TargetMode="External"/><Relationship Id="rId4" Type="http://schemas.openxmlformats.org/officeDocument/2006/relationships/hyperlink" Target="https://www.eia.gov/dnav/pet/hist/LeafHandler.ashx?n=pet&amp;s=mdistus1&amp;f=m" TargetMode="External"/><Relationship Id="rId9" Type="http://schemas.openxmlformats.org/officeDocument/2006/relationships/hyperlink" Target="https://www.eia.gov/dnav/pet/hist/LeafHandler.ashx?n=PET&amp;s=MKJSTUS1&amp;f=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E151-1464-474B-83BC-AC8FDAF71FDB}">
  <sheetPr>
    <tabColor rgb="FF7030A0"/>
  </sheetPr>
  <dimension ref="A2:M41"/>
  <sheetViews>
    <sheetView workbookViewId="0">
      <selection activeCell="B9" sqref="B9"/>
    </sheetView>
  </sheetViews>
  <sheetFormatPr defaultColWidth="9.140625" defaultRowHeight="15" x14ac:dyDescent="0.25"/>
  <cols>
    <col min="1" max="1" width="47.5703125" style="9" bestFit="1" customWidth="1"/>
    <col min="2" max="2" width="38.5703125" style="9" bestFit="1" customWidth="1"/>
    <col min="3" max="16384" width="9.140625" style="9"/>
  </cols>
  <sheetData>
    <row r="2" spans="1:7" s="3" customFormat="1" ht="39" customHeight="1" x14ac:dyDescent="0.25">
      <c r="A2" s="1" t="s">
        <v>0</v>
      </c>
      <c r="B2" s="2" t="s">
        <v>1</v>
      </c>
      <c r="C2" s="266" t="s">
        <v>2</v>
      </c>
      <c r="D2" s="266"/>
      <c r="E2" s="266"/>
      <c r="F2" s="266"/>
    </row>
    <row r="3" spans="1:7" s="3" customFormat="1" x14ac:dyDescent="0.25">
      <c r="A3" s="4" t="s">
        <v>3</v>
      </c>
      <c r="B3" s="5" t="s">
        <v>4</v>
      </c>
      <c r="C3" s="6" t="s">
        <v>5</v>
      </c>
      <c r="D3" s="1"/>
      <c r="E3" s="1"/>
      <c r="F3" s="1"/>
    </row>
    <row r="4" spans="1:7" x14ac:dyDescent="0.25">
      <c r="A4" s="7" t="s">
        <v>6</v>
      </c>
      <c r="B4" s="8" t="s">
        <v>7</v>
      </c>
      <c r="C4" s="7" t="s">
        <v>8</v>
      </c>
      <c r="D4" s="7"/>
      <c r="E4" s="7"/>
      <c r="F4" s="7"/>
      <c r="G4" s="7" t="s">
        <v>9</v>
      </c>
    </row>
    <row r="5" spans="1:7" x14ac:dyDescent="0.25">
      <c r="A5" s="10" t="s">
        <v>10</v>
      </c>
      <c r="B5" s="11" t="s">
        <v>11</v>
      </c>
      <c r="C5" s="10" t="s">
        <v>12</v>
      </c>
      <c r="G5" s="9" t="s">
        <v>13</v>
      </c>
    </row>
    <row r="6" spans="1:7" x14ac:dyDescent="0.25">
      <c r="A6" s="7" t="s">
        <v>14</v>
      </c>
      <c r="B6" s="8" t="s">
        <v>15</v>
      </c>
      <c r="C6" s="7" t="s">
        <v>16</v>
      </c>
      <c r="D6" s="7"/>
      <c r="E6" s="7"/>
      <c r="F6" s="7"/>
      <c r="G6" s="7" t="s">
        <v>9</v>
      </c>
    </row>
    <row r="7" spans="1:7" x14ac:dyDescent="0.25">
      <c r="A7" s="12" t="s">
        <v>17</v>
      </c>
      <c r="B7" s="13" t="s">
        <v>18</v>
      </c>
      <c r="C7" s="12" t="s">
        <v>12</v>
      </c>
      <c r="G7" s="9" t="s">
        <v>19</v>
      </c>
    </row>
    <row r="8" spans="1:7" x14ac:dyDescent="0.25">
      <c r="A8" s="12" t="s">
        <v>20</v>
      </c>
      <c r="B8" s="14" t="s">
        <v>21</v>
      </c>
      <c r="C8" s="12" t="s">
        <v>12</v>
      </c>
      <c r="G8" s="9" t="s">
        <v>22</v>
      </c>
    </row>
    <row r="9" spans="1:7" x14ac:dyDescent="0.25">
      <c r="A9" s="12" t="s">
        <v>23</v>
      </c>
      <c r="B9" s="13" t="s">
        <v>24</v>
      </c>
      <c r="C9" s="12" t="s">
        <v>12</v>
      </c>
      <c r="G9" s="9" t="s">
        <v>25</v>
      </c>
    </row>
    <row r="10" spans="1:7" x14ac:dyDescent="0.25">
      <c r="A10" s="12" t="s">
        <v>26</v>
      </c>
      <c r="B10" s="13" t="s">
        <v>27</v>
      </c>
      <c r="C10" s="12" t="s">
        <v>12</v>
      </c>
      <c r="G10" s="9" t="s">
        <v>28</v>
      </c>
    </row>
    <row r="11" spans="1:7" x14ac:dyDescent="0.25">
      <c r="A11" s="12" t="s">
        <v>29</v>
      </c>
      <c r="B11" s="13" t="s">
        <v>30</v>
      </c>
      <c r="C11" s="12" t="s">
        <v>12</v>
      </c>
      <c r="G11" s="9" t="s">
        <v>31</v>
      </c>
    </row>
    <row r="12" spans="1:7" x14ac:dyDescent="0.25">
      <c r="B12" s="5"/>
    </row>
    <row r="13" spans="1:7" x14ac:dyDescent="0.25">
      <c r="A13" s="9" t="s">
        <v>32</v>
      </c>
      <c r="B13" s="5" t="s">
        <v>33</v>
      </c>
      <c r="C13" s="9" t="s">
        <v>34</v>
      </c>
    </row>
    <row r="14" spans="1:7" x14ac:dyDescent="0.25">
      <c r="A14" s="9" t="s">
        <v>35</v>
      </c>
      <c r="B14" s="5"/>
      <c r="C14" s="9" t="s">
        <v>36</v>
      </c>
    </row>
    <row r="15" spans="1:7" x14ac:dyDescent="0.25">
      <c r="A15" s="9" t="s">
        <v>37</v>
      </c>
      <c r="B15" s="5"/>
      <c r="C15" s="9" t="s">
        <v>38</v>
      </c>
    </row>
    <row r="16" spans="1:7" x14ac:dyDescent="0.25">
      <c r="A16" s="9" t="s">
        <v>39</v>
      </c>
      <c r="B16" s="5"/>
      <c r="C16" s="9" t="s">
        <v>40</v>
      </c>
    </row>
    <row r="17" spans="1:13" x14ac:dyDescent="0.25">
      <c r="A17" s="9" t="s">
        <v>41</v>
      </c>
      <c r="B17" s="5"/>
      <c r="C17" s="9" t="s">
        <v>42</v>
      </c>
    </row>
    <row r="18" spans="1:13" x14ac:dyDescent="0.25">
      <c r="A18" s="9" t="s">
        <v>43</v>
      </c>
      <c r="B18" s="5"/>
      <c r="C18" s="9" t="s">
        <v>44</v>
      </c>
    </row>
    <row r="19" spans="1:13" x14ac:dyDescent="0.25">
      <c r="A19" s="9" t="s">
        <v>45</v>
      </c>
      <c r="B19" s="5"/>
      <c r="C19" s="9" t="s">
        <v>46</v>
      </c>
    </row>
    <row r="20" spans="1:13" x14ac:dyDescent="0.25">
      <c r="A20" s="9" t="s">
        <v>47</v>
      </c>
      <c r="B20" s="5"/>
      <c r="C20" s="9" t="s">
        <v>48</v>
      </c>
      <c r="M20" s="9" t="s">
        <v>49</v>
      </c>
    </row>
    <row r="21" spans="1:13" x14ac:dyDescent="0.25">
      <c r="A21" s="9" t="s">
        <v>50</v>
      </c>
      <c r="B21" s="5"/>
      <c r="C21" s="9" t="s">
        <v>51</v>
      </c>
      <c r="M21" s="9" t="s">
        <v>49</v>
      </c>
    </row>
    <row r="22" spans="1:13" x14ac:dyDescent="0.25">
      <c r="A22" s="9" t="s">
        <v>52</v>
      </c>
      <c r="B22" s="5"/>
      <c r="C22" s="9" t="s">
        <v>53</v>
      </c>
    </row>
    <row r="23" spans="1:13" x14ac:dyDescent="0.25">
      <c r="A23" s="9" t="s">
        <v>54</v>
      </c>
      <c r="B23" s="5"/>
      <c r="C23" s="5" t="s">
        <v>55</v>
      </c>
    </row>
    <row r="24" spans="1:13" x14ac:dyDescent="0.25">
      <c r="B24" s="5"/>
    </row>
    <row r="25" spans="1:13" x14ac:dyDescent="0.25">
      <c r="A25" s="15" t="s">
        <v>56</v>
      </c>
      <c r="B25" s="16"/>
      <c r="C25" s="15" t="s">
        <v>57</v>
      </c>
    </row>
    <row r="26" spans="1:13" x14ac:dyDescent="0.25">
      <c r="A26" s="15" t="s">
        <v>58</v>
      </c>
      <c r="B26" s="16"/>
      <c r="C26" s="15" t="s">
        <v>59</v>
      </c>
    </row>
    <row r="27" spans="1:13" x14ac:dyDescent="0.25">
      <c r="A27" s="17" t="s">
        <v>60</v>
      </c>
      <c r="B27" s="5"/>
    </row>
    <row r="28" spans="1:13" x14ac:dyDescent="0.25">
      <c r="B28" s="5"/>
    </row>
    <row r="29" spans="1:13" x14ac:dyDescent="0.25">
      <c r="B29" s="18"/>
    </row>
    <row r="30" spans="1:13" x14ac:dyDescent="0.25">
      <c r="C30" s="18"/>
    </row>
    <row r="32" spans="1:13" x14ac:dyDescent="0.25">
      <c r="A32" s="9" t="s">
        <v>61</v>
      </c>
    </row>
    <row r="33" spans="1:2" x14ac:dyDescent="0.25">
      <c r="A33" s="7"/>
      <c r="B33" s="7" t="s">
        <v>62</v>
      </c>
    </row>
    <row r="34" spans="1:2" x14ac:dyDescent="0.25">
      <c r="A34" s="10"/>
      <c r="B34" s="12" t="s">
        <v>63</v>
      </c>
    </row>
    <row r="35" spans="1:2" x14ac:dyDescent="0.25">
      <c r="A35" s="15"/>
      <c r="B35" s="15" t="s">
        <v>64</v>
      </c>
    </row>
    <row r="41" spans="1:2" x14ac:dyDescent="0.25">
      <c r="A41" s="3" t="s">
        <v>65</v>
      </c>
      <c r="B41" s="9" t="s">
        <v>65</v>
      </c>
    </row>
  </sheetData>
  <mergeCells count="1">
    <mergeCell ref="C2:F2"/>
  </mergeCells>
  <hyperlinks>
    <hyperlink ref="B6" r:id="rId1" xr:uid="{78C01210-2B04-4F7E-B646-752B47B6419D}"/>
    <hyperlink ref="B5" r:id="rId2" xr:uid="{1B113A18-45EF-4410-BC3C-CEE7ED9BB0F9}"/>
    <hyperlink ref="B7" r:id="rId3" xr:uid="{2A1E2D31-F315-42DE-93FF-94FFDB07C30D}"/>
    <hyperlink ref="B8" r:id="rId4" xr:uid="{B9E501C1-F12A-479C-A7BB-D4B39D6466BC}"/>
    <hyperlink ref="B4" r:id="rId5" location="/?v=0&amp;f=M&amp;s=3g0000000000000000000000vo00001o000000000000000000000000600000001vg000000000000000000000000000000000000000000000001000000000000000000000100000000000000000000000000000000000000000000000000000000000000000000000000000000000000000001g00000000000000000000000000000000000000000000000000000000000000000000000000000000000000000000007s00000000&amp;start=201801&amp;end=202412&amp;id=&amp;maptype=0&amp;ctype=linechart&amp;linechart=" xr:uid="{39D9477D-06BE-4F87-BBFF-3317FF89B1E8}"/>
    <hyperlink ref="C7" r:id="rId6" xr:uid="{FB727A14-C53B-4F31-BB47-A131F65BB830}"/>
    <hyperlink ref="B9" r:id="rId7" xr:uid="{50A8E8C7-5FDD-41CA-939A-49FD687BF530}"/>
    <hyperlink ref="B10" r:id="rId8" xr:uid="{13BB9E0A-C934-4C78-9B3F-9D4849D6CB69}"/>
    <hyperlink ref="B11" r:id="rId9" xr:uid="{67C11ACC-6CC3-4010-AB2D-09B7E7609296}"/>
    <hyperlink ref="B3" r:id="rId10" display="https://www.epa.gov/fuels-registration-reporting-and-compliance-help/rins-generated-transactions" xr:uid="{FAB59744-2AFD-491D-9B06-31A3ED76ACC8}"/>
    <hyperlink ref="B13" r:id="rId11" display="https://www.eia.gov/dnav/pet/hist/LeafHandler.ashx?n=PET&amp;s=MDIRPUS1&amp;f=M" xr:uid="{0704380D-AF87-47F0-A234-D60D18E33ACB}"/>
    <hyperlink ref="C23" r:id="rId12" xr:uid="{18404F59-89F0-43CE-8013-9AC89000D9CE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44DBD-9662-4025-BF4D-F8C148B298F5}">
  <sheetPr>
    <tabColor theme="9"/>
  </sheetPr>
  <dimension ref="A1:M481"/>
  <sheetViews>
    <sheetView zoomScale="115" zoomScaleNormal="115" workbookViewId="0">
      <pane xSplit="1" ySplit="1" topLeftCell="B398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9.140625" defaultRowHeight="11.25" x14ac:dyDescent="0.2"/>
  <cols>
    <col min="1" max="1" width="9.140625" style="19"/>
    <col min="2" max="13" width="14.28515625" style="19" customWidth="1"/>
    <col min="14" max="16384" width="9.140625" style="19"/>
  </cols>
  <sheetData>
    <row r="1" spans="1:13" ht="33.75" x14ac:dyDescent="0.2">
      <c r="B1" s="20" t="s">
        <v>66</v>
      </c>
      <c r="C1" s="20" t="s">
        <v>67</v>
      </c>
      <c r="D1" s="20" t="s">
        <v>68</v>
      </c>
      <c r="E1" s="21" t="s">
        <v>69</v>
      </c>
      <c r="F1" s="21" t="s">
        <v>70</v>
      </c>
      <c r="G1" s="21" t="s">
        <v>71</v>
      </c>
      <c r="H1" s="21" t="s">
        <v>72</v>
      </c>
      <c r="I1" s="21" t="s">
        <v>73</v>
      </c>
      <c r="J1" s="21" t="s">
        <v>74</v>
      </c>
      <c r="K1" s="21" t="s">
        <v>75</v>
      </c>
      <c r="L1" s="21" t="s">
        <v>76</v>
      </c>
      <c r="M1" s="21" t="s">
        <v>77</v>
      </c>
    </row>
    <row r="2" spans="1:13" x14ac:dyDescent="0.2">
      <c r="A2" s="22">
        <v>40544</v>
      </c>
      <c r="B2" s="23">
        <v>2114.4475000000002</v>
      </c>
      <c r="C2" s="23">
        <f>'[1]Renewable Diesel'!$AX13</f>
        <v>0</v>
      </c>
      <c r="D2" s="23">
        <f>C2+B2</f>
        <v>2114.4475000000002</v>
      </c>
      <c r="E2" s="23">
        <f>'Monthly Data'!F459</f>
        <v>35.354999999999997</v>
      </c>
      <c r="F2" s="23">
        <f>'Monthly Data'!Q459</f>
        <v>4.4279999999999999</v>
      </c>
      <c r="G2" s="23">
        <f>SUM(E2:F2)</f>
        <v>39.782999999999994</v>
      </c>
      <c r="H2" s="24">
        <f>(E2/(31)*365)/B2</f>
        <v>0.19687252244533182</v>
      </c>
      <c r="I2" s="24"/>
      <c r="J2" s="24">
        <f>(G2/(31)*365)/D2</f>
        <v>0.22152961562558721</v>
      </c>
      <c r="K2" s="23">
        <f>((1-H2)*B2)</f>
        <v>1698.1708870967743</v>
      </c>
      <c r="L2" s="23">
        <f>((1-I2)*C2)</f>
        <v>0</v>
      </c>
      <c r="M2" s="23">
        <f>((1-J2)*D2)</f>
        <v>1646.0347580645162</v>
      </c>
    </row>
    <row r="3" spans="1:13" x14ac:dyDescent="0.2">
      <c r="A3" s="22">
        <v>40575</v>
      </c>
      <c r="B3" s="23">
        <v>2103.5974999999999</v>
      </c>
      <c r="C3" s="23">
        <f>'[1]Renewable Diesel'!$AX14</f>
        <v>0</v>
      </c>
      <c r="D3" s="23">
        <f t="shared" ref="D3:D66" si="0">C3+B3</f>
        <v>2103.5974999999999</v>
      </c>
      <c r="E3" s="23">
        <f>'Monthly Data'!F460</f>
        <v>40.341999999999999</v>
      </c>
      <c r="F3" s="23">
        <f>'Monthly Data'!Q460</f>
        <v>0.96199999999999997</v>
      </c>
      <c r="G3" s="23">
        <f t="shared" ref="G3:G66" si="1">SUM(E3:F3)</f>
        <v>41.304000000000002</v>
      </c>
      <c r="H3" s="24">
        <f>(E3/(A3-A2)*365)/B3</f>
        <v>0.22580104612647253</v>
      </c>
      <c r="I3" s="24"/>
      <c r="J3" s="24">
        <f>(G3/(A3-A2)*365)/D3</f>
        <v>0.23118552399999556</v>
      </c>
      <c r="K3" s="23">
        <f t="shared" ref="K3:M18" si="2">((1-H3)*B3)</f>
        <v>1628.6029838709676</v>
      </c>
      <c r="L3" s="23">
        <f t="shared" si="2"/>
        <v>0</v>
      </c>
      <c r="M3" s="23">
        <f t="shared" si="2"/>
        <v>1617.2762096774193</v>
      </c>
    </row>
    <row r="4" spans="1:13" x14ac:dyDescent="0.2">
      <c r="A4" s="22">
        <v>40603</v>
      </c>
      <c r="B4" s="23">
        <v>2081.4974999999999</v>
      </c>
      <c r="C4" s="23">
        <f>'[1]Renewable Diesel'!$AX15</f>
        <v>0</v>
      </c>
      <c r="D4" s="23">
        <f t="shared" si="0"/>
        <v>2081.4974999999999</v>
      </c>
      <c r="E4" s="23">
        <f>'Monthly Data'!F461</f>
        <v>59.59</v>
      </c>
      <c r="F4" s="23">
        <f>'Monthly Data'!Q461</f>
        <v>3.1509999999999998</v>
      </c>
      <c r="G4" s="23">
        <f t="shared" si="1"/>
        <v>62.741</v>
      </c>
      <c r="H4" s="24">
        <f t="shared" ref="H4:H67" si="3">(E4/(A4-A3)*365)/B4</f>
        <v>0.37319199964723204</v>
      </c>
      <c r="I4" s="24"/>
      <c r="J4" s="24">
        <f t="shared" ref="J4:J67" si="4">(G4/(A4-A3)*365)/D4</f>
        <v>0.39292564607932512</v>
      </c>
      <c r="K4" s="23">
        <f t="shared" si="2"/>
        <v>1304.6992857142857</v>
      </c>
      <c r="L4" s="23">
        <f t="shared" si="2"/>
        <v>0</v>
      </c>
      <c r="M4" s="23">
        <f t="shared" si="2"/>
        <v>1263.62375</v>
      </c>
    </row>
    <row r="5" spans="1:13" x14ac:dyDescent="0.2">
      <c r="A5" s="22">
        <v>40634</v>
      </c>
      <c r="B5" s="23">
        <v>2101.3975</v>
      </c>
      <c r="C5" s="23">
        <f>'[1]Renewable Diesel'!$AX16</f>
        <v>0</v>
      </c>
      <c r="D5" s="23">
        <f t="shared" si="0"/>
        <v>2101.3975</v>
      </c>
      <c r="E5" s="23">
        <f>'Monthly Data'!F462</f>
        <v>71.052000000000007</v>
      </c>
      <c r="F5" s="23">
        <f>'Monthly Data'!Q462</f>
        <v>1.9670000000000001</v>
      </c>
      <c r="G5" s="23">
        <f t="shared" si="1"/>
        <v>73.019000000000005</v>
      </c>
      <c r="H5" s="24">
        <f t="shared" si="3"/>
        <v>0.39810649817561888</v>
      </c>
      <c r="I5" s="24"/>
      <c r="J5" s="24">
        <f t="shared" si="4"/>
        <v>0.40912765847950111</v>
      </c>
      <c r="K5" s="23">
        <f t="shared" si="2"/>
        <v>1264.8175000000001</v>
      </c>
      <c r="L5" s="23">
        <f t="shared" si="2"/>
        <v>0</v>
      </c>
      <c r="M5" s="23">
        <f t="shared" si="2"/>
        <v>1241.6576612903225</v>
      </c>
    </row>
    <row r="6" spans="1:13" x14ac:dyDescent="0.2">
      <c r="A6" s="22">
        <v>40664</v>
      </c>
      <c r="B6" s="23">
        <v>2064.3975</v>
      </c>
      <c r="C6" s="23">
        <f>'[1]Renewable Diesel'!$AX17</f>
        <v>0</v>
      </c>
      <c r="D6" s="23">
        <f t="shared" si="0"/>
        <v>2064.3975</v>
      </c>
      <c r="E6" s="23">
        <f>'Monthly Data'!F463</f>
        <v>77.197000000000003</v>
      </c>
      <c r="F6" s="23">
        <f>'Monthly Data'!Q463</f>
        <v>7.5259999999999998</v>
      </c>
      <c r="G6" s="23">
        <f t="shared" si="1"/>
        <v>84.722999999999999</v>
      </c>
      <c r="H6" s="24">
        <f t="shared" si="3"/>
        <v>0.4549657547379643</v>
      </c>
      <c r="I6" s="24"/>
      <c r="J6" s="24">
        <f t="shared" si="4"/>
        <v>0.49932074612568556</v>
      </c>
      <c r="K6" s="23">
        <f t="shared" si="2"/>
        <v>1125.1673333333333</v>
      </c>
      <c r="L6" s="23">
        <f t="shared" si="2"/>
        <v>0</v>
      </c>
      <c r="M6" s="23">
        <f t="shared" si="2"/>
        <v>1033.6010000000001</v>
      </c>
    </row>
    <row r="7" spans="1:13" x14ac:dyDescent="0.2">
      <c r="A7" s="22">
        <v>40695</v>
      </c>
      <c r="B7" s="23">
        <v>2068.9974999999999</v>
      </c>
      <c r="C7" s="23">
        <f>'[1]Renewable Diesel'!$AX18</f>
        <v>0</v>
      </c>
      <c r="D7" s="23">
        <f t="shared" si="0"/>
        <v>2068.9974999999999</v>
      </c>
      <c r="E7" s="23">
        <f>'Monthly Data'!F464</f>
        <v>81.391000000000005</v>
      </c>
      <c r="F7" s="23">
        <f>'Monthly Data'!Q464</f>
        <v>4.5640000000000001</v>
      </c>
      <c r="G7" s="23">
        <f t="shared" si="1"/>
        <v>85.955000000000013</v>
      </c>
      <c r="H7" s="24">
        <f t="shared" si="3"/>
        <v>0.46317764380903043</v>
      </c>
      <c r="I7" s="24"/>
      <c r="J7" s="24">
        <f t="shared" si="4"/>
        <v>0.48915032833612077</v>
      </c>
      <c r="K7" s="23">
        <f t="shared" si="2"/>
        <v>1110.6841129032255</v>
      </c>
      <c r="L7" s="23">
        <f t="shared" si="2"/>
        <v>0</v>
      </c>
      <c r="M7" s="23">
        <f t="shared" si="2"/>
        <v>1056.946693548387</v>
      </c>
    </row>
    <row r="8" spans="1:13" x14ac:dyDescent="0.2">
      <c r="A8" s="22">
        <v>40725</v>
      </c>
      <c r="B8" s="23">
        <v>1958.4974999999999</v>
      </c>
      <c r="C8" s="23">
        <f>'[1]Renewable Diesel'!$AX19</f>
        <v>0</v>
      </c>
      <c r="D8" s="23">
        <f t="shared" si="0"/>
        <v>1958.4974999999999</v>
      </c>
      <c r="E8" s="23">
        <f>'Monthly Data'!F465</f>
        <v>91.68</v>
      </c>
      <c r="F8" s="23">
        <f>'Monthly Data'!Q465</f>
        <v>6.4660000000000002</v>
      </c>
      <c r="G8" s="23">
        <f t="shared" si="1"/>
        <v>98.146000000000001</v>
      </c>
      <c r="H8" s="24">
        <f t="shared" si="3"/>
        <v>0.56953863867582166</v>
      </c>
      <c r="I8" s="24"/>
      <c r="J8" s="24">
        <f t="shared" si="4"/>
        <v>0.60970701605014377</v>
      </c>
      <c r="K8" s="23">
        <f t="shared" si="2"/>
        <v>843.05749999999989</v>
      </c>
      <c r="L8" s="23">
        <f t="shared" si="2"/>
        <v>0</v>
      </c>
      <c r="M8" s="23">
        <f t="shared" si="2"/>
        <v>764.38783333333356</v>
      </c>
    </row>
    <row r="9" spans="1:13" x14ac:dyDescent="0.2">
      <c r="A9" s="22">
        <v>40756</v>
      </c>
      <c r="B9" s="23">
        <v>2007.6575</v>
      </c>
      <c r="C9" s="23">
        <f>'[1]Renewable Diesel'!$AX20</f>
        <v>0</v>
      </c>
      <c r="D9" s="23">
        <f t="shared" si="0"/>
        <v>2007.6575</v>
      </c>
      <c r="E9" s="23">
        <f>'Monthly Data'!F466</f>
        <v>95.484999999999999</v>
      </c>
      <c r="F9" s="23">
        <f>'Monthly Data'!Q466</f>
        <v>8.4450000000000003</v>
      </c>
      <c r="G9" s="23">
        <f t="shared" si="1"/>
        <v>103.93</v>
      </c>
      <c r="H9" s="24">
        <f t="shared" si="3"/>
        <v>0.55998539141648507</v>
      </c>
      <c r="I9" s="24"/>
      <c r="J9" s="24">
        <f t="shared" si="4"/>
        <v>0.60951229753275693</v>
      </c>
      <c r="K9" s="23">
        <f t="shared" si="2"/>
        <v>883.3986290322581</v>
      </c>
      <c r="L9" s="23">
        <f t="shared" si="2"/>
        <v>0</v>
      </c>
      <c r="M9" s="23">
        <f t="shared" si="2"/>
        <v>783.96556451612912</v>
      </c>
    </row>
    <row r="10" spans="1:13" x14ac:dyDescent="0.2">
      <c r="A10" s="22">
        <v>40787</v>
      </c>
      <c r="B10" s="23">
        <v>2087.0946509999999</v>
      </c>
      <c r="C10" s="23">
        <f>'[1]Renewable Diesel'!$AX21</f>
        <v>40</v>
      </c>
      <c r="D10" s="23">
        <f t="shared" si="0"/>
        <v>2127.0946509999999</v>
      </c>
      <c r="E10" s="23">
        <f>'Monthly Data'!F467</f>
        <v>95.941999999999993</v>
      </c>
      <c r="F10" s="23">
        <f>'Monthly Data'!Q467</f>
        <v>5.899</v>
      </c>
      <c r="G10" s="23">
        <f t="shared" si="1"/>
        <v>101.84099999999999</v>
      </c>
      <c r="H10" s="24">
        <f t="shared" si="3"/>
        <v>0.54124985509310986</v>
      </c>
      <c r="I10" s="24">
        <f t="shared" ref="I10:I73" si="5">(F10/(A10-A9)*365)/C10</f>
        <v>1.7363991935483871</v>
      </c>
      <c r="J10" s="24">
        <f t="shared" si="4"/>
        <v>0.56372463002413442</v>
      </c>
      <c r="K10" s="23">
        <f t="shared" si="2"/>
        <v>957.45497358064529</v>
      </c>
      <c r="L10" s="23">
        <f t="shared" si="2"/>
        <v>-29.455967741935485</v>
      </c>
      <c r="M10" s="23">
        <f t="shared" si="2"/>
        <v>927.99900583870965</v>
      </c>
    </row>
    <row r="11" spans="1:13" x14ac:dyDescent="0.2">
      <c r="A11" s="22">
        <v>40817</v>
      </c>
      <c r="B11" s="23">
        <v>2118.9381509999998</v>
      </c>
      <c r="C11" s="23">
        <f>'[1]Renewable Diesel'!$AX22</f>
        <v>40</v>
      </c>
      <c r="D11" s="23">
        <f t="shared" si="0"/>
        <v>2158.9381509999998</v>
      </c>
      <c r="E11" s="23">
        <f>'Monthly Data'!F468</f>
        <v>105.342</v>
      </c>
      <c r="F11" s="23">
        <f>'Monthly Data'!Q468</f>
        <v>6.9180000000000001</v>
      </c>
      <c r="G11" s="23">
        <f t="shared" si="1"/>
        <v>112.26</v>
      </c>
      <c r="H11" s="24">
        <f t="shared" si="3"/>
        <v>0.60486003302887348</v>
      </c>
      <c r="I11" s="24">
        <f t="shared" si="5"/>
        <v>2.104225</v>
      </c>
      <c r="J11" s="24">
        <f t="shared" si="4"/>
        <v>0.63263970733360764</v>
      </c>
      <c r="K11" s="23">
        <f t="shared" si="2"/>
        <v>837.27715099999989</v>
      </c>
      <c r="L11" s="23">
        <f t="shared" si="2"/>
        <v>-44.168999999999997</v>
      </c>
      <c r="M11" s="23">
        <f t="shared" si="2"/>
        <v>793.10815099999991</v>
      </c>
    </row>
    <row r="12" spans="1:13" x14ac:dyDescent="0.2">
      <c r="A12" s="22">
        <v>40848</v>
      </c>
      <c r="B12" s="23">
        <v>2097.7631510000001</v>
      </c>
      <c r="C12" s="23">
        <f>'[1]Renewable Diesel'!$AX23</f>
        <v>120</v>
      </c>
      <c r="D12" s="23">
        <f t="shared" si="0"/>
        <v>2217.7631510000001</v>
      </c>
      <c r="E12" s="23">
        <f>'Monthly Data'!F469</f>
        <v>104.747</v>
      </c>
      <c r="F12" s="23">
        <f>'Monthly Data'!Q469</f>
        <v>5.234</v>
      </c>
      <c r="G12" s="23">
        <f t="shared" si="1"/>
        <v>109.98099999999999</v>
      </c>
      <c r="H12" s="24">
        <f t="shared" si="3"/>
        <v>0.58791739716897284</v>
      </c>
      <c r="I12" s="24">
        <f t="shared" si="5"/>
        <v>0.51355107526881716</v>
      </c>
      <c r="J12" s="24">
        <f t="shared" si="4"/>
        <v>0.58389354158998796</v>
      </c>
      <c r="K12" s="23">
        <f t="shared" si="2"/>
        <v>864.45169938709705</v>
      </c>
      <c r="L12" s="23">
        <f t="shared" si="2"/>
        <v>58.373870967741944</v>
      </c>
      <c r="M12" s="23">
        <f t="shared" si="2"/>
        <v>922.82557035483876</v>
      </c>
    </row>
    <row r="13" spans="1:13" x14ac:dyDescent="0.2">
      <c r="A13" s="22">
        <v>40878</v>
      </c>
      <c r="B13" s="23">
        <v>2089.9381509999998</v>
      </c>
      <c r="C13" s="23">
        <f>'[1]Renewable Diesel'!$AX24</f>
        <v>120</v>
      </c>
      <c r="D13" s="23">
        <f t="shared" si="0"/>
        <v>2209.9381509999998</v>
      </c>
      <c r="E13" s="23">
        <f>'Monthly Data'!F470</f>
        <v>109.357</v>
      </c>
      <c r="F13" s="23">
        <f>'Monthly Data'!Q470</f>
        <v>6.4809999999999999</v>
      </c>
      <c r="G13" s="23">
        <f t="shared" si="1"/>
        <v>115.83799999999999</v>
      </c>
      <c r="H13" s="24">
        <f t="shared" si="3"/>
        <v>0.6366265748247335</v>
      </c>
      <c r="I13" s="24">
        <f t="shared" si="5"/>
        <v>0.6571013888888888</v>
      </c>
      <c r="J13" s="24">
        <f t="shared" si="4"/>
        <v>0.63773836054895694</v>
      </c>
      <c r="K13" s="23">
        <f t="shared" si="2"/>
        <v>759.42798433333326</v>
      </c>
      <c r="L13" s="23">
        <f t="shared" si="2"/>
        <v>41.147833333333345</v>
      </c>
      <c r="M13" s="23">
        <f t="shared" si="2"/>
        <v>800.57581766666669</v>
      </c>
    </row>
    <row r="14" spans="1:13" x14ac:dyDescent="0.2">
      <c r="A14" s="22">
        <v>40909</v>
      </c>
      <c r="B14" s="23">
        <v>2248</v>
      </c>
      <c r="C14" s="23">
        <f>'[1]Renewable Diesel'!$AX25</f>
        <v>160</v>
      </c>
      <c r="D14" s="23">
        <f t="shared" si="0"/>
        <v>2408</v>
      </c>
      <c r="E14" s="23">
        <f>'Monthly Data'!F471</f>
        <v>73.546000000000006</v>
      </c>
      <c r="F14" s="23">
        <f>'Monthly Data'!Q471</f>
        <v>4.2169999999999996</v>
      </c>
      <c r="G14" s="23">
        <f t="shared" si="1"/>
        <v>77.763000000000005</v>
      </c>
      <c r="H14" s="24">
        <f t="shared" si="3"/>
        <v>0.38520677878544374</v>
      </c>
      <c r="I14" s="24">
        <f t="shared" si="5"/>
        <v>0.31032358870967736</v>
      </c>
      <c r="J14" s="24">
        <f t="shared" si="4"/>
        <v>0.3802311515378845</v>
      </c>
      <c r="K14" s="23">
        <f t="shared" si="2"/>
        <v>1382.0551612903225</v>
      </c>
      <c r="L14" s="23">
        <f t="shared" si="2"/>
        <v>110.34822580645162</v>
      </c>
      <c r="M14" s="23">
        <f t="shared" si="2"/>
        <v>1492.4033870967742</v>
      </c>
    </row>
    <row r="15" spans="1:13" x14ac:dyDescent="0.2">
      <c r="A15" s="22">
        <v>40940</v>
      </c>
      <c r="B15" s="23">
        <v>2248</v>
      </c>
      <c r="C15" s="23">
        <f>'[1]Renewable Diesel'!$AX26</f>
        <v>160</v>
      </c>
      <c r="D15" s="23">
        <f t="shared" si="0"/>
        <v>2408</v>
      </c>
      <c r="E15" s="23">
        <f>'Monthly Data'!F472</f>
        <v>79.236000000000004</v>
      </c>
      <c r="F15" s="23">
        <f>'Monthly Data'!Q472</f>
        <v>3.1890000000000001</v>
      </c>
      <c r="G15" s="23">
        <f t="shared" si="1"/>
        <v>82.425000000000011</v>
      </c>
      <c r="H15" s="24">
        <f t="shared" si="3"/>
        <v>0.41500889679715303</v>
      </c>
      <c r="I15" s="24">
        <f t="shared" si="5"/>
        <v>0.23467439516129032</v>
      </c>
      <c r="J15" s="24">
        <f t="shared" si="4"/>
        <v>0.40302653788447118</v>
      </c>
      <c r="K15" s="23">
        <f t="shared" si="2"/>
        <v>1315.06</v>
      </c>
      <c r="L15" s="23">
        <f t="shared" si="2"/>
        <v>122.45209677419355</v>
      </c>
      <c r="M15" s="23">
        <f t="shared" si="2"/>
        <v>1437.5120967741934</v>
      </c>
    </row>
    <row r="16" spans="1:13" x14ac:dyDescent="0.2">
      <c r="A16" s="22">
        <v>40969</v>
      </c>
      <c r="B16" s="23">
        <v>2233</v>
      </c>
      <c r="C16" s="23">
        <f>'[1]Renewable Diesel'!$AX27</f>
        <v>160</v>
      </c>
      <c r="D16" s="23">
        <f t="shared" si="0"/>
        <v>2393</v>
      </c>
      <c r="E16" s="23">
        <f>'Monthly Data'!F473</f>
        <v>94.524000000000001</v>
      </c>
      <c r="F16" s="23">
        <f>'Monthly Data'!Q473</f>
        <v>5.3540000000000001</v>
      </c>
      <c r="G16" s="23">
        <f t="shared" si="1"/>
        <v>99.878</v>
      </c>
      <c r="H16" s="24">
        <f t="shared" si="3"/>
        <v>0.5327803943975169</v>
      </c>
      <c r="I16" s="24">
        <f t="shared" si="5"/>
        <v>0.42116594827586207</v>
      </c>
      <c r="J16" s="24">
        <f t="shared" si="4"/>
        <v>0.52531766502874766</v>
      </c>
      <c r="K16" s="23">
        <f t="shared" si="2"/>
        <v>1043.3013793103448</v>
      </c>
      <c r="L16" s="23">
        <f t="shared" si="2"/>
        <v>92.613448275862069</v>
      </c>
      <c r="M16" s="23">
        <f t="shared" si="2"/>
        <v>1135.9148275862069</v>
      </c>
    </row>
    <row r="17" spans="1:13" x14ac:dyDescent="0.2">
      <c r="A17" s="22">
        <v>41000</v>
      </c>
      <c r="B17" s="23">
        <v>2203</v>
      </c>
      <c r="C17" s="23">
        <f>'[1]Renewable Diesel'!$AX28</f>
        <v>160</v>
      </c>
      <c r="D17" s="23">
        <f t="shared" si="0"/>
        <v>2363</v>
      </c>
      <c r="E17" s="23">
        <f>'Monthly Data'!F474</f>
        <v>93.942999999999998</v>
      </c>
      <c r="F17" s="23">
        <f>'Monthly Data'!Q474</f>
        <v>3.552</v>
      </c>
      <c r="G17" s="23">
        <f t="shared" si="1"/>
        <v>97.495000000000005</v>
      </c>
      <c r="H17" s="24">
        <f t="shared" si="3"/>
        <v>0.5020894527989691</v>
      </c>
      <c r="I17" s="24">
        <f t="shared" si="5"/>
        <v>0.26138709677419353</v>
      </c>
      <c r="J17" s="24">
        <f t="shared" si="4"/>
        <v>0.48579136690647479</v>
      </c>
      <c r="K17" s="23">
        <f t="shared" si="2"/>
        <v>1096.8969354838712</v>
      </c>
      <c r="L17" s="23">
        <f t="shared" si="2"/>
        <v>118.17806451612903</v>
      </c>
      <c r="M17" s="23">
        <f t="shared" si="2"/>
        <v>1215.075</v>
      </c>
    </row>
    <row r="18" spans="1:13" x14ac:dyDescent="0.2">
      <c r="A18" s="22">
        <v>41030</v>
      </c>
      <c r="B18" s="23">
        <v>2199</v>
      </c>
      <c r="C18" s="23">
        <f>'[1]Renewable Diesel'!$AX29</f>
        <v>160</v>
      </c>
      <c r="D18" s="23">
        <f t="shared" si="0"/>
        <v>2359</v>
      </c>
      <c r="E18" s="23">
        <f>'Monthly Data'!F475</f>
        <v>101.97</v>
      </c>
      <c r="F18" s="23">
        <f>'Monthly Data'!Q475</f>
        <v>3.766</v>
      </c>
      <c r="G18" s="23">
        <f t="shared" si="1"/>
        <v>105.736</v>
      </c>
      <c r="H18" s="24">
        <f t="shared" si="3"/>
        <v>0.56418144611186904</v>
      </c>
      <c r="I18" s="24">
        <f t="shared" si="5"/>
        <v>0.28637291666666664</v>
      </c>
      <c r="J18" s="24">
        <f t="shared" si="4"/>
        <v>0.54533898544581039</v>
      </c>
      <c r="K18" s="23">
        <f t="shared" si="2"/>
        <v>958.36500000000001</v>
      </c>
      <c r="L18" s="23">
        <f t="shared" si="2"/>
        <v>114.18033333333334</v>
      </c>
      <c r="M18" s="23">
        <f t="shared" si="2"/>
        <v>1072.5453333333332</v>
      </c>
    </row>
    <row r="19" spans="1:13" x14ac:dyDescent="0.2">
      <c r="A19" s="22">
        <v>41061</v>
      </c>
      <c r="B19" s="23">
        <v>2183</v>
      </c>
      <c r="C19" s="23">
        <f>'[1]Renewable Diesel'!$AX30</f>
        <v>160</v>
      </c>
      <c r="D19" s="23">
        <f t="shared" si="0"/>
        <v>2343</v>
      </c>
      <c r="E19" s="23">
        <f>'Monthly Data'!F476</f>
        <v>93.373999999999995</v>
      </c>
      <c r="F19" s="23">
        <f>'Monthly Data'!Q476</f>
        <v>3.593</v>
      </c>
      <c r="G19" s="23">
        <f t="shared" si="1"/>
        <v>96.966999999999999</v>
      </c>
      <c r="H19" s="24">
        <f t="shared" si="3"/>
        <v>0.50362049857402502</v>
      </c>
      <c r="I19" s="24">
        <f t="shared" si="5"/>
        <v>0.26440423387096773</v>
      </c>
      <c r="J19" s="24">
        <f t="shared" si="4"/>
        <v>0.48728477413847698</v>
      </c>
      <c r="K19" s="23">
        <f t="shared" ref="K19:M82" si="6">((1-H19)*B19)</f>
        <v>1083.5964516129034</v>
      </c>
      <c r="L19" s="23">
        <f t="shared" si="6"/>
        <v>117.69532258064515</v>
      </c>
      <c r="M19" s="23">
        <f t="shared" si="6"/>
        <v>1201.2917741935485</v>
      </c>
    </row>
    <row r="20" spans="1:13" x14ac:dyDescent="0.2">
      <c r="A20" s="22">
        <v>41091</v>
      </c>
      <c r="B20" s="23">
        <v>2180</v>
      </c>
      <c r="C20" s="23">
        <f>'[1]Renewable Diesel'!$AX31</f>
        <v>160</v>
      </c>
      <c r="D20" s="23">
        <f t="shared" si="0"/>
        <v>2340</v>
      </c>
      <c r="E20" s="23">
        <f>'Monthly Data'!F477</f>
        <v>89.316999999999993</v>
      </c>
      <c r="F20" s="23">
        <f>'Monthly Data'!Q477</f>
        <v>6.2789999999999999</v>
      </c>
      <c r="G20" s="23">
        <f t="shared" si="1"/>
        <v>95.595999999999989</v>
      </c>
      <c r="H20" s="24">
        <f t="shared" si="3"/>
        <v>0.49848172782874611</v>
      </c>
      <c r="I20" s="24">
        <f t="shared" si="5"/>
        <v>0.47746562499999995</v>
      </c>
      <c r="J20" s="24">
        <f t="shared" si="4"/>
        <v>0.49704472934472921</v>
      </c>
      <c r="K20" s="23">
        <f t="shared" si="6"/>
        <v>1093.3098333333335</v>
      </c>
      <c r="L20" s="23">
        <f t="shared" si="6"/>
        <v>83.605500000000006</v>
      </c>
      <c r="M20" s="23">
        <f t="shared" si="6"/>
        <v>1176.9153333333336</v>
      </c>
    </row>
    <row r="21" spans="1:13" x14ac:dyDescent="0.2">
      <c r="A21" s="22">
        <v>41122</v>
      </c>
      <c r="B21" s="23">
        <v>2180</v>
      </c>
      <c r="C21" s="23">
        <f>'[1]Renewable Diesel'!$AX32</f>
        <v>160</v>
      </c>
      <c r="D21" s="23">
        <f t="shared" si="0"/>
        <v>2340</v>
      </c>
      <c r="E21" s="23">
        <f>'Monthly Data'!F478</f>
        <v>91.405000000000001</v>
      </c>
      <c r="F21" s="23">
        <f>'Monthly Data'!Q478</f>
        <v>5.4809999999999999</v>
      </c>
      <c r="G21" s="23">
        <f t="shared" si="1"/>
        <v>96.885999999999996</v>
      </c>
      <c r="H21" s="24">
        <f t="shared" si="3"/>
        <v>0.49367897306895536</v>
      </c>
      <c r="I21" s="24">
        <f t="shared" si="5"/>
        <v>0.40333971774193544</v>
      </c>
      <c r="J21" s="24">
        <f t="shared" si="4"/>
        <v>0.4875019299696719</v>
      </c>
      <c r="K21" s="23">
        <f t="shared" si="6"/>
        <v>1103.7798387096773</v>
      </c>
      <c r="L21" s="23">
        <f t="shared" si="6"/>
        <v>95.465645161290325</v>
      </c>
      <c r="M21" s="23">
        <f t="shared" si="6"/>
        <v>1199.2454838709677</v>
      </c>
    </row>
    <row r="22" spans="1:13" x14ac:dyDescent="0.2">
      <c r="A22" s="22">
        <v>41153</v>
      </c>
      <c r="B22" s="23">
        <v>2210</v>
      </c>
      <c r="C22" s="23">
        <f>'[1]Renewable Diesel'!$AX33</f>
        <v>160</v>
      </c>
      <c r="D22" s="23">
        <f t="shared" si="0"/>
        <v>2370</v>
      </c>
      <c r="E22" s="23">
        <f>'Monthly Data'!F479</f>
        <v>81.852999999999994</v>
      </c>
      <c r="F22" s="23">
        <f>'Monthly Data'!Q479</f>
        <v>3.7389999999999999</v>
      </c>
      <c r="G22" s="23">
        <f t="shared" si="1"/>
        <v>85.591999999999999</v>
      </c>
      <c r="H22" s="24">
        <f t="shared" si="3"/>
        <v>0.43608735950956062</v>
      </c>
      <c r="I22" s="24">
        <f t="shared" si="5"/>
        <v>0.27514818548387099</v>
      </c>
      <c r="J22" s="24">
        <f t="shared" si="4"/>
        <v>0.42522226759221449</v>
      </c>
      <c r="K22" s="23">
        <f t="shared" si="6"/>
        <v>1246.2469354838709</v>
      </c>
      <c r="L22" s="23">
        <f t="shared" si="6"/>
        <v>115.97629032258064</v>
      </c>
      <c r="M22" s="23">
        <f t="shared" si="6"/>
        <v>1362.2232258064516</v>
      </c>
    </row>
    <row r="23" spans="1:13" x14ac:dyDescent="0.2">
      <c r="A23" s="22">
        <v>41183</v>
      </c>
      <c r="B23" s="23">
        <v>2210</v>
      </c>
      <c r="C23" s="23">
        <f>'[1]Renewable Diesel'!$AX34</f>
        <v>160</v>
      </c>
      <c r="D23" s="23">
        <f t="shared" si="0"/>
        <v>2370</v>
      </c>
      <c r="E23" s="23">
        <f>'Monthly Data'!F480</f>
        <v>75.283000000000001</v>
      </c>
      <c r="F23" s="23">
        <f>'Monthly Data'!Q480</f>
        <v>3.8540000000000001</v>
      </c>
      <c r="G23" s="23">
        <f t="shared" si="1"/>
        <v>79.137</v>
      </c>
      <c r="H23" s="24">
        <f t="shared" si="3"/>
        <v>0.41445392156862748</v>
      </c>
      <c r="I23" s="24">
        <f t="shared" si="5"/>
        <v>0.29306458333333335</v>
      </c>
      <c r="J23" s="24">
        <f t="shared" si="4"/>
        <v>0.40625886075949369</v>
      </c>
      <c r="K23" s="23">
        <f t="shared" si="6"/>
        <v>1294.0568333333333</v>
      </c>
      <c r="L23" s="23">
        <f t="shared" si="6"/>
        <v>113.10966666666666</v>
      </c>
      <c r="M23" s="23">
        <f t="shared" si="6"/>
        <v>1407.1665</v>
      </c>
    </row>
    <row r="24" spans="1:13" x14ac:dyDescent="0.2">
      <c r="A24" s="22">
        <v>41214</v>
      </c>
      <c r="B24" s="23">
        <v>2172</v>
      </c>
      <c r="C24" s="23">
        <f>'[1]Renewable Diesel'!$AX35</f>
        <v>160</v>
      </c>
      <c r="D24" s="23">
        <f t="shared" si="0"/>
        <v>2332</v>
      </c>
      <c r="E24" s="23">
        <f>'Monthly Data'!F481</f>
        <v>57.228999999999999</v>
      </c>
      <c r="F24" s="23">
        <f>'Monthly Data'!Q481</f>
        <v>5.5810000000000004</v>
      </c>
      <c r="G24" s="23">
        <f t="shared" si="1"/>
        <v>62.81</v>
      </c>
      <c r="H24" s="24">
        <f t="shared" si="3"/>
        <v>0.31023265312184395</v>
      </c>
      <c r="I24" s="24">
        <f t="shared" si="5"/>
        <v>0.41069858870967746</v>
      </c>
      <c r="J24" s="24">
        <f t="shared" si="4"/>
        <v>0.31712568472306757</v>
      </c>
      <c r="K24" s="23">
        <f t="shared" si="6"/>
        <v>1498.1746774193548</v>
      </c>
      <c r="L24" s="23">
        <f t="shared" si="6"/>
        <v>94.288225806451607</v>
      </c>
      <c r="M24" s="23">
        <f t="shared" si="6"/>
        <v>1592.4629032258065</v>
      </c>
    </row>
    <row r="25" spans="1:13" x14ac:dyDescent="0.2">
      <c r="A25" s="22">
        <v>41244</v>
      </c>
      <c r="B25" s="23">
        <v>2104</v>
      </c>
      <c r="C25" s="23">
        <f>'[1]Renewable Diesel'!$AX36</f>
        <v>160</v>
      </c>
      <c r="D25" s="23">
        <f t="shared" si="0"/>
        <v>2264</v>
      </c>
      <c r="E25" s="23">
        <f>'Monthly Data'!F482</f>
        <v>59.031999999999996</v>
      </c>
      <c r="F25" s="23">
        <f>'Monthly Data'!Q482</f>
        <v>3.7949999999999999</v>
      </c>
      <c r="G25" s="23">
        <f t="shared" si="1"/>
        <v>62.826999999999998</v>
      </c>
      <c r="H25" s="24">
        <f t="shared" si="3"/>
        <v>0.34136058301647648</v>
      </c>
      <c r="I25" s="24">
        <f t="shared" si="5"/>
        <v>0.28857812500000002</v>
      </c>
      <c r="J25" s="24">
        <f t="shared" si="4"/>
        <v>0.33763037396937573</v>
      </c>
      <c r="K25" s="23">
        <f t="shared" si="6"/>
        <v>1385.7773333333334</v>
      </c>
      <c r="L25" s="23">
        <f t="shared" si="6"/>
        <v>113.8275</v>
      </c>
      <c r="M25" s="23">
        <f t="shared" si="6"/>
        <v>1499.6048333333333</v>
      </c>
    </row>
    <row r="26" spans="1:13" x14ac:dyDescent="0.2">
      <c r="A26" s="22">
        <v>41275</v>
      </c>
      <c r="B26" s="23">
        <v>2112</v>
      </c>
      <c r="C26" s="23">
        <f>'[1]Renewable Diesel'!$AX37</f>
        <v>160</v>
      </c>
      <c r="D26" s="23">
        <f t="shared" si="0"/>
        <v>2272</v>
      </c>
      <c r="E26" s="23">
        <f>'Monthly Data'!F483</f>
        <v>68.864000000000004</v>
      </c>
      <c r="F26" s="23">
        <f>'Monthly Data'!Q483</f>
        <v>1.2789999999999999</v>
      </c>
      <c r="G26" s="23">
        <f t="shared" si="1"/>
        <v>70.143000000000001</v>
      </c>
      <c r="H26" s="24">
        <f t="shared" si="3"/>
        <v>0.38391006842619751</v>
      </c>
      <c r="I26" s="24">
        <f t="shared" si="5"/>
        <v>9.4119959677419346E-2</v>
      </c>
      <c r="J26" s="24">
        <f t="shared" si="4"/>
        <v>0.36350231428895963</v>
      </c>
      <c r="K26" s="23">
        <f t="shared" si="6"/>
        <v>1301.1819354838708</v>
      </c>
      <c r="L26" s="23">
        <f t="shared" si="6"/>
        <v>144.9408064516129</v>
      </c>
      <c r="M26" s="23">
        <f t="shared" si="6"/>
        <v>1446.1227419354836</v>
      </c>
    </row>
    <row r="27" spans="1:13" x14ac:dyDescent="0.2">
      <c r="A27" s="22">
        <v>41306</v>
      </c>
      <c r="B27" s="23">
        <v>2121</v>
      </c>
      <c r="C27" s="23">
        <f>'[1]Renewable Diesel'!$AX38</f>
        <v>160</v>
      </c>
      <c r="D27" s="23">
        <f t="shared" si="0"/>
        <v>2281</v>
      </c>
      <c r="E27" s="23">
        <f>'Monthly Data'!F484</f>
        <v>70.233999999999995</v>
      </c>
      <c r="F27" s="23">
        <f>'Monthly Data'!Q484</f>
        <v>1.2929999999999999</v>
      </c>
      <c r="G27" s="23">
        <f t="shared" si="1"/>
        <v>71.527000000000001</v>
      </c>
      <c r="H27" s="24">
        <f t="shared" si="3"/>
        <v>0.38988623747167334</v>
      </c>
      <c r="I27" s="24">
        <f t="shared" si="5"/>
        <v>9.5150201612903218E-2</v>
      </c>
      <c r="J27" s="24">
        <f t="shared" si="4"/>
        <v>0.36921207450043136</v>
      </c>
      <c r="K27" s="23">
        <f t="shared" si="6"/>
        <v>1294.0512903225808</v>
      </c>
      <c r="L27" s="23">
        <f t="shared" si="6"/>
        <v>144.77596774193549</v>
      </c>
      <c r="M27" s="23">
        <f t="shared" si="6"/>
        <v>1438.8272580645159</v>
      </c>
    </row>
    <row r="28" spans="1:13" x14ac:dyDescent="0.2">
      <c r="A28" s="22">
        <v>41334</v>
      </c>
      <c r="B28" s="23">
        <v>2140</v>
      </c>
      <c r="C28" s="23">
        <f>'[1]Renewable Diesel'!$AX39</f>
        <v>160</v>
      </c>
      <c r="D28" s="23">
        <f t="shared" si="0"/>
        <v>2300</v>
      </c>
      <c r="E28" s="23">
        <f>'Monthly Data'!F485</f>
        <v>101.28400000000001</v>
      </c>
      <c r="F28" s="23">
        <f>'Monthly Data'!Q485</f>
        <v>1.8740000000000001</v>
      </c>
      <c r="G28" s="23">
        <f t="shared" si="1"/>
        <v>103.158</v>
      </c>
      <c r="H28" s="24">
        <f t="shared" si="3"/>
        <v>0.61696695594125506</v>
      </c>
      <c r="I28" s="24">
        <f t="shared" si="5"/>
        <v>0.1526808035714286</v>
      </c>
      <c r="J28" s="24">
        <f t="shared" si="4"/>
        <v>0.58466878881987583</v>
      </c>
      <c r="K28" s="23">
        <f t="shared" si="6"/>
        <v>819.69071428571419</v>
      </c>
      <c r="L28" s="23">
        <f t="shared" si="6"/>
        <v>135.57107142857143</v>
      </c>
      <c r="M28" s="23">
        <f t="shared" si="6"/>
        <v>955.26178571428557</v>
      </c>
    </row>
    <row r="29" spans="1:13" x14ac:dyDescent="0.2">
      <c r="A29" s="22">
        <v>41365</v>
      </c>
      <c r="B29" s="23">
        <v>2141</v>
      </c>
      <c r="C29" s="23">
        <f>'[1]Renewable Diesel'!$AX40</f>
        <v>160</v>
      </c>
      <c r="D29" s="23">
        <f t="shared" si="0"/>
        <v>2301</v>
      </c>
      <c r="E29" s="23">
        <f>'Monthly Data'!F486</f>
        <v>107.01900000000001</v>
      </c>
      <c r="F29" s="23">
        <f>'Monthly Data'!Q486</f>
        <v>1.6739999999999999</v>
      </c>
      <c r="G29" s="23">
        <f t="shared" si="1"/>
        <v>108.69300000000001</v>
      </c>
      <c r="H29" s="24">
        <f t="shared" si="3"/>
        <v>0.58853919633574903</v>
      </c>
      <c r="I29" s="24">
        <f t="shared" si="5"/>
        <v>0.12318750000000001</v>
      </c>
      <c r="J29" s="24">
        <f t="shared" si="4"/>
        <v>0.55618097320940407</v>
      </c>
      <c r="K29" s="23">
        <f t="shared" si="6"/>
        <v>880.93758064516135</v>
      </c>
      <c r="L29" s="23">
        <f t="shared" si="6"/>
        <v>140.29</v>
      </c>
      <c r="M29" s="23">
        <f t="shared" si="6"/>
        <v>1021.2275806451612</v>
      </c>
    </row>
    <row r="30" spans="1:13" x14ac:dyDescent="0.2">
      <c r="A30" s="22">
        <v>41395</v>
      </c>
      <c r="B30" s="23">
        <v>2153</v>
      </c>
      <c r="C30" s="23">
        <f>'[1]Renewable Diesel'!$AX41</f>
        <v>160</v>
      </c>
      <c r="D30" s="23">
        <f t="shared" si="0"/>
        <v>2313</v>
      </c>
      <c r="E30" s="23">
        <f>'Monthly Data'!F487</f>
        <v>111.101</v>
      </c>
      <c r="F30" s="23">
        <f>'Monthly Data'!Q487</f>
        <v>2.7919999999999998</v>
      </c>
      <c r="G30" s="23">
        <f t="shared" si="1"/>
        <v>113.893</v>
      </c>
      <c r="H30" s="24">
        <f t="shared" si="3"/>
        <v>0.62783503638334104</v>
      </c>
      <c r="I30" s="24">
        <f t="shared" si="5"/>
        <v>0.21230833333333332</v>
      </c>
      <c r="J30" s="24">
        <f t="shared" si="4"/>
        <v>0.59909129557573138</v>
      </c>
      <c r="K30" s="23">
        <f t="shared" si="6"/>
        <v>801.27116666666677</v>
      </c>
      <c r="L30" s="23">
        <f t="shared" si="6"/>
        <v>126.03066666666666</v>
      </c>
      <c r="M30" s="23">
        <f t="shared" si="6"/>
        <v>927.30183333333332</v>
      </c>
    </row>
    <row r="31" spans="1:13" x14ac:dyDescent="0.2">
      <c r="A31" s="22">
        <v>41426</v>
      </c>
      <c r="B31" s="23">
        <v>2162</v>
      </c>
      <c r="C31" s="23">
        <f>'[1]Renewable Diesel'!$AX42</f>
        <v>160</v>
      </c>
      <c r="D31" s="23">
        <f t="shared" si="0"/>
        <v>2322</v>
      </c>
      <c r="E31" s="23">
        <f>'Monthly Data'!F488</f>
        <v>113.369</v>
      </c>
      <c r="F31" s="23">
        <f>'Monthly Data'!Q488</f>
        <v>7.2560000000000002</v>
      </c>
      <c r="G31" s="23">
        <f t="shared" si="1"/>
        <v>120.625</v>
      </c>
      <c r="H31" s="24">
        <f t="shared" si="3"/>
        <v>0.61740450896720467</v>
      </c>
      <c r="I31" s="24">
        <f t="shared" si="5"/>
        <v>0.53395967741935491</v>
      </c>
      <c r="J31" s="24">
        <f t="shared" si="4"/>
        <v>0.61165464977355455</v>
      </c>
      <c r="K31" s="23">
        <f t="shared" si="6"/>
        <v>827.17145161290352</v>
      </c>
      <c r="L31" s="23">
        <f t="shared" si="6"/>
        <v>74.566451612903222</v>
      </c>
      <c r="M31" s="23">
        <f t="shared" si="6"/>
        <v>901.73790322580635</v>
      </c>
    </row>
    <row r="32" spans="1:13" x14ac:dyDescent="0.2">
      <c r="A32" s="22">
        <v>41456</v>
      </c>
      <c r="B32" s="23">
        <v>2156</v>
      </c>
      <c r="C32" s="23">
        <f>'[1]Renewable Diesel'!$AX43</f>
        <v>160</v>
      </c>
      <c r="D32" s="23">
        <f t="shared" si="0"/>
        <v>2316</v>
      </c>
      <c r="E32" s="23">
        <f>'Monthly Data'!F489</f>
        <v>129.02600000000001</v>
      </c>
      <c r="F32" s="23">
        <f>'Monthly Data'!Q489</f>
        <v>15.712</v>
      </c>
      <c r="G32" s="23">
        <f t="shared" si="1"/>
        <v>144.738</v>
      </c>
      <c r="H32" s="24">
        <f t="shared" si="3"/>
        <v>0.72811518243661111</v>
      </c>
      <c r="I32" s="24">
        <f t="shared" si="5"/>
        <v>1.1947666666666665</v>
      </c>
      <c r="J32" s="24">
        <f t="shared" si="4"/>
        <v>0.76035362694300523</v>
      </c>
      <c r="K32" s="23">
        <f t="shared" si="6"/>
        <v>586.18366666666645</v>
      </c>
      <c r="L32" s="23">
        <f t="shared" si="6"/>
        <v>-31.162666666666645</v>
      </c>
      <c r="M32" s="23">
        <f t="shared" si="6"/>
        <v>555.02099999999984</v>
      </c>
    </row>
    <row r="33" spans="1:13" x14ac:dyDescent="0.2">
      <c r="A33" s="22">
        <v>41487</v>
      </c>
      <c r="B33" s="23">
        <v>2153</v>
      </c>
      <c r="C33" s="23">
        <f>'[1]Renewable Diesel'!$AX44</f>
        <v>160</v>
      </c>
      <c r="D33" s="23">
        <f t="shared" si="0"/>
        <v>2313</v>
      </c>
      <c r="E33" s="23">
        <f>'Monthly Data'!F490</f>
        <v>129.619</v>
      </c>
      <c r="F33" s="23">
        <f>'Monthly Data'!Q490</f>
        <v>15.256</v>
      </c>
      <c r="G33" s="23">
        <f t="shared" si="1"/>
        <v>144.875</v>
      </c>
      <c r="H33" s="24">
        <f t="shared" si="3"/>
        <v>0.70885238901457825</v>
      </c>
      <c r="I33" s="24">
        <f t="shared" si="5"/>
        <v>1.1226693548387097</v>
      </c>
      <c r="J33" s="24">
        <f t="shared" si="4"/>
        <v>0.73747786006164318</v>
      </c>
      <c r="K33" s="23">
        <f t="shared" si="6"/>
        <v>626.84080645161305</v>
      </c>
      <c r="L33" s="23">
        <f t="shared" si="6"/>
        <v>-19.627096774193546</v>
      </c>
      <c r="M33" s="23">
        <f t="shared" si="6"/>
        <v>607.21370967741939</v>
      </c>
    </row>
    <row r="34" spans="1:13" x14ac:dyDescent="0.2">
      <c r="A34" s="22">
        <v>41518</v>
      </c>
      <c r="B34" s="23">
        <v>2153</v>
      </c>
      <c r="C34" s="23">
        <f>'[1]Renewable Diesel'!$AX45</f>
        <v>160</v>
      </c>
      <c r="D34" s="23">
        <f t="shared" si="0"/>
        <v>2313</v>
      </c>
      <c r="E34" s="23">
        <f>'Monthly Data'!F491</f>
        <v>127.065</v>
      </c>
      <c r="F34" s="23">
        <f>'Monthly Data'!Q491</f>
        <v>17.640999999999998</v>
      </c>
      <c r="G34" s="23">
        <f t="shared" si="1"/>
        <v>144.70599999999999</v>
      </c>
      <c r="H34" s="24">
        <f t="shared" si="3"/>
        <v>0.69488523141003555</v>
      </c>
      <c r="I34" s="24">
        <f t="shared" si="5"/>
        <v>1.2981784274193546</v>
      </c>
      <c r="J34" s="24">
        <f t="shared" si="4"/>
        <v>0.7366175752757903</v>
      </c>
      <c r="K34" s="23">
        <f t="shared" si="6"/>
        <v>656.9120967741934</v>
      </c>
      <c r="L34" s="23">
        <f t="shared" si="6"/>
        <v>-47.708548387096741</v>
      </c>
      <c r="M34" s="23">
        <f t="shared" si="6"/>
        <v>609.20354838709704</v>
      </c>
    </row>
    <row r="35" spans="1:13" x14ac:dyDescent="0.2">
      <c r="A35" s="22">
        <v>41548</v>
      </c>
      <c r="B35" s="23">
        <v>2137</v>
      </c>
      <c r="C35" s="23">
        <f>'[1]Renewable Diesel'!$AX46</f>
        <v>160</v>
      </c>
      <c r="D35" s="23">
        <f t="shared" si="0"/>
        <v>2297</v>
      </c>
      <c r="E35" s="23">
        <f>'Monthly Data'!F492</f>
        <v>137.434</v>
      </c>
      <c r="F35" s="23">
        <f>'Monthly Data'!Q492</f>
        <v>18.931999999999999</v>
      </c>
      <c r="G35" s="23">
        <f t="shared" si="1"/>
        <v>156.36599999999999</v>
      </c>
      <c r="H35" s="24">
        <f t="shared" si="3"/>
        <v>0.78245843082202449</v>
      </c>
      <c r="I35" s="24">
        <f t="shared" si="5"/>
        <v>1.4396208333333333</v>
      </c>
      <c r="J35" s="24">
        <f t="shared" si="4"/>
        <v>0.82823378319547225</v>
      </c>
      <c r="K35" s="23">
        <f t="shared" si="6"/>
        <v>464.88633333333365</v>
      </c>
      <c r="L35" s="23">
        <f t="shared" si="6"/>
        <v>-70.339333333333343</v>
      </c>
      <c r="M35" s="23">
        <f t="shared" si="6"/>
        <v>394.54700000000025</v>
      </c>
    </row>
    <row r="36" spans="1:13" x14ac:dyDescent="0.2">
      <c r="A36" s="22">
        <v>41579</v>
      </c>
      <c r="B36" s="23">
        <v>2136</v>
      </c>
      <c r="C36" s="23">
        <f>'[1]Renewable Diesel'!$AX47</f>
        <v>160</v>
      </c>
      <c r="D36" s="23">
        <f t="shared" si="0"/>
        <v>2296</v>
      </c>
      <c r="E36" s="23">
        <f>'Monthly Data'!F493</f>
        <v>129.34100000000001</v>
      </c>
      <c r="F36" s="23">
        <f>'Monthly Data'!Q493</f>
        <v>15.679</v>
      </c>
      <c r="G36" s="23">
        <f t="shared" si="1"/>
        <v>145.02000000000001</v>
      </c>
      <c r="H36" s="24">
        <f t="shared" si="3"/>
        <v>0.71296159538480131</v>
      </c>
      <c r="I36" s="24">
        <f t="shared" si="5"/>
        <v>1.1537973790322582</v>
      </c>
      <c r="J36" s="24">
        <f t="shared" si="4"/>
        <v>0.74368185905361373</v>
      </c>
      <c r="K36" s="23">
        <f t="shared" si="6"/>
        <v>613.11403225806441</v>
      </c>
      <c r="L36" s="23">
        <f t="shared" si="6"/>
        <v>-24.607580645161313</v>
      </c>
      <c r="M36" s="23">
        <f t="shared" si="6"/>
        <v>588.50645161290288</v>
      </c>
    </row>
    <row r="37" spans="1:13" x14ac:dyDescent="0.2">
      <c r="A37" s="22">
        <v>41609</v>
      </c>
      <c r="B37" s="23">
        <v>2116</v>
      </c>
      <c r="C37" s="23">
        <f>'[1]Renewable Diesel'!$AX48</f>
        <v>160</v>
      </c>
      <c r="D37" s="23">
        <f t="shared" si="0"/>
        <v>2276</v>
      </c>
      <c r="E37" s="23">
        <f>'Monthly Data'!F494</f>
        <v>135.1</v>
      </c>
      <c r="F37" s="23">
        <f>'Monthly Data'!Q494</f>
        <v>13.897</v>
      </c>
      <c r="G37" s="23">
        <f t="shared" si="1"/>
        <v>148.99699999999999</v>
      </c>
      <c r="H37" s="24">
        <f t="shared" si="3"/>
        <v>0.77680371770636414</v>
      </c>
      <c r="I37" s="24">
        <f t="shared" si="5"/>
        <v>1.0567510416666666</v>
      </c>
      <c r="J37" s="24">
        <f t="shared" si="4"/>
        <v>0.79648367018160504</v>
      </c>
      <c r="K37" s="23">
        <f t="shared" si="6"/>
        <v>472.28333333333347</v>
      </c>
      <c r="L37" s="23">
        <f t="shared" si="6"/>
        <v>-9.0801666666666492</v>
      </c>
      <c r="M37" s="23">
        <f t="shared" si="6"/>
        <v>463.2031666666669</v>
      </c>
    </row>
    <row r="38" spans="1:13" x14ac:dyDescent="0.2">
      <c r="A38" s="22">
        <v>41640</v>
      </c>
      <c r="B38" s="23">
        <v>1959</v>
      </c>
      <c r="C38" s="23">
        <f>'[1]Renewable Diesel'!$AX49</f>
        <v>160</v>
      </c>
      <c r="D38" s="23">
        <f t="shared" si="0"/>
        <v>2119</v>
      </c>
      <c r="E38" s="23">
        <f>'Monthly Data'!F495</f>
        <v>72.540000000000006</v>
      </c>
      <c r="F38" s="23">
        <f>'Monthly Data'!Q495</f>
        <v>10.329000000000001</v>
      </c>
      <c r="G38" s="23">
        <f t="shared" si="1"/>
        <v>82.869</v>
      </c>
      <c r="H38" s="24">
        <f t="shared" si="3"/>
        <v>0.43598774885145491</v>
      </c>
      <c r="I38" s="24">
        <f t="shared" si="5"/>
        <v>0.76009778225806457</v>
      </c>
      <c r="J38" s="24">
        <f t="shared" si="4"/>
        <v>0.46046042716436536</v>
      </c>
      <c r="K38" s="23">
        <f t="shared" si="6"/>
        <v>1104.8999999999996</v>
      </c>
      <c r="L38" s="23">
        <f t="shared" si="6"/>
        <v>38.384354838709669</v>
      </c>
      <c r="M38" s="23">
        <f t="shared" si="6"/>
        <v>1143.28435483871</v>
      </c>
    </row>
    <row r="39" spans="1:13" x14ac:dyDescent="0.2">
      <c r="A39" s="22">
        <v>41671</v>
      </c>
      <c r="B39" s="23">
        <v>2102</v>
      </c>
      <c r="C39" s="23">
        <f>'[1]Renewable Diesel'!$AX50</f>
        <v>160</v>
      </c>
      <c r="D39" s="23">
        <f t="shared" si="0"/>
        <v>2262</v>
      </c>
      <c r="E39" s="23">
        <f>'Monthly Data'!F496</f>
        <v>75.643000000000001</v>
      </c>
      <c r="F39" s="23">
        <f>'Monthly Data'!Q496</f>
        <v>12.292999999999999</v>
      </c>
      <c r="G39" s="23">
        <f t="shared" si="1"/>
        <v>87.936000000000007</v>
      </c>
      <c r="H39" s="24">
        <f t="shared" si="3"/>
        <v>0.42370852644179124</v>
      </c>
      <c r="I39" s="24">
        <f t="shared" si="5"/>
        <v>0.90462600806451599</v>
      </c>
      <c r="J39" s="24">
        <f t="shared" si="4"/>
        <v>0.45772567810387615</v>
      </c>
      <c r="K39" s="23">
        <f t="shared" si="6"/>
        <v>1211.3646774193548</v>
      </c>
      <c r="L39" s="23">
        <f t="shared" si="6"/>
        <v>15.259838709677442</v>
      </c>
      <c r="M39" s="23">
        <f t="shared" si="6"/>
        <v>1226.6245161290324</v>
      </c>
    </row>
    <row r="40" spans="1:13" x14ac:dyDescent="0.2">
      <c r="A40" s="22">
        <v>41699</v>
      </c>
      <c r="B40" s="23">
        <v>2073</v>
      </c>
      <c r="C40" s="23">
        <f>'[1]Renewable Diesel'!$AX51</f>
        <v>160</v>
      </c>
      <c r="D40" s="23">
        <f t="shared" si="0"/>
        <v>2233</v>
      </c>
      <c r="E40" s="23">
        <f>'Monthly Data'!F497</f>
        <v>99.177999999999997</v>
      </c>
      <c r="F40" s="23">
        <f>'Monthly Data'!Q497</f>
        <v>14.952999999999999</v>
      </c>
      <c r="G40" s="23">
        <f t="shared" si="1"/>
        <v>114.131</v>
      </c>
      <c r="H40" s="24">
        <f t="shared" si="3"/>
        <v>0.62366428915994754</v>
      </c>
      <c r="I40" s="24">
        <f t="shared" si="5"/>
        <v>1.2182689732142857</v>
      </c>
      <c r="J40" s="24">
        <f t="shared" si="4"/>
        <v>0.66626919263002993</v>
      </c>
      <c r="K40" s="23">
        <f t="shared" si="6"/>
        <v>780.14392857142877</v>
      </c>
      <c r="L40" s="23">
        <f t="shared" si="6"/>
        <v>-34.923035714285717</v>
      </c>
      <c r="M40" s="23">
        <f t="shared" si="6"/>
        <v>745.22089285714321</v>
      </c>
    </row>
    <row r="41" spans="1:13" x14ac:dyDescent="0.2">
      <c r="A41" s="22">
        <v>41730</v>
      </c>
      <c r="B41" s="23">
        <v>2079</v>
      </c>
      <c r="C41" s="23">
        <f>'[1]Renewable Diesel'!$AX52</f>
        <v>160</v>
      </c>
      <c r="D41" s="23">
        <f t="shared" si="0"/>
        <v>2239</v>
      </c>
      <c r="E41" s="23">
        <f>'Monthly Data'!F498</f>
        <v>93.352000000000004</v>
      </c>
      <c r="F41" s="23">
        <f>'Monthly Data'!Q498</f>
        <v>13.676</v>
      </c>
      <c r="G41" s="23">
        <f t="shared" si="1"/>
        <v>107.02800000000001</v>
      </c>
      <c r="H41" s="24">
        <f t="shared" si="3"/>
        <v>0.52868904094710556</v>
      </c>
      <c r="I41" s="24">
        <f t="shared" si="5"/>
        <v>1.0063991935483871</v>
      </c>
      <c r="J41" s="24">
        <f t="shared" si="4"/>
        <v>0.56282643461222615</v>
      </c>
      <c r="K41" s="23">
        <f t="shared" si="6"/>
        <v>979.85548387096753</v>
      </c>
      <c r="L41" s="23">
        <f t="shared" si="6"/>
        <v>-1.0238709677419422</v>
      </c>
      <c r="M41" s="23">
        <f t="shared" si="6"/>
        <v>978.83161290322562</v>
      </c>
    </row>
    <row r="42" spans="1:13" x14ac:dyDescent="0.2">
      <c r="A42" s="22">
        <v>41760</v>
      </c>
      <c r="B42" s="23">
        <v>2120</v>
      </c>
      <c r="C42" s="23">
        <f>'[1]Renewable Diesel'!$AX53</f>
        <v>160</v>
      </c>
      <c r="D42" s="23">
        <f t="shared" si="0"/>
        <v>2280</v>
      </c>
      <c r="E42" s="23">
        <f>'Monthly Data'!F499</f>
        <v>106.31399999999999</v>
      </c>
      <c r="F42" s="23">
        <f>'Monthly Data'!Q499</f>
        <v>16.219000000000001</v>
      </c>
      <c r="G42" s="23">
        <f t="shared" si="1"/>
        <v>122.53299999999999</v>
      </c>
      <c r="H42" s="24">
        <f t="shared" si="3"/>
        <v>0.61013537735849055</v>
      </c>
      <c r="I42" s="24">
        <f t="shared" si="5"/>
        <v>1.2333197916666667</v>
      </c>
      <c r="J42" s="24">
        <f t="shared" si="4"/>
        <v>0.65386761695906437</v>
      </c>
      <c r="K42" s="23">
        <f t="shared" si="6"/>
        <v>826.51300000000003</v>
      </c>
      <c r="L42" s="23">
        <f t="shared" si="6"/>
        <v>-37.331166666666675</v>
      </c>
      <c r="M42" s="23">
        <f t="shared" si="6"/>
        <v>789.1818333333332</v>
      </c>
    </row>
    <row r="43" spans="1:13" x14ac:dyDescent="0.2">
      <c r="A43" s="22">
        <v>41791</v>
      </c>
      <c r="B43" s="23">
        <v>2002</v>
      </c>
      <c r="C43" s="23">
        <f>'[1]Renewable Diesel'!$AX54</f>
        <v>160</v>
      </c>
      <c r="D43" s="23">
        <f t="shared" si="0"/>
        <v>2162</v>
      </c>
      <c r="E43" s="23">
        <f>'Monthly Data'!F500</f>
        <v>111.07</v>
      </c>
      <c r="F43" s="23">
        <f>'Monthly Data'!Q500</f>
        <v>15.664999999999999</v>
      </c>
      <c r="G43" s="23">
        <f t="shared" si="1"/>
        <v>126.73499999999999</v>
      </c>
      <c r="H43" s="24">
        <f t="shared" si="3"/>
        <v>0.65322661209757971</v>
      </c>
      <c r="I43" s="24">
        <f t="shared" si="5"/>
        <v>1.152767137096774</v>
      </c>
      <c r="J43" s="24">
        <f t="shared" si="4"/>
        <v>0.69019538360538324</v>
      </c>
      <c r="K43" s="23">
        <f t="shared" si="6"/>
        <v>694.2403225806454</v>
      </c>
      <c r="L43" s="23">
        <f t="shared" si="6"/>
        <v>-24.442741935483845</v>
      </c>
      <c r="M43" s="23">
        <f t="shared" si="6"/>
        <v>669.79758064516147</v>
      </c>
    </row>
    <row r="44" spans="1:13" x14ac:dyDescent="0.2">
      <c r="A44" s="22">
        <v>41821</v>
      </c>
      <c r="B44" s="23">
        <v>2106</v>
      </c>
      <c r="C44" s="23">
        <f>'[1]Renewable Diesel'!$AX55</f>
        <v>160</v>
      </c>
      <c r="D44" s="23">
        <f t="shared" si="0"/>
        <v>2266</v>
      </c>
      <c r="E44" s="23">
        <f>'Monthly Data'!F501</f>
        <v>122.887</v>
      </c>
      <c r="F44" s="23">
        <f>'Monthly Data'!Q501</f>
        <v>13.997999999999999</v>
      </c>
      <c r="G44" s="23">
        <f t="shared" si="1"/>
        <v>136.88499999999999</v>
      </c>
      <c r="H44" s="24">
        <f t="shared" si="3"/>
        <v>0.70993597657486551</v>
      </c>
      <c r="I44" s="24">
        <f t="shared" si="5"/>
        <v>1.0644312499999999</v>
      </c>
      <c r="J44" s="24">
        <f t="shared" si="4"/>
        <v>0.73496653427478664</v>
      </c>
      <c r="K44" s="23">
        <f t="shared" si="6"/>
        <v>610.87483333333319</v>
      </c>
      <c r="L44" s="23">
        <f t="shared" si="6"/>
        <v>-10.30899999999999</v>
      </c>
      <c r="M44" s="23">
        <f t="shared" si="6"/>
        <v>600.56583333333344</v>
      </c>
    </row>
    <row r="45" spans="1:13" x14ac:dyDescent="0.2">
      <c r="A45" s="22">
        <v>41852</v>
      </c>
      <c r="B45" s="23">
        <v>2118</v>
      </c>
      <c r="C45" s="23">
        <f>'[1]Renewable Diesel'!$AX56</f>
        <v>160</v>
      </c>
      <c r="D45" s="23">
        <f t="shared" si="0"/>
        <v>2278</v>
      </c>
      <c r="E45" s="23">
        <f>'Monthly Data'!F502</f>
        <v>125.437</v>
      </c>
      <c r="F45" s="23">
        <f>'Monthly Data'!Q502</f>
        <v>2.0430000000000001</v>
      </c>
      <c r="G45" s="23">
        <f t="shared" si="1"/>
        <v>127.48</v>
      </c>
      <c r="H45" s="24">
        <f t="shared" si="3"/>
        <v>0.69731799628377356</v>
      </c>
      <c r="I45" s="24">
        <f t="shared" si="5"/>
        <v>0.15034173387096778</v>
      </c>
      <c r="J45" s="24">
        <f t="shared" si="4"/>
        <v>0.65889999716786085</v>
      </c>
      <c r="K45" s="23">
        <f t="shared" si="6"/>
        <v>641.08048387096756</v>
      </c>
      <c r="L45" s="23">
        <f t="shared" si="6"/>
        <v>135.94532258064515</v>
      </c>
      <c r="M45" s="23">
        <f t="shared" si="6"/>
        <v>777.02580645161299</v>
      </c>
    </row>
    <row r="46" spans="1:13" x14ac:dyDescent="0.2">
      <c r="A46" s="22">
        <v>41883</v>
      </c>
      <c r="B46" s="23">
        <v>2131</v>
      </c>
      <c r="C46" s="23">
        <f>'[1]Renewable Diesel'!$AX57</f>
        <v>160</v>
      </c>
      <c r="D46" s="23">
        <f t="shared" si="0"/>
        <v>2291</v>
      </c>
      <c r="E46" s="23">
        <f>'Monthly Data'!F503</f>
        <v>115.67700000000001</v>
      </c>
      <c r="F46" s="23">
        <f>'Monthly Data'!Q503</f>
        <v>5.9489999999999998</v>
      </c>
      <c r="G46" s="23">
        <f t="shared" si="1"/>
        <v>121.626</v>
      </c>
      <c r="H46" s="24">
        <f t="shared" si="3"/>
        <v>0.6391381450477589</v>
      </c>
      <c r="I46" s="24">
        <f t="shared" si="5"/>
        <v>0.43777923387096773</v>
      </c>
      <c r="J46" s="24">
        <f t="shared" si="4"/>
        <v>0.62507554103715812</v>
      </c>
      <c r="K46" s="23">
        <f t="shared" si="6"/>
        <v>768.99661290322581</v>
      </c>
      <c r="L46" s="23">
        <f t="shared" si="6"/>
        <v>89.955322580645159</v>
      </c>
      <c r="M46" s="23">
        <f t="shared" si="6"/>
        <v>858.95193548387078</v>
      </c>
    </row>
    <row r="47" spans="1:13" x14ac:dyDescent="0.2">
      <c r="A47" s="22">
        <v>41913</v>
      </c>
      <c r="B47" s="23">
        <v>2146</v>
      </c>
      <c r="C47" s="23">
        <f>'[1]Renewable Diesel'!$AX58</f>
        <v>160</v>
      </c>
      <c r="D47" s="23">
        <f t="shared" si="0"/>
        <v>2306</v>
      </c>
      <c r="E47" s="23">
        <f>'Monthly Data'!F504</f>
        <v>122.988</v>
      </c>
      <c r="F47" s="23">
        <f>'Monthly Data'!Q504</f>
        <v>14.722</v>
      </c>
      <c r="G47" s="23">
        <f t="shared" si="1"/>
        <v>137.71</v>
      </c>
      <c r="H47" s="24">
        <f t="shared" si="3"/>
        <v>0.69727586206896541</v>
      </c>
      <c r="I47" s="24">
        <f t="shared" si="5"/>
        <v>1.1194854166666666</v>
      </c>
      <c r="J47" s="24">
        <f t="shared" si="4"/>
        <v>0.72657054061867599</v>
      </c>
      <c r="K47" s="23">
        <f t="shared" si="6"/>
        <v>649.64600000000019</v>
      </c>
      <c r="L47" s="23">
        <f t="shared" si="6"/>
        <v>-19.117666666666651</v>
      </c>
      <c r="M47" s="23">
        <f t="shared" si="6"/>
        <v>630.52833333333319</v>
      </c>
    </row>
    <row r="48" spans="1:13" x14ac:dyDescent="0.2">
      <c r="A48" s="22">
        <v>41944</v>
      </c>
      <c r="B48" s="23">
        <v>2131</v>
      </c>
      <c r="C48" s="23">
        <f>'[1]Renewable Diesel'!$AX59</f>
        <v>185</v>
      </c>
      <c r="D48" s="23">
        <f t="shared" si="0"/>
        <v>2316</v>
      </c>
      <c r="E48" s="23">
        <f>'Monthly Data'!F505</f>
        <v>109.639</v>
      </c>
      <c r="F48" s="23">
        <f>'Monthly Data'!Q505</f>
        <v>16.463000000000001</v>
      </c>
      <c r="G48" s="23">
        <f t="shared" si="1"/>
        <v>126.102</v>
      </c>
      <c r="H48" s="24">
        <f t="shared" si="3"/>
        <v>0.6057770091279272</v>
      </c>
      <c r="I48" s="24">
        <f t="shared" si="5"/>
        <v>1.0477759372275501</v>
      </c>
      <c r="J48" s="24">
        <f t="shared" si="4"/>
        <v>0.64108348654521152</v>
      </c>
      <c r="K48" s="23">
        <f t="shared" si="6"/>
        <v>840.08919354838713</v>
      </c>
      <c r="L48" s="23">
        <f t="shared" si="6"/>
        <v>-8.8385483870967754</v>
      </c>
      <c r="M48" s="23">
        <f t="shared" si="6"/>
        <v>831.25064516129009</v>
      </c>
    </row>
    <row r="49" spans="1:13" x14ac:dyDescent="0.2">
      <c r="A49" s="22">
        <v>41974</v>
      </c>
      <c r="B49" s="23">
        <v>2145</v>
      </c>
      <c r="C49" s="23">
        <f>'[1]Renewable Diesel'!$AX60</f>
        <v>210</v>
      </c>
      <c r="D49" s="23">
        <f t="shared" si="0"/>
        <v>2355</v>
      </c>
      <c r="E49" s="23">
        <f>'Monthly Data'!F506</f>
        <v>124.254</v>
      </c>
      <c r="F49" s="23">
        <f>'Monthly Data'!Q506</f>
        <v>22.831</v>
      </c>
      <c r="G49" s="23">
        <f t="shared" si="1"/>
        <v>147.08500000000001</v>
      </c>
      <c r="H49" s="24">
        <f t="shared" si="3"/>
        <v>0.70478181818181818</v>
      </c>
      <c r="I49" s="24">
        <f t="shared" si="5"/>
        <v>1.3227484126984128</v>
      </c>
      <c r="J49" s="24">
        <f t="shared" si="4"/>
        <v>0.75988711960368016</v>
      </c>
      <c r="K49" s="23">
        <f t="shared" si="6"/>
        <v>633.24300000000005</v>
      </c>
      <c r="L49" s="23">
        <f t="shared" si="6"/>
        <v>-67.777166666666687</v>
      </c>
      <c r="M49" s="23">
        <f t="shared" si="6"/>
        <v>565.46583333333319</v>
      </c>
    </row>
    <row r="50" spans="1:13" x14ac:dyDescent="0.2">
      <c r="A50" s="22">
        <v>42005</v>
      </c>
      <c r="B50" s="23">
        <v>2106</v>
      </c>
      <c r="C50" s="23">
        <f>'[1]Renewable Diesel'!$AX61</f>
        <v>255</v>
      </c>
      <c r="D50" s="23">
        <f t="shared" si="0"/>
        <v>2361</v>
      </c>
      <c r="E50" s="23">
        <f>'Monthly Data'!F507</f>
        <v>72.546000000000006</v>
      </c>
      <c r="F50" s="23">
        <f>'Monthly Data'!Q507</f>
        <v>17.504999999999999</v>
      </c>
      <c r="G50" s="23">
        <f t="shared" si="1"/>
        <v>90.051000000000002</v>
      </c>
      <c r="H50" s="24">
        <f t="shared" si="3"/>
        <v>0.40558910026651962</v>
      </c>
      <c r="I50" s="24">
        <f t="shared" si="5"/>
        <v>0.8082637571157496</v>
      </c>
      <c r="J50" s="24">
        <f t="shared" si="4"/>
        <v>0.44908000983727508</v>
      </c>
      <c r="K50" s="23">
        <f t="shared" si="6"/>
        <v>1251.8293548387096</v>
      </c>
      <c r="L50" s="23">
        <f t="shared" si="6"/>
        <v>48.892741935483848</v>
      </c>
      <c r="M50" s="23">
        <f t="shared" si="6"/>
        <v>1300.7220967741935</v>
      </c>
    </row>
    <row r="51" spans="1:13" x14ac:dyDescent="0.2">
      <c r="A51" s="22">
        <v>42036</v>
      </c>
      <c r="B51" s="23">
        <v>2155</v>
      </c>
      <c r="C51" s="23">
        <f>'[1]Renewable Diesel'!$AX62</f>
        <v>255</v>
      </c>
      <c r="D51" s="23">
        <f t="shared" si="0"/>
        <v>2410</v>
      </c>
      <c r="E51" s="23">
        <f>'Monthly Data'!F508</f>
        <v>77.736000000000004</v>
      </c>
      <c r="F51" s="23">
        <f>'Monthly Data'!Q508</f>
        <v>13.481</v>
      </c>
      <c r="G51" s="23">
        <f t="shared" si="1"/>
        <v>91.216999999999999</v>
      </c>
      <c r="H51" s="24">
        <f t="shared" si="3"/>
        <v>0.42472329915425494</v>
      </c>
      <c r="I51" s="24">
        <f t="shared" si="5"/>
        <v>0.62246236559139778</v>
      </c>
      <c r="J51" s="24">
        <f t="shared" si="4"/>
        <v>0.44564589747021821</v>
      </c>
      <c r="K51" s="23">
        <f t="shared" si="6"/>
        <v>1239.7212903225807</v>
      </c>
      <c r="L51" s="23">
        <f t="shared" si="6"/>
        <v>96.272096774193571</v>
      </c>
      <c r="M51" s="23">
        <f t="shared" si="6"/>
        <v>1335.9933870967741</v>
      </c>
    </row>
    <row r="52" spans="1:13" x14ac:dyDescent="0.2">
      <c r="A52" s="22">
        <v>42064</v>
      </c>
      <c r="B52" s="23">
        <v>2160</v>
      </c>
      <c r="C52" s="23">
        <f>'[1]Renewable Diesel'!$AX63</f>
        <v>255</v>
      </c>
      <c r="D52" s="23">
        <f t="shared" si="0"/>
        <v>2415</v>
      </c>
      <c r="E52" s="23">
        <f>'Monthly Data'!F509</f>
        <v>97.673000000000002</v>
      </c>
      <c r="F52" s="23">
        <f>'Monthly Data'!Q509</f>
        <v>16.11</v>
      </c>
      <c r="G52" s="23">
        <f t="shared" si="1"/>
        <v>113.783</v>
      </c>
      <c r="H52" s="24">
        <f t="shared" si="3"/>
        <v>0.58946172288359788</v>
      </c>
      <c r="I52" s="24">
        <f t="shared" si="5"/>
        <v>0.82355042016806712</v>
      </c>
      <c r="J52" s="24">
        <f t="shared" si="4"/>
        <v>0.61417916296953567</v>
      </c>
      <c r="K52" s="23">
        <f t="shared" si="6"/>
        <v>886.76267857142852</v>
      </c>
      <c r="L52" s="23">
        <f t="shared" si="6"/>
        <v>44.994642857142885</v>
      </c>
      <c r="M52" s="23">
        <f t="shared" si="6"/>
        <v>931.75732142857134</v>
      </c>
    </row>
    <row r="53" spans="1:13" x14ac:dyDescent="0.2">
      <c r="A53" s="22">
        <v>42095</v>
      </c>
      <c r="B53" s="23">
        <v>2209</v>
      </c>
      <c r="C53" s="23">
        <f>'[1]Renewable Diesel'!$AX64</f>
        <v>255</v>
      </c>
      <c r="D53" s="23">
        <f t="shared" si="0"/>
        <v>2464</v>
      </c>
      <c r="E53" s="23">
        <f>'Monthly Data'!F510</f>
        <v>107.85</v>
      </c>
      <c r="F53" s="23">
        <f>'Monthly Data'!Q510</f>
        <v>15.733000000000001</v>
      </c>
      <c r="G53" s="23">
        <f t="shared" si="1"/>
        <v>123.583</v>
      </c>
      <c r="H53" s="24">
        <f t="shared" si="3"/>
        <v>0.57485141430219477</v>
      </c>
      <c r="I53" s="24">
        <f t="shared" si="5"/>
        <v>0.7264446552814674</v>
      </c>
      <c r="J53" s="24">
        <f t="shared" si="4"/>
        <v>0.59053983818600753</v>
      </c>
      <c r="K53" s="23">
        <f t="shared" si="6"/>
        <v>939.1532258064517</v>
      </c>
      <c r="L53" s="23">
        <f t="shared" si="6"/>
        <v>69.756612903225815</v>
      </c>
      <c r="M53" s="23">
        <f t="shared" si="6"/>
        <v>1008.9098387096775</v>
      </c>
    </row>
    <row r="54" spans="1:13" x14ac:dyDescent="0.2">
      <c r="A54" s="22">
        <v>42125</v>
      </c>
      <c r="B54" s="23">
        <v>2168</v>
      </c>
      <c r="C54" s="23">
        <f>'[1]Renewable Diesel'!$AX65</f>
        <v>255</v>
      </c>
      <c r="D54" s="23">
        <f t="shared" si="0"/>
        <v>2423</v>
      </c>
      <c r="E54" s="23">
        <f>'Monthly Data'!F511</f>
        <v>116.94</v>
      </c>
      <c r="F54" s="23">
        <f>'Monthly Data'!Q511</f>
        <v>15.741</v>
      </c>
      <c r="G54" s="23">
        <f t="shared" si="1"/>
        <v>132.68099999999998</v>
      </c>
      <c r="H54" s="24">
        <f t="shared" si="3"/>
        <v>0.65625922509225088</v>
      </c>
      <c r="I54" s="24">
        <f t="shared" si="5"/>
        <v>0.7510411764705881</v>
      </c>
      <c r="J54" s="24">
        <f t="shared" si="4"/>
        <v>0.6662342137845646</v>
      </c>
      <c r="K54" s="23">
        <f t="shared" si="6"/>
        <v>745.23000000000013</v>
      </c>
      <c r="L54" s="23">
        <f t="shared" si="6"/>
        <v>63.484500000000033</v>
      </c>
      <c r="M54" s="23">
        <f t="shared" si="6"/>
        <v>808.71449999999993</v>
      </c>
    </row>
    <row r="55" spans="1:13" x14ac:dyDescent="0.2">
      <c r="A55" s="22">
        <v>42156</v>
      </c>
      <c r="B55" s="23">
        <v>2151</v>
      </c>
      <c r="C55" s="23">
        <f>'[1]Renewable Diesel'!$AX66</f>
        <v>255</v>
      </c>
      <c r="D55" s="23">
        <f t="shared" si="0"/>
        <v>2406</v>
      </c>
      <c r="E55" s="23">
        <f>'Monthly Data'!F512</f>
        <v>121.824</v>
      </c>
      <c r="F55" s="23">
        <f>'Monthly Data'!Q512</f>
        <v>14.42</v>
      </c>
      <c r="G55" s="23">
        <f t="shared" si="1"/>
        <v>136.244</v>
      </c>
      <c r="H55" s="24">
        <f t="shared" si="3"/>
        <v>0.66684302874881896</v>
      </c>
      <c r="I55" s="24">
        <f t="shared" si="5"/>
        <v>0.66581910183428206</v>
      </c>
      <c r="J55" s="24">
        <f t="shared" si="4"/>
        <v>0.66673450781648036</v>
      </c>
      <c r="K55" s="23">
        <f t="shared" si="6"/>
        <v>716.62064516129044</v>
      </c>
      <c r="L55" s="23">
        <f t="shared" si="6"/>
        <v>85.216129032258081</v>
      </c>
      <c r="M55" s="23">
        <f t="shared" si="6"/>
        <v>801.83677419354831</v>
      </c>
    </row>
    <row r="56" spans="1:13" x14ac:dyDescent="0.2">
      <c r="A56" s="22">
        <v>42186</v>
      </c>
      <c r="B56" s="23">
        <v>2131</v>
      </c>
      <c r="C56" s="23">
        <f>'[1]Renewable Diesel'!$AX67</f>
        <v>255</v>
      </c>
      <c r="D56" s="23">
        <f t="shared" si="0"/>
        <v>2386</v>
      </c>
      <c r="E56" s="23">
        <f>'Monthly Data'!F513</f>
        <v>121.07599999999999</v>
      </c>
      <c r="F56" s="23">
        <f>'Monthly Data'!Q513</f>
        <v>15.521000000000001</v>
      </c>
      <c r="G56" s="23">
        <f t="shared" si="1"/>
        <v>136.59699999999998</v>
      </c>
      <c r="H56" s="24">
        <f t="shared" si="3"/>
        <v>0.69126763647739708</v>
      </c>
      <c r="I56" s="24">
        <f t="shared" si="5"/>
        <v>0.74054444444444445</v>
      </c>
      <c r="J56" s="24">
        <f t="shared" si="4"/>
        <v>0.69653401788208991</v>
      </c>
      <c r="K56" s="23">
        <f t="shared" si="6"/>
        <v>657.90866666666682</v>
      </c>
      <c r="L56" s="23">
        <f t="shared" si="6"/>
        <v>66.161166666666659</v>
      </c>
      <c r="M56" s="23">
        <f t="shared" si="6"/>
        <v>724.06983333333346</v>
      </c>
    </row>
    <row r="57" spans="1:13" x14ac:dyDescent="0.2">
      <c r="A57" s="22">
        <v>42217</v>
      </c>
      <c r="B57" s="23">
        <v>2134</v>
      </c>
      <c r="C57" s="23">
        <f>'[1]Renewable Diesel'!$AX68</f>
        <v>255</v>
      </c>
      <c r="D57" s="23">
        <f t="shared" si="0"/>
        <v>2389</v>
      </c>
      <c r="E57" s="23">
        <f>'Monthly Data'!F514</f>
        <v>123.176</v>
      </c>
      <c r="F57" s="23">
        <f>'Monthly Data'!Q514</f>
        <v>15.1</v>
      </c>
      <c r="G57" s="23">
        <f t="shared" si="1"/>
        <v>138.27600000000001</v>
      </c>
      <c r="H57" s="24">
        <f t="shared" si="3"/>
        <v>0.67961483810502765</v>
      </c>
      <c r="I57" s="24">
        <f t="shared" si="5"/>
        <v>0.69721695129664762</v>
      </c>
      <c r="J57" s="24">
        <f t="shared" si="4"/>
        <v>0.68149367396265159</v>
      </c>
      <c r="K57" s="23">
        <f t="shared" si="6"/>
        <v>683.70193548387101</v>
      </c>
      <c r="L57" s="23">
        <f t="shared" si="6"/>
        <v>77.209677419354861</v>
      </c>
      <c r="M57" s="23">
        <f t="shared" si="6"/>
        <v>760.91161290322532</v>
      </c>
    </row>
    <row r="58" spans="1:13" x14ac:dyDescent="0.2">
      <c r="A58" s="22">
        <v>42248</v>
      </c>
      <c r="B58" s="23">
        <v>2154</v>
      </c>
      <c r="C58" s="23">
        <f>'[1]Renewable Diesel'!$AX69</f>
        <v>255</v>
      </c>
      <c r="D58" s="23">
        <f t="shared" si="0"/>
        <v>2409</v>
      </c>
      <c r="E58" s="23">
        <f>'Monthly Data'!F515</f>
        <v>104.119</v>
      </c>
      <c r="F58" s="23">
        <f>'Monthly Data'!Q515</f>
        <v>13.846</v>
      </c>
      <c r="G58" s="23">
        <f t="shared" si="1"/>
        <v>117.965</v>
      </c>
      <c r="H58" s="24">
        <f t="shared" si="3"/>
        <v>0.56913521730014671</v>
      </c>
      <c r="I58" s="24">
        <f t="shared" si="5"/>
        <v>0.63931562302340295</v>
      </c>
      <c r="J58" s="24">
        <f t="shared" si="4"/>
        <v>0.57656402737047907</v>
      </c>
      <c r="K58" s="23">
        <f t="shared" si="6"/>
        <v>928.08274193548402</v>
      </c>
      <c r="L58" s="23">
        <f t="shared" si="6"/>
        <v>91.974516129032253</v>
      </c>
      <c r="M58" s="23">
        <f t="shared" si="6"/>
        <v>1020.057258064516</v>
      </c>
    </row>
    <row r="59" spans="1:13" x14ac:dyDescent="0.2">
      <c r="A59" s="22">
        <v>42278</v>
      </c>
      <c r="B59" s="23">
        <v>2166</v>
      </c>
      <c r="C59" s="23">
        <f>'[1]Renewable Diesel'!$AX70</f>
        <v>255</v>
      </c>
      <c r="D59" s="23">
        <f t="shared" si="0"/>
        <v>2421</v>
      </c>
      <c r="E59" s="23">
        <f>'Monthly Data'!F516</f>
        <v>106.467</v>
      </c>
      <c r="F59" s="23">
        <f>'Monthly Data'!Q516</f>
        <v>13.414</v>
      </c>
      <c r="G59" s="23">
        <f t="shared" si="1"/>
        <v>119.881</v>
      </c>
      <c r="H59" s="24">
        <f t="shared" si="3"/>
        <v>0.59803716528162509</v>
      </c>
      <c r="I59" s="24">
        <f t="shared" si="5"/>
        <v>0.64001437908496728</v>
      </c>
      <c r="J59" s="24">
        <f t="shared" si="4"/>
        <v>0.60245855707008134</v>
      </c>
      <c r="K59" s="23">
        <f t="shared" si="6"/>
        <v>870.65150000000006</v>
      </c>
      <c r="L59" s="23">
        <f t="shared" si="6"/>
        <v>91.796333333333351</v>
      </c>
      <c r="M59" s="23">
        <f t="shared" si="6"/>
        <v>962.44783333333305</v>
      </c>
    </row>
    <row r="60" spans="1:13" x14ac:dyDescent="0.2">
      <c r="A60" s="22">
        <v>42309</v>
      </c>
      <c r="B60" s="23">
        <v>2122</v>
      </c>
      <c r="C60" s="23">
        <f>'[1]Renewable Diesel'!$AX71</f>
        <v>255</v>
      </c>
      <c r="D60" s="23">
        <f t="shared" si="0"/>
        <v>2377</v>
      </c>
      <c r="E60" s="23">
        <f>'Monthly Data'!F517</f>
        <v>105.883</v>
      </c>
      <c r="F60" s="23">
        <f>'Monthly Data'!Q517</f>
        <v>12.656000000000001</v>
      </c>
      <c r="G60" s="23">
        <f t="shared" si="1"/>
        <v>118.539</v>
      </c>
      <c r="H60" s="24">
        <f t="shared" si="3"/>
        <v>0.58750562463895895</v>
      </c>
      <c r="I60" s="24">
        <f t="shared" si="5"/>
        <v>0.58436938646426317</v>
      </c>
      <c r="J60" s="24">
        <f t="shared" si="4"/>
        <v>0.58716917502408839</v>
      </c>
      <c r="K60" s="23">
        <f t="shared" si="6"/>
        <v>875.31306451612909</v>
      </c>
      <c r="L60" s="23">
        <f t="shared" si="6"/>
        <v>105.98580645161289</v>
      </c>
      <c r="M60" s="23">
        <f t="shared" si="6"/>
        <v>981.29887096774189</v>
      </c>
    </row>
    <row r="61" spans="1:13" x14ac:dyDescent="0.2">
      <c r="A61" s="22">
        <v>42339</v>
      </c>
      <c r="B61" s="23">
        <v>2029</v>
      </c>
      <c r="C61" s="23">
        <f>'[1]Renewable Diesel'!$AX72</f>
        <v>255</v>
      </c>
      <c r="D61" s="23">
        <f t="shared" si="0"/>
        <v>2284</v>
      </c>
      <c r="E61" s="23">
        <f>'Monthly Data'!F518</f>
        <v>108.057</v>
      </c>
      <c r="F61" s="23">
        <f>'Monthly Data'!Q518</f>
        <v>13.321</v>
      </c>
      <c r="G61" s="23">
        <f t="shared" si="1"/>
        <v>121.378</v>
      </c>
      <c r="H61" s="24">
        <f t="shared" si="3"/>
        <v>0.64795145391818632</v>
      </c>
      <c r="I61" s="24">
        <f t="shared" si="5"/>
        <v>0.6355771241830066</v>
      </c>
      <c r="J61" s="24">
        <f t="shared" si="4"/>
        <v>0.64656990659661417</v>
      </c>
      <c r="K61" s="23">
        <f t="shared" si="6"/>
        <v>714.30649999999991</v>
      </c>
      <c r="L61" s="23">
        <f t="shared" si="6"/>
        <v>92.927833333333311</v>
      </c>
      <c r="M61" s="23">
        <f t="shared" si="6"/>
        <v>807.23433333333321</v>
      </c>
    </row>
    <row r="62" spans="1:13" x14ac:dyDescent="0.2">
      <c r="A62" s="22">
        <v>42370</v>
      </c>
      <c r="B62" s="23">
        <v>2270</v>
      </c>
      <c r="C62" s="23">
        <f>'[1]Renewable Diesel'!$AX73</f>
        <v>266</v>
      </c>
      <c r="D62" s="23">
        <f t="shared" si="0"/>
        <v>2536</v>
      </c>
      <c r="E62" s="23">
        <f>'Monthly Data'!F519</f>
        <v>104.57599999999999</v>
      </c>
      <c r="F62" s="23">
        <f>'Monthly Data'!Q519</f>
        <v>11.757999999999999</v>
      </c>
      <c r="G62" s="23">
        <f t="shared" si="1"/>
        <v>116.33399999999999</v>
      </c>
      <c r="H62" s="24">
        <f t="shared" si="3"/>
        <v>0.54242205485292028</v>
      </c>
      <c r="I62" s="24">
        <f t="shared" si="5"/>
        <v>0.52045476594712592</v>
      </c>
      <c r="J62" s="24">
        <f t="shared" si="4"/>
        <v>0.54011791492825889</v>
      </c>
      <c r="K62" s="23">
        <f t="shared" si="6"/>
        <v>1038.701935483871</v>
      </c>
      <c r="L62" s="23">
        <f t="shared" si="6"/>
        <v>127.55903225806451</v>
      </c>
      <c r="M62" s="23">
        <f t="shared" si="6"/>
        <v>1166.2609677419355</v>
      </c>
    </row>
    <row r="63" spans="1:13" x14ac:dyDescent="0.2">
      <c r="A63" s="22">
        <v>42401</v>
      </c>
      <c r="B63" s="23">
        <v>2270</v>
      </c>
      <c r="C63" s="23">
        <f>'[1]Renewable Diesel'!$AX74</f>
        <v>277</v>
      </c>
      <c r="D63" s="23">
        <f t="shared" si="0"/>
        <v>2547</v>
      </c>
      <c r="E63" s="23">
        <f>'Monthly Data'!F520</f>
        <v>105.154</v>
      </c>
      <c r="F63" s="23">
        <f>'Monthly Data'!Q520</f>
        <v>7.3550000000000004</v>
      </c>
      <c r="G63" s="23">
        <f t="shared" si="1"/>
        <v>112.509</v>
      </c>
      <c r="H63" s="24">
        <f t="shared" si="3"/>
        <v>0.54542006536876508</v>
      </c>
      <c r="I63" s="24">
        <f t="shared" si="5"/>
        <v>0.31263246768370795</v>
      </c>
      <c r="J63" s="24">
        <f t="shared" si="4"/>
        <v>0.5201031574147954</v>
      </c>
      <c r="K63" s="23">
        <f t="shared" si="6"/>
        <v>1031.8964516129033</v>
      </c>
      <c r="L63" s="23">
        <f t="shared" si="6"/>
        <v>190.40080645161288</v>
      </c>
      <c r="M63" s="23">
        <f t="shared" si="6"/>
        <v>1222.2972580645162</v>
      </c>
    </row>
    <row r="64" spans="1:13" x14ac:dyDescent="0.2">
      <c r="A64" s="22">
        <v>42430</v>
      </c>
      <c r="B64" s="23">
        <v>2299</v>
      </c>
      <c r="C64" s="23">
        <f>'[1]Renewable Diesel'!$AX75</f>
        <v>308</v>
      </c>
      <c r="D64" s="23">
        <f t="shared" si="0"/>
        <v>2607</v>
      </c>
      <c r="E64" s="23">
        <f>'Monthly Data'!F521</f>
        <v>120.15900000000001</v>
      </c>
      <c r="F64" s="23">
        <f>'Monthly Data'!Q521</f>
        <v>17.925000000000001</v>
      </c>
      <c r="G64" s="23">
        <f t="shared" si="1"/>
        <v>138.084</v>
      </c>
      <c r="H64" s="24">
        <f t="shared" si="3"/>
        <v>0.65782776619519734</v>
      </c>
      <c r="I64" s="24">
        <f t="shared" si="5"/>
        <v>0.73249272279444688</v>
      </c>
      <c r="J64" s="24">
        <f t="shared" si="4"/>
        <v>0.66664894250228168</v>
      </c>
      <c r="K64" s="23">
        <f t="shared" si="6"/>
        <v>786.65396551724132</v>
      </c>
      <c r="L64" s="23">
        <f t="shared" si="6"/>
        <v>82.392241379310363</v>
      </c>
      <c r="M64" s="23">
        <f t="shared" si="6"/>
        <v>869.04620689655167</v>
      </c>
    </row>
    <row r="65" spans="1:13" x14ac:dyDescent="0.2">
      <c r="A65" s="22">
        <v>42461</v>
      </c>
      <c r="B65" s="23">
        <v>2290</v>
      </c>
      <c r="C65" s="23">
        <f>'[1]Renewable Diesel'!$AX76</f>
        <v>333</v>
      </c>
      <c r="D65" s="23">
        <f t="shared" si="0"/>
        <v>2623</v>
      </c>
      <c r="E65" s="23">
        <f>'Monthly Data'!F522</f>
        <v>119.95099999999999</v>
      </c>
      <c r="F65" s="23">
        <f>'Monthly Data'!Q522</f>
        <v>21.253</v>
      </c>
      <c r="G65" s="23">
        <f t="shared" si="1"/>
        <v>141.20400000000001</v>
      </c>
      <c r="H65" s="24">
        <f t="shared" si="3"/>
        <v>0.61673637131990411</v>
      </c>
      <c r="I65" s="24">
        <f t="shared" si="5"/>
        <v>0.75146226872033328</v>
      </c>
      <c r="J65" s="24">
        <f t="shared" si="4"/>
        <v>0.63384034533223477</v>
      </c>
      <c r="K65" s="23">
        <f t="shared" si="6"/>
        <v>877.67370967741954</v>
      </c>
      <c r="L65" s="23">
        <f t="shared" si="6"/>
        <v>82.76306451612902</v>
      </c>
      <c r="M65" s="23">
        <f t="shared" si="6"/>
        <v>960.43677419354822</v>
      </c>
    </row>
    <row r="66" spans="1:13" x14ac:dyDescent="0.2">
      <c r="A66" s="22">
        <v>42491</v>
      </c>
      <c r="B66" s="23">
        <v>2275</v>
      </c>
      <c r="C66" s="23">
        <f>'[1]Renewable Diesel'!$AX77</f>
        <v>358</v>
      </c>
      <c r="D66" s="23">
        <f t="shared" si="0"/>
        <v>2633</v>
      </c>
      <c r="E66" s="23">
        <f>'Monthly Data'!F523</f>
        <v>135.34399999999999</v>
      </c>
      <c r="F66" s="23">
        <f>'Monthly Data'!Q523</f>
        <v>21.933</v>
      </c>
      <c r="G66" s="23">
        <f t="shared" si="1"/>
        <v>157.27699999999999</v>
      </c>
      <c r="H66" s="24">
        <f t="shared" si="3"/>
        <v>0.72381772893772889</v>
      </c>
      <c r="I66" s="24">
        <f t="shared" si="5"/>
        <v>0.74539525139664797</v>
      </c>
      <c r="J66" s="24">
        <f t="shared" si="4"/>
        <v>0.72675155082921883</v>
      </c>
      <c r="K66" s="23">
        <f t="shared" si="6"/>
        <v>628.31466666666677</v>
      </c>
      <c r="L66" s="23">
        <f t="shared" si="6"/>
        <v>91.148500000000027</v>
      </c>
      <c r="M66" s="23">
        <f t="shared" si="6"/>
        <v>719.46316666666678</v>
      </c>
    </row>
    <row r="67" spans="1:13" x14ac:dyDescent="0.2">
      <c r="A67" s="22">
        <v>42522</v>
      </c>
      <c r="B67" s="23">
        <v>2275</v>
      </c>
      <c r="C67" s="23">
        <f>'[1]Renewable Diesel'!$AX78</f>
        <v>408</v>
      </c>
      <c r="D67" s="23">
        <f t="shared" ref="D67:D130" si="7">C67+B67</f>
        <v>2683</v>
      </c>
      <c r="E67" s="23">
        <f>'Monthly Data'!F524</f>
        <v>134.62</v>
      </c>
      <c r="F67" s="23">
        <f>'Monthly Data'!Q524</f>
        <v>22.568999999999999</v>
      </c>
      <c r="G67" s="23">
        <f t="shared" ref="G67:G130" si="8">SUM(E67:F67)</f>
        <v>157.18899999999999</v>
      </c>
      <c r="H67" s="24">
        <f t="shared" si="3"/>
        <v>0.69672172988302017</v>
      </c>
      <c r="I67" s="24">
        <f t="shared" si="5"/>
        <v>0.65130336812144218</v>
      </c>
      <c r="J67" s="24">
        <f t="shared" si="4"/>
        <v>0.68981502410638063</v>
      </c>
      <c r="K67" s="23">
        <f t="shared" si="6"/>
        <v>689.95806451612907</v>
      </c>
      <c r="L67" s="23">
        <f t="shared" si="6"/>
        <v>142.2682258064516</v>
      </c>
      <c r="M67" s="23">
        <f t="shared" si="6"/>
        <v>832.22629032258078</v>
      </c>
    </row>
    <row r="68" spans="1:13" x14ac:dyDescent="0.2">
      <c r="A68" s="22">
        <v>42552</v>
      </c>
      <c r="B68" s="23">
        <v>2275</v>
      </c>
      <c r="C68" s="23">
        <f>'[1]Renewable Diesel'!$AX79</f>
        <v>408</v>
      </c>
      <c r="D68" s="23">
        <f t="shared" si="7"/>
        <v>2683</v>
      </c>
      <c r="E68" s="23">
        <f>'Monthly Data'!F525</f>
        <v>139.887</v>
      </c>
      <c r="F68" s="23">
        <f>'Monthly Data'!Q525</f>
        <v>19.52</v>
      </c>
      <c r="G68" s="23">
        <f t="shared" si="8"/>
        <v>159.40700000000001</v>
      </c>
      <c r="H68" s="24">
        <f t="shared" ref="H68:H131" si="9">(E68/(A68-A67)*365)/B68</f>
        <v>0.74811362637362633</v>
      </c>
      <c r="I68" s="24">
        <f t="shared" si="5"/>
        <v>0.58209150326797376</v>
      </c>
      <c r="J68" s="24">
        <f t="shared" ref="J68:J131" si="10">(G68/(A68-A67)*365)/D68</f>
        <v>0.72286687787302772</v>
      </c>
      <c r="K68" s="23">
        <f t="shared" si="6"/>
        <v>573.04150000000016</v>
      </c>
      <c r="L68" s="23">
        <f t="shared" si="6"/>
        <v>170.50666666666672</v>
      </c>
      <c r="M68" s="23">
        <f t="shared" si="6"/>
        <v>743.54816666666659</v>
      </c>
    </row>
    <row r="69" spans="1:13" x14ac:dyDescent="0.2">
      <c r="A69" s="22">
        <v>42583</v>
      </c>
      <c r="B69" s="23">
        <v>2275</v>
      </c>
      <c r="C69" s="23">
        <f>'[1]Renewable Diesel'!$AX80</f>
        <v>408</v>
      </c>
      <c r="D69" s="23">
        <f t="shared" si="7"/>
        <v>2683</v>
      </c>
      <c r="E69" s="23">
        <f>'Monthly Data'!F526</f>
        <v>142.17699999999999</v>
      </c>
      <c r="F69" s="23">
        <f>'Monthly Data'!Q526</f>
        <v>24.8</v>
      </c>
      <c r="G69" s="23">
        <f t="shared" si="8"/>
        <v>166.977</v>
      </c>
      <c r="H69" s="24">
        <f t="shared" si="9"/>
        <v>0.73583275434243167</v>
      </c>
      <c r="I69" s="24">
        <f t="shared" si="5"/>
        <v>0.71568627450980393</v>
      </c>
      <c r="J69" s="24">
        <f t="shared" si="10"/>
        <v>0.7327691077633367</v>
      </c>
      <c r="K69" s="23">
        <f t="shared" si="6"/>
        <v>600.98048387096799</v>
      </c>
      <c r="L69" s="23">
        <f t="shared" si="6"/>
        <v>116</v>
      </c>
      <c r="M69" s="23">
        <f t="shared" si="6"/>
        <v>716.98048387096765</v>
      </c>
    </row>
    <row r="70" spans="1:13" x14ac:dyDescent="0.2">
      <c r="A70" s="22">
        <v>42614</v>
      </c>
      <c r="B70" s="23">
        <v>2279</v>
      </c>
      <c r="C70" s="23">
        <f>'[1]Renewable Diesel'!$AX81</f>
        <v>408</v>
      </c>
      <c r="D70" s="23">
        <f t="shared" si="7"/>
        <v>2687</v>
      </c>
      <c r="E70" s="23">
        <f>'Monthly Data'!F527</f>
        <v>134.667</v>
      </c>
      <c r="F70" s="23">
        <f>'Monthly Data'!Q527</f>
        <v>19.215</v>
      </c>
      <c r="G70" s="23">
        <f t="shared" si="8"/>
        <v>153.88200000000001</v>
      </c>
      <c r="H70" s="24">
        <f t="shared" si="9"/>
        <v>0.69574169485767678</v>
      </c>
      <c r="I70" s="24">
        <f t="shared" si="5"/>
        <v>0.5545125711574953</v>
      </c>
      <c r="J70" s="24">
        <f t="shared" si="10"/>
        <v>0.6742971535589517</v>
      </c>
      <c r="K70" s="23">
        <f t="shared" si="6"/>
        <v>693.40467741935458</v>
      </c>
      <c r="L70" s="23">
        <f t="shared" si="6"/>
        <v>181.75887096774193</v>
      </c>
      <c r="M70" s="23">
        <f t="shared" si="6"/>
        <v>875.16354838709674</v>
      </c>
    </row>
    <row r="71" spans="1:13" x14ac:dyDescent="0.2">
      <c r="A71" s="22">
        <v>42644</v>
      </c>
      <c r="B71" s="23">
        <v>2312</v>
      </c>
      <c r="C71" s="23">
        <f>'[1]Renewable Diesel'!$AX82</f>
        <v>408</v>
      </c>
      <c r="D71" s="23">
        <f t="shared" si="7"/>
        <v>2720</v>
      </c>
      <c r="E71" s="23">
        <f>'Monthly Data'!F528</f>
        <v>144.19200000000001</v>
      </c>
      <c r="F71" s="23">
        <f>'Monthly Data'!Q528</f>
        <v>20.64</v>
      </c>
      <c r="G71" s="23">
        <f t="shared" si="8"/>
        <v>164.83199999999999</v>
      </c>
      <c r="H71" s="24">
        <f t="shared" si="9"/>
        <v>0.75879584775086506</v>
      </c>
      <c r="I71" s="24">
        <f t="shared" si="5"/>
        <v>0.61549019607843147</v>
      </c>
      <c r="J71" s="24">
        <f t="shared" si="10"/>
        <v>0.73729999999999996</v>
      </c>
      <c r="K71" s="23">
        <f t="shared" si="6"/>
        <v>557.66399999999999</v>
      </c>
      <c r="L71" s="23">
        <f t="shared" si="6"/>
        <v>156.87999999999997</v>
      </c>
      <c r="M71" s="23">
        <f t="shared" si="6"/>
        <v>714.5440000000001</v>
      </c>
    </row>
    <row r="72" spans="1:13" x14ac:dyDescent="0.2">
      <c r="A72" s="22">
        <v>42675</v>
      </c>
      <c r="B72" s="23">
        <v>2312</v>
      </c>
      <c r="C72" s="23">
        <f>'[1]Renewable Diesel'!$AX83</f>
        <v>408</v>
      </c>
      <c r="D72" s="23">
        <f t="shared" si="7"/>
        <v>2720</v>
      </c>
      <c r="E72" s="23">
        <f>'Monthly Data'!F529</f>
        <v>143.15199999999999</v>
      </c>
      <c r="F72" s="23">
        <f>'Monthly Data'!Q529</f>
        <v>27.361000000000001</v>
      </c>
      <c r="G72" s="23">
        <f t="shared" si="8"/>
        <v>170.51299999999998</v>
      </c>
      <c r="H72" s="24">
        <f t="shared" si="9"/>
        <v>0.72902221230047992</v>
      </c>
      <c r="I72" s="24">
        <f t="shared" si="5"/>
        <v>0.78959242567994936</v>
      </c>
      <c r="J72" s="24">
        <f t="shared" si="10"/>
        <v>0.73810774430740023</v>
      </c>
      <c r="K72" s="23">
        <f t="shared" si="6"/>
        <v>626.50064516129044</v>
      </c>
      <c r="L72" s="23">
        <f t="shared" si="6"/>
        <v>85.846290322580657</v>
      </c>
      <c r="M72" s="23">
        <f t="shared" si="6"/>
        <v>712.34693548387133</v>
      </c>
    </row>
    <row r="73" spans="1:13" x14ac:dyDescent="0.2">
      <c r="A73" s="22">
        <v>42705</v>
      </c>
      <c r="B73" s="23">
        <v>2316</v>
      </c>
      <c r="C73" s="23">
        <f>'[1]Renewable Diesel'!$AX84</f>
        <v>408</v>
      </c>
      <c r="D73" s="23">
        <f t="shared" si="7"/>
        <v>2724</v>
      </c>
      <c r="E73" s="23">
        <f>'Monthly Data'!F530</f>
        <v>143.851</v>
      </c>
      <c r="F73" s="23">
        <f>'Monthly Data'!Q530</f>
        <v>27.157</v>
      </c>
      <c r="G73" s="23">
        <f t="shared" si="8"/>
        <v>171.00800000000001</v>
      </c>
      <c r="H73" s="24">
        <f t="shared" si="9"/>
        <v>0.75569394070236051</v>
      </c>
      <c r="I73" s="24">
        <f t="shared" si="5"/>
        <v>0.809828839869281</v>
      </c>
      <c r="J73" s="24">
        <f t="shared" si="10"/>
        <v>0.76380225159079795</v>
      </c>
      <c r="K73" s="23">
        <f t="shared" si="6"/>
        <v>565.81283333333306</v>
      </c>
      <c r="L73" s="23">
        <f t="shared" si="6"/>
        <v>77.589833333333345</v>
      </c>
      <c r="M73" s="23">
        <f t="shared" si="6"/>
        <v>643.40266666666639</v>
      </c>
    </row>
    <row r="74" spans="1:13" x14ac:dyDescent="0.2">
      <c r="A74" s="22">
        <v>42736</v>
      </c>
      <c r="B74" s="23">
        <v>2316</v>
      </c>
      <c r="C74" s="23">
        <f>'[1]Renewable Diesel'!$AX85</f>
        <v>408</v>
      </c>
      <c r="D74" s="23">
        <f t="shared" si="7"/>
        <v>2724</v>
      </c>
      <c r="E74" s="23">
        <f>'Monthly Data'!F531</f>
        <v>92.757000000000005</v>
      </c>
      <c r="F74" s="23">
        <f>'Monthly Data'!Q531</f>
        <v>18.561</v>
      </c>
      <c r="G74" s="23">
        <f t="shared" si="8"/>
        <v>111.31800000000001</v>
      </c>
      <c r="H74" s="24">
        <f t="shared" si="9"/>
        <v>0.47156255223132215</v>
      </c>
      <c r="I74" s="24">
        <f t="shared" ref="I74:I137" si="11">(F74/(A74-A73)*365)/C74</f>
        <v>0.53563923149905124</v>
      </c>
      <c r="J74" s="24">
        <f t="shared" si="10"/>
        <v>0.48115994031547543</v>
      </c>
      <c r="K74" s="23">
        <f t="shared" si="6"/>
        <v>1223.8611290322578</v>
      </c>
      <c r="L74" s="23">
        <f t="shared" si="6"/>
        <v>189.45919354838711</v>
      </c>
      <c r="M74" s="23">
        <f t="shared" si="6"/>
        <v>1413.3203225806451</v>
      </c>
    </row>
    <row r="75" spans="1:13" x14ac:dyDescent="0.2">
      <c r="A75" s="22">
        <v>42767</v>
      </c>
      <c r="B75" s="23">
        <v>2316</v>
      </c>
      <c r="C75" s="23">
        <f>'[1]Renewable Diesel'!$AX86</f>
        <v>408</v>
      </c>
      <c r="D75" s="23">
        <f t="shared" si="7"/>
        <v>2724</v>
      </c>
      <c r="E75" s="23">
        <f>'Monthly Data'!F532</f>
        <v>93.983000000000004</v>
      </c>
      <c r="F75" s="23">
        <f>'Monthly Data'!Q532</f>
        <v>21.042999999999999</v>
      </c>
      <c r="G75" s="23">
        <f t="shared" si="8"/>
        <v>115.02600000000001</v>
      </c>
      <c r="H75" s="24">
        <f t="shared" si="9"/>
        <v>0.47779535071591733</v>
      </c>
      <c r="I75" s="24">
        <f t="shared" si="11"/>
        <v>0.60726557558507266</v>
      </c>
      <c r="J75" s="24">
        <f t="shared" si="10"/>
        <v>0.49718736677561465</v>
      </c>
      <c r="K75" s="23">
        <f t="shared" si="6"/>
        <v>1209.4259677419354</v>
      </c>
      <c r="L75" s="23">
        <f t="shared" si="6"/>
        <v>160.23564516129036</v>
      </c>
      <c r="M75" s="23">
        <f t="shared" si="6"/>
        <v>1369.6616129032259</v>
      </c>
    </row>
    <row r="76" spans="1:13" x14ac:dyDescent="0.2">
      <c r="A76" s="22">
        <v>42795</v>
      </c>
      <c r="B76" s="23">
        <v>2362</v>
      </c>
      <c r="C76" s="23">
        <f>'[1]Renewable Diesel'!$AX87</f>
        <v>408</v>
      </c>
      <c r="D76" s="23">
        <f t="shared" si="7"/>
        <v>2770</v>
      </c>
      <c r="E76" s="23">
        <f>'Monthly Data'!F533</f>
        <v>115.973</v>
      </c>
      <c r="F76" s="23">
        <f>'Monthly Data'!Q533</f>
        <v>15.856999999999999</v>
      </c>
      <c r="G76" s="23">
        <f t="shared" si="8"/>
        <v>131.82999999999998</v>
      </c>
      <c r="H76" s="24">
        <f t="shared" si="9"/>
        <v>0.64004694871174561</v>
      </c>
      <c r="I76" s="24">
        <f t="shared" si="11"/>
        <v>0.5066355917366947</v>
      </c>
      <c r="J76" s="24">
        <f t="shared" si="10"/>
        <v>0.62039646725116027</v>
      </c>
      <c r="K76" s="23">
        <f t="shared" si="6"/>
        <v>850.20910714285685</v>
      </c>
      <c r="L76" s="23">
        <f t="shared" si="6"/>
        <v>201.29267857142855</v>
      </c>
      <c r="M76" s="23">
        <f t="shared" si="6"/>
        <v>1051.5017857142861</v>
      </c>
    </row>
    <row r="77" spans="1:13" x14ac:dyDescent="0.2">
      <c r="A77" s="22">
        <v>42826</v>
      </c>
      <c r="B77" s="23">
        <v>2328</v>
      </c>
      <c r="C77" s="23">
        <f>'[1]Renewable Diesel'!$AX88</f>
        <v>408</v>
      </c>
      <c r="D77" s="23">
        <f t="shared" si="7"/>
        <v>2736</v>
      </c>
      <c r="E77" s="23">
        <f>'Monthly Data'!F534</f>
        <v>126.821</v>
      </c>
      <c r="F77" s="23">
        <f>'Monthly Data'!Q534</f>
        <v>20.402999999999999</v>
      </c>
      <c r="G77" s="23">
        <f t="shared" si="8"/>
        <v>147.22399999999999</v>
      </c>
      <c r="H77" s="24">
        <f t="shared" si="9"/>
        <v>0.64141537800687287</v>
      </c>
      <c r="I77" s="24">
        <f t="shared" si="11"/>
        <v>0.58879625237191646</v>
      </c>
      <c r="J77" s="24">
        <f t="shared" si="10"/>
        <v>0.63356866628937925</v>
      </c>
      <c r="K77" s="23">
        <f t="shared" si="6"/>
        <v>834.78499999999997</v>
      </c>
      <c r="L77" s="23">
        <f t="shared" si="6"/>
        <v>167.77112903225807</v>
      </c>
      <c r="M77" s="23">
        <f t="shared" si="6"/>
        <v>1002.5561290322584</v>
      </c>
    </row>
    <row r="78" spans="1:13" x14ac:dyDescent="0.2">
      <c r="A78" s="22">
        <v>42856</v>
      </c>
      <c r="B78" s="23">
        <v>2329</v>
      </c>
      <c r="C78" s="23">
        <f>'[1]Renewable Diesel'!$AX89</f>
        <v>408</v>
      </c>
      <c r="D78" s="23">
        <f t="shared" si="7"/>
        <v>2737</v>
      </c>
      <c r="E78" s="23">
        <f>'Monthly Data'!F535</f>
        <v>136.18100000000001</v>
      </c>
      <c r="F78" s="23">
        <f>'Monthly Data'!Q535</f>
        <v>24.393000000000001</v>
      </c>
      <c r="G78" s="23">
        <f t="shared" si="8"/>
        <v>160.57400000000001</v>
      </c>
      <c r="H78" s="24">
        <f t="shared" si="9"/>
        <v>0.71140782882496068</v>
      </c>
      <c r="I78" s="24">
        <f t="shared" si="11"/>
        <v>0.72740563725490193</v>
      </c>
      <c r="J78" s="24">
        <f t="shared" si="10"/>
        <v>0.7137925952989892</v>
      </c>
      <c r="K78" s="23">
        <f t="shared" si="6"/>
        <v>672.13116666666656</v>
      </c>
      <c r="L78" s="23">
        <f t="shared" si="6"/>
        <v>111.21850000000002</v>
      </c>
      <c r="M78" s="23">
        <f t="shared" si="6"/>
        <v>783.34966666666662</v>
      </c>
    </row>
    <row r="79" spans="1:13" x14ac:dyDescent="0.2">
      <c r="A79" s="22">
        <v>42887</v>
      </c>
      <c r="B79" s="23">
        <v>2329</v>
      </c>
      <c r="C79" s="23">
        <f>'[1]Renewable Diesel'!$AX90</f>
        <v>408</v>
      </c>
      <c r="D79" s="23">
        <f t="shared" si="7"/>
        <v>2737</v>
      </c>
      <c r="E79" s="23">
        <f>'Monthly Data'!F536</f>
        <v>140.459</v>
      </c>
      <c r="F79" s="23">
        <f>'Monthly Data'!Q536</f>
        <v>17.747</v>
      </c>
      <c r="G79" s="23">
        <f t="shared" si="8"/>
        <v>158.20600000000002</v>
      </c>
      <c r="H79" s="24">
        <f t="shared" si="9"/>
        <v>0.71008649704289539</v>
      </c>
      <c r="I79" s="24">
        <f t="shared" si="11"/>
        <v>0.5121485610373181</v>
      </c>
      <c r="J79" s="24">
        <f t="shared" si="10"/>
        <v>0.68058022086815095</v>
      </c>
      <c r="K79" s="23">
        <f t="shared" si="6"/>
        <v>675.20854838709658</v>
      </c>
      <c r="L79" s="23">
        <f t="shared" si="6"/>
        <v>199.04338709677421</v>
      </c>
      <c r="M79" s="23">
        <f t="shared" si="6"/>
        <v>874.25193548387085</v>
      </c>
    </row>
    <row r="80" spans="1:13" x14ac:dyDescent="0.2">
      <c r="A80" s="22">
        <v>42917</v>
      </c>
      <c r="B80" s="23">
        <v>2330</v>
      </c>
      <c r="C80" s="23">
        <f>'[1]Renewable Diesel'!$AX91</f>
        <v>408</v>
      </c>
      <c r="D80" s="23">
        <f t="shared" si="7"/>
        <v>2738</v>
      </c>
      <c r="E80" s="23">
        <f>'Monthly Data'!F537</f>
        <v>149.51300000000001</v>
      </c>
      <c r="F80" s="23">
        <f>'Monthly Data'!Q537</f>
        <v>19.652000000000001</v>
      </c>
      <c r="G80" s="23">
        <f t="shared" si="8"/>
        <v>169.16500000000002</v>
      </c>
      <c r="H80" s="24">
        <f t="shared" si="9"/>
        <v>0.78071881258941345</v>
      </c>
      <c r="I80" s="24">
        <f t="shared" si="11"/>
        <v>0.58602777777777781</v>
      </c>
      <c r="J80" s="24">
        <f t="shared" si="10"/>
        <v>0.75170714633552493</v>
      </c>
      <c r="K80" s="23">
        <f t="shared" si="6"/>
        <v>510.92516666666666</v>
      </c>
      <c r="L80" s="23">
        <f t="shared" si="6"/>
        <v>168.90066666666667</v>
      </c>
      <c r="M80" s="23">
        <f t="shared" si="6"/>
        <v>679.82583333333275</v>
      </c>
    </row>
    <row r="81" spans="1:13" x14ac:dyDescent="0.2">
      <c r="A81" s="22">
        <v>42948</v>
      </c>
      <c r="B81" s="23">
        <v>2321</v>
      </c>
      <c r="C81" s="23">
        <f>'[1]Renewable Diesel'!$AX92</f>
        <v>408</v>
      </c>
      <c r="D81" s="23">
        <f t="shared" si="7"/>
        <v>2729</v>
      </c>
      <c r="E81" s="23">
        <f>'Monthly Data'!F538</f>
        <v>149.48599999999999</v>
      </c>
      <c r="F81" s="23">
        <f>'Monthly Data'!Q538</f>
        <v>24.672000000000001</v>
      </c>
      <c r="G81" s="23">
        <f t="shared" si="8"/>
        <v>174.15799999999999</v>
      </c>
      <c r="H81" s="24">
        <f t="shared" si="9"/>
        <v>0.75832705591305194</v>
      </c>
      <c r="I81" s="24">
        <f t="shared" si="11"/>
        <v>0.71199240986717272</v>
      </c>
      <c r="J81" s="24">
        <f t="shared" si="10"/>
        <v>0.75139978013924502</v>
      </c>
      <c r="K81" s="23">
        <f t="shared" si="6"/>
        <v>560.92290322580641</v>
      </c>
      <c r="L81" s="23">
        <f t="shared" si="6"/>
        <v>117.50709677419353</v>
      </c>
      <c r="M81" s="23">
        <f t="shared" si="6"/>
        <v>678.43000000000029</v>
      </c>
    </row>
    <row r="82" spans="1:13" x14ac:dyDescent="0.2">
      <c r="A82" s="22">
        <v>42979</v>
      </c>
      <c r="B82" s="23">
        <v>2350</v>
      </c>
      <c r="C82" s="23">
        <f>'[1]Renewable Diesel'!$AX93</f>
        <v>408</v>
      </c>
      <c r="D82" s="23">
        <f t="shared" si="7"/>
        <v>2758</v>
      </c>
      <c r="E82" s="23">
        <f>'Monthly Data'!F539</f>
        <v>147.29300000000001</v>
      </c>
      <c r="F82" s="23">
        <f>'Monthly Data'!Q539</f>
        <v>21.966999999999999</v>
      </c>
      <c r="G82" s="23">
        <f t="shared" si="8"/>
        <v>169.26</v>
      </c>
      <c r="H82" s="24">
        <f t="shared" si="9"/>
        <v>0.73798140013726832</v>
      </c>
      <c r="I82" s="24">
        <f t="shared" si="11"/>
        <v>0.63393066097406703</v>
      </c>
      <c r="J82" s="24">
        <f t="shared" si="10"/>
        <v>0.72258883248730965</v>
      </c>
      <c r="K82" s="23">
        <f t="shared" si="6"/>
        <v>615.74370967741947</v>
      </c>
      <c r="L82" s="23">
        <f t="shared" si="6"/>
        <v>149.35629032258066</v>
      </c>
      <c r="M82" s="23">
        <f t="shared" si="6"/>
        <v>765.1</v>
      </c>
    </row>
    <row r="83" spans="1:13" x14ac:dyDescent="0.2">
      <c r="A83" s="22">
        <v>43009</v>
      </c>
      <c r="B83" s="23">
        <v>2357</v>
      </c>
      <c r="C83" s="23">
        <f>'[1]Renewable Diesel'!$AX94</f>
        <v>408</v>
      </c>
      <c r="D83" s="23">
        <f t="shared" si="7"/>
        <v>2765</v>
      </c>
      <c r="E83" s="23">
        <f>'Monthly Data'!F540</f>
        <v>147.624</v>
      </c>
      <c r="F83" s="23">
        <f>'Monthly Data'!Q540</f>
        <v>25.347000000000001</v>
      </c>
      <c r="G83" s="23">
        <f t="shared" si="8"/>
        <v>172.971</v>
      </c>
      <c r="H83" s="24">
        <f t="shared" si="9"/>
        <v>0.76202460755197277</v>
      </c>
      <c r="I83" s="24">
        <f t="shared" si="11"/>
        <v>0.75585416666666672</v>
      </c>
      <c r="J83" s="24">
        <f t="shared" si="10"/>
        <v>0.76111410488245934</v>
      </c>
      <c r="K83" s="23">
        <f t="shared" ref="K83:M146" si="12">((1-H83)*B83)</f>
        <v>560.90800000000024</v>
      </c>
      <c r="L83" s="23">
        <f t="shared" si="12"/>
        <v>99.611499999999978</v>
      </c>
      <c r="M83" s="23">
        <f t="shared" si="12"/>
        <v>660.51949999999988</v>
      </c>
    </row>
    <row r="84" spans="1:13" x14ac:dyDescent="0.2">
      <c r="A84" s="22">
        <v>43040</v>
      </c>
      <c r="B84" s="23">
        <v>2417</v>
      </c>
      <c r="C84" s="23">
        <f>'[1]Renewable Diesel'!$AX95</f>
        <v>408</v>
      </c>
      <c r="D84" s="23">
        <f t="shared" si="7"/>
        <v>2825</v>
      </c>
      <c r="E84" s="23">
        <f>'Monthly Data'!F541</f>
        <v>147.97999999999999</v>
      </c>
      <c r="F84" s="23">
        <f>'Monthly Data'!Q541</f>
        <v>23.177</v>
      </c>
      <c r="G84" s="23">
        <f t="shared" si="8"/>
        <v>171.15699999999998</v>
      </c>
      <c r="H84" s="24">
        <f t="shared" si="9"/>
        <v>0.7208709810882592</v>
      </c>
      <c r="I84" s="24">
        <f t="shared" si="11"/>
        <v>0.66884922517394052</v>
      </c>
      <c r="J84" s="24">
        <f t="shared" si="10"/>
        <v>0.71335775049957173</v>
      </c>
      <c r="K84" s="23">
        <f t="shared" si="12"/>
        <v>674.65483870967751</v>
      </c>
      <c r="L84" s="23">
        <f t="shared" si="12"/>
        <v>135.10951612903227</v>
      </c>
      <c r="M84" s="23">
        <f t="shared" si="12"/>
        <v>809.76435483870989</v>
      </c>
    </row>
    <row r="85" spans="1:13" x14ac:dyDescent="0.2">
      <c r="A85" s="22">
        <v>43070</v>
      </c>
      <c r="B85" s="23">
        <v>2401</v>
      </c>
      <c r="C85" s="23">
        <f>'[1]Renewable Diesel'!$AX96</f>
        <v>408</v>
      </c>
      <c r="D85" s="23">
        <f t="shared" si="7"/>
        <v>2809</v>
      </c>
      <c r="E85" s="23">
        <f>'Monthly Data'!F542</f>
        <v>147.63900000000001</v>
      </c>
      <c r="F85" s="23">
        <f>'Monthly Data'!Q542</f>
        <v>25.524000000000001</v>
      </c>
      <c r="G85" s="23">
        <f t="shared" si="8"/>
        <v>173.16300000000001</v>
      </c>
      <c r="H85" s="24">
        <f t="shared" si="9"/>
        <v>0.74813598500624745</v>
      </c>
      <c r="I85" s="24">
        <f t="shared" si="11"/>
        <v>0.76113235294117643</v>
      </c>
      <c r="J85" s="24">
        <f t="shared" si="10"/>
        <v>0.75002367390530433</v>
      </c>
      <c r="K85" s="23">
        <f t="shared" si="12"/>
        <v>604.7254999999999</v>
      </c>
      <c r="L85" s="23">
        <f t="shared" si="12"/>
        <v>97.458000000000013</v>
      </c>
      <c r="M85" s="23">
        <f t="shared" si="12"/>
        <v>702.18350000000009</v>
      </c>
    </row>
    <row r="86" spans="1:13" x14ac:dyDescent="0.2">
      <c r="A86" s="22">
        <v>43101</v>
      </c>
      <c r="B86" s="23">
        <v>2549</v>
      </c>
      <c r="C86" s="23">
        <f>'[1]Renewable Diesel'!$AX97</f>
        <v>408</v>
      </c>
      <c r="D86" s="23">
        <f t="shared" si="7"/>
        <v>2957</v>
      </c>
      <c r="E86" s="23">
        <f>'Monthly Data'!F543</f>
        <v>125.52500000000001</v>
      </c>
      <c r="F86" s="23">
        <f>'Monthly Data'!Q543</f>
        <v>13.680999999999999</v>
      </c>
      <c r="G86" s="23">
        <f t="shared" si="8"/>
        <v>139.20600000000002</v>
      </c>
      <c r="H86" s="24">
        <f t="shared" si="9"/>
        <v>0.57981782862349562</v>
      </c>
      <c r="I86" s="24">
        <f t="shared" si="11"/>
        <v>0.39481064199873495</v>
      </c>
      <c r="J86" s="24">
        <f t="shared" si="10"/>
        <v>0.55429096621466845</v>
      </c>
      <c r="K86" s="23">
        <f t="shared" si="12"/>
        <v>1071.0443548387098</v>
      </c>
      <c r="L86" s="23">
        <f t="shared" si="12"/>
        <v>246.91725806451615</v>
      </c>
      <c r="M86" s="23">
        <f t="shared" si="12"/>
        <v>1317.9616129032254</v>
      </c>
    </row>
    <row r="87" spans="1:13" x14ac:dyDescent="0.2">
      <c r="A87" s="22">
        <v>43132</v>
      </c>
      <c r="B87" s="23">
        <v>2550</v>
      </c>
      <c r="C87" s="23">
        <f>'[1]Renewable Diesel'!$AX98</f>
        <v>408</v>
      </c>
      <c r="D87" s="23">
        <f t="shared" si="7"/>
        <v>2958</v>
      </c>
      <c r="E87" s="23">
        <f>'Monthly Data'!F544</f>
        <v>127.94499999999999</v>
      </c>
      <c r="F87" s="23">
        <f>'Monthly Data'!Q544</f>
        <v>21.605</v>
      </c>
      <c r="G87" s="23">
        <f t="shared" si="8"/>
        <v>149.54999999999998</v>
      </c>
      <c r="H87" s="24">
        <f t="shared" si="9"/>
        <v>0.59076438962681843</v>
      </c>
      <c r="I87" s="24">
        <f t="shared" si="11"/>
        <v>0.62348395003162549</v>
      </c>
      <c r="J87" s="24">
        <f t="shared" si="10"/>
        <v>0.59527743244127451</v>
      </c>
      <c r="K87" s="23">
        <f t="shared" si="12"/>
        <v>1043.550806451613</v>
      </c>
      <c r="L87" s="23">
        <f t="shared" si="12"/>
        <v>153.61854838709681</v>
      </c>
      <c r="M87" s="23">
        <f t="shared" si="12"/>
        <v>1197.16935483871</v>
      </c>
    </row>
    <row r="88" spans="1:13" x14ac:dyDescent="0.2">
      <c r="A88" s="22">
        <v>43160</v>
      </c>
      <c r="B88" s="23">
        <v>2548</v>
      </c>
      <c r="C88" s="23">
        <f>'[1]Renewable Diesel'!$AX99</f>
        <v>408</v>
      </c>
      <c r="D88" s="23">
        <f t="shared" si="7"/>
        <v>2956</v>
      </c>
      <c r="E88" s="23">
        <f>'Monthly Data'!F545</f>
        <v>149.12700000000001</v>
      </c>
      <c r="F88" s="23">
        <f>'Monthly Data'!Q545</f>
        <v>25.068000000000001</v>
      </c>
      <c r="G88" s="23">
        <f t="shared" si="8"/>
        <v>174.19500000000002</v>
      </c>
      <c r="H88" s="24">
        <f t="shared" si="9"/>
        <v>0.76294229367571209</v>
      </c>
      <c r="I88" s="24">
        <f t="shared" si="11"/>
        <v>0.8009296218487395</v>
      </c>
      <c r="J88" s="24">
        <f t="shared" si="10"/>
        <v>0.76818547023004069</v>
      </c>
      <c r="K88" s="23">
        <f t="shared" si="12"/>
        <v>604.02303571428558</v>
      </c>
      <c r="L88" s="23">
        <f t="shared" si="12"/>
        <v>81.22071428571428</v>
      </c>
      <c r="M88" s="23">
        <f t="shared" si="12"/>
        <v>685.24374999999975</v>
      </c>
    </row>
    <row r="89" spans="1:13" x14ac:dyDescent="0.2">
      <c r="A89" s="22">
        <v>43191</v>
      </c>
      <c r="B89" s="23">
        <v>2567</v>
      </c>
      <c r="C89" s="23">
        <f>'[1]Renewable Diesel'!$AX100</f>
        <v>408</v>
      </c>
      <c r="D89" s="23">
        <f t="shared" si="7"/>
        <v>2975</v>
      </c>
      <c r="E89" s="23">
        <f>'Monthly Data'!F546</f>
        <v>142.52500000000001</v>
      </c>
      <c r="F89" s="23">
        <f>'Monthly Data'!Q546</f>
        <v>25.751000000000001</v>
      </c>
      <c r="G89" s="23">
        <f t="shared" si="8"/>
        <v>168.27600000000001</v>
      </c>
      <c r="H89" s="24">
        <f t="shared" si="9"/>
        <v>0.65372689344911217</v>
      </c>
      <c r="I89" s="24">
        <f t="shared" si="11"/>
        <v>0.74313053447185329</v>
      </c>
      <c r="J89" s="24">
        <f t="shared" si="10"/>
        <v>0.66598796421794526</v>
      </c>
      <c r="K89" s="23">
        <f t="shared" si="12"/>
        <v>888.88306451612902</v>
      </c>
      <c r="L89" s="23">
        <f t="shared" si="12"/>
        <v>104.80274193548385</v>
      </c>
      <c r="M89" s="23">
        <f t="shared" si="12"/>
        <v>993.68580645161285</v>
      </c>
    </row>
    <row r="90" spans="1:13" x14ac:dyDescent="0.2">
      <c r="A90" s="22">
        <v>43221</v>
      </c>
      <c r="B90" s="23">
        <v>2511</v>
      </c>
      <c r="C90" s="23">
        <f>'[1]Renewable Diesel'!$AX101</f>
        <v>418</v>
      </c>
      <c r="D90" s="23">
        <f t="shared" si="7"/>
        <v>2929</v>
      </c>
      <c r="E90" s="23">
        <f>'Monthly Data'!F547</f>
        <v>151.31200000000001</v>
      </c>
      <c r="F90" s="23">
        <f>'Monthly Data'!Q547</f>
        <v>21.507999999999999</v>
      </c>
      <c r="G90" s="23">
        <f t="shared" si="8"/>
        <v>172.82000000000002</v>
      </c>
      <c r="H90" s="24">
        <f t="shared" si="9"/>
        <v>0.73315916633479361</v>
      </c>
      <c r="I90" s="24">
        <f t="shared" si="11"/>
        <v>0.62603030303030294</v>
      </c>
      <c r="J90" s="24">
        <f t="shared" si="10"/>
        <v>0.71787071810629344</v>
      </c>
      <c r="K90" s="23">
        <f t="shared" si="12"/>
        <v>670.03733333333321</v>
      </c>
      <c r="L90" s="23">
        <f t="shared" si="12"/>
        <v>156.31933333333336</v>
      </c>
      <c r="M90" s="23">
        <f t="shared" si="12"/>
        <v>826.35666666666657</v>
      </c>
    </row>
    <row r="91" spans="1:13" x14ac:dyDescent="0.2">
      <c r="A91" s="22">
        <v>43252</v>
      </c>
      <c r="B91" s="23">
        <v>2512</v>
      </c>
      <c r="C91" s="23">
        <f>'[1]Renewable Diesel'!$AX102</f>
        <v>428</v>
      </c>
      <c r="D91" s="23">
        <f t="shared" si="7"/>
        <v>2940</v>
      </c>
      <c r="E91" s="23">
        <f>'Monthly Data'!F548</f>
        <v>158.86699999999999</v>
      </c>
      <c r="F91" s="23">
        <f>'Monthly Data'!Q548</f>
        <v>12.384</v>
      </c>
      <c r="G91" s="23">
        <f t="shared" si="8"/>
        <v>171.25099999999998</v>
      </c>
      <c r="H91" s="24">
        <f t="shared" si="9"/>
        <v>0.74463805989315801</v>
      </c>
      <c r="I91" s="24">
        <f t="shared" si="11"/>
        <v>0.34068133855893878</v>
      </c>
      <c r="J91" s="24">
        <f t="shared" si="10"/>
        <v>0.68583075488259815</v>
      </c>
      <c r="K91" s="23">
        <f t="shared" si="12"/>
        <v>641.46919354838712</v>
      </c>
      <c r="L91" s="23">
        <f t="shared" si="12"/>
        <v>282.18838709677419</v>
      </c>
      <c r="M91" s="23">
        <f t="shared" si="12"/>
        <v>923.65758064516149</v>
      </c>
    </row>
    <row r="92" spans="1:13" x14ac:dyDescent="0.2">
      <c r="A92" s="22">
        <v>43282</v>
      </c>
      <c r="B92" s="23">
        <v>2512</v>
      </c>
      <c r="C92" s="23">
        <f>'[1]Renewable Diesel'!$AX103</f>
        <v>268</v>
      </c>
      <c r="D92" s="23">
        <f t="shared" si="7"/>
        <v>2780</v>
      </c>
      <c r="E92" s="23">
        <f>'Monthly Data'!F549</f>
        <v>166.33099999999999</v>
      </c>
      <c r="F92" s="23">
        <f>'Monthly Data'!Q549</f>
        <v>10.554</v>
      </c>
      <c r="G92" s="23">
        <f t="shared" si="8"/>
        <v>176.88499999999999</v>
      </c>
      <c r="H92" s="24">
        <f t="shared" si="9"/>
        <v>0.80561060244161342</v>
      </c>
      <c r="I92" s="24">
        <f t="shared" si="11"/>
        <v>0.47913059701492539</v>
      </c>
      <c r="J92" s="24">
        <f t="shared" si="10"/>
        <v>0.77413699040767392</v>
      </c>
      <c r="K92" s="23">
        <f t="shared" si="12"/>
        <v>488.30616666666708</v>
      </c>
      <c r="L92" s="23">
        <f t="shared" si="12"/>
        <v>139.59300000000002</v>
      </c>
      <c r="M92" s="23">
        <f t="shared" si="12"/>
        <v>627.89916666666647</v>
      </c>
    </row>
    <row r="93" spans="1:13" x14ac:dyDescent="0.2">
      <c r="A93" s="22">
        <v>43313</v>
      </c>
      <c r="B93" s="23">
        <v>2512</v>
      </c>
      <c r="C93" s="23">
        <f>'[1]Renewable Diesel'!$AX104</f>
        <v>456.75</v>
      </c>
      <c r="D93" s="23">
        <f t="shared" si="7"/>
        <v>2968.75</v>
      </c>
      <c r="E93" s="23">
        <f>'Monthly Data'!F550</f>
        <v>172.28</v>
      </c>
      <c r="F93" s="23">
        <f>'Monthly Data'!Q550</f>
        <v>16.024999999999999</v>
      </c>
      <c r="G93" s="23">
        <f t="shared" si="8"/>
        <v>188.30500000000001</v>
      </c>
      <c r="H93" s="24">
        <f t="shared" si="9"/>
        <v>0.80750719128826798</v>
      </c>
      <c r="I93" s="24">
        <f t="shared" si="11"/>
        <v>0.41309567950279846</v>
      </c>
      <c r="J93" s="24">
        <f t="shared" si="10"/>
        <v>0.7468259422750424</v>
      </c>
      <c r="K93" s="23">
        <f t="shared" si="12"/>
        <v>483.54193548387082</v>
      </c>
      <c r="L93" s="23">
        <f t="shared" si="12"/>
        <v>268.06854838709683</v>
      </c>
      <c r="M93" s="23">
        <f t="shared" si="12"/>
        <v>751.61048387096787</v>
      </c>
    </row>
    <row r="94" spans="1:13" x14ac:dyDescent="0.2">
      <c r="A94" s="22">
        <v>43344</v>
      </c>
      <c r="B94" s="23">
        <v>2512</v>
      </c>
      <c r="C94" s="23">
        <f>'[1]Renewable Diesel'!$AX105</f>
        <v>485.5</v>
      </c>
      <c r="D94" s="23">
        <f t="shared" si="7"/>
        <v>2997.5</v>
      </c>
      <c r="E94" s="23">
        <f>'Monthly Data'!F551</f>
        <v>164.39599999999999</v>
      </c>
      <c r="F94" s="23">
        <f>'Monthly Data'!Q551</f>
        <v>32.247999999999998</v>
      </c>
      <c r="G94" s="23">
        <f t="shared" si="8"/>
        <v>196.64399999999998</v>
      </c>
      <c r="H94" s="24">
        <f t="shared" si="9"/>
        <v>0.77055347236490634</v>
      </c>
      <c r="I94" s="24">
        <f t="shared" si="11"/>
        <v>0.78206836982160055</v>
      </c>
      <c r="J94" s="24">
        <f t="shared" si="10"/>
        <v>0.77241852081035256</v>
      </c>
      <c r="K94" s="23">
        <f t="shared" si="12"/>
        <v>576.3696774193553</v>
      </c>
      <c r="L94" s="23">
        <f t="shared" si="12"/>
        <v>105.80580645161294</v>
      </c>
      <c r="M94" s="23">
        <f t="shared" si="12"/>
        <v>682.17548387096815</v>
      </c>
    </row>
    <row r="95" spans="1:13" x14ac:dyDescent="0.2">
      <c r="A95" s="22">
        <v>43374</v>
      </c>
      <c r="B95" s="23">
        <v>2517</v>
      </c>
      <c r="C95" s="23">
        <f>'[1]Renewable Diesel'!$AX106</f>
        <v>514.29999999999995</v>
      </c>
      <c r="D95" s="23">
        <f t="shared" si="7"/>
        <v>3031.3</v>
      </c>
      <c r="E95" s="23">
        <f>'Monthly Data'!F552</f>
        <v>170.952</v>
      </c>
      <c r="F95" s="23">
        <f>'Monthly Data'!Q552</f>
        <v>39.005000000000003</v>
      </c>
      <c r="G95" s="23">
        <f t="shared" si="8"/>
        <v>209.95699999999999</v>
      </c>
      <c r="H95" s="24">
        <f t="shared" si="9"/>
        <v>0.8263472387763211</v>
      </c>
      <c r="I95" s="24">
        <f t="shared" si="11"/>
        <v>0.92273154449413453</v>
      </c>
      <c r="J95" s="24">
        <f t="shared" si="10"/>
        <v>0.84270010666490713</v>
      </c>
      <c r="K95" s="23">
        <f t="shared" si="12"/>
        <v>437.08399999999978</v>
      </c>
      <c r="L95" s="23">
        <f t="shared" si="12"/>
        <v>39.739166666666613</v>
      </c>
      <c r="M95" s="23">
        <f t="shared" si="12"/>
        <v>476.82316666666702</v>
      </c>
    </row>
    <row r="96" spans="1:13" x14ac:dyDescent="0.2">
      <c r="A96" s="22">
        <v>43405</v>
      </c>
      <c r="B96" s="23">
        <v>2502</v>
      </c>
      <c r="C96" s="23">
        <f>'[1]Renewable Diesel'!$AX107</f>
        <v>558</v>
      </c>
      <c r="D96" s="23">
        <f t="shared" si="7"/>
        <v>3060</v>
      </c>
      <c r="E96" s="23">
        <f>'Monthly Data'!F553</f>
        <v>160.273</v>
      </c>
      <c r="F96" s="23">
        <f>'Monthly Data'!Q553</f>
        <v>40.325000000000003</v>
      </c>
      <c r="G96" s="23">
        <f t="shared" si="8"/>
        <v>200.59800000000001</v>
      </c>
      <c r="H96" s="24">
        <f t="shared" si="9"/>
        <v>0.75423074443670868</v>
      </c>
      <c r="I96" s="24">
        <f t="shared" si="11"/>
        <v>0.8508859405711644</v>
      </c>
      <c r="J96" s="24">
        <f t="shared" si="10"/>
        <v>0.77185610373181524</v>
      </c>
      <c r="K96" s="23">
        <f t="shared" si="12"/>
        <v>614.91467741935492</v>
      </c>
      <c r="L96" s="23">
        <f t="shared" si="12"/>
        <v>83.205645161290263</v>
      </c>
      <c r="M96" s="23">
        <f t="shared" si="12"/>
        <v>698.12032258064539</v>
      </c>
    </row>
    <row r="97" spans="1:13" x14ac:dyDescent="0.2">
      <c r="A97" s="22">
        <v>43435</v>
      </c>
      <c r="B97" s="23">
        <v>2507</v>
      </c>
      <c r="C97" s="23">
        <f>'[1]Renewable Diesel'!$AX108</f>
        <v>558</v>
      </c>
      <c r="D97" s="23">
        <f t="shared" si="7"/>
        <v>3065</v>
      </c>
      <c r="E97" s="23">
        <f>'Monthly Data'!F554</f>
        <v>167.785</v>
      </c>
      <c r="F97" s="23">
        <f>'Monthly Data'!Q554</f>
        <v>47.33</v>
      </c>
      <c r="G97" s="23">
        <f t="shared" si="8"/>
        <v>215.11500000000001</v>
      </c>
      <c r="H97" s="24">
        <f t="shared" si="9"/>
        <v>0.81427370030581037</v>
      </c>
      <c r="I97" s="24">
        <f t="shared" si="11"/>
        <v>1.0319862604540022</v>
      </c>
      <c r="J97" s="24">
        <f t="shared" si="10"/>
        <v>0.85390946166394777</v>
      </c>
      <c r="K97" s="23">
        <f t="shared" si="12"/>
        <v>465.6158333333334</v>
      </c>
      <c r="L97" s="23">
        <f t="shared" si="12"/>
        <v>-17.848333333333237</v>
      </c>
      <c r="M97" s="23">
        <f t="shared" si="12"/>
        <v>447.7675000000001</v>
      </c>
    </row>
    <row r="98" spans="1:13" x14ac:dyDescent="0.2">
      <c r="A98" s="22">
        <v>43466</v>
      </c>
      <c r="B98" s="23">
        <v>2564</v>
      </c>
      <c r="C98" s="23">
        <f>'[1]Renewable Diesel'!$AX109</f>
        <v>558</v>
      </c>
      <c r="D98" s="23">
        <f t="shared" si="7"/>
        <v>3122</v>
      </c>
      <c r="E98" s="23">
        <f>'Monthly Data'!F555</f>
        <v>143.917</v>
      </c>
      <c r="F98" s="23">
        <f>'Monthly Data'!Q555</f>
        <v>36.487000000000002</v>
      </c>
      <c r="G98" s="23">
        <f t="shared" si="8"/>
        <v>180.404</v>
      </c>
      <c r="H98" s="24">
        <f t="shared" si="9"/>
        <v>0.66088401439283373</v>
      </c>
      <c r="I98" s="24">
        <f t="shared" si="11"/>
        <v>0.76990143369175634</v>
      </c>
      <c r="J98" s="24">
        <f t="shared" si="10"/>
        <v>0.68036887024446691</v>
      </c>
      <c r="K98" s="23">
        <f t="shared" si="12"/>
        <v>869.49338709677431</v>
      </c>
      <c r="L98" s="23">
        <f t="shared" si="12"/>
        <v>128.39499999999995</v>
      </c>
      <c r="M98" s="23">
        <f t="shared" si="12"/>
        <v>997.8883870967743</v>
      </c>
    </row>
    <row r="99" spans="1:13" x14ac:dyDescent="0.2">
      <c r="A99" s="22">
        <v>43497</v>
      </c>
      <c r="B99" s="23">
        <v>2563</v>
      </c>
      <c r="C99" s="23">
        <f>'[1]Renewable Diesel'!$AX110</f>
        <v>558</v>
      </c>
      <c r="D99" s="23">
        <f t="shared" si="7"/>
        <v>3121</v>
      </c>
      <c r="E99" s="23">
        <f>'Monthly Data'!F556</f>
        <v>130.529</v>
      </c>
      <c r="F99" s="23">
        <f>'Monthly Data'!Q556</f>
        <v>40.173999999999999</v>
      </c>
      <c r="G99" s="23">
        <f t="shared" si="8"/>
        <v>170.703</v>
      </c>
      <c r="H99" s="24">
        <f t="shared" si="9"/>
        <v>0.59963859136848197</v>
      </c>
      <c r="I99" s="24">
        <f t="shared" si="11"/>
        <v>0.84769973407330335</v>
      </c>
      <c r="J99" s="24">
        <f t="shared" si="10"/>
        <v>0.64398915773480381</v>
      </c>
      <c r="K99" s="23">
        <f t="shared" si="12"/>
        <v>1026.1262903225806</v>
      </c>
      <c r="L99" s="23">
        <f t="shared" si="12"/>
        <v>84.983548387096732</v>
      </c>
      <c r="M99" s="23">
        <f t="shared" si="12"/>
        <v>1111.1098387096772</v>
      </c>
    </row>
    <row r="100" spans="1:13" x14ac:dyDescent="0.2">
      <c r="A100" s="22">
        <v>43525</v>
      </c>
      <c r="B100" s="23">
        <v>2563</v>
      </c>
      <c r="C100" s="23">
        <f>'[1]Renewable Diesel'!$AX111</f>
        <v>558</v>
      </c>
      <c r="D100" s="23">
        <f t="shared" si="7"/>
        <v>3121</v>
      </c>
      <c r="E100" s="23">
        <f>'Monthly Data'!F557</f>
        <v>140.82499999999999</v>
      </c>
      <c r="F100" s="23">
        <f>'Monthly Data'!Q557</f>
        <v>35.74</v>
      </c>
      <c r="G100" s="23">
        <f t="shared" si="8"/>
        <v>176.565</v>
      </c>
      <c r="H100" s="24">
        <f t="shared" si="9"/>
        <v>0.71625222953012646</v>
      </c>
      <c r="I100" s="24">
        <f t="shared" si="11"/>
        <v>0.83493983614951361</v>
      </c>
      <c r="J100" s="24">
        <f t="shared" si="10"/>
        <v>0.73747225019453477</v>
      </c>
      <c r="K100" s="23">
        <f t="shared" si="12"/>
        <v>727.24553571428589</v>
      </c>
      <c r="L100" s="23">
        <f t="shared" si="12"/>
        <v>92.103571428571399</v>
      </c>
      <c r="M100" s="23">
        <f t="shared" si="12"/>
        <v>819.34910714285695</v>
      </c>
    </row>
    <row r="101" spans="1:13" x14ac:dyDescent="0.2">
      <c r="A101" s="22">
        <v>43556</v>
      </c>
      <c r="B101" s="23">
        <v>2563</v>
      </c>
      <c r="C101" s="23">
        <f>'[1]Renewable Diesel'!$AX112</f>
        <v>558</v>
      </c>
      <c r="D101" s="23">
        <f t="shared" si="7"/>
        <v>3121</v>
      </c>
      <c r="E101" s="23">
        <f>'Monthly Data'!F558</f>
        <v>152.149</v>
      </c>
      <c r="F101" s="23">
        <f>'Monthly Data'!Q558</f>
        <v>38.557000000000002</v>
      </c>
      <c r="G101" s="23">
        <f t="shared" si="8"/>
        <v>190.70600000000002</v>
      </c>
      <c r="H101" s="24">
        <f t="shared" si="9"/>
        <v>0.69895894428152494</v>
      </c>
      <c r="I101" s="24">
        <f t="shared" si="11"/>
        <v>0.81357989362932148</v>
      </c>
      <c r="J101" s="24">
        <f t="shared" si="10"/>
        <v>0.71945189197010895</v>
      </c>
      <c r="K101" s="23">
        <f t="shared" si="12"/>
        <v>771.56822580645155</v>
      </c>
      <c r="L101" s="23">
        <f t="shared" si="12"/>
        <v>104.02241935483862</v>
      </c>
      <c r="M101" s="23">
        <f t="shared" si="12"/>
        <v>875.59064516129001</v>
      </c>
    </row>
    <row r="102" spans="1:13" x14ac:dyDescent="0.2">
      <c r="A102" s="22">
        <v>43586</v>
      </c>
      <c r="B102" s="23">
        <v>2553</v>
      </c>
      <c r="C102" s="23">
        <f>'[1]Renewable Diesel'!$AX113</f>
        <v>558</v>
      </c>
      <c r="D102" s="23">
        <f t="shared" si="7"/>
        <v>3111</v>
      </c>
      <c r="E102" s="23">
        <f>'Monthly Data'!F559</f>
        <v>154.59</v>
      </c>
      <c r="F102" s="23">
        <f>'Monthly Data'!Q559</f>
        <v>40.383000000000003</v>
      </c>
      <c r="G102" s="23">
        <f t="shared" si="8"/>
        <v>194.97300000000001</v>
      </c>
      <c r="H102" s="24">
        <f t="shared" si="9"/>
        <v>0.73671954563258923</v>
      </c>
      <c r="I102" s="24">
        <f t="shared" si="11"/>
        <v>0.8805134408602151</v>
      </c>
      <c r="J102" s="24">
        <f t="shared" si="10"/>
        <v>0.76251092896174866</v>
      </c>
      <c r="K102" s="23">
        <f t="shared" si="12"/>
        <v>672.15499999999963</v>
      </c>
      <c r="L102" s="23">
        <f t="shared" si="12"/>
        <v>66.673499999999976</v>
      </c>
      <c r="M102" s="23">
        <f t="shared" si="12"/>
        <v>738.82849999999996</v>
      </c>
    </row>
    <row r="103" spans="1:13" x14ac:dyDescent="0.2">
      <c r="A103" s="22">
        <v>43617</v>
      </c>
      <c r="B103" s="23">
        <v>2504</v>
      </c>
      <c r="C103" s="23">
        <f>'[1]Renewable Diesel'!$AX114</f>
        <v>558</v>
      </c>
      <c r="D103" s="23">
        <f t="shared" si="7"/>
        <v>3062</v>
      </c>
      <c r="E103" s="23">
        <f>'Monthly Data'!F560</f>
        <v>141.553</v>
      </c>
      <c r="F103" s="23">
        <f>'Monthly Data'!Q560</f>
        <v>39.761000000000003</v>
      </c>
      <c r="G103" s="23">
        <f t="shared" si="8"/>
        <v>181.31399999999999</v>
      </c>
      <c r="H103" s="24">
        <f t="shared" si="9"/>
        <v>0.66560400133979192</v>
      </c>
      <c r="I103" s="24">
        <f t="shared" si="11"/>
        <v>0.83898514279107406</v>
      </c>
      <c r="J103" s="24">
        <f t="shared" si="10"/>
        <v>0.69719991150628935</v>
      </c>
      <c r="K103" s="23">
        <f t="shared" si="12"/>
        <v>837.32758064516099</v>
      </c>
      <c r="L103" s="23">
        <f t="shared" si="12"/>
        <v>89.846290322580671</v>
      </c>
      <c r="M103" s="23">
        <f t="shared" si="12"/>
        <v>927.173870967742</v>
      </c>
    </row>
    <row r="104" spans="1:13" x14ac:dyDescent="0.2">
      <c r="A104" s="22">
        <v>43647</v>
      </c>
      <c r="B104" s="23">
        <v>2561</v>
      </c>
      <c r="C104" s="23">
        <f>'[1]Renewable Diesel'!$AX115</f>
        <v>558</v>
      </c>
      <c r="D104" s="23">
        <f t="shared" si="7"/>
        <v>3119</v>
      </c>
      <c r="E104" s="23">
        <f>'Monthly Data'!F561</f>
        <v>158.61000000000001</v>
      </c>
      <c r="F104" s="23">
        <f>'Monthly Data'!Q561</f>
        <v>46.281999999999996</v>
      </c>
      <c r="G104" s="23">
        <f t="shared" si="8"/>
        <v>204.892</v>
      </c>
      <c r="H104" s="24">
        <f t="shared" si="9"/>
        <v>0.75351620460757529</v>
      </c>
      <c r="I104" s="24">
        <f t="shared" si="11"/>
        <v>1.0091356033452807</v>
      </c>
      <c r="J104" s="24">
        <f t="shared" si="10"/>
        <v>0.79924740835737951</v>
      </c>
      <c r="K104" s="23">
        <f t="shared" si="12"/>
        <v>631.24499999999966</v>
      </c>
      <c r="L104" s="23">
        <f t="shared" si="12"/>
        <v>-5.0976666666666528</v>
      </c>
      <c r="M104" s="23">
        <f t="shared" si="12"/>
        <v>626.14733333333334</v>
      </c>
    </row>
    <row r="105" spans="1:13" x14ac:dyDescent="0.2">
      <c r="A105" s="22">
        <v>43678</v>
      </c>
      <c r="B105" s="23">
        <v>2561</v>
      </c>
      <c r="C105" s="23">
        <f>'[1]Renewable Diesel'!$AX116</f>
        <v>558</v>
      </c>
      <c r="D105" s="23">
        <f t="shared" si="7"/>
        <v>3119</v>
      </c>
      <c r="E105" s="23">
        <f>'Monthly Data'!F562</f>
        <v>155.898</v>
      </c>
      <c r="F105" s="23">
        <f>'Monthly Data'!Q562</f>
        <v>30.18</v>
      </c>
      <c r="G105" s="23">
        <f t="shared" si="8"/>
        <v>186.078</v>
      </c>
      <c r="H105" s="24">
        <f t="shared" si="9"/>
        <v>0.7167408144500006</v>
      </c>
      <c r="I105" s="24">
        <f t="shared" si="11"/>
        <v>0.63681928546652788</v>
      </c>
      <c r="J105" s="24">
        <f t="shared" si="10"/>
        <v>0.70244257361230333</v>
      </c>
      <c r="K105" s="23">
        <f t="shared" si="12"/>
        <v>725.42677419354845</v>
      </c>
      <c r="L105" s="23">
        <f t="shared" si="12"/>
        <v>202.65483870967745</v>
      </c>
      <c r="M105" s="23">
        <f t="shared" si="12"/>
        <v>928.08161290322585</v>
      </c>
    </row>
    <row r="106" spans="1:13" x14ac:dyDescent="0.2">
      <c r="A106" s="22">
        <v>43709</v>
      </c>
      <c r="B106" s="23">
        <v>2547</v>
      </c>
      <c r="C106" s="23">
        <f>'[1]Renewable Diesel'!$AX117</f>
        <v>558</v>
      </c>
      <c r="D106" s="23">
        <f t="shared" si="7"/>
        <v>3105</v>
      </c>
      <c r="E106" s="23">
        <f>'Monthly Data'!F563</f>
        <v>141.846</v>
      </c>
      <c r="F106" s="23">
        <f>'Monthly Data'!Q563</f>
        <v>40.692</v>
      </c>
      <c r="G106" s="23">
        <f t="shared" si="8"/>
        <v>182.53800000000001</v>
      </c>
      <c r="H106" s="24">
        <f t="shared" si="9"/>
        <v>0.65572134199627641</v>
      </c>
      <c r="I106" s="24">
        <f t="shared" si="11"/>
        <v>0.85862989941033641</v>
      </c>
      <c r="J106" s="24">
        <f t="shared" si="10"/>
        <v>0.69218606825619444</v>
      </c>
      <c r="K106" s="23">
        <f t="shared" si="12"/>
        <v>876.87774193548398</v>
      </c>
      <c r="L106" s="23">
        <f t="shared" si="12"/>
        <v>78.884516129032292</v>
      </c>
      <c r="M106" s="23">
        <f t="shared" si="12"/>
        <v>955.76225806451623</v>
      </c>
    </row>
    <row r="107" spans="1:13" x14ac:dyDescent="0.2">
      <c r="A107" s="22">
        <v>43739</v>
      </c>
      <c r="B107" s="23">
        <v>2515</v>
      </c>
      <c r="C107" s="23">
        <f>'[1]Renewable Diesel'!$AX118</f>
        <v>558</v>
      </c>
      <c r="D107" s="23">
        <f t="shared" si="7"/>
        <v>3073</v>
      </c>
      <c r="E107" s="23">
        <f>'Monthly Data'!F564</f>
        <v>144.31399999999999</v>
      </c>
      <c r="F107" s="23">
        <f>'Monthly Data'!Q564</f>
        <v>48.569000000000003</v>
      </c>
      <c r="G107" s="23">
        <f t="shared" si="8"/>
        <v>192.88299999999998</v>
      </c>
      <c r="H107" s="24">
        <f t="shared" si="9"/>
        <v>0.69813929754804505</v>
      </c>
      <c r="I107" s="24">
        <f t="shared" si="11"/>
        <v>1.0590014934289127</v>
      </c>
      <c r="J107" s="24">
        <f t="shared" si="10"/>
        <v>0.76366520229959867</v>
      </c>
      <c r="K107" s="23">
        <f t="shared" si="12"/>
        <v>759.17966666666666</v>
      </c>
      <c r="L107" s="23">
        <f t="shared" si="12"/>
        <v>-32.922833333333287</v>
      </c>
      <c r="M107" s="23">
        <f t="shared" si="12"/>
        <v>726.25683333333325</v>
      </c>
    </row>
    <row r="108" spans="1:13" x14ac:dyDescent="0.2">
      <c r="A108" s="22">
        <v>43770</v>
      </c>
      <c r="B108" s="23">
        <v>2510</v>
      </c>
      <c r="C108" s="23">
        <f>'[1]Renewable Diesel'!$AX119</f>
        <v>558</v>
      </c>
      <c r="D108" s="23">
        <f t="shared" si="7"/>
        <v>3068</v>
      </c>
      <c r="E108" s="23">
        <f>'Monthly Data'!F565</f>
        <v>127.42400000000001</v>
      </c>
      <c r="F108" s="23">
        <f>'Monthly Data'!Q565</f>
        <v>42.389000000000003</v>
      </c>
      <c r="G108" s="23">
        <f t="shared" si="8"/>
        <v>169.81300000000002</v>
      </c>
      <c r="H108" s="24">
        <f t="shared" si="9"/>
        <v>0.5977349955018636</v>
      </c>
      <c r="I108" s="24">
        <f t="shared" si="11"/>
        <v>0.89443779627702624</v>
      </c>
      <c r="J108" s="24">
        <f t="shared" si="10"/>
        <v>0.65169854270934102</v>
      </c>
      <c r="K108" s="23">
        <f t="shared" si="12"/>
        <v>1009.6851612903224</v>
      </c>
      <c r="L108" s="23">
        <f t="shared" si="12"/>
        <v>58.903709677419357</v>
      </c>
      <c r="M108" s="23">
        <f t="shared" si="12"/>
        <v>1068.5888709677417</v>
      </c>
    </row>
    <row r="109" spans="1:13" x14ac:dyDescent="0.2">
      <c r="A109" s="22">
        <v>43800</v>
      </c>
      <c r="B109" s="23">
        <v>2513</v>
      </c>
      <c r="C109" s="23">
        <f>'[1]Renewable Diesel'!$AX120</f>
        <v>558</v>
      </c>
      <c r="D109" s="23">
        <f t="shared" si="7"/>
        <v>3071</v>
      </c>
      <c r="E109" s="23">
        <f>'Monthly Data'!F566</f>
        <v>132.85</v>
      </c>
      <c r="F109" s="23">
        <f>'Monthly Data'!Q566</f>
        <v>52.795999999999999</v>
      </c>
      <c r="G109" s="23">
        <f t="shared" si="8"/>
        <v>185.64599999999999</v>
      </c>
      <c r="H109" s="24">
        <f t="shared" si="9"/>
        <v>0.64319206791351635</v>
      </c>
      <c r="I109" s="24">
        <f t="shared" si="11"/>
        <v>1.1511672640382318</v>
      </c>
      <c r="J109" s="24">
        <f t="shared" si="10"/>
        <v>0.73549104526212949</v>
      </c>
      <c r="K109" s="23">
        <f t="shared" si="12"/>
        <v>896.65833333333342</v>
      </c>
      <c r="L109" s="23">
        <f t="shared" si="12"/>
        <v>-84.351333333333329</v>
      </c>
      <c r="M109" s="23">
        <f t="shared" si="12"/>
        <v>812.30700000000036</v>
      </c>
    </row>
    <row r="110" spans="1:13" x14ac:dyDescent="0.2">
      <c r="A110" s="22">
        <v>43831</v>
      </c>
      <c r="B110" s="23">
        <v>2515</v>
      </c>
      <c r="C110" s="23">
        <f>'[1]Renewable Diesel'!$AX121</f>
        <v>558</v>
      </c>
      <c r="D110" s="23">
        <f t="shared" si="7"/>
        <v>3073</v>
      </c>
      <c r="E110" s="23">
        <f>'Monthly Data'!F567</f>
        <v>134.233</v>
      </c>
      <c r="F110" s="23">
        <f>'Monthly Data'!Q567</f>
        <v>41.856999999999999</v>
      </c>
      <c r="G110" s="23">
        <f t="shared" si="8"/>
        <v>176.09</v>
      </c>
      <c r="H110" s="24">
        <f t="shared" si="9"/>
        <v>0.62842358750721483</v>
      </c>
      <c r="I110" s="24">
        <f t="shared" si="11"/>
        <v>0.88321222106601915</v>
      </c>
      <c r="J110" s="24">
        <f t="shared" si="10"/>
        <v>0.67468849395882979</v>
      </c>
      <c r="K110" s="23">
        <f t="shared" si="12"/>
        <v>934.51467741935471</v>
      </c>
      <c r="L110" s="23">
        <f t="shared" si="12"/>
        <v>65.167580645161308</v>
      </c>
      <c r="M110" s="23">
        <f t="shared" si="12"/>
        <v>999.68225806451608</v>
      </c>
    </row>
    <row r="111" spans="1:13" x14ac:dyDescent="0.2">
      <c r="A111" s="22">
        <v>43862</v>
      </c>
      <c r="B111" s="23">
        <v>2515</v>
      </c>
      <c r="C111" s="23">
        <f>'[1]Renewable Diesel'!$AX122</f>
        <v>558</v>
      </c>
      <c r="D111" s="23">
        <f t="shared" si="7"/>
        <v>3073</v>
      </c>
      <c r="E111" s="23">
        <f>'Monthly Data'!F568</f>
        <v>131.82900000000001</v>
      </c>
      <c r="F111" s="23">
        <f>'Monthly Data'!Q568</f>
        <v>37.301000000000002</v>
      </c>
      <c r="G111" s="23">
        <f t="shared" si="8"/>
        <v>169.13</v>
      </c>
      <c r="H111" s="24">
        <f t="shared" si="9"/>
        <v>0.61716905021483992</v>
      </c>
      <c r="I111" s="24">
        <f t="shared" si="11"/>
        <v>0.78707740779280844</v>
      </c>
      <c r="J111" s="24">
        <f t="shared" si="10"/>
        <v>0.64802126743856481</v>
      </c>
      <c r="K111" s="23">
        <f t="shared" si="12"/>
        <v>962.81983870967758</v>
      </c>
      <c r="L111" s="23">
        <f t="shared" si="12"/>
        <v>118.81080645161289</v>
      </c>
      <c r="M111" s="23">
        <f t="shared" si="12"/>
        <v>1081.6306451612904</v>
      </c>
    </row>
    <row r="112" spans="1:13" x14ac:dyDescent="0.2">
      <c r="A112" s="22">
        <v>43891</v>
      </c>
      <c r="B112" s="23">
        <v>2514</v>
      </c>
      <c r="C112" s="23">
        <f>'[1]Renewable Diesel'!$AX123</f>
        <v>558</v>
      </c>
      <c r="D112" s="23">
        <f t="shared" si="7"/>
        <v>3072</v>
      </c>
      <c r="E112" s="23">
        <f>'Monthly Data'!F569</f>
        <v>150.94499999999999</v>
      </c>
      <c r="F112" s="23">
        <f>'Monthly Data'!Q569</f>
        <v>45.226999999999997</v>
      </c>
      <c r="G112" s="23">
        <f t="shared" si="8"/>
        <v>196.172</v>
      </c>
      <c r="H112" s="24">
        <f t="shared" si="9"/>
        <v>0.75569809069212412</v>
      </c>
      <c r="I112" s="24">
        <f t="shared" si="11"/>
        <v>1.0201368804844888</v>
      </c>
      <c r="J112" s="24">
        <f t="shared" si="10"/>
        <v>0.80373091774425287</v>
      </c>
      <c r="K112" s="23">
        <f t="shared" si="12"/>
        <v>614.17499999999995</v>
      </c>
      <c r="L112" s="23">
        <f t="shared" si="12"/>
        <v>-11.236379310344754</v>
      </c>
      <c r="M112" s="23">
        <f t="shared" si="12"/>
        <v>602.93862068965518</v>
      </c>
    </row>
    <row r="113" spans="1:13" x14ac:dyDescent="0.2">
      <c r="A113" s="22">
        <v>43922</v>
      </c>
      <c r="B113" s="23">
        <v>2514</v>
      </c>
      <c r="C113" s="23">
        <f>'[1]Renewable Diesel'!$AX124</f>
        <v>558</v>
      </c>
      <c r="D113" s="23">
        <f t="shared" si="7"/>
        <v>3072</v>
      </c>
      <c r="E113" s="23">
        <f>'Monthly Data'!F570</f>
        <v>143.72900000000001</v>
      </c>
      <c r="F113" s="23">
        <f>'Monthly Data'!Q570</f>
        <v>38.639000000000003</v>
      </c>
      <c r="G113" s="23">
        <f t="shared" si="8"/>
        <v>182.36800000000002</v>
      </c>
      <c r="H113" s="24">
        <f t="shared" si="9"/>
        <v>0.67314759925064815</v>
      </c>
      <c r="I113" s="24">
        <f t="shared" si="11"/>
        <v>0.81531015146259678</v>
      </c>
      <c r="J113" s="24">
        <f t="shared" si="10"/>
        <v>0.69897009408602162</v>
      </c>
      <c r="K113" s="23">
        <f t="shared" si="12"/>
        <v>821.70693548387055</v>
      </c>
      <c r="L113" s="23">
        <f t="shared" si="12"/>
        <v>103.056935483871</v>
      </c>
      <c r="M113" s="23">
        <f t="shared" si="12"/>
        <v>924.76387096774158</v>
      </c>
    </row>
    <row r="114" spans="1:13" x14ac:dyDescent="0.2">
      <c r="A114" s="22">
        <v>43952</v>
      </c>
      <c r="B114" s="23">
        <v>2514</v>
      </c>
      <c r="C114" s="23">
        <f>'[1]Renewable Diesel'!$AX125</f>
        <v>558</v>
      </c>
      <c r="D114" s="23">
        <f t="shared" si="7"/>
        <v>3072</v>
      </c>
      <c r="E114" s="23">
        <f>'Monthly Data'!F571</f>
        <v>152.47999999999999</v>
      </c>
      <c r="F114" s="23">
        <f>'Monthly Data'!Q571</f>
        <v>46.420999999999999</v>
      </c>
      <c r="G114" s="23">
        <f t="shared" si="8"/>
        <v>198.90099999999998</v>
      </c>
      <c r="H114" s="24">
        <f t="shared" si="9"/>
        <v>0.73793688676743563</v>
      </c>
      <c r="I114" s="24">
        <f t="shared" si="11"/>
        <v>1.0121663679808841</v>
      </c>
      <c r="J114" s="24">
        <f t="shared" si="10"/>
        <v>0.78774810112847204</v>
      </c>
      <c r="K114" s="23">
        <f t="shared" si="12"/>
        <v>658.82666666666682</v>
      </c>
      <c r="L114" s="23">
        <f t="shared" si="12"/>
        <v>-6.7888333333333319</v>
      </c>
      <c r="M114" s="23">
        <f t="shared" si="12"/>
        <v>652.03783333333388</v>
      </c>
    </row>
    <row r="115" spans="1:13" x14ac:dyDescent="0.2">
      <c r="A115" s="22">
        <v>43983</v>
      </c>
      <c r="B115" s="23">
        <v>2514</v>
      </c>
      <c r="C115" s="23">
        <f>'[1]Renewable Diesel'!$AX126</f>
        <v>558</v>
      </c>
      <c r="D115" s="23">
        <f t="shared" si="7"/>
        <v>3072</v>
      </c>
      <c r="E115" s="23">
        <f>'Monthly Data'!F572</f>
        <v>150.80000000000001</v>
      </c>
      <c r="F115" s="23">
        <f>'Monthly Data'!Q572</f>
        <v>53.207999999999998</v>
      </c>
      <c r="G115" s="23">
        <f t="shared" si="8"/>
        <v>204.00800000000001</v>
      </c>
      <c r="H115" s="24">
        <f t="shared" si="9"/>
        <v>0.70626427489927379</v>
      </c>
      <c r="I115" s="24">
        <f t="shared" si="11"/>
        <v>1.1227263267429759</v>
      </c>
      <c r="J115" s="24">
        <f t="shared" si="10"/>
        <v>0.78191070228494619</v>
      </c>
      <c r="K115" s="23">
        <f t="shared" si="12"/>
        <v>738.45161290322574</v>
      </c>
      <c r="L115" s="23">
        <f t="shared" si="12"/>
        <v>-68.481290322580548</v>
      </c>
      <c r="M115" s="23">
        <f t="shared" si="12"/>
        <v>669.9703225806453</v>
      </c>
    </row>
    <row r="116" spans="1:13" x14ac:dyDescent="0.2">
      <c r="A116" s="22">
        <v>44013</v>
      </c>
      <c r="B116" s="23">
        <v>2509</v>
      </c>
      <c r="C116" s="23">
        <f>'[1]Renewable Diesel'!$AX127</f>
        <v>618</v>
      </c>
      <c r="D116" s="23">
        <f t="shared" si="7"/>
        <v>3127</v>
      </c>
      <c r="E116" s="23">
        <f>'Monthly Data'!F573</f>
        <v>161.66900000000001</v>
      </c>
      <c r="F116" s="23">
        <f>'Monthly Data'!Q573</f>
        <v>46.683999999999997</v>
      </c>
      <c r="G116" s="23">
        <f t="shared" si="8"/>
        <v>208.35300000000001</v>
      </c>
      <c r="H116" s="24">
        <f t="shared" si="9"/>
        <v>0.78396685266374377</v>
      </c>
      <c r="I116" s="24">
        <f t="shared" si="11"/>
        <v>0.91907551240560947</v>
      </c>
      <c r="J116" s="24">
        <f t="shared" si="10"/>
        <v>0.81066885193476168</v>
      </c>
      <c r="K116" s="23">
        <f t="shared" si="12"/>
        <v>542.02716666666686</v>
      </c>
      <c r="L116" s="23">
        <f t="shared" si="12"/>
        <v>50.011333333333347</v>
      </c>
      <c r="M116" s="23">
        <f t="shared" si="12"/>
        <v>592.03850000000023</v>
      </c>
    </row>
    <row r="117" spans="1:13" x14ac:dyDescent="0.2">
      <c r="A117" s="22">
        <v>44044</v>
      </c>
      <c r="B117" s="23">
        <v>2459</v>
      </c>
      <c r="C117" s="23">
        <f>'[1]Renewable Diesel'!$AX128</f>
        <v>678</v>
      </c>
      <c r="D117" s="23">
        <f t="shared" si="7"/>
        <v>3137</v>
      </c>
      <c r="E117" s="23">
        <f>'Monthly Data'!F574</f>
        <v>162.60900000000001</v>
      </c>
      <c r="F117" s="23">
        <f>'Monthly Data'!Q574</f>
        <v>43.953000000000003</v>
      </c>
      <c r="G117" s="23">
        <f t="shared" si="8"/>
        <v>206.56200000000001</v>
      </c>
      <c r="H117" s="24">
        <f t="shared" si="9"/>
        <v>0.77860505844232508</v>
      </c>
      <c r="I117" s="24">
        <f t="shared" si="11"/>
        <v>0.76329075078504138</v>
      </c>
      <c r="J117" s="24">
        <f t="shared" si="10"/>
        <v>0.77529517620080834</v>
      </c>
      <c r="K117" s="23">
        <f t="shared" si="12"/>
        <v>544.41016129032266</v>
      </c>
      <c r="L117" s="23">
        <f t="shared" si="12"/>
        <v>160.48887096774195</v>
      </c>
      <c r="M117" s="23">
        <f t="shared" si="12"/>
        <v>704.89903225806427</v>
      </c>
    </row>
    <row r="118" spans="1:13" x14ac:dyDescent="0.2">
      <c r="A118" s="22">
        <v>44075</v>
      </c>
      <c r="B118" s="23">
        <v>2460</v>
      </c>
      <c r="C118" s="23">
        <f>'[1]Renewable Diesel'!$AX129</f>
        <v>738</v>
      </c>
      <c r="D118" s="23">
        <f t="shared" si="7"/>
        <v>3198</v>
      </c>
      <c r="E118" s="23">
        <f>'Monthly Data'!F575</f>
        <v>159.161</v>
      </c>
      <c r="F118" s="23">
        <f>'Monthly Data'!Q575</f>
        <v>48.113</v>
      </c>
      <c r="G118" s="23">
        <f t="shared" si="8"/>
        <v>207.274</v>
      </c>
      <c r="H118" s="24">
        <f t="shared" si="9"/>
        <v>0.76178553632310508</v>
      </c>
      <c r="I118" s="24">
        <f t="shared" si="11"/>
        <v>0.76760403007255884</v>
      </c>
      <c r="J118" s="24">
        <f t="shared" si="10"/>
        <v>0.7631282656499021</v>
      </c>
      <c r="K118" s="23">
        <f t="shared" si="12"/>
        <v>586.00758064516151</v>
      </c>
      <c r="L118" s="23">
        <f t="shared" si="12"/>
        <v>171.50822580645158</v>
      </c>
      <c r="M118" s="23">
        <f t="shared" si="12"/>
        <v>757.51580645161312</v>
      </c>
    </row>
    <row r="119" spans="1:13" x14ac:dyDescent="0.2">
      <c r="A119" s="22">
        <v>44105</v>
      </c>
      <c r="B119" s="23">
        <v>2454</v>
      </c>
      <c r="C119" s="23">
        <f>'[1]Renewable Diesel'!$AX130</f>
        <v>738</v>
      </c>
      <c r="D119" s="23">
        <f t="shared" si="7"/>
        <v>3192</v>
      </c>
      <c r="E119" s="23">
        <f>'Monthly Data'!F576</f>
        <v>157.203</v>
      </c>
      <c r="F119" s="23">
        <f>'Monthly Data'!Q576</f>
        <v>25.23</v>
      </c>
      <c r="G119" s="23">
        <f t="shared" si="8"/>
        <v>182.43299999999999</v>
      </c>
      <c r="H119" s="24">
        <f t="shared" si="9"/>
        <v>0.77939547677261611</v>
      </c>
      <c r="I119" s="24">
        <f t="shared" si="11"/>
        <v>0.41594173441734417</v>
      </c>
      <c r="J119" s="24">
        <f t="shared" si="10"/>
        <v>0.69536387844611536</v>
      </c>
      <c r="K119" s="23">
        <f t="shared" si="12"/>
        <v>541.36350000000004</v>
      </c>
      <c r="L119" s="23">
        <f t="shared" si="12"/>
        <v>431.03500000000003</v>
      </c>
      <c r="M119" s="23">
        <f t="shared" si="12"/>
        <v>972.39849999999979</v>
      </c>
    </row>
    <row r="120" spans="1:13" x14ac:dyDescent="0.2">
      <c r="A120" s="22">
        <v>44136</v>
      </c>
      <c r="B120" s="23">
        <v>2451</v>
      </c>
      <c r="C120" s="23">
        <f>'[1]Renewable Diesel'!$AX131</f>
        <v>738</v>
      </c>
      <c r="D120" s="23">
        <f t="shared" si="7"/>
        <v>3189</v>
      </c>
      <c r="E120" s="23">
        <f>'Monthly Data'!F577</f>
        <v>152.06700000000001</v>
      </c>
      <c r="F120" s="23">
        <f>'Monthly Data'!Q577</f>
        <v>49.054000000000002</v>
      </c>
      <c r="G120" s="23">
        <f t="shared" si="8"/>
        <v>201.12100000000001</v>
      </c>
      <c r="H120" s="24">
        <f t="shared" si="9"/>
        <v>0.73050440241639358</v>
      </c>
      <c r="I120" s="24">
        <f t="shared" si="11"/>
        <v>0.78261692455634235</v>
      </c>
      <c r="J120" s="24">
        <f t="shared" si="10"/>
        <v>0.74256430876298563</v>
      </c>
      <c r="K120" s="23">
        <f t="shared" si="12"/>
        <v>660.53370967741932</v>
      </c>
      <c r="L120" s="23">
        <f t="shared" si="12"/>
        <v>160.42870967741933</v>
      </c>
      <c r="M120" s="23">
        <f t="shared" si="12"/>
        <v>820.96241935483886</v>
      </c>
    </row>
    <row r="121" spans="1:13" x14ac:dyDescent="0.2">
      <c r="A121" s="22">
        <v>44166</v>
      </c>
      <c r="B121" s="23">
        <v>2476</v>
      </c>
      <c r="C121" s="23">
        <f>'[1]Renewable Diesel'!$AX132</f>
        <v>738</v>
      </c>
      <c r="D121" s="23">
        <f t="shared" si="7"/>
        <v>3214</v>
      </c>
      <c r="E121" s="23">
        <f>'Monthly Data'!F578</f>
        <v>157.97399999999999</v>
      </c>
      <c r="F121" s="23">
        <f>'Monthly Data'!Q578</f>
        <v>57.808</v>
      </c>
      <c r="G121" s="23">
        <f t="shared" si="8"/>
        <v>215.78199999999998</v>
      </c>
      <c r="H121" s="24">
        <f t="shared" si="9"/>
        <v>0.77625888529886911</v>
      </c>
      <c r="I121" s="24">
        <f t="shared" si="11"/>
        <v>0.95302258355916902</v>
      </c>
      <c r="J121" s="24">
        <f t="shared" si="10"/>
        <v>0.81684743829081097</v>
      </c>
      <c r="K121" s="23">
        <f t="shared" si="12"/>
        <v>553.98300000000006</v>
      </c>
      <c r="L121" s="23">
        <f t="shared" si="12"/>
        <v>34.669333333333263</v>
      </c>
      <c r="M121" s="23">
        <f t="shared" si="12"/>
        <v>588.65233333333356</v>
      </c>
    </row>
    <row r="122" spans="1:13" x14ac:dyDescent="0.2">
      <c r="A122" s="22">
        <v>44197</v>
      </c>
      <c r="B122" s="23">
        <v>2394</v>
      </c>
      <c r="C122" s="23">
        <f>'[1]Renewable Diesel'!$AX133</f>
        <v>791</v>
      </c>
      <c r="D122" s="23">
        <f t="shared" si="7"/>
        <v>3185</v>
      </c>
      <c r="E122" s="23">
        <f>'Monthly Data'!F579</f>
        <v>140.79400000000001</v>
      </c>
      <c r="F122" s="23">
        <f>'Monthly Data'!Q579</f>
        <v>59.445</v>
      </c>
      <c r="G122" s="23">
        <f t="shared" si="8"/>
        <v>200.239</v>
      </c>
      <c r="H122" s="24">
        <f t="shared" si="9"/>
        <v>0.69245438865982167</v>
      </c>
      <c r="I122" s="24">
        <f t="shared" si="11"/>
        <v>0.88485074018188492</v>
      </c>
      <c r="J122" s="24">
        <f t="shared" si="10"/>
        <v>0.74023633969716918</v>
      </c>
      <c r="K122" s="23">
        <f t="shared" si="12"/>
        <v>736.26419354838697</v>
      </c>
      <c r="L122" s="23">
        <f t="shared" si="12"/>
        <v>91.083064516129028</v>
      </c>
      <c r="M122" s="23">
        <f t="shared" si="12"/>
        <v>827.34725806451615</v>
      </c>
    </row>
    <row r="123" spans="1:13" x14ac:dyDescent="0.2">
      <c r="A123" s="22">
        <v>44228</v>
      </c>
      <c r="B123" s="23">
        <v>2394</v>
      </c>
      <c r="C123" s="23">
        <f>'[1]Renewable Diesel'!$AX134</f>
        <v>791</v>
      </c>
      <c r="D123" s="23">
        <f t="shared" si="7"/>
        <v>3185</v>
      </c>
      <c r="E123" s="23">
        <f>'Monthly Data'!F580</f>
        <v>108.27</v>
      </c>
      <c r="F123" s="23">
        <f>'Monthly Data'!Q580</f>
        <v>53.276000000000003</v>
      </c>
      <c r="G123" s="23">
        <f t="shared" si="8"/>
        <v>161.54599999999999</v>
      </c>
      <c r="H123" s="24">
        <f t="shared" si="9"/>
        <v>0.53249454280863451</v>
      </c>
      <c r="I123" s="24">
        <f t="shared" si="11"/>
        <v>0.79302393866481791</v>
      </c>
      <c r="J123" s="24">
        <f t="shared" si="10"/>
        <v>0.59719744771357675</v>
      </c>
      <c r="K123" s="23">
        <f t="shared" si="12"/>
        <v>1119.2080645161291</v>
      </c>
      <c r="L123" s="23">
        <f t="shared" si="12"/>
        <v>163.71806451612903</v>
      </c>
      <c r="M123" s="23">
        <f t="shared" si="12"/>
        <v>1282.9261290322581</v>
      </c>
    </row>
    <row r="124" spans="1:13" x14ac:dyDescent="0.2">
      <c r="A124" s="22">
        <v>44256</v>
      </c>
      <c r="B124" s="23">
        <v>2410</v>
      </c>
      <c r="C124" s="23">
        <f>'[1]Renewable Diesel'!$AX135</f>
        <v>791</v>
      </c>
      <c r="D124" s="23">
        <f t="shared" si="7"/>
        <v>3201</v>
      </c>
      <c r="E124" s="23">
        <f>'Monthly Data'!F581</f>
        <v>150.571</v>
      </c>
      <c r="F124" s="23">
        <f>'Monthly Data'!Q581</f>
        <v>56.966999999999999</v>
      </c>
      <c r="G124" s="23">
        <f t="shared" si="8"/>
        <v>207.53800000000001</v>
      </c>
      <c r="H124" s="24">
        <f t="shared" si="9"/>
        <v>0.81444005631298155</v>
      </c>
      <c r="I124" s="24">
        <f t="shared" si="11"/>
        <v>0.93881862922160009</v>
      </c>
      <c r="J124" s="24">
        <f t="shared" si="10"/>
        <v>0.84517528004641407</v>
      </c>
      <c r="K124" s="23">
        <f t="shared" si="12"/>
        <v>447.19946428571444</v>
      </c>
      <c r="L124" s="23">
        <f t="shared" si="12"/>
        <v>48.394464285714328</v>
      </c>
      <c r="M124" s="23">
        <f t="shared" si="12"/>
        <v>495.59392857142859</v>
      </c>
    </row>
    <row r="125" spans="1:13" x14ac:dyDescent="0.2">
      <c r="A125" s="22">
        <v>44287</v>
      </c>
      <c r="B125" s="23">
        <v>2410</v>
      </c>
      <c r="C125" s="23">
        <f>'[1]Renewable Diesel'!$AX136</f>
        <v>971</v>
      </c>
      <c r="D125" s="23">
        <f t="shared" si="7"/>
        <v>3381</v>
      </c>
      <c r="E125" s="23">
        <f>'Monthly Data'!F582</f>
        <v>144.03899999999999</v>
      </c>
      <c r="F125" s="23">
        <f>'Monthly Data'!Q582</f>
        <v>53.100999999999999</v>
      </c>
      <c r="G125" s="23">
        <f t="shared" si="8"/>
        <v>197.14</v>
      </c>
      <c r="H125" s="24">
        <f t="shared" si="9"/>
        <v>0.70371081515192069</v>
      </c>
      <c r="I125" s="24">
        <f t="shared" si="11"/>
        <v>0.64389438889073447</v>
      </c>
      <c r="J125" s="24">
        <f t="shared" si="10"/>
        <v>0.68653194798255901</v>
      </c>
      <c r="K125" s="23">
        <f t="shared" si="12"/>
        <v>714.05693548387114</v>
      </c>
      <c r="L125" s="23">
        <f t="shared" si="12"/>
        <v>345.77854838709681</v>
      </c>
      <c r="M125" s="23">
        <f t="shared" si="12"/>
        <v>1059.8354838709679</v>
      </c>
    </row>
    <row r="126" spans="1:13" x14ac:dyDescent="0.2">
      <c r="A126" s="22">
        <v>44317</v>
      </c>
      <c r="B126" s="23">
        <v>2428</v>
      </c>
      <c r="C126" s="23">
        <f>'[1]Renewable Diesel'!$AX137</f>
        <v>971</v>
      </c>
      <c r="D126" s="23">
        <f t="shared" si="7"/>
        <v>3399</v>
      </c>
      <c r="E126" s="23">
        <f>'Monthly Data'!F583</f>
        <v>148.54599999999999</v>
      </c>
      <c r="F126" s="23">
        <f>'Monthly Data'!Q583</f>
        <v>66.09</v>
      </c>
      <c r="G126" s="23">
        <f t="shared" si="8"/>
        <v>214.636</v>
      </c>
      <c r="H126" s="24">
        <f t="shared" si="9"/>
        <v>0.74436147721032397</v>
      </c>
      <c r="I126" s="24">
        <f t="shared" si="11"/>
        <v>0.82811019567456245</v>
      </c>
      <c r="J126" s="24">
        <f t="shared" si="10"/>
        <v>0.76828616259684224</v>
      </c>
      <c r="K126" s="23">
        <f t="shared" si="12"/>
        <v>620.69033333333334</v>
      </c>
      <c r="L126" s="23">
        <f t="shared" si="12"/>
        <v>166.90499999999986</v>
      </c>
      <c r="M126" s="23">
        <f t="shared" si="12"/>
        <v>787.5953333333332</v>
      </c>
    </row>
    <row r="127" spans="1:13" x14ac:dyDescent="0.2">
      <c r="A127" s="22">
        <v>44348</v>
      </c>
      <c r="B127" s="23">
        <v>2428</v>
      </c>
      <c r="C127" s="23">
        <f>'[1]Renewable Diesel'!$AX138</f>
        <v>911</v>
      </c>
      <c r="D127" s="23">
        <f t="shared" si="7"/>
        <v>3339</v>
      </c>
      <c r="E127" s="23">
        <f>'Monthly Data'!F584</f>
        <v>143.429</v>
      </c>
      <c r="F127" s="23">
        <f>'Monthly Data'!Q584</f>
        <v>61.744999999999997</v>
      </c>
      <c r="G127" s="23">
        <f t="shared" si="8"/>
        <v>205.17400000000001</v>
      </c>
      <c r="H127" s="24">
        <f t="shared" si="9"/>
        <v>0.69553575224531006</v>
      </c>
      <c r="I127" s="24">
        <f t="shared" si="11"/>
        <v>0.79802149357317376</v>
      </c>
      <c r="J127" s="24">
        <f t="shared" si="10"/>
        <v>0.72349757025959094</v>
      </c>
      <c r="K127" s="23">
        <f t="shared" si="12"/>
        <v>739.23919354838722</v>
      </c>
      <c r="L127" s="23">
        <f t="shared" si="12"/>
        <v>184.00241935483871</v>
      </c>
      <c r="M127" s="23">
        <f t="shared" si="12"/>
        <v>923.24161290322581</v>
      </c>
    </row>
    <row r="128" spans="1:13" x14ac:dyDescent="0.2">
      <c r="A128" s="22">
        <v>44378</v>
      </c>
      <c r="B128" s="23">
        <v>2430</v>
      </c>
      <c r="C128" s="23">
        <f>'[1]Renewable Diesel'!$AX139</f>
        <v>911</v>
      </c>
      <c r="D128" s="23">
        <f t="shared" si="7"/>
        <v>3341</v>
      </c>
      <c r="E128" s="23">
        <f>'Monthly Data'!F585</f>
        <v>149.16999999999999</v>
      </c>
      <c r="F128" s="23">
        <f>'Monthly Data'!Q585</f>
        <v>79.346000000000004</v>
      </c>
      <c r="G128" s="23">
        <f t="shared" si="8"/>
        <v>228.51599999999999</v>
      </c>
      <c r="H128" s="24">
        <f t="shared" si="9"/>
        <v>0.74687311385459532</v>
      </c>
      <c r="I128" s="24">
        <f t="shared" si="11"/>
        <v>1.0596886205634835</v>
      </c>
      <c r="J128" s="24">
        <f t="shared" si="10"/>
        <v>0.83216941035618075</v>
      </c>
      <c r="K128" s="23">
        <f t="shared" si="12"/>
        <v>615.09833333333336</v>
      </c>
      <c r="L128" s="23">
        <f t="shared" si="12"/>
        <v>-54.376333333333427</v>
      </c>
      <c r="M128" s="23">
        <f t="shared" si="12"/>
        <v>560.72200000000009</v>
      </c>
    </row>
    <row r="129" spans="1:13" x14ac:dyDescent="0.2">
      <c r="A129" s="22">
        <v>44409</v>
      </c>
      <c r="B129" s="23">
        <v>2430</v>
      </c>
      <c r="C129" s="23">
        <f>'[1]Renewable Diesel'!$AX140</f>
        <v>911</v>
      </c>
      <c r="D129" s="23">
        <f t="shared" si="7"/>
        <v>3341</v>
      </c>
      <c r="E129" s="23">
        <f>'Monthly Data'!F586</f>
        <v>149.50200000000001</v>
      </c>
      <c r="F129" s="23">
        <f>'Monthly Data'!Q586</f>
        <v>75.603999999999999</v>
      </c>
      <c r="G129" s="23">
        <f t="shared" si="8"/>
        <v>225.10599999999999</v>
      </c>
      <c r="H129" s="24">
        <f t="shared" si="9"/>
        <v>0.72438908801274404</v>
      </c>
      <c r="I129" s="24">
        <f t="shared" si="11"/>
        <v>0.97714174427251155</v>
      </c>
      <c r="J129" s="24">
        <f t="shared" si="10"/>
        <v>0.79330787575672723</v>
      </c>
      <c r="K129" s="23">
        <f t="shared" si="12"/>
        <v>669.73451612903193</v>
      </c>
      <c r="L129" s="23">
        <f t="shared" si="12"/>
        <v>20.823870967741978</v>
      </c>
      <c r="M129" s="23">
        <f t="shared" si="12"/>
        <v>690.55838709677437</v>
      </c>
    </row>
    <row r="130" spans="1:13" x14ac:dyDescent="0.2">
      <c r="A130" s="22">
        <v>44440</v>
      </c>
      <c r="B130" s="23">
        <v>2462</v>
      </c>
      <c r="C130" s="23">
        <f>'[1]Renewable Diesel'!$AX141</f>
        <v>911</v>
      </c>
      <c r="D130" s="23">
        <f t="shared" si="7"/>
        <v>3373</v>
      </c>
      <c r="E130" s="23">
        <f>'Monthly Data'!F587</f>
        <v>133.76499999999999</v>
      </c>
      <c r="F130" s="23">
        <f>'Monthly Data'!Q587</f>
        <v>61.459000000000003</v>
      </c>
      <c r="G130" s="23">
        <f t="shared" si="8"/>
        <v>195.22399999999999</v>
      </c>
      <c r="H130" s="24">
        <f t="shared" si="9"/>
        <v>0.6397136474411047</v>
      </c>
      <c r="I130" s="24">
        <f t="shared" si="11"/>
        <v>0.79432509472044199</v>
      </c>
      <c r="J130" s="24">
        <f t="shared" si="10"/>
        <v>0.68147203121563071</v>
      </c>
      <c r="K130" s="23">
        <f t="shared" si="12"/>
        <v>887.0250000000002</v>
      </c>
      <c r="L130" s="23">
        <f t="shared" si="12"/>
        <v>187.36983870967734</v>
      </c>
      <c r="M130" s="23">
        <f t="shared" si="12"/>
        <v>1074.3948387096775</v>
      </c>
    </row>
    <row r="131" spans="1:13" x14ac:dyDescent="0.2">
      <c r="A131" s="22">
        <v>44470</v>
      </c>
      <c r="B131" s="23">
        <v>2461</v>
      </c>
      <c r="C131" s="23">
        <f>'[1]Renewable Diesel'!$AX142</f>
        <v>1014</v>
      </c>
      <c r="D131" s="23">
        <f t="shared" ref="D131:D194" si="13">C131+B131</f>
        <v>3475</v>
      </c>
      <c r="E131" s="23">
        <f>'Monthly Data'!F588</f>
        <v>145.87200000000001</v>
      </c>
      <c r="F131" s="23">
        <f>'Monthly Data'!Q588</f>
        <v>85.155000000000001</v>
      </c>
      <c r="G131" s="23">
        <f t="shared" ref="G131:G194" si="14">SUM(E131:F131)</f>
        <v>231.02700000000002</v>
      </c>
      <c r="H131" s="24">
        <f t="shared" si="9"/>
        <v>0.72116050386021946</v>
      </c>
      <c r="I131" s="24">
        <f t="shared" si="11"/>
        <v>1.0217480276134123</v>
      </c>
      <c r="J131" s="24">
        <f t="shared" si="10"/>
        <v>0.80887151079136688</v>
      </c>
      <c r="K131" s="23">
        <f t="shared" si="12"/>
        <v>686.22399999999993</v>
      </c>
      <c r="L131" s="23">
        <f t="shared" si="12"/>
        <v>-22.052500000000098</v>
      </c>
      <c r="M131" s="23">
        <f t="shared" si="12"/>
        <v>664.17150000000015</v>
      </c>
    </row>
    <row r="132" spans="1:13" x14ac:dyDescent="0.2">
      <c r="A132" s="22">
        <v>44501</v>
      </c>
      <c r="B132" s="23">
        <v>2389</v>
      </c>
      <c r="C132" s="23">
        <f>'[1]Renewable Diesel'!$AX143</f>
        <v>1017</v>
      </c>
      <c r="D132" s="23">
        <f t="shared" si="13"/>
        <v>3406</v>
      </c>
      <c r="E132" s="23">
        <f>'Monthly Data'!F589</f>
        <v>141.10400000000001</v>
      </c>
      <c r="F132" s="23">
        <f>'Monthly Data'!Q589</f>
        <v>94.695999999999998</v>
      </c>
      <c r="G132" s="23">
        <f t="shared" si="14"/>
        <v>235.8</v>
      </c>
      <c r="H132" s="24">
        <f t="shared" ref="H132:H156" si="15">(E132/(A132-A131)*365)/B132</f>
        <v>0.69543148030624236</v>
      </c>
      <c r="I132" s="24">
        <f t="shared" si="11"/>
        <v>1.0963313984838392</v>
      </c>
      <c r="J132" s="24">
        <f t="shared" ref="J132:J195" si="16">(G132/(A132-A131)*365)/D132</f>
        <v>0.81513647642679909</v>
      </c>
      <c r="K132" s="23">
        <f t="shared" si="12"/>
        <v>727.61419354838699</v>
      </c>
      <c r="L132" s="23">
        <f t="shared" si="12"/>
        <v>-97.969032258064473</v>
      </c>
      <c r="M132" s="23">
        <f t="shared" si="12"/>
        <v>629.64516129032233</v>
      </c>
    </row>
    <row r="133" spans="1:13" x14ac:dyDescent="0.2">
      <c r="A133" s="22">
        <v>44531</v>
      </c>
      <c r="B133" s="23">
        <v>2244</v>
      </c>
      <c r="C133" s="23">
        <f>'[1]Renewable Diesel'!$AX144</f>
        <v>1106</v>
      </c>
      <c r="D133" s="23">
        <f t="shared" si="13"/>
        <v>3350</v>
      </c>
      <c r="E133" s="23">
        <f>'Monthly Data'!F590</f>
        <v>153.76300000000001</v>
      </c>
      <c r="F133" s="23">
        <f>'Monthly Data'!Q590</f>
        <v>114.236</v>
      </c>
      <c r="G133" s="23">
        <f t="shared" si="14"/>
        <v>267.99900000000002</v>
      </c>
      <c r="H133" s="24">
        <f t="shared" si="15"/>
        <v>0.83368233808674996</v>
      </c>
      <c r="I133" s="24">
        <f t="shared" si="11"/>
        <v>1.2566648583484028</v>
      </c>
      <c r="J133" s="24">
        <f t="shared" si="16"/>
        <v>0.9733297014925375</v>
      </c>
      <c r="K133" s="23">
        <f t="shared" si="12"/>
        <v>373.21683333333306</v>
      </c>
      <c r="L133" s="23">
        <f t="shared" si="12"/>
        <v>-283.8713333333335</v>
      </c>
      <c r="M133" s="23">
        <f t="shared" si="12"/>
        <v>89.345499999999362</v>
      </c>
    </row>
    <row r="134" spans="1:13" x14ac:dyDescent="0.2">
      <c r="A134" s="22">
        <v>44562</v>
      </c>
      <c r="B134" s="23">
        <v>2263</v>
      </c>
      <c r="C134" s="23">
        <f>'[1]Renewable Diesel'!$AX145</f>
        <v>1750</v>
      </c>
      <c r="D134" s="23">
        <f t="shared" si="13"/>
        <v>4013</v>
      </c>
      <c r="E134" s="23">
        <f>'Monthly Data'!F591</f>
        <v>119.98699999999999</v>
      </c>
      <c r="F134" s="23">
        <f>'Monthly Data'!Q591</f>
        <v>110.562</v>
      </c>
      <c r="G134" s="23">
        <f t="shared" si="14"/>
        <v>230.54899999999998</v>
      </c>
      <c r="H134" s="24">
        <f t="shared" si="15"/>
        <v>0.62428199791883454</v>
      </c>
      <c r="I134" s="24">
        <f t="shared" si="11"/>
        <v>0.74387336405529958</v>
      </c>
      <c r="J134" s="24">
        <f t="shared" si="16"/>
        <v>0.67643372748245623</v>
      </c>
      <c r="K134" s="23">
        <f t="shared" si="12"/>
        <v>850.24983870967742</v>
      </c>
      <c r="L134" s="23">
        <f t="shared" si="12"/>
        <v>448.22161290322572</v>
      </c>
      <c r="M134" s="23">
        <f t="shared" si="12"/>
        <v>1298.4714516129031</v>
      </c>
    </row>
    <row r="135" spans="1:13" x14ac:dyDescent="0.2">
      <c r="A135" s="22">
        <v>44593</v>
      </c>
      <c r="B135" s="23">
        <v>2285</v>
      </c>
      <c r="C135" s="23">
        <f>'[1]Renewable Diesel'!$AX146</f>
        <v>1750</v>
      </c>
      <c r="D135" s="23">
        <f t="shared" si="13"/>
        <v>4035</v>
      </c>
      <c r="E135" s="23">
        <f>'Monthly Data'!F592</f>
        <v>113.685</v>
      </c>
      <c r="F135" s="23">
        <f>'Monthly Data'!Q592</f>
        <v>96.58</v>
      </c>
      <c r="G135" s="23">
        <f t="shared" si="14"/>
        <v>210.26499999999999</v>
      </c>
      <c r="H135" s="24">
        <f t="shared" si="15"/>
        <v>0.58579833415684335</v>
      </c>
      <c r="I135" s="24">
        <f t="shared" si="11"/>
        <v>0.64980092165898606</v>
      </c>
      <c r="J135" s="24">
        <f t="shared" si="16"/>
        <v>0.61355658152456327</v>
      </c>
      <c r="K135" s="23">
        <f t="shared" si="12"/>
        <v>946.45080645161295</v>
      </c>
      <c r="L135" s="23">
        <f t="shared" si="12"/>
        <v>612.84838709677445</v>
      </c>
      <c r="M135" s="23">
        <f t="shared" si="12"/>
        <v>1559.2991935483872</v>
      </c>
    </row>
    <row r="136" spans="1:13" x14ac:dyDescent="0.2">
      <c r="A136" s="22">
        <v>44621</v>
      </c>
      <c r="B136" s="23">
        <v>2284</v>
      </c>
      <c r="C136" s="23">
        <f>'[1]Renewable Diesel'!$AX147</f>
        <v>1750</v>
      </c>
      <c r="D136" s="23">
        <f t="shared" si="13"/>
        <v>4034</v>
      </c>
      <c r="E136" s="23">
        <f>'Monthly Data'!F593</f>
        <v>132.755</v>
      </c>
      <c r="F136" s="23">
        <f>'Monthly Data'!Q593</f>
        <v>109.033</v>
      </c>
      <c r="G136" s="23">
        <f t="shared" si="14"/>
        <v>241.78800000000001</v>
      </c>
      <c r="H136" s="24">
        <f t="shared" si="15"/>
        <v>0.75768662434325751</v>
      </c>
      <c r="I136" s="24">
        <f t="shared" si="11"/>
        <v>0.81218459183673464</v>
      </c>
      <c r="J136" s="24">
        <f t="shared" si="16"/>
        <v>0.78132852893264393</v>
      </c>
      <c r="K136" s="23">
        <f t="shared" si="12"/>
        <v>553.4437499999998</v>
      </c>
      <c r="L136" s="23">
        <f t="shared" si="12"/>
        <v>328.6769642857144</v>
      </c>
      <c r="M136" s="23">
        <f t="shared" si="12"/>
        <v>882.12071428571437</v>
      </c>
    </row>
    <row r="137" spans="1:13" x14ac:dyDescent="0.2">
      <c r="A137" s="22">
        <v>44652</v>
      </c>
      <c r="B137" s="23">
        <v>2225</v>
      </c>
      <c r="C137" s="23">
        <f>'[1]Renewable Diesel'!$AX148</f>
        <v>1922</v>
      </c>
      <c r="D137" s="23">
        <f t="shared" si="13"/>
        <v>4147</v>
      </c>
      <c r="E137" s="23">
        <f>'Monthly Data'!F594</f>
        <v>126.742</v>
      </c>
      <c r="F137" s="23">
        <f>'Monthly Data'!Q594</f>
        <v>119.155</v>
      </c>
      <c r="G137" s="23">
        <f t="shared" si="14"/>
        <v>245.89699999999999</v>
      </c>
      <c r="H137" s="24">
        <f t="shared" si="15"/>
        <v>0.67068981515041681</v>
      </c>
      <c r="I137" s="24">
        <f t="shared" si="11"/>
        <v>0.72994486589909702</v>
      </c>
      <c r="J137" s="24">
        <f t="shared" si="16"/>
        <v>0.6981526093483823</v>
      </c>
      <c r="K137" s="23">
        <f t="shared" si="12"/>
        <v>732.71516129032261</v>
      </c>
      <c r="L137" s="23">
        <f t="shared" si="12"/>
        <v>519.04596774193556</v>
      </c>
      <c r="M137" s="23">
        <f t="shared" si="12"/>
        <v>1251.7611290322586</v>
      </c>
    </row>
    <row r="138" spans="1:13" x14ac:dyDescent="0.2">
      <c r="A138" s="22">
        <v>44682</v>
      </c>
      <c r="B138" s="23">
        <v>2223</v>
      </c>
      <c r="C138" s="23">
        <f>'[1]Renewable Diesel'!$AX149</f>
        <v>1947</v>
      </c>
      <c r="D138" s="23">
        <f t="shared" si="13"/>
        <v>4170</v>
      </c>
      <c r="E138" s="23">
        <f>'Monthly Data'!F595</f>
        <v>136.148</v>
      </c>
      <c r="F138" s="23">
        <f>'Monthly Data'!Q595</f>
        <v>126.352</v>
      </c>
      <c r="G138" s="23">
        <f t="shared" si="14"/>
        <v>262.5</v>
      </c>
      <c r="H138" s="24">
        <f t="shared" si="15"/>
        <v>0.74514949767581351</v>
      </c>
      <c r="I138" s="24">
        <f t="shared" ref="I138:I201" si="17">(F138/(A138-A137)*365)/C138</f>
        <v>0.78956480054785128</v>
      </c>
      <c r="J138" s="24">
        <f t="shared" si="16"/>
        <v>0.76588729016786572</v>
      </c>
      <c r="K138" s="23">
        <f t="shared" si="12"/>
        <v>566.53266666666661</v>
      </c>
      <c r="L138" s="23">
        <f t="shared" si="12"/>
        <v>409.71733333333356</v>
      </c>
      <c r="M138" s="23">
        <f t="shared" si="12"/>
        <v>976.25</v>
      </c>
    </row>
    <row r="139" spans="1:13" x14ac:dyDescent="0.2">
      <c r="A139" s="22">
        <v>44713</v>
      </c>
      <c r="B139" s="23">
        <v>2223</v>
      </c>
      <c r="C139" s="23">
        <f>'[1]Renewable Diesel'!$AX150</f>
        <v>1947</v>
      </c>
      <c r="D139" s="23">
        <f t="shared" si="13"/>
        <v>4170</v>
      </c>
      <c r="E139" s="23">
        <f>'Monthly Data'!F596</f>
        <v>137.149</v>
      </c>
      <c r="F139" s="23">
        <f>'Monthly Data'!Q596</f>
        <v>123.818</v>
      </c>
      <c r="G139" s="23">
        <f t="shared" si="14"/>
        <v>260.96699999999998</v>
      </c>
      <c r="H139" s="24">
        <f t="shared" si="15"/>
        <v>0.72641424694905177</v>
      </c>
      <c r="I139" s="24">
        <f t="shared" si="17"/>
        <v>0.74877097933959602</v>
      </c>
      <c r="J139" s="24">
        <f t="shared" si="16"/>
        <v>0.73685275005801798</v>
      </c>
      <c r="K139" s="23">
        <f t="shared" si="12"/>
        <v>608.1811290322579</v>
      </c>
      <c r="L139" s="23">
        <f t="shared" si="12"/>
        <v>489.14290322580655</v>
      </c>
      <c r="M139" s="23">
        <f t="shared" si="12"/>
        <v>1097.324032258065</v>
      </c>
    </row>
    <row r="140" spans="1:13" x14ac:dyDescent="0.2">
      <c r="A140" s="22">
        <v>44743</v>
      </c>
      <c r="B140" s="23">
        <v>2097</v>
      </c>
      <c r="C140" s="23">
        <f>'[1]Renewable Diesel'!$AX151</f>
        <v>2174</v>
      </c>
      <c r="D140" s="23">
        <f t="shared" si="13"/>
        <v>4271</v>
      </c>
      <c r="E140" s="23">
        <f>'Monthly Data'!F597</f>
        <v>146.58000000000001</v>
      </c>
      <c r="F140" s="23">
        <f>'Monthly Data'!Q597</f>
        <v>129.60300000000001</v>
      </c>
      <c r="G140" s="23">
        <f t="shared" si="14"/>
        <v>276.18299999999999</v>
      </c>
      <c r="H140" s="24">
        <f t="shared" si="15"/>
        <v>0.85044825941821656</v>
      </c>
      <c r="I140" s="24">
        <f t="shared" si="17"/>
        <v>0.72531577736890529</v>
      </c>
      <c r="J140" s="24">
        <f t="shared" si="16"/>
        <v>0.78675403886677586</v>
      </c>
      <c r="K140" s="23">
        <f t="shared" si="12"/>
        <v>313.6099999999999</v>
      </c>
      <c r="L140" s="23">
        <f t="shared" si="12"/>
        <v>597.16349999999989</v>
      </c>
      <c r="M140" s="23">
        <f t="shared" si="12"/>
        <v>910.77350000000024</v>
      </c>
    </row>
    <row r="141" spans="1:13" x14ac:dyDescent="0.2">
      <c r="A141" s="22">
        <v>44774</v>
      </c>
      <c r="B141" s="23">
        <v>2092</v>
      </c>
      <c r="C141" s="23">
        <f>'[1]Renewable Diesel'!$AX152</f>
        <v>2219</v>
      </c>
      <c r="D141" s="23">
        <f t="shared" si="13"/>
        <v>4311</v>
      </c>
      <c r="E141" s="23">
        <f>'Monthly Data'!F598</f>
        <v>147.78700000000001</v>
      </c>
      <c r="F141" s="23">
        <f>'Monthly Data'!Q598</f>
        <v>118.928</v>
      </c>
      <c r="G141" s="23">
        <f t="shared" si="14"/>
        <v>266.71500000000003</v>
      </c>
      <c r="H141" s="24">
        <f t="shared" si="15"/>
        <v>0.83177473323875906</v>
      </c>
      <c r="I141" s="24">
        <f t="shared" si="17"/>
        <v>0.63104159095204171</v>
      </c>
      <c r="J141" s="24">
        <f t="shared" si="16"/>
        <v>0.728451410869419</v>
      </c>
      <c r="K141" s="23">
        <f t="shared" si="12"/>
        <v>351.92725806451608</v>
      </c>
      <c r="L141" s="23">
        <f t="shared" si="12"/>
        <v>818.7187096774195</v>
      </c>
      <c r="M141" s="23">
        <f t="shared" si="12"/>
        <v>1170.6459677419348</v>
      </c>
    </row>
    <row r="142" spans="1:13" x14ac:dyDescent="0.2">
      <c r="A142" s="22">
        <v>44805</v>
      </c>
      <c r="B142" s="23">
        <v>2092</v>
      </c>
      <c r="C142" s="23">
        <f>'[1]Renewable Diesel'!$AX153</f>
        <v>2219</v>
      </c>
      <c r="D142" s="23">
        <f t="shared" si="13"/>
        <v>4311</v>
      </c>
      <c r="E142" s="23">
        <f>'Monthly Data'!F599</f>
        <v>140.709</v>
      </c>
      <c r="F142" s="23">
        <f>'Monthly Data'!Q599</f>
        <v>138.15199999999999</v>
      </c>
      <c r="G142" s="23">
        <f t="shared" si="14"/>
        <v>278.86099999999999</v>
      </c>
      <c r="H142" s="24">
        <f t="shared" si="15"/>
        <v>0.79193833652007639</v>
      </c>
      <c r="I142" s="24">
        <f t="shared" si="17"/>
        <v>0.73304569044469314</v>
      </c>
      <c r="J142" s="24">
        <f t="shared" si="16"/>
        <v>0.76162453887654225</v>
      </c>
      <c r="K142" s="23">
        <f t="shared" si="12"/>
        <v>435.26500000000021</v>
      </c>
      <c r="L142" s="23">
        <f t="shared" si="12"/>
        <v>592.37161290322592</v>
      </c>
      <c r="M142" s="23">
        <f t="shared" si="12"/>
        <v>1027.6366129032265</v>
      </c>
    </row>
    <row r="143" spans="1:13" x14ac:dyDescent="0.2">
      <c r="A143" s="22">
        <v>44835</v>
      </c>
      <c r="B143" s="23">
        <v>2092</v>
      </c>
      <c r="C143" s="23">
        <f>'[1]Renewable Diesel'!$AX154</f>
        <v>2219</v>
      </c>
      <c r="D143" s="23">
        <f t="shared" si="13"/>
        <v>4311</v>
      </c>
      <c r="E143" s="23">
        <f>'Monthly Data'!F600</f>
        <v>145.48400000000001</v>
      </c>
      <c r="F143" s="23">
        <f>'Monthly Data'!Q600</f>
        <v>129.33699999999999</v>
      </c>
      <c r="G143" s="23">
        <f t="shared" si="14"/>
        <v>274.82100000000003</v>
      </c>
      <c r="H143" s="24">
        <f t="shared" si="15"/>
        <v>0.8461067558954749</v>
      </c>
      <c r="I143" s="24">
        <f t="shared" si="17"/>
        <v>0.70914834009313499</v>
      </c>
      <c r="J143" s="24">
        <f t="shared" si="16"/>
        <v>0.7756101832521457</v>
      </c>
      <c r="K143" s="23">
        <f t="shared" si="12"/>
        <v>321.94466666666648</v>
      </c>
      <c r="L143" s="23">
        <f t="shared" si="12"/>
        <v>645.3998333333335</v>
      </c>
      <c r="M143" s="23">
        <f t="shared" si="12"/>
        <v>967.34449999999993</v>
      </c>
    </row>
    <row r="144" spans="1:13" x14ac:dyDescent="0.2">
      <c r="A144" s="22">
        <v>44866</v>
      </c>
      <c r="B144" s="23">
        <v>2092</v>
      </c>
      <c r="C144" s="23">
        <f>'[1]Renewable Diesel'!$AX155</f>
        <v>2755</v>
      </c>
      <c r="D144" s="23">
        <f t="shared" si="13"/>
        <v>4847</v>
      </c>
      <c r="E144" s="23">
        <f>'Monthly Data'!F601</f>
        <v>142.108</v>
      </c>
      <c r="F144" s="23">
        <f>'Monthly Data'!Q601</f>
        <v>145.535</v>
      </c>
      <c r="G144" s="23">
        <f t="shared" si="14"/>
        <v>287.64300000000003</v>
      </c>
      <c r="H144" s="24">
        <f t="shared" si="15"/>
        <v>0.7998121877505705</v>
      </c>
      <c r="I144" s="24">
        <f t="shared" si="17"/>
        <v>0.62198085592178443</v>
      </c>
      <c r="J144" s="24">
        <f t="shared" si="16"/>
        <v>0.69873413551448527</v>
      </c>
      <c r="K144" s="23">
        <f t="shared" si="12"/>
        <v>418.79290322580653</v>
      </c>
      <c r="L144" s="23">
        <f t="shared" si="12"/>
        <v>1041.4427419354838</v>
      </c>
      <c r="M144" s="23">
        <f t="shared" si="12"/>
        <v>1460.23564516129</v>
      </c>
    </row>
    <row r="145" spans="1:13" x14ac:dyDescent="0.2">
      <c r="A145" s="22">
        <v>44896</v>
      </c>
      <c r="B145" s="23">
        <v>2090</v>
      </c>
      <c r="C145" s="23">
        <f>'[1]Renewable Diesel'!$AX156</f>
        <v>2939</v>
      </c>
      <c r="D145" s="23">
        <f t="shared" si="13"/>
        <v>5029</v>
      </c>
      <c r="E145" s="23">
        <f>'Monthly Data'!F602</f>
        <v>132.893</v>
      </c>
      <c r="F145" s="23">
        <f>'Monthly Data'!Q602</f>
        <v>152</v>
      </c>
      <c r="G145" s="23">
        <f t="shared" si="14"/>
        <v>284.89300000000003</v>
      </c>
      <c r="H145" s="24">
        <f t="shared" si="15"/>
        <v>0.77361953748006373</v>
      </c>
      <c r="I145" s="24">
        <f t="shared" si="17"/>
        <v>0.62923897017126007</v>
      </c>
      <c r="J145" s="24">
        <f t="shared" si="16"/>
        <v>0.68924202956187453</v>
      </c>
      <c r="K145" s="23">
        <f t="shared" si="12"/>
        <v>473.13516666666681</v>
      </c>
      <c r="L145" s="23">
        <f t="shared" si="12"/>
        <v>1089.6666666666667</v>
      </c>
      <c r="M145" s="23">
        <f t="shared" si="12"/>
        <v>1562.801833333333</v>
      </c>
    </row>
    <row r="146" spans="1:13" x14ac:dyDescent="0.2">
      <c r="A146" s="22">
        <v>44927</v>
      </c>
      <c r="B146" s="23">
        <v>2051</v>
      </c>
      <c r="C146" s="23">
        <f>'[1]Renewable Diesel'!$AX157</f>
        <v>2999</v>
      </c>
      <c r="D146" s="23">
        <f t="shared" si="13"/>
        <v>5050</v>
      </c>
      <c r="E146" s="23">
        <f>'Monthly Data'!F603</f>
        <v>136.18199999999999</v>
      </c>
      <c r="F146" s="23">
        <f>'Monthly Data'!Q603</f>
        <v>167.96</v>
      </c>
      <c r="G146" s="23">
        <f t="shared" si="14"/>
        <v>304.142</v>
      </c>
      <c r="H146" s="24">
        <f t="shared" si="15"/>
        <v>0.78178119249461309</v>
      </c>
      <c r="I146" s="24">
        <f t="shared" si="17"/>
        <v>0.65941765534748142</v>
      </c>
      <c r="J146" s="24">
        <f t="shared" si="16"/>
        <v>0.70911421271159381</v>
      </c>
      <c r="K146" s="23">
        <f t="shared" si="12"/>
        <v>447.56677419354855</v>
      </c>
      <c r="L146" s="23">
        <f t="shared" si="12"/>
        <v>1021.4064516129032</v>
      </c>
      <c r="M146" s="23">
        <f t="shared" si="12"/>
        <v>1468.9732258064512</v>
      </c>
    </row>
    <row r="147" spans="1:13" x14ac:dyDescent="0.2">
      <c r="A147" s="22">
        <v>44958</v>
      </c>
      <c r="B147" s="23">
        <v>2063</v>
      </c>
      <c r="C147" s="23">
        <f>'[1]Renewable Diesel'!$AX158</f>
        <v>3278</v>
      </c>
      <c r="D147" s="23">
        <f t="shared" si="13"/>
        <v>5341</v>
      </c>
      <c r="E147" s="23">
        <f>'Monthly Data'!F604</f>
        <v>119.291</v>
      </c>
      <c r="F147" s="23">
        <f>'Monthly Data'!Q604</f>
        <v>157.905</v>
      </c>
      <c r="G147" s="23">
        <f t="shared" si="14"/>
        <v>277.19600000000003</v>
      </c>
      <c r="H147" s="24">
        <f t="shared" si="15"/>
        <v>0.68083146998577082</v>
      </c>
      <c r="I147" s="24">
        <f t="shared" si="17"/>
        <v>0.56717633686945224</v>
      </c>
      <c r="J147" s="24">
        <f t="shared" si="16"/>
        <v>0.61107645662585841</v>
      </c>
      <c r="K147" s="23">
        <f t="shared" ref="K147:M210" si="18">((1-H147)*B147)</f>
        <v>658.44467741935478</v>
      </c>
      <c r="L147" s="23">
        <f t="shared" si="18"/>
        <v>1418.7959677419356</v>
      </c>
      <c r="M147" s="23">
        <f t="shared" si="18"/>
        <v>2077.2406451612901</v>
      </c>
    </row>
    <row r="148" spans="1:13" x14ac:dyDescent="0.2">
      <c r="A148" s="22">
        <v>44986</v>
      </c>
      <c r="B148" s="23">
        <v>2087</v>
      </c>
      <c r="C148" s="23">
        <f>'[1]Renewable Diesel'!$AX159</f>
        <v>3278</v>
      </c>
      <c r="D148" s="23">
        <f t="shared" si="13"/>
        <v>5365</v>
      </c>
      <c r="E148" s="23">
        <f>'Monthly Data'!F605</f>
        <v>139.643</v>
      </c>
      <c r="F148" s="23">
        <f>'Monthly Data'!Q605</f>
        <v>198.136</v>
      </c>
      <c r="G148" s="23">
        <f t="shared" si="14"/>
        <v>337.779</v>
      </c>
      <c r="H148" s="24">
        <f t="shared" si="15"/>
        <v>0.87223107331097272</v>
      </c>
      <c r="I148" s="24">
        <f t="shared" si="17"/>
        <v>0.78793297306720134</v>
      </c>
      <c r="J148" s="24">
        <f t="shared" si="16"/>
        <v>0.82072516975103182</v>
      </c>
      <c r="K148" s="23">
        <f t="shared" si="18"/>
        <v>266.65374999999995</v>
      </c>
      <c r="L148" s="23">
        <f t="shared" si="18"/>
        <v>695.155714285714</v>
      </c>
      <c r="M148" s="23">
        <f t="shared" si="18"/>
        <v>961.80946428571428</v>
      </c>
    </row>
    <row r="149" spans="1:13" x14ac:dyDescent="0.2">
      <c r="A149" s="22">
        <v>45017</v>
      </c>
      <c r="B149" s="23">
        <v>2087</v>
      </c>
      <c r="C149" s="23">
        <f>'[1]Renewable Diesel'!$AX160</f>
        <v>3278</v>
      </c>
      <c r="D149" s="23">
        <f t="shared" si="13"/>
        <v>5365</v>
      </c>
      <c r="E149" s="23">
        <f>'Monthly Data'!F606</f>
        <v>132.86799999999999</v>
      </c>
      <c r="F149" s="23">
        <f>'Monthly Data'!Q606</f>
        <v>202.45099999999999</v>
      </c>
      <c r="G149" s="23">
        <f t="shared" si="14"/>
        <v>335.31899999999996</v>
      </c>
      <c r="H149" s="24">
        <f t="shared" si="15"/>
        <v>0.74959920861863771</v>
      </c>
      <c r="I149" s="24">
        <f t="shared" si="17"/>
        <v>0.72718037158771087</v>
      </c>
      <c r="J149" s="24">
        <f t="shared" si="16"/>
        <v>0.73590136187355315</v>
      </c>
      <c r="K149" s="23">
        <f t="shared" si="18"/>
        <v>522.58645161290315</v>
      </c>
      <c r="L149" s="23">
        <f t="shared" si="18"/>
        <v>894.30274193548371</v>
      </c>
      <c r="M149" s="23">
        <f t="shared" si="18"/>
        <v>1416.8891935483873</v>
      </c>
    </row>
    <row r="150" spans="1:13" x14ac:dyDescent="0.2">
      <c r="A150" s="22">
        <v>45047</v>
      </c>
      <c r="B150" s="23">
        <v>2082</v>
      </c>
      <c r="C150" s="23">
        <f>'[1]Renewable Diesel'!$AX161</f>
        <v>3278</v>
      </c>
      <c r="D150" s="23">
        <f t="shared" si="13"/>
        <v>5360</v>
      </c>
      <c r="E150" s="23">
        <f>'Monthly Data'!F607</f>
        <v>156.309</v>
      </c>
      <c r="F150" s="23">
        <f>'Monthly Data'!Q607</f>
        <v>224.91300000000001</v>
      </c>
      <c r="G150" s="23">
        <f t="shared" si="14"/>
        <v>381.22199999999998</v>
      </c>
      <c r="H150" s="24">
        <f t="shared" si="15"/>
        <v>0.91342915465898178</v>
      </c>
      <c r="I150" s="24">
        <f t="shared" si="17"/>
        <v>0.83478996339231248</v>
      </c>
      <c r="J150" s="24">
        <f t="shared" si="16"/>
        <v>0.86533600746268657</v>
      </c>
      <c r="K150" s="23">
        <f t="shared" si="18"/>
        <v>180.24049999999994</v>
      </c>
      <c r="L150" s="23">
        <f t="shared" si="18"/>
        <v>541.55849999999964</v>
      </c>
      <c r="M150" s="23">
        <f t="shared" si="18"/>
        <v>721.79899999999998</v>
      </c>
    </row>
    <row r="151" spans="1:13" x14ac:dyDescent="0.2">
      <c r="A151" s="22">
        <v>45078</v>
      </c>
      <c r="B151" s="23">
        <v>2082</v>
      </c>
      <c r="C151" s="23">
        <f>'[1]Renewable Diesel'!$AX162</f>
        <v>3700</v>
      </c>
      <c r="D151" s="23">
        <f t="shared" si="13"/>
        <v>5782</v>
      </c>
      <c r="E151" s="23">
        <f>'Monthly Data'!F608</f>
        <v>152.71299999999999</v>
      </c>
      <c r="F151" s="23">
        <f>'Monthly Data'!Q608</f>
        <v>230.51499999999999</v>
      </c>
      <c r="G151" s="23">
        <f t="shared" si="14"/>
        <v>383.22799999999995</v>
      </c>
      <c r="H151" s="24">
        <f t="shared" si="15"/>
        <v>0.8636274828793653</v>
      </c>
      <c r="I151" s="24">
        <f t="shared" si="17"/>
        <v>0.73354816913687881</v>
      </c>
      <c r="J151" s="24">
        <f t="shared" si="16"/>
        <v>0.7803875207819595</v>
      </c>
      <c r="K151" s="23">
        <f t="shared" si="18"/>
        <v>283.92758064516141</v>
      </c>
      <c r="L151" s="23">
        <f t="shared" si="18"/>
        <v>985.87177419354839</v>
      </c>
      <c r="M151" s="23">
        <f t="shared" si="18"/>
        <v>1269.7993548387101</v>
      </c>
    </row>
    <row r="152" spans="1:13" x14ac:dyDescent="0.2">
      <c r="A152" s="22">
        <v>45108</v>
      </c>
      <c r="B152" s="23">
        <v>2080</v>
      </c>
      <c r="C152" s="23">
        <f>'[1]Renewable Diesel'!$AX163</f>
        <v>3704</v>
      </c>
      <c r="D152" s="23">
        <f t="shared" si="13"/>
        <v>5784</v>
      </c>
      <c r="E152" s="23">
        <f>'Monthly Data'!F609</f>
        <v>151.703</v>
      </c>
      <c r="F152" s="23">
        <f>'Monthly Data'!Q609</f>
        <v>213.601</v>
      </c>
      <c r="G152" s="23">
        <f t="shared" si="14"/>
        <v>365.30399999999997</v>
      </c>
      <c r="H152" s="24">
        <f t="shared" si="15"/>
        <v>0.88736530448717943</v>
      </c>
      <c r="I152" s="24">
        <f t="shared" si="17"/>
        <v>0.70162315514758822</v>
      </c>
      <c r="J152" s="24">
        <f t="shared" si="16"/>
        <v>0.76841839557399705</v>
      </c>
      <c r="K152" s="23">
        <f t="shared" si="18"/>
        <v>234.28016666666679</v>
      </c>
      <c r="L152" s="23">
        <f t="shared" si="18"/>
        <v>1105.1878333333332</v>
      </c>
      <c r="M152" s="23">
        <f t="shared" si="18"/>
        <v>1339.468000000001</v>
      </c>
    </row>
    <row r="153" spans="1:13" x14ac:dyDescent="0.2">
      <c r="A153" s="22">
        <v>45139</v>
      </c>
      <c r="B153" s="23">
        <v>2080</v>
      </c>
      <c r="C153" s="23">
        <f>'[1]Renewable Diesel'!$AX164</f>
        <v>3704</v>
      </c>
      <c r="D153" s="23">
        <f t="shared" si="13"/>
        <v>5784</v>
      </c>
      <c r="E153" s="23">
        <f>'Monthly Data'!F610</f>
        <v>145.233</v>
      </c>
      <c r="F153" s="23">
        <f>'Monthly Data'!Q610</f>
        <v>240.79599999999999</v>
      </c>
      <c r="G153" s="23">
        <f t="shared" si="14"/>
        <v>386.029</v>
      </c>
      <c r="H153" s="24">
        <f t="shared" si="15"/>
        <v>0.82211608250620338</v>
      </c>
      <c r="I153" s="24">
        <f t="shared" si="17"/>
        <v>0.76543701665157104</v>
      </c>
      <c r="J153" s="24">
        <f t="shared" si="16"/>
        <v>0.78581952996029092</v>
      </c>
      <c r="K153" s="23">
        <f t="shared" si="18"/>
        <v>369.99854838709695</v>
      </c>
      <c r="L153" s="23">
        <f t="shared" si="18"/>
        <v>868.82129032258081</v>
      </c>
      <c r="M153" s="23">
        <f t="shared" si="18"/>
        <v>1238.8198387096772</v>
      </c>
    </row>
    <row r="154" spans="1:13" x14ac:dyDescent="0.2">
      <c r="A154" s="22">
        <v>45170</v>
      </c>
      <c r="B154" s="23">
        <v>2070</v>
      </c>
      <c r="C154" s="23">
        <f>'[1]Renewable Diesel'!$AX165</f>
        <v>3704</v>
      </c>
      <c r="D154" s="23">
        <f t="shared" si="13"/>
        <v>5774</v>
      </c>
      <c r="E154" s="23">
        <f>'Monthly Data'!F611</f>
        <v>144.37700000000001</v>
      </c>
      <c r="F154" s="23">
        <f>'Monthly Data'!Q611</f>
        <v>250.39</v>
      </c>
      <c r="G154" s="23">
        <f t="shared" si="14"/>
        <v>394.767</v>
      </c>
      <c r="H154" s="24">
        <f t="shared" si="15"/>
        <v>0.82121871591086182</v>
      </c>
      <c r="I154" s="24">
        <f t="shared" si="17"/>
        <v>0.79593421235978534</v>
      </c>
      <c r="J154" s="24">
        <f t="shared" si="16"/>
        <v>0.80499879884241932</v>
      </c>
      <c r="K154" s="23">
        <f t="shared" si="18"/>
        <v>370.07725806451606</v>
      </c>
      <c r="L154" s="23">
        <f t="shared" si="18"/>
        <v>755.85967741935508</v>
      </c>
      <c r="M154" s="23">
        <f t="shared" si="18"/>
        <v>1125.9369354838709</v>
      </c>
    </row>
    <row r="155" spans="1:13" x14ac:dyDescent="0.2">
      <c r="A155" s="22">
        <v>45200</v>
      </c>
      <c r="B155" s="23">
        <v>2079</v>
      </c>
      <c r="C155" s="23">
        <f>'[1]Renewable Diesel'!$AX166</f>
        <v>3857</v>
      </c>
      <c r="D155" s="23">
        <f t="shared" si="13"/>
        <v>5936</v>
      </c>
      <c r="E155" s="23">
        <f>'Monthly Data'!F612</f>
        <v>146.773</v>
      </c>
      <c r="F155" s="23">
        <f>'Monthly Data'!Q612</f>
        <v>213.96</v>
      </c>
      <c r="G155" s="23">
        <f t="shared" si="14"/>
        <v>360.733</v>
      </c>
      <c r="H155" s="24">
        <f t="shared" si="15"/>
        <v>0.85894091710758369</v>
      </c>
      <c r="I155" s="24">
        <f t="shared" si="17"/>
        <v>0.67492351568576625</v>
      </c>
      <c r="J155" s="24">
        <f t="shared" si="16"/>
        <v>0.73937300651392623</v>
      </c>
      <c r="K155" s="23">
        <f t="shared" si="18"/>
        <v>293.26183333333353</v>
      </c>
      <c r="L155" s="23">
        <f t="shared" si="18"/>
        <v>1253.8199999999995</v>
      </c>
      <c r="M155" s="23">
        <f t="shared" si="18"/>
        <v>1547.0818333333339</v>
      </c>
    </row>
    <row r="156" spans="1:13" x14ac:dyDescent="0.2">
      <c r="A156" s="22">
        <v>45231</v>
      </c>
      <c r="B156" s="23">
        <v>2079</v>
      </c>
      <c r="C156" s="23">
        <f>'[1]Renewable Diesel'!$AX167</f>
        <v>3897</v>
      </c>
      <c r="D156" s="23">
        <f t="shared" si="13"/>
        <v>5976</v>
      </c>
      <c r="E156" s="23">
        <f>'Monthly Data'!F613</f>
        <v>135.68700000000001</v>
      </c>
      <c r="F156" s="23">
        <f>'Monthly Data'!Q613</f>
        <v>226.27799999999999</v>
      </c>
      <c r="G156" s="23">
        <f t="shared" si="14"/>
        <v>361.96500000000003</v>
      </c>
      <c r="H156" s="24">
        <f t="shared" si="15"/>
        <v>0.7684487734487736</v>
      </c>
      <c r="I156" s="24">
        <f t="shared" si="17"/>
        <v>0.68366460552782538</v>
      </c>
      <c r="J156" s="24">
        <f t="shared" si="16"/>
        <v>0.71316030250032392</v>
      </c>
      <c r="K156" s="23">
        <f t="shared" si="18"/>
        <v>481.3949999999997</v>
      </c>
      <c r="L156" s="23">
        <f t="shared" si="18"/>
        <v>1232.7590322580645</v>
      </c>
      <c r="M156" s="23">
        <f t="shared" si="18"/>
        <v>1714.1540322580643</v>
      </c>
    </row>
    <row r="157" spans="1:13" x14ac:dyDescent="0.2">
      <c r="A157" s="22">
        <v>45261</v>
      </c>
      <c r="B157" s="23">
        <v>2073</v>
      </c>
      <c r="C157" s="23">
        <f>'[1]Renewable Diesel'!$AX168</f>
        <v>3857</v>
      </c>
      <c r="D157" s="23">
        <f t="shared" si="13"/>
        <v>5930</v>
      </c>
      <c r="E157" s="23">
        <f>'Monthly Data'!F614</f>
        <v>138.01400000000001</v>
      </c>
      <c r="F157" s="23">
        <f>'Monthly Data'!Q614</f>
        <v>272.69400000000002</v>
      </c>
      <c r="G157" s="23">
        <f t="shared" si="14"/>
        <v>410.70800000000003</v>
      </c>
      <c r="H157" s="24">
        <f t="shared" ref="H157:I168" si="19">E157/(B157/12)</f>
        <v>0.79892329956584662</v>
      </c>
      <c r="I157" s="24">
        <f t="shared" si="19"/>
        <v>0.84841275602800104</v>
      </c>
      <c r="J157" s="24">
        <f t="shared" si="16"/>
        <v>0.8426555368184373</v>
      </c>
      <c r="K157" s="23">
        <f t="shared" si="18"/>
        <v>416.83199999999994</v>
      </c>
      <c r="L157" s="23">
        <f t="shared" si="18"/>
        <v>584.67200000000003</v>
      </c>
      <c r="M157" s="23">
        <f t="shared" si="18"/>
        <v>933.05266666666682</v>
      </c>
    </row>
    <row r="158" spans="1:13" x14ac:dyDescent="0.2">
      <c r="A158" s="22">
        <v>45292</v>
      </c>
      <c r="B158" s="23">
        <v>2073</v>
      </c>
      <c r="C158" s="23">
        <f>'[1]Renewable Diesel'!$AX169</f>
        <v>3857</v>
      </c>
      <c r="D158" s="23">
        <f t="shared" si="13"/>
        <v>5930</v>
      </c>
      <c r="E158" s="23">
        <f>BD!Y25</f>
        <v>121.80522999999999</v>
      </c>
      <c r="F158" s="23">
        <f>RD!Y24</f>
        <v>230.210264</v>
      </c>
      <c r="G158" s="23">
        <f t="shared" si="14"/>
        <v>352.01549399999999</v>
      </c>
      <c r="H158" s="24">
        <f t="shared" si="19"/>
        <v>0.70509539797395071</v>
      </c>
      <c r="I158" s="24">
        <f t="shared" si="19"/>
        <v>0.71623623749027732</v>
      </c>
      <c r="J158" s="24">
        <f t="shared" ref="J158:J168" si="20">(G158/(D158/12))</f>
        <v>0.7123416404721753</v>
      </c>
      <c r="K158" s="23">
        <f t="shared" si="18"/>
        <v>611.33724000000018</v>
      </c>
      <c r="L158" s="23">
        <f t="shared" si="18"/>
        <v>1094.4768320000003</v>
      </c>
      <c r="M158" s="23">
        <f t="shared" si="18"/>
        <v>1705.8140720000006</v>
      </c>
    </row>
    <row r="159" spans="1:13" x14ac:dyDescent="0.2">
      <c r="A159" s="22">
        <v>45323</v>
      </c>
      <c r="B159" s="23">
        <v>1984</v>
      </c>
      <c r="C159" s="23">
        <f>'[1]Renewable Diesel'!$AX170</f>
        <v>3857</v>
      </c>
      <c r="D159" s="23">
        <f t="shared" si="13"/>
        <v>5841</v>
      </c>
      <c r="E159" s="23">
        <f>BD!Y26</f>
        <v>126.446027</v>
      </c>
      <c r="F159" s="23">
        <f>RD!Y25</f>
        <v>230.07363599999999</v>
      </c>
      <c r="G159" s="23">
        <f t="shared" si="14"/>
        <v>356.51966299999998</v>
      </c>
      <c r="H159" s="24">
        <f t="shared" si="19"/>
        <v>0.76479451814516131</v>
      </c>
      <c r="I159" s="24">
        <f t="shared" si="19"/>
        <v>0.71581115685766128</v>
      </c>
      <c r="J159" s="24">
        <f t="shared" si="20"/>
        <v>0.73244923061119671</v>
      </c>
      <c r="K159" s="23">
        <f t="shared" si="18"/>
        <v>466.64767599999999</v>
      </c>
      <c r="L159" s="23">
        <f t="shared" si="18"/>
        <v>1096.1163680000004</v>
      </c>
      <c r="M159" s="23">
        <f t="shared" si="18"/>
        <v>1562.764044</v>
      </c>
    </row>
    <row r="160" spans="1:13" x14ac:dyDescent="0.2">
      <c r="A160" s="22">
        <v>45352</v>
      </c>
      <c r="B160" s="23">
        <v>1984</v>
      </c>
      <c r="C160" s="23">
        <f>'[1]Renewable Diesel'!$AX171</f>
        <v>3857</v>
      </c>
      <c r="D160" s="23">
        <f t="shared" si="13"/>
        <v>5841</v>
      </c>
      <c r="E160" s="23">
        <f>BD!Y27</f>
        <v>134.36258799999999</v>
      </c>
      <c r="F160" s="23">
        <f>RD!Y26</f>
        <v>215.237303</v>
      </c>
      <c r="G160" s="23">
        <f t="shared" si="14"/>
        <v>349.59989099999996</v>
      </c>
      <c r="H160" s="24">
        <f t="shared" si="19"/>
        <v>0.81267694354838693</v>
      </c>
      <c r="I160" s="24">
        <f t="shared" si="19"/>
        <v>0.66965196681358563</v>
      </c>
      <c r="J160" s="24">
        <f t="shared" si="20"/>
        <v>0.7182329553158705</v>
      </c>
      <c r="K160" s="23">
        <f t="shared" si="18"/>
        <v>371.64894400000031</v>
      </c>
      <c r="L160" s="23">
        <f t="shared" si="18"/>
        <v>1274.1523640000003</v>
      </c>
      <c r="M160" s="23">
        <f t="shared" si="18"/>
        <v>1645.8013080000003</v>
      </c>
    </row>
    <row r="161" spans="1:13" x14ac:dyDescent="0.2">
      <c r="A161" s="22">
        <v>45383</v>
      </c>
      <c r="B161" s="23">
        <v>1991</v>
      </c>
      <c r="C161" s="23">
        <f>'[1]Renewable Diesel'!$AX172</f>
        <v>4129</v>
      </c>
      <c r="D161" s="23">
        <f t="shared" si="13"/>
        <v>6120</v>
      </c>
      <c r="E161" s="23">
        <f>BD!Y28</f>
        <v>136.033783</v>
      </c>
      <c r="F161" s="23">
        <f>RD!Y27</f>
        <v>283.18935699999997</v>
      </c>
      <c r="G161" s="23">
        <f t="shared" si="14"/>
        <v>419.22313999999994</v>
      </c>
      <c r="H161" s="24">
        <f t="shared" si="19"/>
        <v>0.81989221295831249</v>
      </c>
      <c r="I161" s="24">
        <f t="shared" si="19"/>
        <v>0.82302549866795827</v>
      </c>
      <c r="J161" s="24">
        <f t="shared" si="20"/>
        <v>0.82200615686274503</v>
      </c>
      <c r="K161" s="23">
        <f t="shared" si="18"/>
        <v>358.59460399999983</v>
      </c>
      <c r="L161" s="23">
        <f t="shared" si="18"/>
        <v>730.72771600000033</v>
      </c>
      <c r="M161" s="23">
        <f t="shared" si="18"/>
        <v>1089.3223200000004</v>
      </c>
    </row>
    <row r="162" spans="1:13" x14ac:dyDescent="0.2">
      <c r="A162" s="22">
        <v>45413</v>
      </c>
      <c r="B162" s="23">
        <v>2022</v>
      </c>
      <c r="C162" s="23">
        <f>'[1]Renewable Diesel'!$AX173</f>
        <v>4575</v>
      </c>
      <c r="D162" s="23">
        <f t="shared" si="13"/>
        <v>6597</v>
      </c>
      <c r="E162" s="23">
        <f>BD!Y29</f>
        <v>143.48496700000001</v>
      </c>
      <c r="F162" s="23">
        <f>RD!Y28</f>
        <v>220.40273500000001</v>
      </c>
      <c r="G162" s="23">
        <f t="shared" si="14"/>
        <v>363.88770199999999</v>
      </c>
      <c r="H162" s="24">
        <f t="shared" si="19"/>
        <v>0.85154283086053417</v>
      </c>
      <c r="I162" s="24">
        <f t="shared" si="19"/>
        <v>0.57810553442622947</v>
      </c>
      <c r="J162" s="24">
        <f t="shared" si="20"/>
        <v>0.66191487403365168</v>
      </c>
      <c r="K162" s="23">
        <f t="shared" si="18"/>
        <v>300.18039599999992</v>
      </c>
      <c r="L162" s="23">
        <f t="shared" si="18"/>
        <v>1930.1671800000001</v>
      </c>
      <c r="M162" s="23">
        <f t="shared" si="18"/>
        <v>2230.3475759999997</v>
      </c>
    </row>
    <row r="163" spans="1:13" x14ac:dyDescent="0.2">
      <c r="A163" s="22">
        <v>45444</v>
      </c>
      <c r="B163" s="23">
        <v>2022</v>
      </c>
      <c r="C163" s="23">
        <f>'[1]Renewable Diesel'!$AX174</f>
        <v>4897</v>
      </c>
      <c r="D163" s="23">
        <f t="shared" si="13"/>
        <v>6919</v>
      </c>
      <c r="E163" s="23">
        <f>BD!Y30</f>
        <v>135.25250299999999</v>
      </c>
      <c r="F163" s="23">
        <f>RD!Y29</f>
        <v>282.589564</v>
      </c>
      <c r="G163" s="23">
        <f t="shared" si="14"/>
        <v>417.84206699999999</v>
      </c>
      <c r="H163" s="24">
        <f t="shared" si="19"/>
        <v>0.80268547774480703</v>
      </c>
      <c r="I163" s="24">
        <f t="shared" si="19"/>
        <v>0.69248004247498474</v>
      </c>
      <c r="J163" s="24">
        <f t="shared" si="20"/>
        <v>0.72468634253504838</v>
      </c>
      <c r="K163" s="23">
        <f t="shared" si="18"/>
        <v>398.96996400000018</v>
      </c>
      <c r="L163" s="23">
        <f t="shared" si="18"/>
        <v>1505.9252319999998</v>
      </c>
      <c r="M163" s="23">
        <f t="shared" si="18"/>
        <v>1904.8951960000002</v>
      </c>
    </row>
    <row r="164" spans="1:13" x14ac:dyDescent="0.2">
      <c r="A164" s="22">
        <v>45474</v>
      </c>
      <c r="B164" s="23">
        <v>2022</v>
      </c>
      <c r="C164" s="23">
        <f>'[1]Renewable Diesel'!$AX175</f>
        <v>4598</v>
      </c>
      <c r="D164" s="23">
        <f t="shared" si="13"/>
        <v>6620</v>
      </c>
      <c r="E164" s="23">
        <f>BD!Y31</f>
        <v>145.55825100000001</v>
      </c>
      <c r="F164" s="23">
        <f>RD!Y30</f>
        <v>292.48618900000002</v>
      </c>
      <c r="G164" s="23">
        <f t="shared" si="14"/>
        <v>438.04444000000001</v>
      </c>
      <c r="H164" s="24">
        <f t="shared" si="19"/>
        <v>0.86384718694362028</v>
      </c>
      <c r="I164" s="24">
        <f t="shared" si="19"/>
        <v>0.76333933623314487</v>
      </c>
      <c r="J164" s="24">
        <f t="shared" si="20"/>
        <v>0.79403825981873122</v>
      </c>
      <c r="K164" s="23">
        <f t="shared" si="18"/>
        <v>275.30098799999979</v>
      </c>
      <c r="L164" s="23">
        <f t="shared" si="18"/>
        <v>1088.1657319999999</v>
      </c>
      <c r="M164" s="23">
        <f t="shared" si="18"/>
        <v>1363.4667199999994</v>
      </c>
    </row>
    <row r="165" spans="1:13" x14ac:dyDescent="0.2">
      <c r="A165" s="22">
        <v>45505</v>
      </c>
      <c r="B165" s="23">
        <v>1995</v>
      </c>
      <c r="C165" s="23">
        <f>'[1]Renewable Diesel'!$AX176</f>
        <v>4598</v>
      </c>
      <c r="D165" s="23">
        <f t="shared" si="13"/>
        <v>6593</v>
      </c>
      <c r="E165" s="23">
        <f>BD!Y32</f>
        <v>138.60076799999999</v>
      </c>
      <c r="F165" s="23">
        <f>RD!Y31</f>
        <v>260.49037299999998</v>
      </c>
      <c r="G165" s="23">
        <f t="shared" si="14"/>
        <v>399.09114099999999</v>
      </c>
      <c r="H165" s="24">
        <f t="shared" si="19"/>
        <v>0.8336888300751879</v>
      </c>
      <c r="I165" s="24">
        <f t="shared" si="19"/>
        <v>0.6798356842105262</v>
      </c>
      <c r="J165" s="24">
        <f t="shared" si="20"/>
        <v>0.72639067071136054</v>
      </c>
      <c r="K165" s="23">
        <f t="shared" si="18"/>
        <v>331.79078400000014</v>
      </c>
      <c r="L165" s="23">
        <f t="shared" si="18"/>
        <v>1472.1155240000005</v>
      </c>
      <c r="M165" s="23">
        <f t="shared" si="18"/>
        <v>1803.9063079999999</v>
      </c>
    </row>
    <row r="166" spans="1:13" x14ac:dyDescent="0.2">
      <c r="A166" s="22">
        <v>45536</v>
      </c>
      <c r="B166" s="23">
        <v>1995</v>
      </c>
      <c r="C166" s="23">
        <f>'[1]Renewable Diesel'!$AX177</f>
        <v>4580</v>
      </c>
      <c r="D166" s="23">
        <f t="shared" si="13"/>
        <v>6575</v>
      </c>
      <c r="E166" s="23">
        <f>BD!Y33</f>
        <v>132.467476</v>
      </c>
      <c r="F166" s="23">
        <f>RD!Y32</f>
        <v>257.92793699999999</v>
      </c>
      <c r="G166" s="23">
        <f t="shared" si="14"/>
        <v>390.39541299999996</v>
      </c>
      <c r="H166" s="24">
        <f t="shared" si="19"/>
        <v>0.79679684812030083</v>
      </c>
      <c r="I166" s="24">
        <f t="shared" si="19"/>
        <v>0.67579372139737981</v>
      </c>
      <c r="J166" s="24">
        <f t="shared" si="20"/>
        <v>0.71250873855513308</v>
      </c>
      <c r="K166" s="23">
        <f t="shared" si="18"/>
        <v>405.39028799999983</v>
      </c>
      <c r="L166" s="23">
        <f t="shared" si="18"/>
        <v>1484.8647560000004</v>
      </c>
      <c r="M166" s="23">
        <f t="shared" si="18"/>
        <v>1890.255044</v>
      </c>
    </row>
    <row r="167" spans="1:13" x14ac:dyDescent="0.2">
      <c r="A167" s="22">
        <v>45566</v>
      </c>
      <c r="B167" s="23">
        <v>1995</v>
      </c>
      <c r="C167" s="23">
        <f>'[1]Renewable Diesel'!$AX178</f>
        <v>4235.9999999999991</v>
      </c>
      <c r="D167" s="23">
        <f t="shared" si="13"/>
        <v>6230.9999999999991</v>
      </c>
      <c r="E167" s="23">
        <f>BD!Y34</f>
        <v>147.634604</v>
      </c>
      <c r="F167" s="23">
        <f>RD!Y33</f>
        <v>289.55729300000002</v>
      </c>
      <c r="G167" s="23">
        <f t="shared" si="14"/>
        <v>437.19189700000004</v>
      </c>
      <c r="H167" s="24">
        <f t="shared" si="19"/>
        <v>0.88802769323308273</v>
      </c>
      <c r="I167" s="24">
        <f t="shared" si="19"/>
        <v>0.82027561756373957</v>
      </c>
      <c r="J167" s="24">
        <f t="shared" si="20"/>
        <v>0.84196802503611001</v>
      </c>
      <c r="K167" s="23">
        <f t="shared" si="18"/>
        <v>223.38475199999996</v>
      </c>
      <c r="L167" s="23">
        <f t="shared" si="18"/>
        <v>761.31248399999902</v>
      </c>
      <c r="M167" s="23">
        <f t="shared" si="18"/>
        <v>984.69723599999838</v>
      </c>
    </row>
    <row r="168" spans="1:13" x14ac:dyDescent="0.2">
      <c r="A168" s="22">
        <v>45597</v>
      </c>
      <c r="B168" s="23">
        <v>1995</v>
      </c>
      <c r="C168" s="23">
        <f>'[1]Renewable Diesel'!$AX179</f>
        <v>4256</v>
      </c>
      <c r="D168" s="23">
        <f t="shared" si="13"/>
        <v>6251</v>
      </c>
      <c r="E168" s="23">
        <f>BD!Y35</f>
        <v>133.18980199999999</v>
      </c>
      <c r="F168" s="23">
        <f>RD!Y34</f>
        <v>261.18942399999997</v>
      </c>
      <c r="G168" s="23">
        <f t="shared" si="14"/>
        <v>394.37922599999996</v>
      </c>
      <c r="H168" s="24">
        <f t="shared" si="19"/>
        <v>0.80114166616541349</v>
      </c>
      <c r="I168" s="24">
        <f t="shared" si="19"/>
        <v>0.73643634586466156</v>
      </c>
      <c r="J168" s="24">
        <f t="shared" si="20"/>
        <v>0.75708698000319952</v>
      </c>
      <c r="K168" s="23">
        <f t="shared" si="18"/>
        <v>396.72237600000011</v>
      </c>
      <c r="L168" s="23">
        <f t="shared" si="18"/>
        <v>1121.7269120000003</v>
      </c>
      <c r="M168" s="23">
        <f t="shared" si="18"/>
        <v>1518.4492879999998</v>
      </c>
    </row>
    <row r="169" spans="1:13" x14ac:dyDescent="0.2">
      <c r="A169" s="22">
        <v>45627</v>
      </c>
      <c r="B169" s="25">
        <v>1995</v>
      </c>
      <c r="C169" s="23">
        <f>'[1]Renewable Diesel'!$AX180</f>
        <v>4282</v>
      </c>
      <c r="D169" s="25">
        <f t="shared" si="13"/>
        <v>6277</v>
      </c>
      <c r="E169" s="23">
        <f>BD!Y36</f>
        <v>174.87033299999999</v>
      </c>
      <c r="F169" s="23">
        <f>RD!Y35</f>
        <v>314.11158899999998</v>
      </c>
      <c r="G169" s="23">
        <f t="shared" si="14"/>
        <v>488.98192199999994</v>
      </c>
      <c r="H169" s="24">
        <f>E169/(B169/12)</f>
        <v>1.051851627067669</v>
      </c>
      <c r="I169" s="24">
        <f>F169/(C169/12)</f>
        <v>0.88027535450723959</v>
      </c>
      <c r="J169" s="24">
        <f>(G169/(D169/12))</f>
        <v>0.9348069243269076</v>
      </c>
      <c r="K169" s="23">
        <f t="shared" si="18"/>
        <v>-103.44399599999964</v>
      </c>
      <c r="L169" s="23">
        <f t="shared" si="18"/>
        <v>512.66093200000012</v>
      </c>
      <c r="M169" s="23">
        <f t="shared" si="18"/>
        <v>409.216936000001</v>
      </c>
    </row>
    <row r="170" spans="1:13" x14ac:dyDescent="0.2">
      <c r="A170" s="22">
        <v>45658</v>
      </c>
      <c r="B170" s="25">
        <v>1984</v>
      </c>
      <c r="C170" s="23">
        <f>'[1]Renewable Diesel'!$AX181</f>
        <v>4589.5</v>
      </c>
      <c r="D170" s="25">
        <f t="shared" si="13"/>
        <v>6573.5</v>
      </c>
      <c r="E170" s="25">
        <f>BD!Z25</f>
        <v>65.635810000000006</v>
      </c>
      <c r="F170" s="25">
        <f>RD!Z24</f>
        <v>217.36727500000001</v>
      </c>
      <c r="G170" s="25">
        <f t="shared" si="14"/>
        <v>283.003085</v>
      </c>
      <c r="H170" s="26">
        <f t="shared" ref="H170:H233" si="21">(E170/(A170-A169)*365)/B170</f>
        <v>0.38952052955905314</v>
      </c>
      <c r="I170" s="26">
        <f t="shared" si="17"/>
        <v>0.55764775398964672</v>
      </c>
      <c r="J170" s="26">
        <f t="shared" si="16"/>
        <v>0.50690394730062294</v>
      </c>
      <c r="K170" s="25">
        <f t="shared" si="18"/>
        <v>1211.1912693548386</v>
      </c>
      <c r="L170" s="25">
        <f t="shared" si="18"/>
        <v>2030.1756330645164</v>
      </c>
      <c r="M170" s="25">
        <f t="shared" si="18"/>
        <v>3241.366902419355</v>
      </c>
    </row>
    <row r="171" spans="1:13" x14ac:dyDescent="0.2">
      <c r="A171" s="22">
        <v>45689</v>
      </c>
      <c r="B171" s="25">
        <f>'[2]US EIA'!$R319</f>
        <v>1967.3333333333333</v>
      </c>
      <c r="C171" s="23">
        <f>'[1]Renewable Diesel'!$AX182</f>
        <v>4620.75</v>
      </c>
      <c r="D171" s="25">
        <f t="shared" si="13"/>
        <v>6588.083333333333</v>
      </c>
      <c r="E171" s="25">
        <f>BD!Z26</f>
        <v>73.824501999999995</v>
      </c>
      <c r="F171" s="25">
        <f>RD!Z25</f>
        <v>186.10279199999999</v>
      </c>
      <c r="G171" s="25">
        <f t="shared" si="14"/>
        <v>259.92729399999996</v>
      </c>
      <c r="H171" s="26">
        <f t="shared" si="21"/>
        <v>0.4418285200752069</v>
      </c>
      <c r="I171" s="26">
        <f t="shared" si="17"/>
        <v>0.47421095988816225</v>
      </c>
      <c r="J171" s="26">
        <f t="shared" si="16"/>
        <v>0.4645409162600932</v>
      </c>
      <c r="K171" s="25">
        <f t="shared" si="18"/>
        <v>1098.1093581720429</v>
      </c>
      <c r="L171" s="25">
        <f t="shared" si="18"/>
        <v>2429.5397070967742</v>
      </c>
      <c r="M171" s="25">
        <f t="shared" si="18"/>
        <v>3527.6490652688176</v>
      </c>
    </row>
    <row r="172" spans="1:13" x14ac:dyDescent="0.2">
      <c r="A172" s="22">
        <v>45717</v>
      </c>
      <c r="B172" s="25">
        <f>'[2]US EIA'!$R320</f>
        <v>1950.6666666666665</v>
      </c>
      <c r="C172" s="23">
        <f>'[1]Renewable Diesel'!$AX183</f>
        <v>4652</v>
      </c>
      <c r="D172" s="25">
        <f t="shared" si="13"/>
        <v>6602.6666666666661</v>
      </c>
      <c r="E172" s="25">
        <f>BD!Z27</f>
        <v>95.833393000000001</v>
      </c>
      <c r="F172" s="25">
        <f>RD!Z26</f>
        <v>229.398492</v>
      </c>
      <c r="G172" s="25">
        <f t="shared" si="14"/>
        <v>325.23188500000003</v>
      </c>
      <c r="H172" s="26">
        <f t="shared" si="21"/>
        <v>0.64042552811615083</v>
      </c>
      <c r="I172" s="26">
        <f t="shared" si="17"/>
        <v>0.64281453123080701</v>
      </c>
      <c r="J172" s="26">
        <f t="shared" si="16"/>
        <v>0.6421087332589287</v>
      </c>
      <c r="K172" s="25">
        <f t="shared" si="18"/>
        <v>701.40993648809501</v>
      </c>
      <c r="L172" s="25">
        <f t="shared" si="18"/>
        <v>1661.6268007142858</v>
      </c>
      <c r="M172" s="25">
        <f t="shared" si="18"/>
        <v>2363.0367372023798</v>
      </c>
    </row>
    <row r="173" spans="1:13" x14ac:dyDescent="0.2">
      <c r="A173" s="22">
        <v>45748</v>
      </c>
      <c r="B173" s="25">
        <f>'[2]US EIA'!$R321</f>
        <v>1933.9999999999998</v>
      </c>
      <c r="C173" s="23">
        <f>'[1]Renewable Diesel'!$AX184</f>
        <v>4652.8000000000011</v>
      </c>
      <c r="D173" s="25">
        <f t="shared" si="13"/>
        <v>6586.8000000000011</v>
      </c>
      <c r="E173" s="25">
        <f>BD!Z28</f>
        <v>132.22466772068668</v>
      </c>
      <c r="F173" s="25">
        <f>RD!Z27</f>
        <v>201.33135648154609</v>
      </c>
      <c r="G173" s="25">
        <f t="shared" si="14"/>
        <v>333.55602420223278</v>
      </c>
      <c r="H173" s="26">
        <f t="shared" si="21"/>
        <v>0.80498388294443479</v>
      </c>
      <c r="I173" s="26">
        <f t="shared" si="17"/>
        <v>0.5094812496933121</v>
      </c>
      <c r="J173" s="26">
        <f t="shared" si="16"/>
        <v>0.59624600537249939</v>
      </c>
      <c r="K173" s="25">
        <f t="shared" si="18"/>
        <v>377.16117038546309</v>
      </c>
      <c r="L173" s="25">
        <f t="shared" si="18"/>
        <v>2282.2856414269581</v>
      </c>
      <c r="M173" s="25">
        <f t="shared" si="18"/>
        <v>2659.4468118124214</v>
      </c>
    </row>
    <row r="174" spans="1:13" x14ac:dyDescent="0.2">
      <c r="A174" s="22">
        <v>45778</v>
      </c>
      <c r="B174" s="25">
        <f>'[2]US EIA'!$R322</f>
        <v>1917.333333333333</v>
      </c>
      <c r="C174" s="23">
        <f>'[1]Renewable Diesel'!$AX185</f>
        <v>4681.1000000000004</v>
      </c>
      <c r="D174" s="25">
        <f t="shared" si="13"/>
        <v>6598.4333333333334</v>
      </c>
      <c r="E174" s="25">
        <f>BD!Z29</f>
        <v>138.26709632826345</v>
      </c>
      <c r="F174" s="25">
        <f>RD!Z28</f>
        <v>198.33698821685206</v>
      </c>
      <c r="G174" s="25">
        <f t="shared" si="14"/>
        <v>336.60408454511548</v>
      </c>
      <c r="H174" s="26">
        <f t="shared" si="21"/>
        <v>0.87739030180487076</v>
      </c>
      <c r="I174" s="26">
        <f t="shared" si="17"/>
        <v>0.51549849892226896</v>
      </c>
      <c r="J174" s="26">
        <f t="shared" si="16"/>
        <v>0.62065485675371002</v>
      </c>
      <c r="K174" s="25">
        <f t="shared" si="18"/>
        <v>235.08366133946109</v>
      </c>
      <c r="L174" s="25">
        <f t="shared" si="18"/>
        <v>2267.9999766949668</v>
      </c>
      <c r="M174" s="25">
        <f t="shared" si="18"/>
        <v>2503.0836380344281</v>
      </c>
    </row>
    <row r="175" spans="1:13" x14ac:dyDescent="0.2">
      <c r="A175" s="22">
        <v>45809</v>
      </c>
      <c r="B175" s="25">
        <f>'[2]US EIA'!$R323</f>
        <v>1900.6666666666663</v>
      </c>
      <c r="C175" s="23">
        <f>'[1]Renewable Diesel'!$AX186</f>
        <v>4782.6000000000004</v>
      </c>
      <c r="D175" s="25">
        <f t="shared" si="13"/>
        <v>6683.2666666666664</v>
      </c>
      <c r="E175" s="25">
        <f>BD!Z30</f>
        <v>140.04505030770056</v>
      </c>
      <c r="F175" s="25">
        <f>RD!Z29</f>
        <v>195.59531042807598</v>
      </c>
      <c r="G175" s="25">
        <f t="shared" si="14"/>
        <v>335.64036073577654</v>
      </c>
      <c r="H175" s="26">
        <f t="shared" si="21"/>
        <v>0.8675469279988467</v>
      </c>
      <c r="I175" s="26">
        <f t="shared" si="17"/>
        <v>0.4815324388694483</v>
      </c>
      <c r="J175" s="26">
        <f t="shared" si="16"/>
        <v>0.59131181906355645</v>
      </c>
      <c r="K175" s="25">
        <f t="shared" si="18"/>
        <v>251.749138850192</v>
      </c>
      <c r="L175" s="25">
        <f t="shared" si="18"/>
        <v>2479.6229578629768</v>
      </c>
      <c r="M175" s="25">
        <f t="shared" si="18"/>
        <v>2731.3720967131685</v>
      </c>
    </row>
    <row r="176" spans="1:13" x14ac:dyDescent="0.2">
      <c r="A176" s="22">
        <v>45839</v>
      </c>
      <c r="B176" s="25">
        <f>'[2]US EIA'!$R324</f>
        <v>1883.9999999999995</v>
      </c>
      <c r="C176" s="23">
        <f>'[1]Renewable Diesel'!$AX187</f>
        <v>4826.6000000000004</v>
      </c>
      <c r="D176" s="25">
        <f t="shared" si="13"/>
        <v>6710.6</v>
      </c>
      <c r="E176" s="25">
        <f>BD!Z31</f>
        <v>137.42565782361211</v>
      </c>
      <c r="F176" s="25">
        <f>RD!Z30</f>
        <v>192.07520021665866</v>
      </c>
      <c r="G176" s="25">
        <f t="shared" si="14"/>
        <v>329.50085804027077</v>
      </c>
      <c r="H176" s="26">
        <f t="shared" si="21"/>
        <v>0.88747992048157176</v>
      </c>
      <c r="I176" s="26">
        <f t="shared" si="17"/>
        <v>0.48417414659788399</v>
      </c>
      <c r="J176" s="26">
        <f t="shared" si="16"/>
        <v>0.59740218552091129</v>
      </c>
      <c r="K176" s="25">
        <f t="shared" si="18"/>
        <v>211.98782981271876</v>
      </c>
      <c r="L176" s="25">
        <f t="shared" si="18"/>
        <v>2489.6850640306534</v>
      </c>
      <c r="M176" s="25">
        <f t="shared" si="18"/>
        <v>2701.672893843373</v>
      </c>
    </row>
    <row r="177" spans="1:13" x14ac:dyDescent="0.2">
      <c r="A177" s="22">
        <v>45870</v>
      </c>
      <c r="B177" s="25">
        <f>'[2]US EIA'!$R325</f>
        <v>1867.3333333333328</v>
      </c>
      <c r="C177" s="23">
        <f>'[1]Renewable Diesel'!$AX188</f>
        <v>4865.6000000000004</v>
      </c>
      <c r="D177" s="25">
        <f t="shared" si="13"/>
        <v>6732.9333333333334</v>
      </c>
      <c r="E177" s="25">
        <f>BD!Z32</f>
        <v>143.75208298970304</v>
      </c>
      <c r="F177" s="25">
        <f>RD!Z31</f>
        <v>196.75880169768377</v>
      </c>
      <c r="G177" s="25">
        <f t="shared" si="14"/>
        <v>340.51088468738681</v>
      </c>
      <c r="H177" s="26">
        <f t="shared" si="21"/>
        <v>0.9064074516804187</v>
      </c>
      <c r="I177" s="26">
        <f t="shared" si="17"/>
        <v>0.47613371702097251</v>
      </c>
      <c r="J177" s="26">
        <f t="shared" si="16"/>
        <v>0.59546721512790057</v>
      </c>
      <c r="K177" s="25">
        <f t="shared" si="18"/>
        <v>174.76848522876477</v>
      </c>
      <c r="L177" s="25">
        <f t="shared" si="18"/>
        <v>2548.9237864627562</v>
      </c>
      <c r="M177" s="25">
        <f t="shared" si="18"/>
        <v>2723.6922716915205</v>
      </c>
    </row>
    <row r="178" spans="1:13" x14ac:dyDescent="0.2">
      <c r="A178" s="22">
        <v>45901</v>
      </c>
      <c r="B178" s="25">
        <f>'[2]US EIA'!$R326</f>
        <v>1850.6666666666661</v>
      </c>
      <c r="C178" s="23">
        <f>'[1]Renewable Diesel'!$AX189</f>
        <v>4865.6000000000004</v>
      </c>
      <c r="D178" s="25">
        <f t="shared" si="13"/>
        <v>6716.2666666666664</v>
      </c>
      <c r="E178" s="25">
        <f>BD!Z33</f>
        <v>135.73974892643582</v>
      </c>
      <c r="F178" s="25">
        <f>RD!Z32</f>
        <v>199.56749623015037</v>
      </c>
      <c r="G178" s="25">
        <f t="shared" si="14"/>
        <v>335.30724515658619</v>
      </c>
      <c r="H178" s="26">
        <f t="shared" si="21"/>
        <v>0.86359478173774795</v>
      </c>
      <c r="I178" s="26">
        <f t="shared" si="17"/>
        <v>0.48293043542025704</v>
      </c>
      <c r="J178" s="26">
        <f t="shared" si="16"/>
        <v>0.58782246128555471</v>
      </c>
      <c r="K178" s="25">
        <f t="shared" si="18"/>
        <v>252.44059059734104</v>
      </c>
      <c r="L178" s="25">
        <f t="shared" si="18"/>
        <v>2515.8536734191975</v>
      </c>
      <c r="M178" s="25">
        <f t="shared" si="18"/>
        <v>2768.2942640165384</v>
      </c>
    </row>
    <row r="179" spans="1:13" x14ac:dyDescent="0.2">
      <c r="A179" s="22">
        <v>45931</v>
      </c>
      <c r="B179" s="25">
        <f>'[2]US EIA'!$R327</f>
        <v>1833.9999999999993</v>
      </c>
      <c r="C179" s="23">
        <f>'[1]Renewable Diesel'!$AX190</f>
        <v>4865.6000000000004</v>
      </c>
      <c r="D179" s="25">
        <f t="shared" si="13"/>
        <v>6699.5999999999995</v>
      </c>
      <c r="E179" s="25">
        <f>BD!Z34</f>
        <v>134.44971249941986</v>
      </c>
      <c r="F179" s="25">
        <f>RD!Z33</f>
        <v>216.64754243543953</v>
      </c>
      <c r="G179" s="25">
        <f t="shared" si="14"/>
        <v>351.09725493485939</v>
      </c>
      <c r="H179" s="26">
        <f t="shared" si="21"/>
        <v>0.89193284373479209</v>
      </c>
      <c r="I179" s="26">
        <f t="shared" si="17"/>
        <v>0.54173759309530456</v>
      </c>
      <c r="J179" s="26">
        <f t="shared" si="16"/>
        <v>0.63760273275630241</v>
      </c>
      <c r="K179" s="25">
        <f t="shared" si="18"/>
        <v>198.19516459039124</v>
      </c>
      <c r="L179" s="25">
        <f t="shared" si="18"/>
        <v>2229.7215670354863</v>
      </c>
      <c r="M179" s="25">
        <f t="shared" si="18"/>
        <v>2427.9167316258763</v>
      </c>
    </row>
    <row r="180" spans="1:13" x14ac:dyDescent="0.2">
      <c r="A180" s="22">
        <v>45962</v>
      </c>
      <c r="B180" s="25">
        <f>'[2]US EIA'!$R328</f>
        <v>1817.3333333333326</v>
      </c>
      <c r="C180" s="23">
        <f>'[1]Renewable Diesel'!$AX191</f>
        <v>4865.6000000000004</v>
      </c>
      <c r="D180" s="25">
        <f t="shared" si="13"/>
        <v>6682.9333333333325</v>
      </c>
      <c r="E180" s="25">
        <f>BD!Z35</f>
        <v>129.61467822144294</v>
      </c>
      <c r="F180" s="25">
        <f>RD!Z34</f>
        <v>233.98093373434196</v>
      </c>
      <c r="G180" s="25">
        <f t="shared" si="14"/>
        <v>363.59561195578488</v>
      </c>
      <c r="H180" s="26">
        <f t="shared" si="21"/>
        <v>0.83975145346176649</v>
      </c>
      <c r="I180" s="26">
        <f t="shared" si="17"/>
        <v>0.56620700436132809</v>
      </c>
      <c r="J180" s="26">
        <f t="shared" si="16"/>
        <v>0.64059371760579109</v>
      </c>
      <c r="K180" s="25">
        <f t="shared" si="18"/>
        <v>291.22502524214957</v>
      </c>
      <c r="L180" s="25">
        <f t="shared" si="18"/>
        <v>2110.6631995795224</v>
      </c>
      <c r="M180" s="25">
        <f t="shared" si="18"/>
        <v>2401.8882248216714</v>
      </c>
    </row>
    <row r="181" spans="1:13" x14ac:dyDescent="0.2">
      <c r="A181" s="22">
        <v>45992</v>
      </c>
      <c r="B181" s="25">
        <f>'[2]US EIA'!$R329</f>
        <v>1800.6666666666658</v>
      </c>
      <c r="C181" s="23">
        <f>'[1]Renewable Diesel'!$AX192</f>
        <v>4865.6000000000004</v>
      </c>
      <c r="D181" s="25">
        <f t="shared" si="13"/>
        <v>6666.2666666666664</v>
      </c>
      <c r="E181" s="25">
        <f>BD!Z36</f>
        <v>259.14203704696234</v>
      </c>
      <c r="F181" s="25">
        <f>RD!Z35</f>
        <v>283.9766027301884</v>
      </c>
      <c r="G181" s="25">
        <f t="shared" si="14"/>
        <v>543.11863977715075</v>
      </c>
      <c r="H181" s="26">
        <f t="shared" si="21"/>
        <v>1.7509597097767735</v>
      </c>
      <c r="I181" s="26">
        <f t="shared" si="17"/>
        <v>0.71009714455578443</v>
      </c>
      <c r="J181" s="26">
        <f t="shared" si="16"/>
        <v>0.99125099265285932</v>
      </c>
      <c r="K181" s="25">
        <f t="shared" si="18"/>
        <v>-1352.2281174047096</v>
      </c>
      <c r="L181" s="25">
        <f t="shared" si="18"/>
        <v>1410.5513334493753</v>
      </c>
      <c r="M181" s="25">
        <f t="shared" si="18"/>
        <v>58.323216044665678</v>
      </c>
    </row>
    <row r="182" spans="1:13" x14ac:dyDescent="0.2">
      <c r="A182" s="22">
        <v>46023</v>
      </c>
      <c r="B182" s="25">
        <f>'[2]US EIA'!$R330</f>
        <v>1800.1111111111102</v>
      </c>
      <c r="C182" s="23">
        <f>'[1]Renewable Diesel'!$AX193</f>
        <v>4925.6000000000004</v>
      </c>
      <c r="D182" s="25">
        <f t="shared" si="13"/>
        <v>6725.7111111111108</v>
      </c>
      <c r="E182" s="25">
        <f>BD!AA25</f>
        <v>98.403929712170097</v>
      </c>
      <c r="F182" s="25">
        <f>RD!AA24</f>
        <v>173.30103992010649</v>
      </c>
      <c r="G182" s="25">
        <f t="shared" si="14"/>
        <v>271.70496963227657</v>
      </c>
      <c r="H182" s="26">
        <f t="shared" si="21"/>
        <v>0.64364188810423673</v>
      </c>
      <c r="I182" s="26">
        <f t="shared" si="17"/>
        <v>0.41426018884117516</v>
      </c>
      <c r="J182" s="26">
        <f t="shared" si="16"/>
        <v>0.4756533320653672</v>
      </c>
      <c r="K182" s="25">
        <f t="shared" si="18"/>
        <v>641.48419675813977</v>
      </c>
      <c r="L182" s="25">
        <f t="shared" si="18"/>
        <v>2885.1200138439076</v>
      </c>
      <c r="M182" s="25">
        <f t="shared" si="18"/>
        <v>3526.6042106020477</v>
      </c>
    </row>
    <row r="183" spans="1:13" x14ac:dyDescent="0.2">
      <c r="A183" s="22">
        <v>46054</v>
      </c>
      <c r="B183" s="25">
        <f>'[2]US EIA'!$R331</f>
        <v>1799.5555555555545</v>
      </c>
      <c r="C183" s="23">
        <f>'[1]Renewable Diesel'!$AX194</f>
        <v>4974.3500000000004</v>
      </c>
      <c r="D183" s="25">
        <f t="shared" si="13"/>
        <v>6773.9055555555551</v>
      </c>
      <c r="E183" s="25">
        <f>BD!AA26</f>
        <v>104.39575492991993</v>
      </c>
      <c r="F183" s="25">
        <f>RD!AA25</f>
        <v>188.92087788275504</v>
      </c>
      <c r="G183" s="25">
        <f t="shared" si="14"/>
        <v>293.31663281267498</v>
      </c>
      <c r="H183" s="26">
        <f t="shared" si="21"/>
        <v>0.68304411074177451</v>
      </c>
      <c r="I183" s="26">
        <f t="shared" si="17"/>
        <v>0.44717218963739191</v>
      </c>
      <c r="J183" s="26">
        <f t="shared" si="16"/>
        <v>0.50983391743116557</v>
      </c>
      <c r="K183" s="25">
        <f t="shared" si="18"/>
        <v>570.37973138069083</v>
      </c>
      <c r="L183" s="25">
        <f t="shared" si="18"/>
        <v>2749.9590184772396</v>
      </c>
      <c r="M183" s="25">
        <f t="shared" si="18"/>
        <v>3320.3387498579305</v>
      </c>
    </row>
    <row r="184" spans="1:13" x14ac:dyDescent="0.2">
      <c r="A184" s="22">
        <v>46082</v>
      </c>
      <c r="B184" s="25">
        <f>'[2]US EIA'!$R332</f>
        <v>1798.9999999999989</v>
      </c>
      <c r="C184" s="23">
        <f>'[1]Renewable Diesel'!$AX195</f>
        <v>5065.6000000000004</v>
      </c>
      <c r="D184" s="25">
        <f t="shared" si="13"/>
        <v>6864.5999999999995</v>
      </c>
      <c r="E184" s="25">
        <f>BD!AA27</f>
        <v>114.81194559047434</v>
      </c>
      <c r="F184" s="25">
        <f>RD!AA26</f>
        <v>201.08552547234575</v>
      </c>
      <c r="G184" s="25">
        <f t="shared" si="14"/>
        <v>315.8974710628201</v>
      </c>
      <c r="H184" s="26">
        <f t="shared" si="21"/>
        <v>0.83193758716197819</v>
      </c>
      <c r="I184" s="26">
        <f t="shared" si="17"/>
        <v>0.51746949167921297</v>
      </c>
      <c r="J184" s="26">
        <f t="shared" si="16"/>
        <v>0.59988188333691983</v>
      </c>
      <c r="K184" s="25">
        <f t="shared" si="18"/>
        <v>302.34428069560107</v>
      </c>
      <c r="L184" s="25">
        <f t="shared" si="18"/>
        <v>2444.3065429497788</v>
      </c>
      <c r="M184" s="25">
        <f t="shared" si="18"/>
        <v>2746.6508236453801</v>
      </c>
    </row>
    <row r="185" spans="1:13" x14ac:dyDescent="0.2">
      <c r="A185" s="22">
        <v>46113</v>
      </c>
      <c r="B185" s="25">
        <f>'[2]US EIA'!$R333</f>
        <v>1798.4444444444432</v>
      </c>
      <c r="C185" s="23">
        <f>'[1]Renewable Diesel'!$AX196</f>
        <v>5088.1000000000004</v>
      </c>
      <c r="D185" s="25">
        <f t="shared" si="13"/>
        <v>6886.5444444444438</v>
      </c>
      <c r="E185" s="25">
        <f>BD!AA28</f>
        <v>122.41624447003295</v>
      </c>
      <c r="F185" s="25">
        <f>RD!AA27</f>
        <v>193.34420249970381</v>
      </c>
      <c r="G185" s="25">
        <f t="shared" si="14"/>
        <v>315.76044696973679</v>
      </c>
      <c r="H185" s="26">
        <f t="shared" si="21"/>
        <v>0.80144402586874863</v>
      </c>
      <c r="I185" s="26">
        <f t="shared" si="17"/>
        <v>0.44741102998959548</v>
      </c>
      <c r="J185" s="26">
        <f t="shared" si="16"/>
        <v>0.53986794792941006</v>
      </c>
      <c r="K185" s="25">
        <f t="shared" si="18"/>
        <v>357.09188858760359</v>
      </c>
      <c r="L185" s="25">
        <f t="shared" si="18"/>
        <v>2811.6279383099395</v>
      </c>
      <c r="M185" s="25">
        <f t="shared" si="18"/>
        <v>3168.7198268975426</v>
      </c>
    </row>
    <row r="186" spans="1:13" x14ac:dyDescent="0.2">
      <c r="A186" s="22">
        <v>46143</v>
      </c>
      <c r="B186" s="25">
        <f>'[2]US EIA'!$R334</f>
        <v>1797.8888888888875</v>
      </c>
      <c r="C186" s="23">
        <f>'[1]Renewable Diesel'!$AX197</f>
        <v>5133.1000000000004</v>
      </c>
      <c r="D186" s="25">
        <f t="shared" si="13"/>
        <v>6930.9888888888881</v>
      </c>
      <c r="E186" s="25">
        <f>BD!AA29</f>
        <v>130.31019252272381</v>
      </c>
      <c r="F186" s="25">
        <f>RD!AA28</f>
        <v>216.09968158198112</v>
      </c>
      <c r="G186" s="25">
        <f t="shared" si="14"/>
        <v>346.40987410470495</v>
      </c>
      <c r="H186" s="26">
        <f t="shared" si="21"/>
        <v>0.8818346258722124</v>
      </c>
      <c r="I186" s="26">
        <f t="shared" si="17"/>
        <v>0.51220759240629843</v>
      </c>
      <c r="J186" s="26">
        <f t="shared" si="16"/>
        <v>0.60808833138232954</v>
      </c>
      <c r="K186" s="25">
        <f t="shared" si="18"/>
        <v>212.44821319574774</v>
      </c>
      <c r="L186" s="25">
        <f t="shared" si="18"/>
        <v>2503.8872074192295</v>
      </c>
      <c r="M186" s="25">
        <f t="shared" si="18"/>
        <v>2716.3354206149779</v>
      </c>
    </row>
    <row r="187" spans="1:13" x14ac:dyDescent="0.2">
      <c r="A187" s="22">
        <v>46174</v>
      </c>
      <c r="B187" s="25">
        <f>'[2]US EIA'!$R335</f>
        <v>1797.3333333333319</v>
      </c>
      <c r="C187" s="23">
        <f>'[1]Renewable Diesel'!$AX198</f>
        <v>5138.1000000000004</v>
      </c>
      <c r="D187" s="25">
        <f t="shared" si="13"/>
        <v>6935.4333333333325</v>
      </c>
      <c r="E187" s="25">
        <f>BD!AA30</f>
        <v>128.35965365193624</v>
      </c>
      <c r="F187" s="25">
        <f>RD!AA29</f>
        <v>215.72292855995022</v>
      </c>
      <c r="G187" s="25">
        <f t="shared" si="14"/>
        <v>344.08258221188646</v>
      </c>
      <c r="H187" s="26">
        <f t="shared" si="21"/>
        <v>0.84087429853588525</v>
      </c>
      <c r="I187" s="26">
        <f t="shared" si="17"/>
        <v>0.4943390579571702</v>
      </c>
      <c r="J187" s="26">
        <f t="shared" si="16"/>
        <v>0.58414445426504003</v>
      </c>
      <c r="K187" s="25">
        <f t="shared" si="18"/>
        <v>286.001927431502</v>
      </c>
      <c r="L187" s="25">
        <f t="shared" si="18"/>
        <v>2598.1364863102635</v>
      </c>
      <c r="M187" s="25">
        <f t="shared" si="18"/>
        <v>2884.1384137417654</v>
      </c>
    </row>
    <row r="188" spans="1:13" x14ac:dyDescent="0.2">
      <c r="A188" s="22">
        <v>46204</v>
      </c>
      <c r="B188" s="25">
        <f>'[2]US EIA'!$R336</f>
        <v>1796.7777777777762</v>
      </c>
      <c r="C188" s="23">
        <f>'[1]Renewable Diesel'!$AX199</f>
        <v>5148.1000000000004</v>
      </c>
      <c r="D188" s="25">
        <f t="shared" si="13"/>
        <v>6944.8777777777768</v>
      </c>
      <c r="E188" s="25">
        <f>BD!AA31</f>
        <v>125.90383135632521</v>
      </c>
      <c r="F188" s="25">
        <f>RD!AA30</f>
        <v>210.51934009415069</v>
      </c>
      <c r="G188" s="25">
        <f t="shared" si="14"/>
        <v>336.42317145047593</v>
      </c>
      <c r="H188" s="26">
        <f t="shared" si="21"/>
        <v>0.85254279472621497</v>
      </c>
      <c r="I188" s="26">
        <f t="shared" si="17"/>
        <v>0.49752697846043525</v>
      </c>
      <c r="J188" s="26">
        <f t="shared" si="16"/>
        <v>0.58937661928019092</v>
      </c>
      <c r="K188" s="25">
        <f t="shared" si="18"/>
        <v>264.94782960915285</v>
      </c>
      <c r="L188" s="25">
        <f t="shared" si="18"/>
        <v>2586.7813621878336</v>
      </c>
      <c r="M188" s="25">
        <f t="shared" si="18"/>
        <v>2851.7291917969856</v>
      </c>
    </row>
    <row r="189" spans="1:13" x14ac:dyDescent="0.2">
      <c r="A189" s="22">
        <v>46235</v>
      </c>
      <c r="B189" s="25">
        <f>'[2]US EIA'!$R337</f>
        <v>1796.2222222222206</v>
      </c>
      <c r="C189" s="23">
        <f>'[1]Renewable Diesel'!$AX200</f>
        <v>5155.6000000000004</v>
      </c>
      <c r="D189" s="25">
        <f t="shared" si="13"/>
        <v>6951.8222222222212</v>
      </c>
      <c r="E189" s="25">
        <f>BD!AA32</f>
        <v>131.47590829297098</v>
      </c>
      <c r="F189" s="25">
        <f>RD!AA31</f>
        <v>216.24145326312794</v>
      </c>
      <c r="G189" s="25">
        <f t="shared" si="14"/>
        <v>347.71736155609892</v>
      </c>
      <c r="H189" s="26">
        <f t="shared" si="21"/>
        <v>0.8618214227837997</v>
      </c>
      <c r="I189" s="26">
        <f t="shared" si="17"/>
        <v>0.49384527967735481</v>
      </c>
      <c r="J189" s="26">
        <f t="shared" si="16"/>
        <v>0.58892350584121889</v>
      </c>
      <c r="K189" s="25">
        <f t="shared" si="18"/>
        <v>248.19943103078802</v>
      </c>
      <c r="L189" s="25">
        <f t="shared" si="18"/>
        <v>2609.5312760954298</v>
      </c>
      <c r="M189" s="25">
        <f t="shared" si="18"/>
        <v>2857.7307071262176</v>
      </c>
    </row>
    <row r="190" spans="1:13" x14ac:dyDescent="0.2">
      <c r="A190" s="22">
        <v>46266</v>
      </c>
      <c r="B190" s="25">
        <f>'[2]US EIA'!$R338</f>
        <v>1795.6666666666649</v>
      </c>
      <c r="C190" s="23">
        <f>'[1]Renewable Diesel'!$AX201</f>
        <v>5168.1000000000004</v>
      </c>
      <c r="D190" s="25">
        <f t="shared" si="13"/>
        <v>6963.7666666666655</v>
      </c>
      <c r="E190" s="25">
        <f>BD!AA33</f>
        <v>123.09904401997576</v>
      </c>
      <c r="F190" s="25">
        <f>RD!AA32</f>
        <v>219.22870434448103</v>
      </c>
      <c r="G190" s="25">
        <f t="shared" si="14"/>
        <v>342.3277483644568</v>
      </c>
      <c r="H190" s="26">
        <f t="shared" si="21"/>
        <v>0.80716092625540337</v>
      </c>
      <c r="I190" s="26">
        <f t="shared" si="17"/>
        <v>0.49945651135118335</v>
      </c>
      <c r="J190" s="26">
        <f t="shared" si="16"/>
        <v>0.57880072081105571</v>
      </c>
      <c r="K190" s="25">
        <f t="shared" si="18"/>
        <v>346.274696754047</v>
      </c>
      <c r="L190" s="25">
        <f t="shared" si="18"/>
        <v>2586.8588036859496</v>
      </c>
      <c r="M190" s="25">
        <f t="shared" si="18"/>
        <v>2933.1335004399966</v>
      </c>
    </row>
    <row r="191" spans="1:13" x14ac:dyDescent="0.2">
      <c r="A191" s="22">
        <v>46296</v>
      </c>
      <c r="B191" s="25">
        <f>'[2]US EIA'!$R339</f>
        <v>1795.1111111111093</v>
      </c>
      <c r="C191" s="23">
        <f>'[1]Renewable Diesel'!$AX202</f>
        <v>5168.1000000000004</v>
      </c>
      <c r="D191" s="25">
        <f t="shared" si="13"/>
        <v>6963.2111111111099</v>
      </c>
      <c r="E191" s="25">
        <f>BD!AA34</f>
        <v>124.89567774049517</v>
      </c>
      <c r="F191" s="25">
        <f>RD!AA33</f>
        <v>238.58329733016379</v>
      </c>
      <c r="G191" s="25">
        <f t="shared" si="14"/>
        <v>363.47897507065898</v>
      </c>
      <c r="H191" s="26">
        <f t="shared" si="21"/>
        <v>0.84650140582967548</v>
      </c>
      <c r="I191" s="26">
        <f t="shared" si="17"/>
        <v>0.56166936608237572</v>
      </c>
      <c r="J191" s="26">
        <f t="shared" si="16"/>
        <v>0.63509887312905067</v>
      </c>
      <c r="K191" s="25">
        <f t="shared" si="18"/>
        <v>275.54703193508448</v>
      </c>
      <c r="L191" s="25">
        <f t="shared" si="18"/>
        <v>2265.3365491496743</v>
      </c>
      <c r="M191" s="25">
        <f t="shared" si="18"/>
        <v>2540.883581084759</v>
      </c>
    </row>
    <row r="192" spans="1:13" x14ac:dyDescent="0.2">
      <c r="A192" s="22">
        <v>46327</v>
      </c>
      <c r="B192" s="25">
        <f>'[2]US EIA'!$R340</f>
        <v>1794.5555555555536</v>
      </c>
      <c r="C192" s="23">
        <f>'[1]Renewable Diesel'!$AX203</f>
        <v>5168.1000000000004</v>
      </c>
      <c r="D192" s="25">
        <f t="shared" si="13"/>
        <v>6962.6555555555542</v>
      </c>
      <c r="E192" s="25">
        <f>BD!AA35</f>
        <v>120.63085393563155</v>
      </c>
      <c r="F192" s="25">
        <f>RD!AA34</f>
        <v>288.00590449351927</v>
      </c>
      <c r="G192" s="25">
        <f t="shared" si="14"/>
        <v>408.6367584291508</v>
      </c>
      <c r="H192" s="26">
        <f t="shared" si="21"/>
        <v>0.79146673266720735</v>
      </c>
      <c r="I192" s="26">
        <f t="shared" si="17"/>
        <v>0.65614776466883074</v>
      </c>
      <c r="J192" s="26">
        <f t="shared" si="16"/>
        <v>0.69102488933138406</v>
      </c>
      <c r="K192" s="25">
        <f t="shared" si="18"/>
        <v>374.22453341021452</v>
      </c>
      <c r="L192" s="25">
        <f t="shared" si="18"/>
        <v>1777.062737415016</v>
      </c>
      <c r="M192" s="25">
        <f t="shared" si="18"/>
        <v>2151.2872708252307</v>
      </c>
    </row>
    <row r="193" spans="1:13" x14ac:dyDescent="0.2">
      <c r="A193" s="22">
        <v>46357</v>
      </c>
      <c r="B193" s="25">
        <f>'[2]US EIA'!$R341</f>
        <v>1793.999999999998</v>
      </c>
      <c r="C193" s="23">
        <f>'[1]Renewable Diesel'!$AX204</f>
        <v>5168.1000000000004</v>
      </c>
      <c r="D193" s="25">
        <f t="shared" si="13"/>
        <v>6962.0999999999985</v>
      </c>
      <c r="E193" s="25">
        <f>BD!AA36</f>
        <v>137.67994775373728</v>
      </c>
      <c r="F193" s="25">
        <f>RD!AA35</f>
        <v>327.98826160637503</v>
      </c>
      <c r="G193" s="25">
        <f t="shared" si="14"/>
        <v>465.66820936011231</v>
      </c>
      <c r="H193" s="26">
        <f t="shared" si="21"/>
        <v>0.93372688461750586</v>
      </c>
      <c r="I193" s="26">
        <f t="shared" si="17"/>
        <v>0.77214524671431084</v>
      </c>
      <c r="J193" s="26">
        <f t="shared" si="16"/>
        <v>0.81378174409273552</v>
      </c>
      <c r="K193" s="25">
        <f t="shared" si="18"/>
        <v>118.89396899619436</v>
      </c>
      <c r="L193" s="25">
        <f t="shared" si="18"/>
        <v>1177.5761504557702</v>
      </c>
      <c r="M193" s="25">
        <f t="shared" si="18"/>
        <v>1296.4701194519657</v>
      </c>
    </row>
    <row r="194" spans="1:13" x14ac:dyDescent="0.2">
      <c r="A194" s="22">
        <v>46388</v>
      </c>
      <c r="B194" s="25">
        <f>'[2]US EIA'!$R342</f>
        <v>1793.4444444444423</v>
      </c>
      <c r="C194" s="23">
        <f>'[1]Renewable Diesel'!$AX205</f>
        <v>5170.1000000000004</v>
      </c>
      <c r="D194" s="25">
        <f t="shared" si="13"/>
        <v>6963.5444444444429</v>
      </c>
      <c r="E194" s="25">
        <f>BD!AB25</f>
        <v>91.177516230390651</v>
      </c>
      <c r="F194" s="25">
        <f>RD!AB24</f>
        <v>190.32772721764925</v>
      </c>
      <c r="G194" s="25">
        <f t="shared" si="14"/>
        <v>281.50524344803989</v>
      </c>
      <c r="H194" s="26">
        <f t="shared" si="21"/>
        <v>0.59859212627597058</v>
      </c>
      <c r="I194" s="26">
        <f t="shared" si="17"/>
        <v>0.43344529078455446</v>
      </c>
      <c r="J194" s="26">
        <f t="shared" si="16"/>
        <v>0.47597846867874533</v>
      </c>
      <c r="K194" s="25">
        <f t="shared" si="18"/>
        <v>719.90272108661679</v>
      </c>
      <c r="L194" s="25">
        <f t="shared" si="18"/>
        <v>2929.1445021147747</v>
      </c>
      <c r="M194" s="25">
        <f t="shared" si="18"/>
        <v>3649.0472232013922</v>
      </c>
    </row>
    <row r="195" spans="1:13" x14ac:dyDescent="0.2">
      <c r="A195" s="22">
        <v>46419</v>
      </c>
      <c r="B195" s="25">
        <f>'[2]US EIA'!$R343</f>
        <v>1792.8888888888866</v>
      </c>
      <c r="C195" s="23">
        <f>'[1]Renewable Diesel'!$AX206</f>
        <v>5173.1000000000004</v>
      </c>
      <c r="D195" s="25">
        <f t="shared" ref="D195:D258" si="22">C195+B195</f>
        <v>6965.9888888888872</v>
      </c>
      <c r="E195" s="25">
        <f>BD!AB26</f>
        <v>97.454869702302531</v>
      </c>
      <c r="F195" s="25">
        <f>RD!AB25</f>
        <v>208.08745874720728</v>
      </c>
      <c r="G195" s="25">
        <f t="shared" ref="G195:G258" si="23">SUM(E195:F195)</f>
        <v>305.5423284495098</v>
      </c>
      <c r="H195" s="26">
        <f t="shared" si="21"/>
        <v>0.64000201307448012</v>
      </c>
      <c r="I195" s="26">
        <f t="shared" si="17"/>
        <v>0.47361582306192301</v>
      </c>
      <c r="J195" s="26">
        <f t="shared" si="16"/>
        <v>0.51643988667963725</v>
      </c>
      <c r="K195" s="25">
        <f t="shared" si="18"/>
        <v>645.43639078113131</v>
      </c>
      <c r="L195" s="25">
        <f t="shared" si="18"/>
        <v>2723.0379857183666</v>
      </c>
      <c r="M195" s="25">
        <f t="shared" si="18"/>
        <v>3368.4743764994982</v>
      </c>
    </row>
    <row r="196" spans="1:13" x14ac:dyDescent="0.2">
      <c r="A196" s="22">
        <v>46447</v>
      </c>
      <c r="B196" s="25">
        <f>'[2]US EIA'!$R344</f>
        <v>1792.333333333331</v>
      </c>
      <c r="C196" s="23">
        <f>'[1]Renewable Diesel'!$AX207</f>
        <v>5182.8500000000004</v>
      </c>
      <c r="D196" s="25">
        <f t="shared" si="22"/>
        <v>6975.1833333333316</v>
      </c>
      <c r="E196" s="25">
        <f>BD!AB27</f>
        <v>112.55111686989788</v>
      </c>
      <c r="F196" s="25">
        <f>RD!AB26</f>
        <v>222.32944736161846</v>
      </c>
      <c r="G196" s="25">
        <f t="shared" si="23"/>
        <v>334.88056423151636</v>
      </c>
      <c r="H196" s="26">
        <f t="shared" si="21"/>
        <v>0.81858891689828595</v>
      </c>
      <c r="I196" s="26">
        <f t="shared" si="17"/>
        <v>0.5591948740763889</v>
      </c>
      <c r="J196" s="26">
        <f t="shared" ref="J196:J259" si="24">(G196/(A196-A195)*365)/D196</f>
        <v>0.62584840376871909</v>
      </c>
      <c r="K196" s="25">
        <f t="shared" si="18"/>
        <v>325.14913127930504</v>
      </c>
      <c r="L196" s="25">
        <f t="shared" si="18"/>
        <v>2284.626846893188</v>
      </c>
      <c r="M196" s="25">
        <f t="shared" si="18"/>
        <v>2609.7759781724926</v>
      </c>
    </row>
    <row r="197" spans="1:13" x14ac:dyDescent="0.2">
      <c r="A197" s="22">
        <v>46478</v>
      </c>
      <c r="B197" s="25">
        <f>'[2]US EIA'!$R345</f>
        <v>1791.7777777777753</v>
      </c>
      <c r="C197" s="23">
        <f>'[1]Renewable Diesel'!$AX208</f>
        <v>5182.8500000000004</v>
      </c>
      <c r="D197" s="25">
        <f t="shared" si="22"/>
        <v>6974.6277777777759</v>
      </c>
      <c r="E197" s="25">
        <f>BD!AB28</f>
        <v>122.92134403755736</v>
      </c>
      <c r="F197" s="25">
        <f>RD!AB27</f>
        <v>213.39685974068041</v>
      </c>
      <c r="G197" s="25">
        <f t="shared" si="23"/>
        <v>336.31820377823777</v>
      </c>
      <c r="H197" s="26">
        <f t="shared" si="21"/>
        <v>0.80774508640299669</v>
      </c>
      <c r="I197" s="26">
        <f t="shared" si="17"/>
        <v>0.48478654200001647</v>
      </c>
      <c r="J197" s="26">
        <f t="shared" si="24"/>
        <v>0.56775440228475416</v>
      </c>
      <c r="K197" s="25">
        <f t="shared" si="18"/>
        <v>344.4780818516968</v>
      </c>
      <c r="L197" s="25">
        <f t="shared" si="18"/>
        <v>2670.2740707952148</v>
      </c>
      <c r="M197" s="25">
        <f t="shared" si="18"/>
        <v>3014.7521526469118</v>
      </c>
    </row>
    <row r="198" spans="1:13" x14ac:dyDescent="0.2">
      <c r="A198" s="22">
        <v>46508</v>
      </c>
      <c r="B198" s="25">
        <f>'[2]US EIA'!$R346</f>
        <v>1791.2222222222197</v>
      </c>
      <c r="C198" s="23">
        <f>'[1]Renewable Diesel'!$AX209</f>
        <v>5182.8500000000004</v>
      </c>
      <c r="D198" s="25">
        <f t="shared" si="22"/>
        <v>6974.0722222222203</v>
      </c>
      <c r="E198" s="25">
        <f>BD!AB29</f>
        <v>131.43594445511937</v>
      </c>
      <c r="F198" s="25">
        <f>RD!AB28</f>
        <v>238.85318510802395</v>
      </c>
      <c r="G198" s="25">
        <f t="shared" si="23"/>
        <v>370.28912956314332</v>
      </c>
      <c r="H198" s="26">
        <f t="shared" si="21"/>
        <v>0.8927632229908562</v>
      </c>
      <c r="I198" s="26">
        <f t="shared" si="17"/>
        <v>0.56070445517060263</v>
      </c>
      <c r="J198" s="26">
        <f t="shared" si="24"/>
        <v>0.64599050112064627</v>
      </c>
      <c r="K198" s="25">
        <f t="shared" si="18"/>
        <v>192.08489801826721</v>
      </c>
      <c r="L198" s="25">
        <f t="shared" si="18"/>
        <v>2276.8029145190421</v>
      </c>
      <c r="M198" s="25">
        <f t="shared" si="18"/>
        <v>2468.8878125373089</v>
      </c>
    </row>
    <row r="199" spans="1:13" x14ac:dyDescent="0.2">
      <c r="A199" s="22">
        <v>46539</v>
      </c>
      <c r="B199" s="25">
        <f>'[2]US EIA'!$R347</f>
        <v>1790.666666666664</v>
      </c>
      <c r="C199" s="23">
        <f>'[1]Renewable Diesel'!$AX210</f>
        <v>5190.3500000000004</v>
      </c>
      <c r="D199" s="25">
        <f t="shared" si="22"/>
        <v>6981.0166666666646</v>
      </c>
      <c r="E199" s="25">
        <f>BD!AB30</f>
        <v>128.33001229655264</v>
      </c>
      <c r="F199" s="25">
        <f>RD!AB29</f>
        <v>238.36601068480832</v>
      </c>
      <c r="G199" s="25">
        <f t="shared" si="23"/>
        <v>366.69602298136095</v>
      </c>
      <c r="H199" s="26">
        <f t="shared" si="21"/>
        <v>0.84380997925158752</v>
      </c>
      <c r="I199" s="26">
        <f t="shared" si="17"/>
        <v>0.54072799428937157</v>
      </c>
      <c r="J199" s="26">
        <f t="shared" si="24"/>
        <v>0.61847008167478201</v>
      </c>
      <c r="K199" s="25">
        <f t="shared" si="18"/>
        <v>279.6842638201569</v>
      </c>
      <c r="L199" s="25">
        <f t="shared" si="18"/>
        <v>2383.7824548401604</v>
      </c>
      <c r="M199" s="25">
        <f t="shared" si="18"/>
        <v>2663.4667186603183</v>
      </c>
    </row>
    <row r="200" spans="1:13" x14ac:dyDescent="0.2">
      <c r="A200" s="22">
        <v>46569</v>
      </c>
      <c r="B200" s="25">
        <f>'[2]US EIA'!$R348</f>
        <v>1790.1111111111084</v>
      </c>
      <c r="C200" s="23">
        <f>'[1]Renewable Diesel'!$AX211</f>
        <v>5195.3500000000004</v>
      </c>
      <c r="D200" s="25">
        <f t="shared" si="22"/>
        <v>6985.4611111111089</v>
      </c>
      <c r="E200" s="25">
        <f>BD!AB31</f>
        <v>126.72034827339972</v>
      </c>
      <c r="F200" s="25">
        <f>RD!AB30</f>
        <v>232.08209356796181</v>
      </c>
      <c r="G200" s="25">
        <f t="shared" si="23"/>
        <v>358.80244184136154</v>
      </c>
      <c r="H200" s="26">
        <f t="shared" si="21"/>
        <v>0.86126734131570304</v>
      </c>
      <c r="I200" s="26">
        <f t="shared" si="17"/>
        <v>0.54349860389454707</v>
      </c>
      <c r="J200" s="26">
        <f t="shared" si="24"/>
        <v>0.62493078690628245</v>
      </c>
      <c r="K200" s="25">
        <f t="shared" si="18"/>
        <v>248.34687378474499</v>
      </c>
      <c r="L200" s="25">
        <f t="shared" si="18"/>
        <v>2371.684528256465</v>
      </c>
      <c r="M200" s="25">
        <f t="shared" si="18"/>
        <v>2620.0314020412093</v>
      </c>
    </row>
    <row r="201" spans="1:13" x14ac:dyDescent="0.2">
      <c r="A201" s="22">
        <v>46600</v>
      </c>
      <c r="B201" s="25">
        <f>'[2]US EIA'!$R349</f>
        <v>1789.5555555555527</v>
      </c>
      <c r="C201" s="23">
        <f>'[1]Renewable Diesel'!$AX212</f>
        <v>5197.3500000000004</v>
      </c>
      <c r="D201" s="25">
        <f t="shared" si="22"/>
        <v>6986.9055555555533</v>
      </c>
      <c r="E201" s="25">
        <f>BD!AB32</f>
        <v>132.11022097514308</v>
      </c>
      <c r="F201" s="25">
        <f>RD!AB31</f>
        <v>238.63689718670946</v>
      </c>
      <c r="G201" s="25">
        <f t="shared" si="23"/>
        <v>370.74711816185254</v>
      </c>
      <c r="H201" s="26">
        <f t="shared" si="21"/>
        <v>0.86920537708516898</v>
      </c>
      <c r="I201" s="26">
        <f t="shared" si="17"/>
        <v>0.54061339245247475</v>
      </c>
      <c r="J201" s="26">
        <f t="shared" si="24"/>
        <v>0.62477563093341359</v>
      </c>
      <c r="K201" s="25">
        <f t="shared" si="18"/>
        <v>234.06424407402943</v>
      </c>
      <c r="L201" s="25">
        <f t="shared" si="18"/>
        <v>2387.5929847371303</v>
      </c>
      <c r="M201" s="25">
        <f t="shared" si="18"/>
        <v>2621.6572288111597</v>
      </c>
    </row>
    <row r="202" spans="1:13" x14ac:dyDescent="0.2">
      <c r="A202" s="22">
        <v>46631</v>
      </c>
      <c r="B202" s="25">
        <f>'[2]US EIA'!$R350</f>
        <v>1788.999999999997</v>
      </c>
      <c r="C202" s="23">
        <f>'[1]Renewable Diesel'!$AX213</f>
        <v>5206.8500000000004</v>
      </c>
      <c r="D202" s="25">
        <f t="shared" si="22"/>
        <v>6995.8499999999976</v>
      </c>
      <c r="E202" s="25">
        <f>BD!AB33</f>
        <v>124.57287540011436</v>
      </c>
      <c r="F202" s="25">
        <f>RD!AB32</f>
        <v>242.15675552030524</v>
      </c>
      <c r="G202" s="25">
        <f t="shared" si="23"/>
        <v>366.72963092041959</v>
      </c>
      <c r="H202" s="26">
        <f t="shared" si="21"/>
        <v>0.81986872321970861</v>
      </c>
      <c r="I202" s="26">
        <f t="shared" ref="I202:I265" si="25">(F202/(A202-A201)*365)/C202</f>
        <v>0.5475864502617761</v>
      </c>
      <c r="J202" s="26">
        <f t="shared" si="24"/>
        <v>0.61721529969704703</v>
      </c>
      <c r="K202" s="25">
        <f t="shared" si="18"/>
        <v>322.25485415994075</v>
      </c>
      <c r="L202" s="25">
        <f t="shared" si="18"/>
        <v>2355.6494914544714</v>
      </c>
      <c r="M202" s="25">
        <f t="shared" si="18"/>
        <v>2677.9043456144127</v>
      </c>
    </row>
    <row r="203" spans="1:13" x14ac:dyDescent="0.2">
      <c r="A203" s="22">
        <v>46661</v>
      </c>
      <c r="B203" s="25">
        <f>'[2]US EIA'!$R351</f>
        <v>1788.4444444444414</v>
      </c>
      <c r="C203" s="23">
        <f>'[1]Renewable Diesel'!$AX214</f>
        <v>5206.8500000000004</v>
      </c>
      <c r="D203" s="25">
        <f t="shared" si="22"/>
        <v>6995.294444444442</v>
      </c>
      <c r="E203" s="25">
        <f>BD!AB34</f>
        <v>126.79441422090545</v>
      </c>
      <c r="F203" s="25">
        <f>RD!AB33</f>
        <v>263.13373324879842</v>
      </c>
      <c r="G203" s="25">
        <f t="shared" si="23"/>
        <v>389.92814746970384</v>
      </c>
      <c r="H203" s="26">
        <f t="shared" si="21"/>
        <v>0.86257382934823379</v>
      </c>
      <c r="I203" s="26">
        <f t="shared" si="25"/>
        <v>0.61485551171893071</v>
      </c>
      <c r="J203" s="26">
        <f t="shared" si="24"/>
        <v>0.6781881494613059</v>
      </c>
      <c r="K203" s="25">
        <f t="shared" si="18"/>
        <v>245.77907142342502</v>
      </c>
      <c r="L203" s="25">
        <f t="shared" si="18"/>
        <v>2005.3895788062857</v>
      </c>
      <c r="M203" s="25">
        <f t="shared" si="18"/>
        <v>2251.1686502297121</v>
      </c>
    </row>
    <row r="204" spans="1:13" x14ac:dyDescent="0.2">
      <c r="A204" s="22">
        <v>46692</v>
      </c>
      <c r="B204" s="25">
        <f>'[2]US EIA'!$R352</f>
        <v>1787.8888888888857</v>
      </c>
      <c r="C204" s="23">
        <f>'[1]Renewable Diesel'!$AX215</f>
        <v>5206.8500000000004</v>
      </c>
      <c r="D204" s="25">
        <f t="shared" si="22"/>
        <v>6994.7388888888863</v>
      </c>
      <c r="E204" s="25">
        <f>BD!AB35</f>
        <v>121.39190359820768</v>
      </c>
      <c r="F204" s="25">
        <f>RD!AB34</f>
        <v>318.43776519553728</v>
      </c>
      <c r="G204" s="25">
        <f t="shared" si="23"/>
        <v>439.82966879374499</v>
      </c>
      <c r="H204" s="26">
        <f t="shared" si="21"/>
        <v>0.79942986225542412</v>
      </c>
      <c r="I204" s="26">
        <f t="shared" si="25"/>
        <v>0.72007987180888633</v>
      </c>
      <c r="J204" s="26">
        <f t="shared" si="24"/>
        <v>0.74036211086117787</v>
      </c>
      <c r="K204" s="25">
        <f t="shared" si="18"/>
        <v>358.59712071644054</v>
      </c>
      <c r="L204" s="25">
        <f t="shared" si="18"/>
        <v>1457.5021194719004</v>
      </c>
      <c r="M204" s="25">
        <f t="shared" si="18"/>
        <v>1816.0992401883404</v>
      </c>
    </row>
    <row r="205" spans="1:13" x14ac:dyDescent="0.2">
      <c r="A205" s="22">
        <v>46722</v>
      </c>
      <c r="B205" s="25">
        <f>'[2]US EIA'!$R353</f>
        <v>1787.3333333333301</v>
      </c>
      <c r="C205" s="23">
        <f>'[1]Renewable Diesel'!$AX216</f>
        <v>5206.8500000000004</v>
      </c>
      <c r="D205" s="25">
        <f t="shared" si="22"/>
        <v>6994.1833333333307</v>
      </c>
      <c r="E205" s="25">
        <f>BD!AB36</f>
        <v>156.6868025430542</v>
      </c>
      <c r="F205" s="25">
        <f>RD!AB35</f>
        <v>360.40880448522427</v>
      </c>
      <c r="G205" s="25">
        <f t="shared" si="23"/>
        <v>517.09560702827844</v>
      </c>
      <c r="H205" s="26">
        <f t="shared" si="21"/>
        <v>1.0665923709103857</v>
      </c>
      <c r="I205" s="26">
        <f t="shared" si="25"/>
        <v>0.84215481296821715</v>
      </c>
      <c r="J205" s="26">
        <f t="shared" si="24"/>
        <v>0.89950886124575746</v>
      </c>
      <c r="K205" s="25">
        <f t="shared" si="18"/>
        <v>-119.0227642738292</v>
      </c>
      <c r="L205" s="25">
        <f t="shared" si="18"/>
        <v>821.87621209643862</v>
      </c>
      <c r="M205" s="25">
        <f t="shared" si="18"/>
        <v>702.85344782261029</v>
      </c>
    </row>
    <row r="206" spans="1:13" x14ac:dyDescent="0.2">
      <c r="A206" s="22">
        <v>46753</v>
      </c>
      <c r="B206" s="25">
        <f>'[2]US EIA'!$R354</f>
        <v>1786.7777777777744</v>
      </c>
      <c r="C206" s="23">
        <f>'[1]Renewable Diesel'!$AX217</f>
        <v>5331.8500000000022</v>
      </c>
      <c r="D206" s="25">
        <f t="shared" si="22"/>
        <v>7118.6277777777768</v>
      </c>
      <c r="E206" s="25">
        <f>BD!AC25</f>
        <v>74.141256932401518</v>
      </c>
      <c r="F206" s="25">
        <f>RD!AC24</f>
        <v>194.3127904450902</v>
      </c>
      <c r="G206" s="25">
        <f t="shared" si="23"/>
        <v>268.45404737749175</v>
      </c>
      <c r="H206" s="26">
        <f t="shared" si="21"/>
        <v>0.4885629986558761</v>
      </c>
      <c r="I206" s="26">
        <f t="shared" si="25"/>
        <v>0.4290961680519283</v>
      </c>
      <c r="J206" s="26">
        <f t="shared" si="24"/>
        <v>0.44402236095805309</v>
      </c>
      <c r="K206" s="25">
        <f t="shared" si="18"/>
        <v>913.82426873498218</v>
      </c>
      <c r="L206" s="25">
        <f t="shared" si="18"/>
        <v>3043.9735963723274</v>
      </c>
      <c r="M206" s="25">
        <f t="shared" si="18"/>
        <v>3957.797865107309</v>
      </c>
    </row>
    <row r="207" spans="1:13" x14ac:dyDescent="0.2">
      <c r="A207" s="22">
        <v>46784</v>
      </c>
      <c r="B207" s="25">
        <f>'[2]US EIA'!$R355</f>
        <v>1786.2222222222188</v>
      </c>
      <c r="C207" s="23">
        <f>'[1]Renewable Diesel'!$AX218</f>
        <v>5350.6000000000013</v>
      </c>
      <c r="D207" s="25">
        <f t="shared" si="22"/>
        <v>7136.8222222222203</v>
      </c>
      <c r="E207" s="25">
        <f>BD!AC26</f>
        <v>77.238131167809229</v>
      </c>
      <c r="F207" s="25">
        <f>RD!AC25</f>
        <v>211.94025730155559</v>
      </c>
      <c r="G207" s="25">
        <f t="shared" si="23"/>
        <v>289.17838846936479</v>
      </c>
      <c r="H207" s="26">
        <f t="shared" si="21"/>
        <v>0.50912853640019151</v>
      </c>
      <c r="I207" s="26">
        <f t="shared" si="25"/>
        <v>0.46638238892151845</v>
      </c>
      <c r="J207" s="26">
        <f t="shared" si="24"/>
        <v>0.4770810046587925</v>
      </c>
      <c r="K207" s="25">
        <f t="shared" si="18"/>
        <v>876.80551653672285</v>
      </c>
      <c r="L207" s="25">
        <f t="shared" si="18"/>
        <v>2855.1743898365244</v>
      </c>
      <c r="M207" s="25">
        <f t="shared" si="18"/>
        <v>3731.9799063732471</v>
      </c>
    </row>
    <row r="208" spans="1:13" x14ac:dyDescent="0.2">
      <c r="A208" s="22">
        <v>46813</v>
      </c>
      <c r="B208" s="25">
        <f>'[2]US EIA'!$R356</f>
        <v>1777.3333333333298</v>
      </c>
      <c r="C208" s="23">
        <f>'[1]Renewable Diesel'!$AX219</f>
        <v>5389.3500000000013</v>
      </c>
      <c r="D208" s="25">
        <f t="shared" si="22"/>
        <v>7166.6833333333307</v>
      </c>
      <c r="E208" s="25">
        <f>BD!AC27</f>
        <v>87.967575886595867</v>
      </c>
      <c r="F208" s="25">
        <f>RD!AC26</f>
        <v>227.26487974707709</v>
      </c>
      <c r="G208" s="25">
        <f t="shared" si="23"/>
        <v>315.23245563367294</v>
      </c>
      <c r="H208" s="26">
        <f t="shared" si="21"/>
        <v>0.62294342289768123</v>
      </c>
      <c r="I208" s="26">
        <f t="shared" si="25"/>
        <v>0.5307509805109446</v>
      </c>
      <c r="J208" s="26">
        <f t="shared" si="24"/>
        <v>0.55361465305152369</v>
      </c>
      <c r="K208" s="25">
        <f t="shared" si="18"/>
        <v>670.15522303651994</v>
      </c>
      <c r="L208" s="25">
        <f t="shared" si="18"/>
        <v>2528.9472031833411</v>
      </c>
      <c r="M208" s="25">
        <f t="shared" si="18"/>
        <v>3199.1024262198616</v>
      </c>
    </row>
    <row r="209" spans="1:13" x14ac:dyDescent="0.2">
      <c r="A209" s="22">
        <v>46844</v>
      </c>
      <c r="B209" s="25">
        <f>'[2]US EIA'!$R357</f>
        <v>1777.3333333333298</v>
      </c>
      <c r="C209" s="23">
        <f>'[1]Renewable Diesel'!$AX220</f>
        <v>5389.3500000000013</v>
      </c>
      <c r="D209" s="25">
        <f t="shared" si="22"/>
        <v>7166.6833333333307</v>
      </c>
      <c r="E209" s="25">
        <f>BD!AC28</f>
        <v>96.679670029158899</v>
      </c>
      <c r="F209" s="25">
        <f>RD!AC27</f>
        <v>217.37146725445896</v>
      </c>
      <c r="G209" s="25">
        <f t="shared" si="23"/>
        <v>314.05113728361789</v>
      </c>
      <c r="H209" s="26">
        <f t="shared" si="21"/>
        <v>0.64046801225666816</v>
      </c>
      <c r="I209" s="26">
        <f t="shared" si="25"/>
        <v>0.47489469552931007</v>
      </c>
      <c r="J209" s="26">
        <f t="shared" si="24"/>
        <v>0.5159567825844692</v>
      </c>
      <c r="K209" s="25">
        <f t="shared" si="18"/>
        <v>639.00818621581391</v>
      </c>
      <c r="L209" s="25">
        <f t="shared" si="18"/>
        <v>2829.9762726491135</v>
      </c>
      <c r="M209" s="25">
        <f t="shared" si="18"/>
        <v>3468.9844588649262</v>
      </c>
    </row>
    <row r="210" spans="1:13" x14ac:dyDescent="0.2">
      <c r="A210" s="22">
        <v>46874</v>
      </c>
      <c r="B210" s="25">
        <f>'[2]US EIA'!$R358</f>
        <v>1777.3333333333298</v>
      </c>
      <c r="C210" s="23">
        <f>'[1]Renewable Diesel'!$AX221</f>
        <v>5389.3500000000013</v>
      </c>
      <c r="D210" s="25">
        <f t="shared" si="22"/>
        <v>7166.6833333333307</v>
      </c>
      <c r="E210" s="25">
        <f>BD!AC29</f>
        <v>105.5199613953646</v>
      </c>
      <c r="F210" s="25">
        <f>RD!AC28</f>
        <v>242.70211427576911</v>
      </c>
      <c r="G210" s="25">
        <f t="shared" si="23"/>
        <v>348.22207567113372</v>
      </c>
      <c r="H210" s="26">
        <f t="shared" si="21"/>
        <v>0.72233281900427893</v>
      </c>
      <c r="I210" s="26">
        <f t="shared" si="25"/>
        <v>0.54790943688729132</v>
      </c>
      <c r="J210" s="26">
        <f t="shared" si="24"/>
        <v>0.59116633505486671</v>
      </c>
      <c r="K210" s="25">
        <f t="shared" si="18"/>
        <v>493.50713635639397</v>
      </c>
      <c r="L210" s="25">
        <f t="shared" si="18"/>
        <v>2436.4742763114773</v>
      </c>
      <c r="M210" s="25">
        <f t="shared" si="18"/>
        <v>2929.9814126678698</v>
      </c>
    </row>
    <row r="211" spans="1:13" x14ac:dyDescent="0.2">
      <c r="A211" s="22">
        <v>46905</v>
      </c>
      <c r="B211" s="25">
        <f>'[2]US EIA'!$R359</f>
        <v>1777.3333333333298</v>
      </c>
      <c r="C211" s="23">
        <f>'[1]Renewable Diesel'!$AX222</f>
        <v>5389.3500000000013</v>
      </c>
      <c r="D211" s="25">
        <f t="shared" si="22"/>
        <v>7166.6833333333307</v>
      </c>
      <c r="E211" s="25">
        <f>BD!AC30</f>
        <v>102.09175937814935</v>
      </c>
      <c r="F211" s="25">
        <f>RD!AC29</f>
        <v>243.60668290877291</v>
      </c>
      <c r="G211" s="25">
        <f t="shared" si="23"/>
        <v>345.69844228692227</v>
      </c>
      <c r="H211" s="26">
        <f t="shared" si="21"/>
        <v>0.6763211560092065</v>
      </c>
      <c r="I211" s="26">
        <f t="shared" si="25"/>
        <v>0.53221116354448206</v>
      </c>
      <c r="J211" s="26">
        <f t="shared" si="24"/>
        <v>0.56795035856132681</v>
      </c>
      <c r="K211" s="25">
        <f t="shared" ref="K211:M274" si="26">((1-H211)*B211)</f>
        <v>575.2851987196359</v>
      </c>
      <c r="L211" s="25">
        <f t="shared" si="26"/>
        <v>2521.0777657515464</v>
      </c>
      <c r="M211" s="25">
        <f t="shared" si="26"/>
        <v>3096.3629644711809</v>
      </c>
    </row>
    <row r="212" spans="1:13" x14ac:dyDescent="0.2">
      <c r="A212" s="22">
        <v>46935</v>
      </c>
      <c r="B212" s="25">
        <f>'[2]US EIA'!$R360</f>
        <v>1777.3333333333298</v>
      </c>
      <c r="C212" s="23">
        <f>'[1]Renewable Diesel'!$AX223</f>
        <v>5389.3500000000013</v>
      </c>
      <c r="D212" s="25">
        <f t="shared" si="22"/>
        <v>7166.6833333333307</v>
      </c>
      <c r="E212" s="25">
        <f>BD!AC31</f>
        <v>101.33561418540273</v>
      </c>
      <c r="F212" s="25">
        <f>RD!AC30</f>
        <v>236.77352209535536</v>
      </c>
      <c r="G212" s="25">
        <f t="shared" si="23"/>
        <v>338.10913628075809</v>
      </c>
      <c r="H212" s="26">
        <f t="shared" si="21"/>
        <v>0.69368903183931119</v>
      </c>
      <c r="I212" s="26">
        <f t="shared" si="25"/>
        <v>0.53452541008225907</v>
      </c>
      <c r="J212" s="26">
        <f t="shared" si="24"/>
        <v>0.57399789648152799</v>
      </c>
      <c r="K212" s="25">
        <f t="shared" si="26"/>
        <v>544.4166940775965</v>
      </c>
      <c r="L212" s="25">
        <f t="shared" si="26"/>
        <v>2508.6054811731778</v>
      </c>
      <c r="M212" s="25">
        <f t="shared" si="26"/>
        <v>3053.0221752507737</v>
      </c>
    </row>
    <row r="213" spans="1:13" x14ac:dyDescent="0.2">
      <c r="A213" s="22">
        <v>46966</v>
      </c>
      <c r="B213" s="25">
        <f>'[2]US EIA'!$R361</f>
        <v>1777.3333333333298</v>
      </c>
      <c r="C213" s="23">
        <f>'[1]Renewable Diesel'!$AX224</f>
        <v>5389.3500000000013</v>
      </c>
      <c r="D213" s="25">
        <f t="shared" si="22"/>
        <v>7166.6833333333307</v>
      </c>
      <c r="E213" s="25">
        <f>BD!AC32</f>
        <v>104.38894090277211</v>
      </c>
      <c r="F213" s="25">
        <f>RD!AC31</f>
        <v>243.62656818724156</v>
      </c>
      <c r="G213" s="25">
        <f t="shared" si="23"/>
        <v>348.01550909001367</v>
      </c>
      <c r="H213" s="26">
        <f t="shared" si="21"/>
        <v>0.69153915669563981</v>
      </c>
      <c r="I213" s="26">
        <f t="shared" si="25"/>
        <v>0.53225460720975781</v>
      </c>
      <c r="J213" s="26">
        <f t="shared" si="24"/>
        <v>0.57175708361603228</v>
      </c>
      <c r="K213" s="25">
        <f t="shared" si="26"/>
        <v>548.23773883294848</v>
      </c>
      <c r="L213" s="25">
        <f t="shared" si="26"/>
        <v>2520.8436326340925</v>
      </c>
      <c r="M213" s="25">
        <f t="shared" si="26"/>
        <v>3069.0813714670408</v>
      </c>
    </row>
    <row r="214" spans="1:13" x14ac:dyDescent="0.2">
      <c r="A214" s="22">
        <v>46997</v>
      </c>
      <c r="B214" s="25">
        <f>'[2]US EIA'!$R362</f>
        <v>1777.3333333333298</v>
      </c>
      <c r="C214" s="23">
        <f>'[1]Renewable Diesel'!$AX225</f>
        <v>5389.3500000000013</v>
      </c>
      <c r="D214" s="25">
        <f t="shared" si="22"/>
        <v>7166.6833333333307</v>
      </c>
      <c r="E214" s="25">
        <f>BD!AC33</f>
        <v>98.628047359791367</v>
      </c>
      <c r="F214" s="25">
        <f>RD!AC32</f>
        <v>246.63014323247262</v>
      </c>
      <c r="G214" s="25">
        <f t="shared" si="23"/>
        <v>345.25819059226399</v>
      </c>
      <c r="H214" s="26">
        <f t="shared" si="21"/>
        <v>0.65337531071662125</v>
      </c>
      <c r="I214" s="26">
        <f t="shared" si="25"/>
        <v>0.53881656253269206</v>
      </c>
      <c r="J214" s="26">
        <f t="shared" si="24"/>
        <v>0.56722706601136819</v>
      </c>
      <c r="K214" s="25">
        <f t="shared" si="26"/>
        <v>616.06761441965727</v>
      </c>
      <c r="L214" s="25">
        <f t="shared" si="26"/>
        <v>2485.4789587144364</v>
      </c>
      <c r="M214" s="25">
        <f t="shared" si="26"/>
        <v>3101.5465731340933</v>
      </c>
    </row>
    <row r="215" spans="1:13" x14ac:dyDescent="0.2">
      <c r="A215" s="22">
        <v>47027</v>
      </c>
      <c r="B215" s="25">
        <f>'[2]US EIA'!$R363</f>
        <v>1777.3333333333298</v>
      </c>
      <c r="C215" s="23">
        <f>'[1]Renewable Diesel'!$AX226</f>
        <v>5389.3500000000013</v>
      </c>
      <c r="D215" s="25">
        <f t="shared" si="22"/>
        <v>7166.6833333333307</v>
      </c>
      <c r="E215" s="25">
        <f>BD!AC34</f>
        <v>101.33016527627791</v>
      </c>
      <c r="F215" s="25">
        <f>RD!AC33</f>
        <v>268.32381152612464</v>
      </c>
      <c r="G215" s="25">
        <f t="shared" si="23"/>
        <v>369.65397680240255</v>
      </c>
      <c r="H215" s="26">
        <f t="shared" si="21"/>
        <v>0.69365173154241389</v>
      </c>
      <c r="I215" s="26">
        <f t="shared" si="25"/>
        <v>0.6057514122422647</v>
      </c>
      <c r="J215" s="26">
        <f t="shared" si="24"/>
        <v>0.62755064073282141</v>
      </c>
      <c r="K215" s="25">
        <f t="shared" si="26"/>
        <v>544.48298913861527</v>
      </c>
      <c r="L215" s="25">
        <f t="shared" si="26"/>
        <v>2124.7436264321514</v>
      </c>
      <c r="M215" s="25">
        <f t="shared" si="26"/>
        <v>2669.2266155707666</v>
      </c>
    </row>
    <row r="216" spans="1:13" x14ac:dyDescent="0.2">
      <c r="A216" s="22">
        <v>47058</v>
      </c>
      <c r="B216" s="25">
        <f>'[2]US EIA'!$R364</f>
        <v>1777.3333333333298</v>
      </c>
      <c r="C216" s="23">
        <f>'[1]Renewable Diesel'!$AX227</f>
        <v>5389.3500000000013</v>
      </c>
      <c r="D216" s="25">
        <f t="shared" si="22"/>
        <v>7166.6833333333307</v>
      </c>
      <c r="E216" s="25">
        <f>BD!AC35</f>
        <v>95.651513565506818</v>
      </c>
      <c r="F216" s="25">
        <f>RD!AC34</f>
        <v>324.10578434622977</v>
      </c>
      <c r="G216" s="25">
        <f t="shared" si="23"/>
        <v>419.7572979117366</v>
      </c>
      <c r="H216" s="26">
        <f t="shared" si="21"/>
        <v>0.63365684578945236</v>
      </c>
      <c r="I216" s="26">
        <f t="shared" si="25"/>
        <v>0.70807875440346557</v>
      </c>
      <c r="J216" s="26">
        <f t="shared" si="24"/>
        <v>0.68962216398949372</v>
      </c>
      <c r="K216" s="25">
        <f t="shared" si="26"/>
        <v>651.11389941687878</v>
      </c>
      <c r="L216" s="25">
        <f t="shared" si="26"/>
        <v>1573.2657649556832</v>
      </c>
      <c r="M216" s="25">
        <f t="shared" si="26"/>
        <v>2224.3796643725609</v>
      </c>
    </row>
    <row r="217" spans="1:13" x14ac:dyDescent="0.2">
      <c r="A217" s="22">
        <v>47088</v>
      </c>
      <c r="B217" s="25">
        <f>'[2]US EIA'!$R365</f>
        <v>1777.3333333333298</v>
      </c>
      <c r="C217" s="23">
        <f>'[1]Renewable Diesel'!$AX228</f>
        <v>5389.3500000000013</v>
      </c>
      <c r="D217" s="25">
        <f t="shared" si="22"/>
        <v>7166.6833333333307</v>
      </c>
      <c r="E217" s="25">
        <f>BD!AC36</f>
        <v>128.93158874783975</v>
      </c>
      <c r="F217" s="25">
        <f>RD!AC35</f>
        <v>366.60588386446722</v>
      </c>
      <c r="G217" s="25">
        <f t="shared" si="23"/>
        <v>495.53747261230694</v>
      </c>
      <c r="H217" s="26">
        <f t="shared" si="21"/>
        <v>0.8825962095454164</v>
      </c>
      <c r="I217" s="26">
        <f t="shared" si="25"/>
        <v>0.82762700270305023</v>
      </c>
      <c r="J217" s="26">
        <f t="shared" si="24"/>
        <v>0.84125933429686028</v>
      </c>
      <c r="K217" s="25">
        <f t="shared" si="26"/>
        <v>208.66567023461283</v>
      </c>
      <c r="L217" s="25">
        <f t="shared" si="26"/>
        <v>928.97841298231651</v>
      </c>
      <c r="M217" s="25">
        <f t="shared" si="26"/>
        <v>1137.6440832169292</v>
      </c>
    </row>
    <row r="218" spans="1:13" x14ac:dyDescent="0.2">
      <c r="A218" s="22">
        <v>47119</v>
      </c>
      <c r="B218" s="25">
        <f>'[2]US EIA'!$R366</f>
        <v>1797.3333333333298</v>
      </c>
      <c r="C218" s="23">
        <f>'[1]Renewable Diesel'!$AX229</f>
        <v>5389.3500000000013</v>
      </c>
      <c r="D218" s="25">
        <f t="shared" si="22"/>
        <v>7186.6833333333307</v>
      </c>
      <c r="E218" s="25">
        <f>BD!AD25</f>
        <v>82.870173621704367</v>
      </c>
      <c r="F218" s="25">
        <f>RD!AD24</f>
        <v>196.3153831932172</v>
      </c>
      <c r="G218" s="25">
        <f t="shared" si="23"/>
        <v>279.1855568149216</v>
      </c>
      <c r="H218" s="26">
        <f t="shared" si="21"/>
        <v>0.54287618524317072</v>
      </c>
      <c r="I218" s="26">
        <f t="shared" si="25"/>
        <v>0.42889315376487303</v>
      </c>
      <c r="J218" s="26">
        <f t="shared" si="24"/>
        <v>0.45739941909036996</v>
      </c>
      <c r="K218" s="25">
        <f t="shared" si="26"/>
        <v>821.60386972293952</v>
      </c>
      <c r="L218" s="25">
        <f t="shared" si="26"/>
        <v>3077.8946817572823</v>
      </c>
      <c r="M218" s="25">
        <f t="shared" si="26"/>
        <v>3899.4985514802215</v>
      </c>
    </row>
    <row r="219" spans="1:13" x14ac:dyDescent="0.2">
      <c r="A219" s="22">
        <v>47150</v>
      </c>
      <c r="B219" s="25">
        <f>'[2]US EIA'!$R367</f>
        <v>1797.3333333333298</v>
      </c>
      <c r="C219" s="23">
        <f>'[1]Renewable Diesel'!$AX230</f>
        <v>5389.3500000000013</v>
      </c>
      <c r="D219" s="25">
        <f t="shared" si="22"/>
        <v>7186.6833333333307</v>
      </c>
      <c r="E219" s="25">
        <f>BD!AD26</f>
        <v>88.125514124583532</v>
      </c>
      <c r="F219" s="25">
        <f>RD!AD25</f>
        <v>214.0204126848578</v>
      </c>
      <c r="G219" s="25">
        <f t="shared" si="23"/>
        <v>302.14592680944133</v>
      </c>
      <c r="H219" s="26">
        <f t="shared" si="21"/>
        <v>0.5773035199484251</v>
      </c>
      <c r="I219" s="26">
        <f t="shared" si="25"/>
        <v>0.46757359649256336</v>
      </c>
      <c r="J219" s="26">
        <f t="shared" si="24"/>
        <v>0.49501619274229403</v>
      </c>
      <c r="K219" s="25">
        <f t="shared" si="26"/>
        <v>759.72647347936243</v>
      </c>
      <c r="L219" s="25">
        <f t="shared" si="26"/>
        <v>2869.4322377428043</v>
      </c>
      <c r="M219" s="25">
        <f t="shared" si="26"/>
        <v>3629.1587112221664</v>
      </c>
    </row>
    <row r="220" spans="1:13" x14ac:dyDescent="0.2">
      <c r="A220" s="22">
        <v>47178</v>
      </c>
      <c r="B220" s="25">
        <f>'[2]US EIA'!$R368</f>
        <v>1797.3333333333298</v>
      </c>
      <c r="C220" s="23">
        <f>'[1]Renewable Diesel'!$AX231</f>
        <v>5389.3500000000013</v>
      </c>
      <c r="D220" s="25">
        <f t="shared" si="22"/>
        <v>7186.6833333333307</v>
      </c>
      <c r="E220" s="25">
        <f>BD!AD27</f>
        <v>100.31300916682284</v>
      </c>
      <c r="F220" s="25">
        <f>RD!AD26</f>
        <v>228.57826488394292</v>
      </c>
      <c r="G220" s="25">
        <f t="shared" si="23"/>
        <v>328.89127405076579</v>
      </c>
      <c r="H220" s="26">
        <f t="shared" si="21"/>
        <v>0.727551034851044</v>
      </c>
      <c r="I220" s="26">
        <f t="shared" si="25"/>
        <v>0.55288317755413885</v>
      </c>
      <c r="J220" s="26">
        <f t="shared" si="24"/>
        <v>0.59656624352777587</v>
      </c>
      <c r="K220" s="25">
        <f t="shared" si="26"/>
        <v>489.6816066943893</v>
      </c>
      <c r="L220" s="25">
        <f t="shared" si="26"/>
        <v>2409.6690470486024</v>
      </c>
      <c r="M220" s="25">
        <f t="shared" si="26"/>
        <v>2899.3506537429907</v>
      </c>
    </row>
    <row r="221" spans="1:13" x14ac:dyDescent="0.2">
      <c r="A221" s="22">
        <v>47209</v>
      </c>
      <c r="B221" s="25">
        <f>'[2]US EIA'!$R369</f>
        <v>1797.3333333333298</v>
      </c>
      <c r="C221" s="23">
        <f>'[1]Renewable Diesel'!$AX232</f>
        <v>5389.3500000000013</v>
      </c>
      <c r="D221" s="25">
        <f t="shared" si="22"/>
        <v>7186.6833333333307</v>
      </c>
      <c r="E221" s="25">
        <f>BD!AD28</f>
        <v>112.10189490846491</v>
      </c>
      <c r="F221" s="25">
        <f>RD!AD27</f>
        <v>218.95534114504278</v>
      </c>
      <c r="G221" s="25">
        <f t="shared" si="23"/>
        <v>331.05723605350772</v>
      </c>
      <c r="H221" s="26">
        <f t="shared" si="21"/>
        <v>0.73437096130928325</v>
      </c>
      <c r="I221" s="26">
        <f t="shared" si="25"/>
        <v>0.47835500850656537</v>
      </c>
      <c r="J221" s="26">
        <f t="shared" si="24"/>
        <v>0.54238259738100003</v>
      </c>
      <c r="K221" s="25">
        <f t="shared" si="26"/>
        <v>477.423925540114</v>
      </c>
      <c r="L221" s="25">
        <f t="shared" si="26"/>
        <v>2811.327434905143</v>
      </c>
      <c r="M221" s="25">
        <f t="shared" si="26"/>
        <v>3288.7513604452556</v>
      </c>
    </row>
    <row r="222" spans="1:13" x14ac:dyDescent="0.2">
      <c r="A222" s="22">
        <v>47239</v>
      </c>
      <c r="B222" s="25">
        <f>'[2]US EIA'!$R370</f>
        <v>1797.3333333333298</v>
      </c>
      <c r="C222" s="23">
        <f>'[1]Renewable Diesel'!$AX233</f>
        <v>5389.3500000000013</v>
      </c>
      <c r="D222" s="25">
        <f t="shared" si="22"/>
        <v>7186.6833333333307</v>
      </c>
      <c r="E222" s="25">
        <f>BD!AD29</f>
        <v>119.14925552638401</v>
      </c>
      <c r="F222" s="25">
        <f>RD!AD28</f>
        <v>244.00003758973341</v>
      </c>
      <c r="G222" s="25">
        <f t="shared" si="23"/>
        <v>363.14929311611741</v>
      </c>
      <c r="H222" s="26">
        <f t="shared" si="21"/>
        <v>0.80655560584440367</v>
      </c>
      <c r="I222" s="26">
        <f t="shared" si="25"/>
        <v>0.55083954911230892</v>
      </c>
      <c r="J222" s="26">
        <f t="shared" si="24"/>
        <v>0.61479213632335228</v>
      </c>
      <c r="K222" s="25">
        <f t="shared" si="26"/>
        <v>347.68405776232447</v>
      </c>
      <c r="L222" s="25">
        <f t="shared" si="26"/>
        <v>2420.6828759915784</v>
      </c>
      <c r="M222" s="25">
        <f t="shared" si="26"/>
        <v>2768.3669337539018</v>
      </c>
    </row>
    <row r="223" spans="1:13" x14ac:dyDescent="0.2">
      <c r="A223" s="22">
        <v>47270</v>
      </c>
      <c r="B223" s="25">
        <f>'[2]US EIA'!$R371</f>
        <v>1797.3333333333298</v>
      </c>
      <c r="C223" s="23">
        <f>'[1]Renewable Diesel'!$AX234</f>
        <v>5389.3500000000013</v>
      </c>
      <c r="D223" s="25">
        <f t="shared" si="22"/>
        <v>7186.6833333333307</v>
      </c>
      <c r="E223" s="25">
        <f>BD!AD30</f>
        <v>116.23847960861514</v>
      </c>
      <c r="F223" s="25">
        <f>RD!AD29</f>
        <v>244.9705224732177</v>
      </c>
      <c r="G223" s="25">
        <f t="shared" si="23"/>
        <v>361.20900208183286</v>
      </c>
      <c r="H223" s="26">
        <f t="shared" si="21"/>
        <v>0.76146941210056607</v>
      </c>
      <c r="I223" s="26">
        <f t="shared" si="25"/>
        <v>0.53519076423857703</v>
      </c>
      <c r="J223" s="26">
        <f t="shared" si="24"/>
        <v>0.59178128556259268</v>
      </c>
      <c r="K223" s="25">
        <f t="shared" si="26"/>
        <v>428.7189766512484</v>
      </c>
      <c r="L223" s="25">
        <f t="shared" si="26"/>
        <v>2505.0196547508253</v>
      </c>
      <c r="M223" s="25">
        <f t="shared" si="26"/>
        <v>2933.7386314020732</v>
      </c>
    </row>
    <row r="224" spans="1:13" x14ac:dyDescent="0.2">
      <c r="A224" s="22">
        <v>47300</v>
      </c>
      <c r="B224" s="25">
        <f>'[2]US EIA'!$R372</f>
        <v>1797.3333333333298</v>
      </c>
      <c r="C224" s="23">
        <f>'[1]Renewable Diesel'!$AX235</f>
        <v>5389.3500000000013</v>
      </c>
      <c r="D224" s="25">
        <f t="shared" si="22"/>
        <v>7186.6833333333307</v>
      </c>
      <c r="E224" s="25">
        <f>BD!AD31</f>
        <v>117.07894628193803</v>
      </c>
      <c r="F224" s="25">
        <f>RD!AD30</f>
        <v>238.95691024844706</v>
      </c>
      <c r="G224" s="25">
        <f t="shared" si="23"/>
        <v>356.0358565303851</v>
      </c>
      <c r="H224" s="26">
        <f t="shared" si="21"/>
        <v>0.79254108666371414</v>
      </c>
      <c r="I224" s="26">
        <f t="shared" si="25"/>
        <v>0.53945449352694452</v>
      </c>
      <c r="J224" s="26">
        <f t="shared" si="24"/>
        <v>0.60274947244366606</v>
      </c>
      <c r="K224" s="25">
        <f t="shared" si="26"/>
        <v>372.87282023641706</v>
      </c>
      <c r="L224" s="25">
        <f t="shared" si="26"/>
        <v>2482.0409253105622</v>
      </c>
      <c r="M224" s="25">
        <f t="shared" si="26"/>
        <v>2854.9137455469781</v>
      </c>
    </row>
    <row r="225" spans="1:13" x14ac:dyDescent="0.2">
      <c r="A225" s="22">
        <v>47331</v>
      </c>
      <c r="B225" s="25">
        <f>'[2]US EIA'!$R373</f>
        <v>1797.3333333333298</v>
      </c>
      <c r="C225" s="23">
        <f>'[1]Renewable Diesel'!$AX236</f>
        <v>5389.3500000000013</v>
      </c>
      <c r="D225" s="25">
        <f t="shared" si="22"/>
        <v>7186.6833333333307</v>
      </c>
      <c r="E225" s="25">
        <f>BD!AD32</f>
        <v>119.60491214286449</v>
      </c>
      <c r="F225" s="25">
        <f>RD!AD31</f>
        <v>245.85113401359109</v>
      </c>
      <c r="G225" s="25">
        <f t="shared" si="23"/>
        <v>365.45604615645561</v>
      </c>
      <c r="H225" s="26">
        <f t="shared" si="21"/>
        <v>0.7835226548078208</v>
      </c>
      <c r="I225" s="26">
        <f t="shared" si="25"/>
        <v>0.53711464944130083</v>
      </c>
      <c r="J225" s="26">
        <f t="shared" si="24"/>
        <v>0.59873936575393827</v>
      </c>
      <c r="K225" s="25">
        <f t="shared" si="26"/>
        <v>389.08194842540934</v>
      </c>
      <c r="L225" s="25">
        <f t="shared" si="26"/>
        <v>2494.6511640335261</v>
      </c>
      <c r="M225" s="25">
        <f t="shared" si="26"/>
        <v>2883.7331124589332</v>
      </c>
    </row>
    <row r="226" spans="1:13" x14ac:dyDescent="0.2">
      <c r="A226" s="22">
        <v>47362</v>
      </c>
      <c r="B226" s="25">
        <f>'[2]US EIA'!$R374</f>
        <v>1797.3333333333298</v>
      </c>
      <c r="C226" s="23">
        <f>'[1]Renewable Diesel'!$AX237</f>
        <v>5389.3500000000013</v>
      </c>
      <c r="D226" s="25">
        <f t="shared" si="22"/>
        <v>7186.6833333333307</v>
      </c>
      <c r="E226" s="25">
        <f>BD!AD33</f>
        <v>113.01766914022888</v>
      </c>
      <c r="F226" s="25">
        <f>RD!AD32</f>
        <v>248.71833123381199</v>
      </c>
      <c r="G226" s="25">
        <f t="shared" si="23"/>
        <v>361.73600037404088</v>
      </c>
      <c r="H226" s="26">
        <f t="shared" si="21"/>
        <v>0.74037012843729566</v>
      </c>
      <c r="I226" s="26">
        <f t="shared" si="25"/>
        <v>0.54337865809026198</v>
      </c>
      <c r="J226" s="26">
        <f t="shared" si="24"/>
        <v>0.59264468521502311</v>
      </c>
      <c r="K226" s="25">
        <f t="shared" si="26"/>
        <v>466.64142248869967</v>
      </c>
      <c r="L226" s="25">
        <f t="shared" si="26"/>
        <v>2460.8922290212472</v>
      </c>
      <c r="M226" s="25">
        <f t="shared" si="26"/>
        <v>2927.5336515099457</v>
      </c>
    </row>
    <row r="227" spans="1:13" x14ac:dyDescent="0.2">
      <c r="A227" s="22">
        <v>47392</v>
      </c>
      <c r="B227" s="25">
        <f>'[2]US EIA'!$R375</f>
        <v>1793.9999999999966</v>
      </c>
      <c r="C227" s="23">
        <f>'[1]Renewable Diesel'!$AX238</f>
        <v>5389.3500000000013</v>
      </c>
      <c r="D227" s="25">
        <f t="shared" si="22"/>
        <v>7183.3499999999976</v>
      </c>
      <c r="E227" s="25">
        <f>BD!AD34</f>
        <v>116.80982376312448</v>
      </c>
      <c r="F227" s="25">
        <f>RD!AD33</f>
        <v>270.20842665035696</v>
      </c>
      <c r="G227" s="25">
        <f t="shared" si="23"/>
        <v>387.01825041348144</v>
      </c>
      <c r="H227" s="26">
        <f t="shared" si="21"/>
        <v>0.79218851121405653</v>
      </c>
      <c r="I227" s="26">
        <f t="shared" si="25"/>
        <v>0.6100060039855163</v>
      </c>
      <c r="J227" s="26">
        <f t="shared" si="24"/>
        <v>0.65550502853088866</v>
      </c>
      <c r="K227" s="25">
        <f t="shared" si="26"/>
        <v>372.81381088198185</v>
      </c>
      <c r="L227" s="25">
        <f t="shared" si="26"/>
        <v>2101.8141424206583</v>
      </c>
      <c r="M227" s="25">
        <f t="shared" si="26"/>
        <v>2474.62795330264</v>
      </c>
    </row>
    <row r="228" spans="1:13" x14ac:dyDescent="0.2">
      <c r="A228" s="22">
        <v>47423</v>
      </c>
      <c r="B228" s="25">
        <f>'[2]US EIA'!$R376</f>
        <v>1790.6666666666633</v>
      </c>
      <c r="C228" s="23">
        <f>'[1]Renewable Diesel'!$AX239</f>
        <v>5389.3500000000013</v>
      </c>
      <c r="D228" s="25">
        <f t="shared" si="22"/>
        <v>7180.0166666666646</v>
      </c>
      <c r="E228" s="25">
        <f>BD!AD35</f>
        <v>110.44501974230791</v>
      </c>
      <c r="F228" s="25">
        <f>RD!AD34</f>
        <v>326.91595751048095</v>
      </c>
      <c r="G228" s="25">
        <f t="shared" si="23"/>
        <v>437.36097725278887</v>
      </c>
      <c r="H228" s="26">
        <f t="shared" si="21"/>
        <v>0.72621055783769706</v>
      </c>
      <c r="I228" s="26">
        <f t="shared" si="25"/>
        <v>0.71421818174449492</v>
      </c>
      <c r="J228" s="26">
        <f t="shared" si="24"/>
        <v>0.71720903108665912</v>
      </c>
      <c r="K228" s="25">
        <f t="shared" si="26"/>
        <v>490.26562776529624</v>
      </c>
      <c r="L228" s="25">
        <f t="shared" si="26"/>
        <v>1540.1782422153067</v>
      </c>
      <c r="M228" s="25">
        <f t="shared" si="26"/>
        <v>2030.4438699806021</v>
      </c>
    </row>
    <row r="229" spans="1:13" x14ac:dyDescent="0.2">
      <c r="A229" s="22">
        <v>47453</v>
      </c>
      <c r="B229" s="25">
        <f>'[2]US EIA'!$R377</f>
        <v>1787.3333333333301</v>
      </c>
      <c r="C229" s="23">
        <f>'[1]Renewable Diesel'!$AX240</f>
        <v>5389.3500000000013</v>
      </c>
      <c r="D229" s="25">
        <f t="shared" si="22"/>
        <v>7176.6833333333316</v>
      </c>
      <c r="E229" s="25">
        <f>BD!AD36</f>
        <v>157.41306475928371</v>
      </c>
      <c r="F229" s="25">
        <f>RD!AD35</f>
        <v>369.85667091491246</v>
      </c>
      <c r="G229" s="25">
        <f t="shared" si="23"/>
        <v>527.26973567419623</v>
      </c>
      <c r="H229" s="26">
        <f t="shared" si="21"/>
        <v>1.0715361551126195</v>
      </c>
      <c r="I229" s="26">
        <f t="shared" si="25"/>
        <v>0.83496578056069237</v>
      </c>
      <c r="J229" s="26">
        <f t="shared" si="24"/>
        <v>0.89388298457774906</v>
      </c>
      <c r="K229" s="25">
        <f t="shared" si="26"/>
        <v>-127.85895457128828</v>
      </c>
      <c r="L229" s="25">
        <f t="shared" si="26"/>
        <v>889.42717053523279</v>
      </c>
      <c r="M229" s="25">
        <f t="shared" si="26"/>
        <v>761.56821596394445</v>
      </c>
    </row>
    <row r="230" spans="1:13" x14ac:dyDescent="0.2">
      <c r="A230" s="22">
        <v>47484</v>
      </c>
      <c r="B230" s="25">
        <f>'[2]US EIA'!$R378</f>
        <v>1783.9999999999968</v>
      </c>
      <c r="C230" s="23">
        <f>'[1]Renewable Diesel'!$AX241</f>
        <v>5389.3500000000013</v>
      </c>
      <c r="D230" s="25">
        <f t="shared" si="22"/>
        <v>7173.3499999999985</v>
      </c>
      <c r="E230" s="25">
        <f>BD!AE25</f>
        <v>80.201548421605111</v>
      </c>
      <c r="F230" s="25">
        <f>RD!AE24</f>
        <v>205.70763169478792</v>
      </c>
      <c r="G230" s="25">
        <f t="shared" si="23"/>
        <v>285.90918011639303</v>
      </c>
      <c r="H230" s="26">
        <f t="shared" si="21"/>
        <v>0.52932093833874438</v>
      </c>
      <c r="I230" s="26">
        <f t="shared" si="25"/>
        <v>0.44941253953719101</v>
      </c>
      <c r="J230" s="26">
        <f t="shared" si="24"/>
        <v>0.46928562302844273</v>
      </c>
      <c r="K230" s="25">
        <f t="shared" si="26"/>
        <v>839.69144600367849</v>
      </c>
      <c r="L230" s="25">
        <f t="shared" si="26"/>
        <v>2967.3085300452399</v>
      </c>
      <c r="M230" s="25">
        <f t="shared" si="26"/>
        <v>3806.9999760489191</v>
      </c>
    </row>
    <row r="231" spans="1:13" x14ac:dyDescent="0.2">
      <c r="A231" s="22">
        <v>47515</v>
      </c>
      <c r="B231" s="25">
        <f>'[2]US EIA'!$R379</f>
        <v>1783.9999999999968</v>
      </c>
      <c r="C231" s="23">
        <f>'[1]Renewable Diesel'!$AX242</f>
        <v>5389.3500000000013</v>
      </c>
      <c r="D231" s="25">
        <f t="shared" si="22"/>
        <v>7173.3499999999985</v>
      </c>
      <c r="E231" s="25">
        <f>BD!AE26</f>
        <v>85.786369292106784</v>
      </c>
      <c r="F231" s="25">
        <f>RD!AE25</f>
        <v>224.2489923909564</v>
      </c>
      <c r="G231" s="25">
        <f t="shared" si="23"/>
        <v>310.03536168306317</v>
      </c>
      <c r="H231" s="26">
        <f t="shared" si="21"/>
        <v>0.56618010978625477</v>
      </c>
      <c r="I231" s="26">
        <f t="shared" si="25"/>
        <v>0.48992012755562458</v>
      </c>
      <c r="J231" s="26">
        <f t="shared" si="24"/>
        <v>0.50888585602272063</v>
      </c>
      <c r="K231" s="25">
        <f t="shared" si="26"/>
        <v>773.93468414132008</v>
      </c>
      <c r="L231" s="25">
        <f t="shared" si="26"/>
        <v>2748.998960558095</v>
      </c>
      <c r="M231" s="25">
        <f t="shared" si="26"/>
        <v>3522.9336446994162</v>
      </c>
    </row>
    <row r="232" spans="1:13" x14ac:dyDescent="0.2">
      <c r="A232" s="22">
        <v>47543</v>
      </c>
      <c r="B232" s="25">
        <f>'[2]US EIA'!$R380</f>
        <v>1783.9999999999968</v>
      </c>
      <c r="C232" s="23">
        <f>'[1]Renewable Diesel'!$AX243</f>
        <v>5389.3500000000013</v>
      </c>
      <c r="D232" s="25">
        <f t="shared" si="22"/>
        <v>7173.3499999999985</v>
      </c>
      <c r="E232" s="25">
        <f>BD!AE27</f>
        <v>99.525647188424557</v>
      </c>
      <c r="F232" s="25">
        <f>RD!AE26</f>
        <v>239.81743750720793</v>
      </c>
      <c r="G232" s="25">
        <f t="shared" si="23"/>
        <v>339.34308469563246</v>
      </c>
      <c r="H232" s="26">
        <f t="shared" si="21"/>
        <v>0.72723537043111441</v>
      </c>
      <c r="I232" s="26">
        <f t="shared" si="25"/>
        <v>0.58006839341963357</v>
      </c>
      <c r="J232" s="26">
        <f t="shared" si="24"/>
        <v>0.61666857143806031</v>
      </c>
      <c r="K232" s="25">
        <f t="shared" si="26"/>
        <v>486.61209915089103</v>
      </c>
      <c r="L232" s="25">
        <f t="shared" si="26"/>
        <v>2263.1584039238983</v>
      </c>
      <c r="M232" s="25">
        <f t="shared" si="26"/>
        <v>2749.7705030747893</v>
      </c>
    </row>
    <row r="233" spans="1:13" x14ac:dyDescent="0.2">
      <c r="A233" s="22">
        <v>47574</v>
      </c>
      <c r="B233" s="25">
        <f>'[2]US EIA'!$R381</f>
        <v>1780.6666666666636</v>
      </c>
      <c r="C233" s="23">
        <f>'[1]Renewable Diesel'!$AX244</f>
        <v>5389.3500000000013</v>
      </c>
      <c r="D233" s="25">
        <f t="shared" si="22"/>
        <v>7170.0166666666646</v>
      </c>
      <c r="E233" s="25">
        <f>BD!AE28</f>
        <v>113.97790828088256</v>
      </c>
      <c r="F233" s="25">
        <f>RD!AE27</f>
        <v>229.46227814924833</v>
      </c>
      <c r="G233" s="25">
        <f t="shared" si="23"/>
        <v>343.44018643013089</v>
      </c>
      <c r="H233" s="26">
        <f t="shared" si="21"/>
        <v>0.75364916829245188</v>
      </c>
      <c r="I233" s="26">
        <f t="shared" si="25"/>
        <v>0.50130967092192646</v>
      </c>
      <c r="J233" s="26">
        <f t="shared" si="24"/>
        <v>0.5639779397057435</v>
      </c>
      <c r="K233" s="25">
        <f t="shared" si="26"/>
        <v>438.66871432723991</v>
      </c>
      <c r="L233" s="25">
        <f t="shared" si="26"/>
        <v>2687.6167250169165</v>
      </c>
      <c r="M233" s="25">
        <f t="shared" si="26"/>
        <v>3126.2854393441562</v>
      </c>
    </row>
    <row r="234" spans="1:13" x14ac:dyDescent="0.2">
      <c r="A234" s="22">
        <v>47604</v>
      </c>
      <c r="B234" s="25">
        <f>'[2]US EIA'!$R382</f>
        <v>1780.6666666666636</v>
      </c>
      <c r="C234" s="23">
        <f>'[1]Renewable Diesel'!$AX245</f>
        <v>5389.3500000000013</v>
      </c>
      <c r="D234" s="25">
        <f t="shared" si="22"/>
        <v>7170.0166666666646</v>
      </c>
      <c r="E234" s="25">
        <f>BD!AE29</f>
        <v>121.42556667723595</v>
      </c>
      <c r="F234" s="25">
        <f>RD!AE28</f>
        <v>256.3516941498354</v>
      </c>
      <c r="G234" s="25">
        <f t="shared" si="23"/>
        <v>377.77726082707136</v>
      </c>
      <c r="H234" s="26">
        <f t="shared" ref="H234:H297" si="27">(E234/(A234-A233)*365)/B234</f>
        <v>0.82965802765239982</v>
      </c>
      <c r="I234" s="26">
        <f t="shared" si="25"/>
        <v>0.57872389289178283</v>
      </c>
      <c r="J234" s="26">
        <f t="shared" si="24"/>
        <v>0.64104314123807737</v>
      </c>
      <c r="K234" s="25">
        <f t="shared" si="26"/>
        <v>303.32227209362617</v>
      </c>
      <c r="L234" s="25">
        <f t="shared" si="26"/>
        <v>2270.4043878436705</v>
      </c>
      <c r="M234" s="25">
        <f t="shared" si="26"/>
        <v>2573.726659937297</v>
      </c>
    </row>
    <row r="235" spans="1:13" x14ac:dyDescent="0.2">
      <c r="A235" s="22">
        <v>47635</v>
      </c>
      <c r="B235" s="25">
        <f>'[2]US EIA'!$R383</f>
        <v>1780.6666666666636</v>
      </c>
      <c r="C235" s="23">
        <f>'[1]Renewable Diesel'!$AX246</f>
        <v>5389.3500000000013</v>
      </c>
      <c r="D235" s="25">
        <f t="shared" si="22"/>
        <v>7170.0166666666646</v>
      </c>
      <c r="E235" s="25">
        <f>BD!AE30</f>
        <v>119.55874984713495</v>
      </c>
      <c r="F235" s="25">
        <f>RD!AE29</f>
        <v>256.70844304556442</v>
      </c>
      <c r="G235" s="25">
        <f t="shared" si="23"/>
        <v>376.26719289269937</v>
      </c>
      <c r="H235" s="26">
        <f t="shared" si="27"/>
        <v>0.79055102645265751</v>
      </c>
      <c r="I235" s="26">
        <f t="shared" si="25"/>
        <v>0.56083477486590794</v>
      </c>
      <c r="J235" s="26">
        <f t="shared" si="24"/>
        <v>0.61788458255935419</v>
      </c>
      <c r="K235" s="25">
        <f t="shared" si="26"/>
        <v>372.95880556330053</v>
      </c>
      <c r="L235" s="25">
        <f t="shared" si="26"/>
        <v>2366.8151060764194</v>
      </c>
      <c r="M235" s="25">
        <f t="shared" si="26"/>
        <v>2739.7739116397202</v>
      </c>
    </row>
    <row r="236" spans="1:13" x14ac:dyDescent="0.2">
      <c r="A236" s="22">
        <v>47665</v>
      </c>
      <c r="B236" s="25">
        <f>'[2]US EIA'!$R384</f>
        <v>1780.6666666666636</v>
      </c>
      <c r="C236" s="23">
        <f>'[1]Renewable Diesel'!$AX247</f>
        <v>5389.3500000000013</v>
      </c>
      <c r="D236" s="25">
        <f t="shared" si="22"/>
        <v>7170.0166666666646</v>
      </c>
      <c r="E236" s="25">
        <f>BD!AE31</f>
        <v>118.27757384951545</v>
      </c>
      <c r="F236" s="25">
        <f>RD!AE30</f>
        <v>250.03321112136015</v>
      </c>
      <c r="G236" s="25">
        <f t="shared" si="23"/>
        <v>368.3107849708756</v>
      </c>
      <c r="H236" s="26">
        <f t="shared" si="27"/>
        <v>0.80814890406351958</v>
      </c>
      <c r="I236" s="26">
        <f t="shared" si="25"/>
        <v>0.56445967237419747</v>
      </c>
      <c r="J236" s="26">
        <f t="shared" si="24"/>
        <v>0.6249796560880595</v>
      </c>
      <c r="K236" s="25">
        <f t="shared" si="26"/>
        <v>341.62285149755888</v>
      </c>
      <c r="L236" s="25">
        <f t="shared" si="26"/>
        <v>2347.2792646901194</v>
      </c>
      <c r="M236" s="25">
        <f t="shared" si="26"/>
        <v>2688.9021161876776</v>
      </c>
    </row>
    <row r="237" spans="1:13" x14ac:dyDescent="0.2">
      <c r="A237" s="22">
        <v>47696</v>
      </c>
      <c r="B237" s="25">
        <f>'[2]US EIA'!$R385</f>
        <v>1780.6666666666636</v>
      </c>
      <c r="C237" s="23">
        <f>'[1]Renewable Diesel'!$AX248</f>
        <v>5389.3500000000013</v>
      </c>
      <c r="D237" s="25">
        <f t="shared" si="22"/>
        <v>7170.0166666666646</v>
      </c>
      <c r="E237" s="25">
        <f>BD!AE32</f>
        <v>122.72177214856309</v>
      </c>
      <c r="F237" s="25">
        <f>RD!AE31</f>
        <v>257.41208430610368</v>
      </c>
      <c r="G237" s="25">
        <f t="shared" si="23"/>
        <v>380.13385645466678</v>
      </c>
      <c r="H237" s="26">
        <f t="shared" si="27"/>
        <v>0.81146568581706024</v>
      </c>
      <c r="I237" s="26">
        <f t="shared" si="25"/>
        <v>0.56237203045150175</v>
      </c>
      <c r="J237" s="26">
        <f t="shared" si="24"/>
        <v>0.62423419752981213</v>
      </c>
      <c r="K237" s="25">
        <f t="shared" si="26"/>
        <v>335.71676878842078</v>
      </c>
      <c r="L237" s="25">
        <f t="shared" si="26"/>
        <v>2358.5302976861994</v>
      </c>
      <c r="M237" s="25">
        <f t="shared" si="26"/>
        <v>2694.2470664746206</v>
      </c>
    </row>
    <row r="238" spans="1:13" x14ac:dyDescent="0.2">
      <c r="A238" s="22">
        <v>47727</v>
      </c>
      <c r="B238" s="25">
        <f>'[2]US EIA'!$R386</f>
        <v>1780.6666666666636</v>
      </c>
      <c r="C238" s="23">
        <f>'[1]Renewable Diesel'!$AX249</f>
        <v>5389.3500000000013</v>
      </c>
      <c r="D238" s="25">
        <f t="shared" si="22"/>
        <v>7170.0166666666646</v>
      </c>
      <c r="E238" s="25">
        <f>BD!AE33</f>
        <v>115.67009434432832</v>
      </c>
      <c r="F238" s="25">
        <f>RD!AE32</f>
        <v>260.67037302903577</v>
      </c>
      <c r="G238" s="25">
        <f t="shared" si="23"/>
        <v>376.34046737336411</v>
      </c>
      <c r="H238" s="26">
        <f t="shared" si="27"/>
        <v>0.76483830694701593</v>
      </c>
      <c r="I238" s="26">
        <f t="shared" si="25"/>
        <v>0.56949046255561986</v>
      </c>
      <c r="J238" s="26">
        <f t="shared" si="24"/>
        <v>0.61800490974374067</v>
      </c>
      <c r="K238" s="25">
        <f t="shared" si="26"/>
        <v>418.74458809634621</v>
      </c>
      <c r="L238" s="25">
        <f t="shared" si="26"/>
        <v>2320.1665756258708</v>
      </c>
      <c r="M238" s="25">
        <f t="shared" si="26"/>
        <v>2738.9111637222163</v>
      </c>
    </row>
    <row r="239" spans="1:13" x14ac:dyDescent="0.2">
      <c r="A239" s="22">
        <v>47757</v>
      </c>
      <c r="B239" s="25">
        <f>'[2]US EIA'!$R387</f>
        <v>1780.6666666666636</v>
      </c>
      <c r="C239" s="23">
        <f>'[1]Renewable Diesel'!$AX250</f>
        <v>5389.3500000000013</v>
      </c>
      <c r="D239" s="25">
        <f t="shared" si="22"/>
        <v>7170.0166666666646</v>
      </c>
      <c r="E239" s="25">
        <f>BD!AE34</f>
        <v>117.45510854819993</v>
      </c>
      <c r="F239" s="25">
        <f>RD!AE33</f>
        <v>283.20654538055896</v>
      </c>
      <c r="G239" s="25">
        <f t="shared" si="23"/>
        <v>400.66165392875888</v>
      </c>
      <c r="H239" s="26">
        <f t="shared" si="27"/>
        <v>0.80252928903206755</v>
      </c>
      <c r="I239" s="26">
        <f t="shared" si="25"/>
        <v>0.63934976118891274</v>
      </c>
      <c r="J239" s="26">
        <f t="shared" si="24"/>
        <v>0.67987523824443474</v>
      </c>
      <c r="K239" s="25">
        <f t="shared" si="26"/>
        <v>351.62951266356441</v>
      </c>
      <c r="L239" s="25">
        <f t="shared" si="26"/>
        <v>1943.6703645365335</v>
      </c>
      <c r="M239" s="25">
        <f t="shared" si="26"/>
        <v>2295.2998772000983</v>
      </c>
    </row>
    <row r="240" spans="1:13" x14ac:dyDescent="0.2">
      <c r="A240" s="22">
        <v>47788</v>
      </c>
      <c r="B240" s="25">
        <f>'[2]US EIA'!$R388</f>
        <v>1780.6666666666636</v>
      </c>
      <c r="C240" s="23">
        <f>'[1]Renewable Diesel'!$AX251</f>
        <v>5389.3500000000013</v>
      </c>
      <c r="D240" s="25">
        <f t="shared" si="22"/>
        <v>7170.0166666666646</v>
      </c>
      <c r="E240" s="25">
        <f>BD!AE35</f>
        <v>112.2935020543384</v>
      </c>
      <c r="F240" s="25">
        <f>RD!AE34</f>
        <v>342.12788418371906</v>
      </c>
      <c r="G240" s="25">
        <f t="shared" si="23"/>
        <v>454.42138623805749</v>
      </c>
      <c r="H240" s="26">
        <f t="shared" si="27"/>
        <v>0.74251147177872712</v>
      </c>
      <c r="I240" s="26">
        <f t="shared" si="25"/>
        <v>0.74745190545785145</v>
      </c>
      <c r="J240" s="26">
        <f t="shared" si="24"/>
        <v>0.74622495355797758</v>
      </c>
      <c r="K240" s="25">
        <f t="shared" si="26"/>
        <v>458.50123925267911</v>
      </c>
      <c r="L240" s="25">
        <f t="shared" si="26"/>
        <v>1361.0700733207286</v>
      </c>
      <c r="M240" s="25">
        <f t="shared" si="26"/>
        <v>1819.5713125734076</v>
      </c>
    </row>
    <row r="241" spans="1:13" x14ac:dyDescent="0.2">
      <c r="A241" s="22">
        <v>47818</v>
      </c>
      <c r="B241" s="25">
        <f>'[2]US EIA'!$R389</f>
        <v>1780.6666666666636</v>
      </c>
      <c r="C241" s="23">
        <f>'[1]Renewable Diesel'!$AX252</f>
        <v>5389.3500000000013</v>
      </c>
      <c r="D241" s="25">
        <f t="shared" si="22"/>
        <v>7170.0166666666646</v>
      </c>
      <c r="E241" s="25">
        <f>BD!AE36</f>
        <v>162.99412846223143</v>
      </c>
      <c r="F241" s="25">
        <f>RD!AE35</f>
        <v>387.29975470567996</v>
      </c>
      <c r="G241" s="25">
        <f t="shared" si="23"/>
        <v>550.29388316791142</v>
      </c>
      <c r="H241" s="26">
        <f t="shared" si="27"/>
        <v>1.1136813344948442</v>
      </c>
      <c r="I241" s="26">
        <f t="shared" si="25"/>
        <v>0.87434421879925617</v>
      </c>
      <c r="J241" s="26">
        <f t="shared" si="24"/>
        <v>0.9337833587383001</v>
      </c>
      <c r="K241" s="25">
        <f t="shared" si="26"/>
        <v>-202.4285629571522</v>
      </c>
      <c r="L241" s="25">
        <f t="shared" si="26"/>
        <v>677.20298441422892</v>
      </c>
      <c r="M241" s="25">
        <f t="shared" si="26"/>
        <v>474.77442145707585</v>
      </c>
    </row>
    <row r="242" spans="1:13" x14ac:dyDescent="0.2">
      <c r="A242" s="22">
        <v>47849</v>
      </c>
      <c r="B242" s="25">
        <f>'[2]US EIA'!$R390</f>
        <v>1800.6666666666636</v>
      </c>
      <c r="C242" s="23">
        <f>'[1]Renewable Diesel'!$AX253</f>
        <v>5389.3500000000013</v>
      </c>
      <c r="D242" s="25">
        <f t="shared" si="22"/>
        <v>7190.0166666666646</v>
      </c>
      <c r="E242" s="25">
        <f>BD!AF25</f>
        <v>85.099990535403052</v>
      </c>
      <c r="F242" s="25">
        <f>RD!AF24</f>
        <v>222.78229377920414</v>
      </c>
      <c r="G242" s="25">
        <f t="shared" si="23"/>
        <v>307.8822843146072</v>
      </c>
      <c r="H242" s="26">
        <f t="shared" si="27"/>
        <v>0.55645155101614996</v>
      </c>
      <c r="I242" s="26">
        <f t="shared" si="25"/>
        <v>0.48671580916251195</v>
      </c>
      <c r="J242" s="26">
        <f t="shared" si="24"/>
        <v>0.50418041761234644</v>
      </c>
      <c r="K242" s="25">
        <f t="shared" si="26"/>
        <v>798.68290713691795</v>
      </c>
      <c r="L242" s="25">
        <f t="shared" si="26"/>
        <v>2766.2681538900174</v>
      </c>
      <c r="M242" s="25">
        <f t="shared" si="26"/>
        <v>3564.9510610269344</v>
      </c>
    </row>
    <row r="243" spans="1:13" x14ac:dyDescent="0.2">
      <c r="A243" s="22">
        <v>47880</v>
      </c>
      <c r="B243" s="25">
        <f>'[2]US EIA'!$R391</f>
        <v>1800.6666666666636</v>
      </c>
      <c r="C243" s="23">
        <f>'[1]Renewable Diesel'!$AX254</f>
        <v>5408.1000000000013</v>
      </c>
      <c r="D243" s="25">
        <f t="shared" si="22"/>
        <v>7208.7666666666646</v>
      </c>
      <c r="E243" s="25">
        <f>BD!AF26</f>
        <v>90.325960577935049</v>
      </c>
      <c r="F243" s="25">
        <f>RD!AF25</f>
        <v>242.94168809107899</v>
      </c>
      <c r="G243" s="25">
        <f t="shared" si="23"/>
        <v>333.26764866901402</v>
      </c>
      <c r="H243" s="26">
        <f t="shared" si="27"/>
        <v>0.59062310752791114</v>
      </c>
      <c r="I243" s="26">
        <f t="shared" si="25"/>
        <v>0.52891818874581686</v>
      </c>
      <c r="J243" s="26">
        <f t="shared" si="24"/>
        <v>0.54433136489064382</v>
      </c>
      <c r="K243" s="25">
        <f t="shared" si="26"/>
        <v>737.15132437807335</v>
      </c>
      <c r="L243" s="25">
        <f t="shared" si="26"/>
        <v>2547.6575434437486</v>
      </c>
      <c r="M243" s="25">
        <f t="shared" si="26"/>
        <v>3284.8088678218223</v>
      </c>
    </row>
    <row r="244" spans="1:13" x14ac:dyDescent="0.2">
      <c r="A244" s="22">
        <v>47908</v>
      </c>
      <c r="B244" s="25">
        <f>'[2]US EIA'!$R392</f>
        <v>1800.6666666666636</v>
      </c>
      <c r="C244" s="23">
        <f>'[1]Renewable Diesel'!$AX255</f>
        <v>5446.8500000000013</v>
      </c>
      <c r="D244" s="25">
        <f t="shared" si="22"/>
        <v>7247.5166666666646</v>
      </c>
      <c r="E244" s="25">
        <f>BD!AF27</f>
        <v>102.73208320875344</v>
      </c>
      <c r="F244" s="25">
        <f>RD!AF26</f>
        <v>259.74055744060632</v>
      </c>
      <c r="G244" s="25">
        <f t="shared" si="23"/>
        <v>362.47264064935973</v>
      </c>
      <c r="H244" s="26">
        <f t="shared" si="27"/>
        <v>0.74371681859618932</v>
      </c>
      <c r="I244" s="26">
        <f t="shared" si="25"/>
        <v>0.62162602150011537</v>
      </c>
      <c r="J244" s="26">
        <f t="shared" si="24"/>
        <v>0.651959836343038</v>
      </c>
      <c r="K244" s="25">
        <f t="shared" si="26"/>
        <v>461.48058198112761</v>
      </c>
      <c r="L244" s="25">
        <f t="shared" si="26"/>
        <v>2060.9463047920972</v>
      </c>
      <c r="M244" s="25">
        <f t="shared" si="26"/>
        <v>2522.4268867732258</v>
      </c>
    </row>
    <row r="245" spans="1:13" x14ac:dyDescent="0.2">
      <c r="A245" s="22">
        <v>47939</v>
      </c>
      <c r="B245" s="25">
        <f>'[2]US EIA'!$R393</f>
        <v>1810.6666666666636</v>
      </c>
      <c r="C245" s="23">
        <f>'[1]Renewable Diesel'!$AX256</f>
        <v>5446.8500000000013</v>
      </c>
      <c r="D245" s="25">
        <f t="shared" si="22"/>
        <v>7257.5166666666646</v>
      </c>
      <c r="E245" s="25">
        <f>BD!AF28</f>
        <v>113.27647506123026</v>
      </c>
      <c r="F245" s="25">
        <f>RD!AF27</f>
        <v>248.8264453684256</v>
      </c>
      <c r="G245" s="25">
        <f t="shared" si="23"/>
        <v>362.10292042965585</v>
      </c>
      <c r="H245" s="26">
        <f t="shared" si="27"/>
        <v>0.73660114608798133</v>
      </c>
      <c r="I245" s="26">
        <f t="shared" si="25"/>
        <v>0.53787615368974917</v>
      </c>
      <c r="J245" s="26">
        <f t="shared" si="24"/>
        <v>0.58745574628258723</v>
      </c>
      <c r="K245" s="25">
        <f t="shared" si="26"/>
        <v>476.9275248166943</v>
      </c>
      <c r="L245" s="25">
        <f t="shared" si="26"/>
        <v>2517.1192722749902</v>
      </c>
      <c r="M245" s="25">
        <f t="shared" si="26"/>
        <v>2994.0467970916843</v>
      </c>
    </row>
    <row r="246" spans="1:13" x14ac:dyDescent="0.2">
      <c r="A246" s="22">
        <v>47969</v>
      </c>
      <c r="B246" s="25">
        <f>'[2]US EIA'!$R394</f>
        <v>1810.6666666666636</v>
      </c>
      <c r="C246" s="23">
        <f>'[1]Renewable Diesel'!$AX257</f>
        <v>5446.8500000000013</v>
      </c>
      <c r="D246" s="25">
        <f t="shared" si="22"/>
        <v>7257.5166666666646</v>
      </c>
      <c r="E246" s="25">
        <f>BD!AF29</f>
        <v>121.19707649309711</v>
      </c>
      <c r="F246" s="25">
        <f>RD!AF28</f>
        <v>277.9360548082077</v>
      </c>
      <c r="G246" s="25">
        <f t="shared" si="23"/>
        <v>399.13313130130484</v>
      </c>
      <c r="H246" s="26">
        <f t="shared" si="27"/>
        <v>0.81437652650921433</v>
      </c>
      <c r="I246" s="26">
        <f t="shared" si="25"/>
        <v>0.6208276955487777</v>
      </c>
      <c r="J246" s="26">
        <f t="shared" si="24"/>
        <v>0.66911589558860263</v>
      </c>
      <c r="K246" s="25">
        <f t="shared" si="26"/>
        <v>336.1022360006487</v>
      </c>
      <c r="L246" s="25">
        <f t="shared" si="26"/>
        <v>2065.2946665001405</v>
      </c>
      <c r="M246" s="25">
        <f t="shared" si="26"/>
        <v>2401.3969025007891</v>
      </c>
    </row>
    <row r="247" spans="1:13" x14ac:dyDescent="0.2">
      <c r="A247" s="22">
        <v>48000</v>
      </c>
      <c r="B247" s="25">
        <f>'[2]US EIA'!$R395</f>
        <v>1810.6666666666636</v>
      </c>
      <c r="C247" s="23">
        <f>'[1]Renewable Diesel'!$AX258</f>
        <v>5446.8500000000013</v>
      </c>
      <c r="D247" s="25">
        <f t="shared" si="22"/>
        <v>7257.5166666666646</v>
      </c>
      <c r="E247" s="25">
        <f>BD!AF30</f>
        <v>118.55553076508413</v>
      </c>
      <c r="F247" s="25">
        <f>RD!AF29</f>
        <v>278.34248254892327</v>
      </c>
      <c r="G247" s="25">
        <f t="shared" si="23"/>
        <v>396.89801331400741</v>
      </c>
      <c r="H247" s="26">
        <f t="shared" si="27"/>
        <v>0.77092917827312069</v>
      </c>
      <c r="I247" s="26">
        <f t="shared" si="25"/>
        <v>0.60167955098260084</v>
      </c>
      <c r="J247" s="26">
        <f t="shared" si="24"/>
        <v>0.64390538008585718</v>
      </c>
      <c r="K247" s="25">
        <f t="shared" si="26"/>
        <v>414.77090120680208</v>
      </c>
      <c r="L247" s="25">
        <f t="shared" si="26"/>
        <v>2169.5917377304213</v>
      </c>
      <c r="M247" s="25">
        <f t="shared" si="26"/>
        <v>2584.3626389372225</v>
      </c>
    </row>
    <row r="248" spans="1:13" x14ac:dyDescent="0.2">
      <c r="A248" s="22">
        <v>48030</v>
      </c>
      <c r="B248" s="25">
        <f>'[2]US EIA'!$R396</f>
        <v>1820.6666666666636</v>
      </c>
      <c r="C248" s="23">
        <f>'[1]Renewable Diesel'!$AX259</f>
        <v>5446.8500000000013</v>
      </c>
      <c r="D248" s="25">
        <f t="shared" si="22"/>
        <v>7267.5166666666646</v>
      </c>
      <c r="E248" s="25">
        <f>BD!AF31</f>
        <v>117.50734935108257</v>
      </c>
      <c r="F248" s="25">
        <f>RD!AF30</f>
        <v>271.09563563357653</v>
      </c>
      <c r="G248" s="25">
        <f t="shared" si="23"/>
        <v>388.60298498465909</v>
      </c>
      <c r="H248" s="26">
        <f t="shared" si="27"/>
        <v>0.78524684205685125</v>
      </c>
      <c r="I248" s="26">
        <f t="shared" si="25"/>
        <v>0.60554820374011531</v>
      </c>
      <c r="J248" s="26">
        <f t="shared" si="24"/>
        <v>0.65056651409766575</v>
      </c>
      <c r="K248" s="25">
        <f t="shared" si="26"/>
        <v>390.99391622849214</v>
      </c>
      <c r="L248" s="25">
        <f t="shared" si="26"/>
        <v>2148.5197664581533</v>
      </c>
      <c r="M248" s="25">
        <f t="shared" si="26"/>
        <v>2539.5136826866451</v>
      </c>
    </row>
    <row r="249" spans="1:13" x14ac:dyDescent="0.2">
      <c r="A249" s="22">
        <v>48061</v>
      </c>
      <c r="B249" s="25">
        <f>'[2]US EIA'!$R397</f>
        <v>1820.6666666666636</v>
      </c>
      <c r="C249" s="23">
        <f>'[1]Renewable Diesel'!$AX260</f>
        <v>5446.8500000000013</v>
      </c>
      <c r="D249" s="25">
        <f t="shared" si="22"/>
        <v>7267.5166666666646</v>
      </c>
      <c r="E249" s="25">
        <f>BD!AF32</f>
        <v>121.69132380987105</v>
      </c>
      <c r="F249" s="25">
        <f>RD!AF31</f>
        <v>278.9790387578098</v>
      </c>
      <c r="G249" s="25">
        <f t="shared" si="23"/>
        <v>400.67036256768085</v>
      </c>
      <c r="H249" s="26">
        <f t="shared" si="27"/>
        <v>0.78697392879725625</v>
      </c>
      <c r="I249" s="26">
        <f t="shared" si="25"/>
        <v>0.60305556390894499</v>
      </c>
      <c r="J249" s="26">
        <f t="shared" si="24"/>
        <v>0.64913100503945287</v>
      </c>
      <c r="K249" s="25">
        <f t="shared" si="26"/>
        <v>387.84946696979478</v>
      </c>
      <c r="L249" s="25">
        <f t="shared" si="26"/>
        <v>2162.0968017225637</v>
      </c>
      <c r="M249" s="25">
        <f t="shared" si="26"/>
        <v>2549.9462686923584</v>
      </c>
    </row>
    <row r="250" spans="1:13" x14ac:dyDescent="0.2">
      <c r="A250" s="22">
        <v>48092</v>
      </c>
      <c r="B250" s="25">
        <f>'[2]US EIA'!$R398</f>
        <v>1820.6666666666636</v>
      </c>
      <c r="C250" s="23">
        <f>'[1]Renewable Diesel'!$AX261</f>
        <v>5446.8500000000013</v>
      </c>
      <c r="D250" s="25">
        <f t="shared" si="22"/>
        <v>7267.5166666666646</v>
      </c>
      <c r="E250" s="25">
        <f>BD!AF33</f>
        <v>114.64963328719929</v>
      </c>
      <c r="F250" s="25">
        <f>RD!AF32</f>
        <v>282.55959833993489</v>
      </c>
      <c r="G250" s="25">
        <f t="shared" si="23"/>
        <v>397.20923162713416</v>
      </c>
      <c r="H250" s="26">
        <f t="shared" si="27"/>
        <v>0.74143553967873899</v>
      </c>
      <c r="I250" s="26">
        <f t="shared" si="25"/>
        <v>0.6107954872649165</v>
      </c>
      <c r="J250" s="26">
        <f t="shared" si="24"/>
        <v>0.64352358403728005</v>
      </c>
      <c r="K250" s="25">
        <f t="shared" si="26"/>
        <v>470.75969409157506</v>
      </c>
      <c r="L250" s="25">
        <f t="shared" si="26"/>
        <v>2119.9386001910902</v>
      </c>
      <c r="M250" s="25">
        <f t="shared" si="26"/>
        <v>2590.6982942826658</v>
      </c>
    </row>
    <row r="251" spans="1:13" x14ac:dyDescent="0.2">
      <c r="A251" s="22">
        <v>48122</v>
      </c>
      <c r="B251" s="25">
        <f>'[2]US EIA'!$R399</f>
        <v>1830.6666666666636</v>
      </c>
      <c r="C251" s="23">
        <f>'[1]Renewable Diesel'!$AX262</f>
        <v>5446.8500000000013</v>
      </c>
      <c r="D251" s="25">
        <f t="shared" si="22"/>
        <v>7277.5166666666646</v>
      </c>
      <c r="E251" s="25">
        <f>BD!AF34</f>
        <v>117.09529115289834</v>
      </c>
      <c r="F251" s="25">
        <f>RD!AF33</f>
        <v>307.06117011684262</v>
      </c>
      <c r="G251" s="25">
        <f t="shared" si="23"/>
        <v>424.15646126974093</v>
      </c>
      <c r="H251" s="26">
        <f t="shared" si="27"/>
        <v>0.77821888694115016</v>
      </c>
      <c r="I251" s="26">
        <f t="shared" si="25"/>
        <v>0.68588466785174018</v>
      </c>
      <c r="J251" s="26">
        <f t="shared" si="24"/>
        <v>0.70911143390696674</v>
      </c>
      <c r="K251" s="25">
        <f t="shared" si="26"/>
        <v>406.00729097306709</v>
      </c>
      <c r="L251" s="25">
        <f t="shared" si="26"/>
        <v>1710.9390969117494</v>
      </c>
      <c r="M251" s="25">
        <f t="shared" si="26"/>
        <v>2116.9463878848173</v>
      </c>
    </row>
    <row r="252" spans="1:13" x14ac:dyDescent="0.2">
      <c r="A252" s="22">
        <v>48153</v>
      </c>
      <c r="B252" s="25">
        <f>'[2]US EIA'!$R400</f>
        <v>1830.6666666666636</v>
      </c>
      <c r="C252" s="23">
        <f>'[1]Renewable Diesel'!$AX263</f>
        <v>5446.8500000000013</v>
      </c>
      <c r="D252" s="25">
        <f t="shared" si="22"/>
        <v>7277.5166666666646</v>
      </c>
      <c r="E252" s="25">
        <f>BD!AF35</f>
        <v>111.7362632720652</v>
      </c>
      <c r="F252" s="25">
        <f>RD!AF34</f>
        <v>371.06226734164443</v>
      </c>
      <c r="G252" s="25">
        <f t="shared" si="23"/>
        <v>482.79853061370966</v>
      </c>
      <c r="H252" s="26">
        <f t="shared" si="27"/>
        <v>0.71864770036717107</v>
      </c>
      <c r="I252" s="26">
        <f t="shared" si="25"/>
        <v>0.80210744819186808</v>
      </c>
      <c r="J252" s="26">
        <f t="shared" si="24"/>
        <v>0.78111306434512395</v>
      </c>
      <c r="K252" s="25">
        <f t="shared" si="26"/>
        <v>515.06227652783127</v>
      </c>
      <c r="L252" s="25">
        <f t="shared" si="26"/>
        <v>1077.8910458161236</v>
      </c>
      <c r="M252" s="25">
        <f t="shared" si="26"/>
        <v>1592.9533223439541</v>
      </c>
    </row>
    <row r="253" spans="1:13" x14ac:dyDescent="0.2">
      <c r="A253" s="22">
        <v>48183</v>
      </c>
      <c r="B253" s="25">
        <f>'[2]US EIA'!$R401</f>
        <v>1830.6666666666636</v>
      </c>
      <c r="C253" s="23">
        <f>'[1]Renewable Diesel'!$AX264</f>
        <v>5446.8500000000013</v>
      </c>
      <c r="D253" s="25">
        <f t="shared" si="22"/>
        <v>7277.5166666666646</v>
      </c>
      <c r="E253" s="25">
        <f>BD!AF36</f>
        <v>148.25616093157899</v>
      </c>
      <c r="F253" s="25">
        <f>RD!AF35</f>
        <v>420.34894946926062</v>
      </c>
      <c r="G253" s="25">
        <f t="shared" si="23"/>
        <v>568.60511040083964</v>
      </c>
      <c r="H253" s="26">
        <f t="shared" si="27"/>
        <v>0.98531498069968004</v>
      </c>
      <c r="I253" s="26">
        <f t="shared" si="25"/>
        <v>0.9389363672353751</v>
      </c>
      <c r="J253" s="26">
        <f t="shared" si="24"/>
        <v>0.95060295428755015</v>
      </c>
      <c r="K253" s="25">
        <f t="shared" si="26"/>
        <v>26.883375332452356</v>
      </c>
      <c r="L253" s="25">
        <f t="shared" si="26"/>
        <v>332.6044481239972</v>
      </c>
      <c r="M253" s="25">
        <f t="shared" si="26"/>
        <v>359.48782345644889</v>
      </c>
    </row>
    <row r="254" spans="1:13" x14ac:dyDescent="0.2">
      <c r="A254" s="22">
        <v>48214</v>
      </c>
      <c r="B254" s="25">
        <f>'[2]US EIA'!$R402</f>
        <v>1830.6666666666636</v>
      </c>
      <c r="C254" s="23">
        <f>'[1]Renewable Diesel'!$AX265</f>
        <v>5446.8500000000013</v>
      </c>
      <c r="D254" s="25">
        <f t="shared" si="22"/>
        <v>7277.5166666666646</v>
      </c>
      <c r="E254" s="25">
        <f>BD!AG25</f>
        <v>88.554416594787568</v>
      </c>
      <c r="F254" s="25">
        <f>RD!AG24</f>
        <v>264.0590131817014</v>
      </c>
      <c r="G254" s="25">
        <f t="shared" si="23"/>
        <v>352.61342977648894</v>
      </c>
      <c r="H254" s="26">
        <f t="shared" si="27"/>
        <v>0.56955034990069164</v>
      </c>
      <c r="I254" s="26">
        <f t="shared" si="25"/>
        <v>0.57080366255678994</v>
      </c>
      <c r="J254" s="26">
        <f t="shared" si="24"/>
        <v>0.57048839049249633</v>
      </c>
      <c r="K254" s="25">
        <f t="shared" si="26"/>
        <v>788.00982611513246</v>
      </c>
      <c r="L254" s="25">
        <f t="shared" si="26"/>
        <v>2337.7680706025494</v>
      </c>
      <c r="M254" s="25">
        <f t="shared" si="26"/>
        <v>3125.7778967176823</v>
      </c>
    </row>
    <row r="255" spans="1:13" x14ac:dyDescent="0.2">
      <c r="A255" s="22">
        <v>48245</v>
      </c>
      <c r="B255" s="25">
        <f>'[2]US EIA'!$R403</f>
        <v>1830.6666666666636</v>
      </c>
      <c r="C255" s="23">
        <f>'[1]Renewable Diesel'!$AX266</f>
        <v>5446.8500000000013</v>
      </c>
      <c r="D255" s="25">
        <f t="shared" si="22"/>
        <v>7277.5166666666646</v>
      </c>
      <c r="E255" s="25">
        <f>BD!AG26</f>
        <v>94.003417252430808</v>
      </c>
      <c r="F255" s="25">
        <f>RD!AG25</f>
        <v>288.18676380865526</v>
      </c>
      <c r="G255" s="25">
        <f t="shared" si="23"/>
        <v>382.19018106108604</v>
      </c>
      <c r="H255" s="26">
        <f t="shared" si="27"/>
        <v>0.60459637414780387</v>
      </c>
      <c r="I255" s="26">
        <f t="shared" si="25"/>
        <v>0.62295946008544822</v>
      </c>
      <c r="J255" s="26">
        <f t="shared" si="24"/>
        <v>0.61834020727395622</v>
      </c>
      <c r="K255" s="25">
        <f t="shared" si="26"/>
        <v>723.85223772675249</v>
      </c>
      <c r="L255" s="25">
        <f t="shared" si="26"/>
        <v>2053.6832648335767</v>
      </c>
      <c r="M255" s="25">
        <f t="shared" si="26"/>
        <v>2777.535502560328</v>
      </c>
    </row>
    <row r="256" spans="1:13" x14ac:dyDescent="0.2">
      <c r="A256" s="22">
        <v>48274</v>
      </c>
      <c r="B256" s="25">
        <f>'[2]US EIA'!$R404</f>
        <v>1830.6666666666636</v>
      </c>
      <c r="C256" s="23">
        <f>'[1]Renewable Diesel'!$AX267</f>
        <v>5446.8500000000013</v>
      </c>
      <c r="D256" s="25">
        <f t="shared" si="22"/>
        <v>7277.5166666666646</v>
      </c>
      <c r="E256" s="25">
        <f>BD!AG27</f>
        <v>107.75301050959034</v>
      </c>
      <c r="F256" s="25">
        <f>RD!AG26</f>
        <v>308.02834558673578</v>
      </c>
      <c r="G256" s="25">
        <f t="shared" si="23"/>
        <v>415.78135609632614</v>
      </c>
      <c r="H256" s="26">
        <f t="shared" si="27"/>
        <v>0.74082393517845146</v>
      </c>
      <c r="I256" s="26">
        <f t="shared" si="25"/>
        <v>0.71177074594622414</v>
      </c>
      <c r="J256" s="26">
        <f t="shared" si="24"/>
        <v>0.71907910503682015</v>
      </c>
      <c r="K256" s="25">
        <f t="shared" si="26"/>
        <v>474.46498266664736</v>
      </c>
      <c r="L256" s="25">
        <f t="shared" si="26"/>
        <v>1569.9415124428094</v>
      </c>
      <c r="M256" s="25">
        <f t="shared" si="26"/>
        <v>2044.4064951094567</v>
      </c>
    </row>
    <row r="257" spans="1:13" x14ac:dyDescent="0.2">
      <c r="A257" s="22">
        <v>48305</v>
      </c>
      <c r="B257" s="25">
        <f>'[2]US EIA'!$R405</f>
        <v>1830.6666666666636</v>
      </c>
      <c r="C257" s="23">
        <f>'[1]Renewable Diesel'!$AX268</f>
        <v>5446.8500000000013</v>
      </c>
      <c r="D257" s="25">
        <f t="shared" si="22"/>
        <v>7277.5166666666646</v>
      </c>
      <c r="E257" s="25">
        <f>BD!AG28</f>
        <v>119.7076523851067</v>
      </c>
      <c r="F257" s="25">
        <f>RD!AG27</f>
        <v>295.17532688767369</v>
      </c>
      <c r="G257" s="25">
        <f t="shared" si="23"/>
        <v>414.8829792727804</v>
      </c>
      <c r="H257" s="26">
        <f t="shared" si="27"/>
        <v>0.76991682542168105</v>
      </c>
      <c r="I257" s="26">
        <f t="shared" si="25"/>
        <v>0.63806630061116043</v>
      </c>
      <c r="J257" s="26">
        <f t="shared" si="24"/>
        <v>0.67123343327589169</v>
      </c>
      <c r="K257" s="25">
        <f t="shared" si="26"/>
        <v>421.2055982613752</v>
      </c>
      <c r="L257" s="25">
        <f t="shared" si="26"/>
        <v>1971.3985705161012</v>
      </c>
      <c r="M257" s="25">
        <f t="shared" si="26"/>
        <v>2392.6041687774764</v>
      </c>
    </row>
    <row r="258" spans="1:13" x14ac:dyDescent="0.2">
      <c r="A258" s="22">
        <v>48335</v>
      </c>
      <c r="B258" s="25">
        <f>'[2]US EIA'!$R406</f>
        <v>1830.6666666666636</v>
      </c>
      <c r="C258" s="23">
        <f>'[1]Renewable Diesel'!$AX269</f>
        <v>5446.8500000000013</v>
      </c>
      <c r="D258" s="25">
        <f t="shared" si="22"/>
        <v>7277.5166666666646</v>
      </c>
      <c r="E258" s="25">
        <f>BD!AG29</f>
        <v>128.22064895417901</v>
      </c>
      <c r="F258" s="25">
        <f>RD!AG28</f>
        <v>329.67493386319137</v>
      </c>
      <c r="G258" s="25">
        <f t="shared" si="23"/>
        <v>457.89558281737038</v>
      </c>
      <c r="H258" s="26">
        <f t="shared" si="27"/>
        <v>0.85215835521258954</v>
      </c>
      <c r="I258" s="26">
        <f t="shared" si="25"/>
        <v>0.73639718895670481</v>
      </c>
      <c r="J258" s="26">
        <f t="shared" si="24"/>
        <v>0.76551702722925274</v>
      </c>
      <c r="K258" s="25">
        <f t="shared" si="26"/>
        <v>270.64877105748565</v>
      </c>
      <c r="L258" s="25">
        <f t="shared" si="26"/>
        <v>1435.8049713311727</v>
      </c>
      <c r="M258" s="25">
        <f t="shared" si="26"/>
        <v>1706.4537423886588</v>
      </c>
    </row>
    <row r="259" spans="1:13" x14ac:dyDescent="0.2">
      <c r="A259" s="22">
        <v>48366</v>
      </c>
      <c r="B259" s="25">
        <f>'[2]US EIA'!$R407</f>
        <v>1830.6666666666636</v>
      </c>
      <c r="C259" s="23">
        <f>'[1]Renewable Diesel'!$AX270</f>
        <v>5446.8500000000013</v>
      </c>
      <c r="D259" s="25">
        <f t="shared" ref="D259:D322" si="28">C259+B259</f>
        <v>7277.5166666666646</v>
      </c>
      <c r="E259" s="25">
        <f>BD!AG30</f>
        <v>125.23551115922807</v>
      </c>
      <c r="F259" s="25">
        <f>RD!AG29</f>
        <v>330.11554104007666</v>
      </c>
      <c r="G259" s="25">
        <f t="shared" ref="G259:G301" si="29">SUM(E259:F259)</f>
        <v>455.35105219930472</v>
      </c>
      <c r="H259" s="26">
        <f t="shared" si="27"/>
        <v>0.80547003688270891</v>
      </c>
      <c r="I259" s="26">
        <f t="shared" si="25"/>
        <v>0.71359488025856876</v>
      </c>
      <c r="J259" s="26">
        <f t="shared" si="24"/>
        <v>0.73670616868707473</v>
      </c>
      <c r="K259" s="25">
        <f t="shared" si="26"/>
        <v>356.11951914672028</v>
      </c>
      <c r="L259" s="25">
        <f t="shared" si="26"/>
        <v>1560.005726463615</v>
      </c>
      <c r="M259" s="25">
        <f t="shared" si="26"/>
        <v>1916.125245610335</v>
      </c>
    </row>
    <row r="260" spans="1:13" x14ac:dyDescent="0.2">
      <c r="A260" s="22">
        <v>48396</v>
      </c>
      <c r="B260" s="25">
        <f>'[2]US EIA'!$R408</f>
        <v>1830.6666666666636</v>
      </c>
      <c r="C260" s="23">
        <f>'[1]Renewable Diesel'!$AX271</f>
        <v>5446.8500000000013</v>
      </c>
      <c r="D260" s="25">
        <f t="shared" si="28"/>
        <v>7277.5166666666646</v>
      </c>
      <c r="E260" s="25">
        <f>BD!AG31</f>
        <v>124.41077471316451</v>
      </c>
      <c r="F260" s="25">
        <f>RD!AG30</f>
        <v>321.53883371866874</v>
      </c>
      <c r="G260" s="25">
        <f t="shared" si="29"/>
        <v>445.94960843183327</v>
      </c>
      <c r="H260" s="26">
        <f t="shared" si="27"/>
        <v>0.82683781446294824</v>
      </c>
      <c r="I260" s="26">
        <f t="shared" si="25"/>
        <v>0.71822352556868685</v>
      </c>
      <c r="J260" s="26">
        <f t="shared" ref="J260:J323" si="30">(G260/(A260-A259)*365)/D260</f>
        <v>0.74554555962367741</v>
      </c>
      <c r="K260" s="25">
        <f t="shared" si="26"/>
        <v>317.00224098982886</v>
      </c>
      <c r="L260" s="25">
        <f t="shared" si="26"/>
        <v>1534.7941897561984</v>
      </c>
      <c r="M260" s="25">
        <f t="shared" si="26"/>
        <v>1851.7964307460268</v>
      </c>
    </row>
    <row r="261" spans="1:13" x14ac:dyDescent="0.2">
      <c r="A261" s="22">
        <v>48427</v>
      </c>
      <c r="B261" s="25">
        <f>'[2]US EIA'!$R409</f>
        <v>1830.6666666666636</v>
      </c>
      <c r="C261" s="23">
        <f>'[1]Renewable Diesel'!$AX272</f>
        <v>5446.8500000000013</v>
      </c>
      <c r="D261" s="25">
        <f t="shared" si="28"/>
        <v>7277.5166666666646</v>
      </c>
      <c r="E261" s="25">
        <f>BD!AG32</f>
        <v>128.60759397721606</v>
      </c>
      <c r="F261" s="25">
        <f>RD!AG31</f>
        <v>330.66768335045754</v>
      </c>
      <c r="G261" s="25">
        <f t="shared" si="29"/>
        <v>459.27527732767362</v>
      </c>
      <c r="H261" s="26">
        <f t="shared" si="27"/>
        <v>0.82715806806998915</v>
      </c>
      <c r="I261" s="26">
        <f t="shared" si="25"/>
        <v>0.71478841972242002</v>
      </c>
      <c r="J261" s="26">
        <f t="shared" si="30"/>
        <v>0.74305511824022263</v>
      </c>
      <c r="K261" s="25">
        <f t="shared" si="26"/>
        <v>316.41596338653932</v>
      </c>
      <c r="L261" s="25">
        <f t="shared" si="26"/>
        <v>1553.5046960349368</v>
      </c>
      <c r="M261" s="25">
        <f t="shared" si="26"/>
        <v>1869.9206594214752</v>
      </c>
    </row>
    <row r="262" spans="1:13" x14ac:dyDescent="0.2">
      <c r="A262" s="22">
        <v>48458</v>
      </c>
      <c r="B262" s="25">
        <f>'[2]US EIA'!$R410</f>
        <v>1830.6666666666636</v>
      </c>
      <c r="C262" s="23">
        <f>'[1]Renewable Diesel'!$AX273</f>
        <v>5446.8500000000013</v>
      </c>
      <c r="D262" s="25">
        <f t="shared" si="28"/>
        <v>7277.5166666666646</v>
      </c>
      <c r="E262" s="25">
        <f>BD!AG33</f>
        <v>121.33021216149899</v>
      </c>
      <c r="F262" s="25">
        <f>RD!AG32</f>
        <v>334.97753800954769</v>
      </c>
      <c r="G262" s="25">
        <f t="shared" si="29"/>
        <v>456.30775017104668</v>
      </c>
      <c r="H262" s="26">
        <f t="shared" si="27"/>
        <v>0.78035254984870439</v>
      </c>
      <c r="I262" s="26">
        <f t="shared" si="25"/>
        <v>0.72410482515336549</v>
      </c>
      <c r="J262" s="26">
        <f t="shared" si="30"/>
        <v>0.73825399710198369</v>
      </c>
      <c r="K262" s="25">
        <f t="shared" si="26"/>
        <v>402.10126541030451</v>
      </c>
      <c r="L262" s="25">
        <f t="shared" si="26"/>
        <v>1502.7596331133916</v>
      </c>
      <c r="M262" s="25">
        <f t="shared" si="26"/>
        <v>1904.8608985236947</v>
      </c>
    </row>
    <row r="263" spans="1:13" x14ac:dyDescent="0.2">
      <c r="A263" s="22">
        <v>48488</v>
      </c>
      <c r="B263" s="25">
        <f>'[2]US EIA'!$R411</f>
        <v>1830.6666666666636</v>
      </c>
      <c r="C263" s="23">
        <f>'[1]Renewable Diesel'!$AX274</f>
        <v>5446.8500000000013</v>
      </c>
      <c r="D263" s="25">
        <f t="shared" si="28"/>
        <v>7277.5166666666646</v>
      </c>
      <c r="E263" s="25">
        <f>BD!AG34</f>
        <v>124.09622652302906</v>
      </c>
      <c r="F263" s="25">
        <f>RD!AG33</f>
        <v>364.21140358770157</v>
      </c>
      <c r="G263" s="25">
        <f t="shared" si="29"/>
        <v>488.30763011073066</v>
      </c>
      <c r="H263" s="26">
        <f t="shared" si="27"/>
        <v>0.82474731756929498</v>
      </c>
      <c r="I263" s="26">
        <f t="shared" si="25"/>
        <v>0.81354154119360134</v>
      </c>
      <c r="J263" s="26">
        <f t="shared" si="30"/>
        <v>0.81636036555700886</v>
      </c>
      <c r="K263" s="25">
        <f t="shared" si="26"/>
        <v>320.82924396981014</v>
      </c>
      <c r="L263" s="25">
        <f t="shared" si="26"/>
        <v>1015.6112563496328</v>
      </c>
      <c r="M263" s="25">
        <f t="shared" si="26"/>
        <v>1336.4405003194418</v>
      </c>
    </row>
    <row r="264" spans="1:13" x14ac:dyDescent="0.2">
      <c r="A264" s="22">
        <v>48519</v>
      </c>
      <c r="B264" s="25">
        <f>'[2]US EIA'!$R412</f>
        <v>1830.6666666666636</v>
      </c>
      <c r="C264" s="23">
        <f>'[1]Renewable Diesel'!$AX275</f>
        <v>5446.8500000000013</v>
      </c>
      <c r="D264" s="25">
        <f t="shared" si="28"/>
        <v>7277.5166666666646</v>
      </c>
      <c r="E264" s="25">
        <f>BD!AG35</f>
        <v>118.10642576109532</v>
      </c>
      <c r="F264" s="25">
        <f>RD!AG34</f>
        <v>440.36338172453424</v>
      </c>
      <c r="G264" s="25">
        <f t="shared" si="29"/>
        <v>558.46980748562953</v>
      </c>
      <c r="H264" s="26">
        <f t="shared" si="27"/>
        <v>0.75961830820430654</v>
      </c>
      <c r="I264" s="26">
        <f t="shared" si="25"/>
        <v>0.95191233245764695</v>
      </c>
      <c r="J264" s="26">
        <f t="shared" si="30"/>
        <v>0.90354057646948494</v>
      </c>
      <c r="K264" s="25">
        <f t="shared" si="26"/>
        <v>440.05875044731545</v>
      </c>
      <c r="L264" s="25">
        <f t="shared" si="26"/>
        <v>261.92631195306581</v>
      </c>
      <c r="M264" s="25">
        <f t="shared" si="26"/>
        <v>701.98506240038205</v>
      </c>
    </row>
    <row r="265" spans="1:13" x14ac:dyDescent="0.2">
      <c r="A265" s="22">
        <v>48549</v>
      </c>
      <c r="B265" s="25">
        <f>'[2]US EIA'!$R413</f>
        <v>1830.6666666666636</v>
      </c>
      <c r="C265" s="23">
        <f>'[1]Renewable Diesel'!$AX276</f>
        <v>5446.8500000000013</v>
      </c>
      <c r="D265" s="25">
        <f t="shared" si="28"/>
        <v>7277.5166666666646</v>
      </c>
      <c r="E265" s="25">
        <f>BD!AG36</f>
        <v>161.49726514174827</v>
      </c>
      <c r="F265" s="25">
        <f>RD!AG35</f>
        <v>498.47541986634047</v>
      </c>
      <c r="G265" s="25">
        <f t="shared" si="29"/>
        <v>659.97268500808877</v>
      </c>
      <c r="H265" s="26">
        <f t="shared" si="27"/>
        <v>1.0733157643251678</v>
      </c>
      <c r="I265" s="26">
        <f t="shared" si="25"/>
        <v>1.1134480066534738</v>
      </c>
      <c r="J265" s="26">
        <f t="shared" si="30"/>
        <v>1.1033527005684287</v>
      </c>
      <c r="K265" s="25">
        <f t="shared" si="26"/>
        <v>-134.21672589127371</v>
      </c>
      <c r="L265" s="25">
        <f t="shared" si="26"/>
        <v>-617.93427504047372</v>
      </c>
      <c r="M265" s="25">
        <f t="shared" si="26"/>
        <v>-752.15100093174919</v>
      </c>
    </row>
    <row r="266" spans="1:13" x14ac:dyDescent="0.2">
      <c r="A266" s="22">
        <v>48580</v>
      </c>
      <c r="B266" s="25">
        <f>'[2]US EIA'!$R414</f>
        <v>1830.6666666666636</v>
      </c>
      <c r="C266" s="23">
        <f>'[1]Renewable Diesel'!$AX277</f>
        <v>5446.8500000000013</v>
      </c>
      <c r="D266" s="25">
        <f t="shared" si="28"/>
        <v>7277.5166666666646</v>
      </c>
      <c r="E266" s="25">
        <f>BD!AH25</f>
        <v>103.02016423829782</v>
      </c>
      <c r="F266" s="25">
        <f>RD!AH24</f>
        <v>262.89022864060161</v>
      </c>
      <c r="G266" s="25">
        <f t="shared" si="29"/>
        <v>365.91039287889942</v>
      </c>
      <c r="H266" s="26">
        <f t="shared" si="27"/>
        <v>0.66258886733158084</v>
      </c>
      <c r="I266" s="26">
        <f t="shared" ref="I266:I329" si="31">(F266/(A266-A265)*365)/C266</f>
        <v>0.56827715725496009</v>
      </c>
      <c r="J266" s="26">
        <f t="shared" si="30"/>
        <v>0.59200136316497975</v>
      </c>
      <c r="K266" s="25">
        <f t="shared" si="26"/>
        <v>617.68731353831834</v>
      </c>
      <c r="L266" s="25">
        <f t="shared" si="26"/>
        <v>2351.5295660058214</v>
      </c>
      <c r="M266" s="25">
        <f t="shared" si="26"/>
        <v>2969.2168795441394</v>
      </c>
    </row>
    <row r="267" spans="1:13" x14ac:dyDescent="0.2">
      <c r="A267" s="22">
        <v>48611</v>
      </c>
      <c r="B267" s="25">
        <f>'[2]US EIA'!$R415</f>
        <v>1830.6666666666636</v>
      </c>
      <c r="C267" s="23">
        <f>'[1]Renewable Diesel'!$AX278</f>
        <v>5446.8500000000013</v>
      </c>
      <c r="D267" s="25">
        <f t="shared" si="28"/>
        <v>7277.5166666666646</v>
      </c>
      <c r="E267" s="25">
        <f>BD!AH26</f>
        <v>87.994138750292606</v>
      </c>
      <c r="F267" s="25">
        <f>RD!AH25</f>
        <v>286.74040806441189</v>
      </c>
      <c r="G267" s="25">
        <f t="shared" si="29"/>
        <v>374.73454681470452</v>
      </c>
      <c r="H267" s="26">
        <f t="shared" si="27"/>
        <v>0.56594684310064225</v>
      </c>
      <c r="I267" s="26">
        <f t="shared" si="31"/>
        <v>0.61983294247021326</v>
      </c>
      <c r="J267" s="26">
        <f t="shared" si="30"/>
        <v>0.60627783975716876</v>
      </c>
      <c r="K267" s="25">
        <f t="shared" si="26"/>
        <v>794.60664589708961</v>
      </c>
      <c r="L267" s="25">
        <f t="shared" si="26"/>
        <v>2070.7129373061193</v>
      </c>
      <c r="M267" s="25">
        <f t="shared" si="26"/>
        <v>2865.3195832032075</v>
      </c>
    </row>
    <row r="268" spans="1:13" x14ac:dyDescent="0.2">
      <c r="A268" s="22">
        <v>48639</v>
      </c>
      <c r="B268" s="25">
        <f>'[2]US EIA'!$R416</f>
        <v>1830.6666666666636</v>
      </c>
      <c r="C268" s="23">
        <f>'[1]Renewable Diesel'!$AX279</f>
        <v>5446.8500000000013</v>
      </c>
      <c r="D268" s="25">
        <f t="shared" si="28"/>
        <v>7277.5166666666646</v>
      </c>
      <c r="E268" s="25">
        <f>BD!AH27</f>
        <v>100.69633831275597</v>
      </c>
      <c r="F268" s="25">
        <f>RD!AH26</f>
        <v>306.62719056984639</v>
      </c>
      <c r="G268" s="25">
        <f t="shared" si="29"/>
        <v>407.32352888260237</v>
      </c>
      <c r="H268" s="26">
        <f t="shared" si="27"/>
        <v>0.71703315505974907</v>
      </c>
      <c r="I268" s="26">
        <f t="shared" si="31"/>
        <v>0.73383780506160112</v>
      </c>
      <c r="J268" s="26">
        <f t="shared" si="30"/>
        <v>0.72961057838353705</v>
      </c>
      <c r="K268" s="25">
        <f t="shared" si="26"/>
        <v>518.01797080395181</v>
      </c>
      <c r="L268" s="25">
        <f t="shared" si="26"/>
        <v>1449.7455515002182</v>
      </c>
      <c r="M268" s="25">
        <f t="shared" si="26"/>
        <v>1967.7635223041689</v>
      </c>
    </row>
    <row r="269" spans="1:13" x14ac:dyDescent="0.2">
      <c r="A269" s="22">
        <v>48670</v>
      </c>
      <c r="B269" s="25">
        <f>'[2]US EIA'!$R417</f>
        <v>1830.6666666666636</v>
      </c>
      <c r="C269" s="23">
        <f>'[1]Renewable Diesel'!$AX280</f>
        <v>5446.8500000000013</v>
      </c>
      <c r="D269" s="25">
        <f t="shared" si="28"/>
        <v>7277.5166666666646</v>
      </c>
      <c r="E269" s="25">
        <f>BD!AH28</f>
        <v>112.29343861396642</v>
      </c>
      <c r="F269" s="25">
        <f>RD!AH27</f>
        <v>293.6431974874647</v>
      </c>
      <c r="G269" s="25">
        <f t="shared" si="29"/>
        <v>405.93663610143113</v>
      </c>
      <c r="H269" s="26">
        <f t="shared" si="27"/>
        <v>0.72223125297966206</v>
      </c>
      <c r="I269" s="26">
        <f t="shared" si="31"/>
        <v>0.63475437021116132</v>
      </c>
      <c r="J269" s="26">
        <f t="shared" si="30"/>
        <v>0.65675926840970467</v>
      </c>
      <c r="K269" s="25">
        <f t="shared" si="26"/>
        <v>508.50198621189776</v>
      </c>
      <c r="L269" s="25">
        <f t="shared" si="26"/>
        <v>1989.4381586153363</v>
      </c>
      <c r="M269" s="25">
        <f t="shared" si="26"/>
        <v>2497.9401448272333</v>
      </c>
    </row>
    <row r="270" spans="1:13" x14ac:dyDescent="0.2">
      <c r="A270" s="22">
        <v>48700</v>
      </c>
      <c r="B270" s="25">
        <f>'[2]US EIA'!$R418</f>
        <v>1830.6666666666636</v>
      </c>
      <c r="C270" s="23">
        <f>'[1]Renewable Diesel'!$AX281</f>
        <v>5446.8500000000013</v>
      </c>
      <c r="D270" s="25">
        <f t="shared" si="28"/>
        <v>7277.5166666666646</v>
      </c>
      <c r="E270" s="25">
        <f>BD!AH29</f>
        <v>120.32428034561735</v>
      </c>
      <c r="F270" s="25">
        <f>RD!AH28</f>
        <v>327.83804139430305</v>
      </c>
      <c r="G270" s="25">
        <f t="shared" si="29"/>
        <v>448.1623217399204</v>
      </c>
      <c r="H270" s="26">
        <f t="shared" si="27"/>
        <v>0.79967884789057553</v>
      </c>
      <c r="I270" s="26">
        <f t="shared" si="31"/>
        <v>0.73229410949399243</v>
      </c>
      <c r="J270" s="26">
        <f t="shared" si="30"/>
        <v>0.74924480848582042</v>
      </c>
      <c r="K270" s="25">
        <f t="shared" si="26"/>
        <v>366.72125579498578</v>
      </c>
      <c r="L270" s="25">
        <f t="shared" si="26"/>
        <v>1458.1538297026477</v>
      </c>
      <c r="M270" s="25">
        <f t="shared" si="26"/>
        <v>1824.8750854976333</v>
      </c>
    </row>
    <row r="271" spans="1:13" x14ac:dyDescent="0.2">
      <c r="A271" s="22">
        <v>48731</v>
      </c>
      <c r="B271" s="25">
        <f>'[2]US EIA'!$R419</f>
        <v>1830.6666666666636</v>
      </c>
      <c r="C271" s="23">
        <f>'[1]Renewable Diesel'!$AX282</f>
        <v>5446.8500000000013</v>
      </c>
      <c r="D271" s="25">
        <f t="shared" si="28"/>
        <v>7277.5166666666646</v>
      </c>
      <c r="E271" s="25">
        <f>BD!AH30</f>
        <v>117.53272866920386</v>
      </c>
      <c r="F271" s="25">
        <f>RD!AH29</f>
        <v>328.55680866775873</v>
      </c>
      <c r="G271" s="25">
        <f t="shared" si="29"/>
        <v>446.08953733696262</v>
      </c>
      <c r="H271" s="26">
        <f t="shared" si="27"/>
        <v>0.75592849360229797</v>
      </c>
      <c r="I271" s="26">
        <f t="shared" si="31"/>
        <v>0.7102254434938684</v>
      </c>
      <c r="J271" s="26">
        <f t="shared" si="30"/>
        <v>0.72172209190165859</v>
      </c>
      <c r="K271" s="25">
        <f t="shared" si="26"/>
        <v>446.81357104539245</v>
      </c>
      <c r="L271" s="25">
        <f t="shared" si="26"/>
        <v>1578.3585431054232</v>
      </c>
      <c r="M271" s="25">
        <f t="shared" si="26"/>
        <v>2025.172114150814</v>
      </c>
    </row>
    <row r="272" spans="1:13" x14ac:dyDescent="0.2">
      <c r="A272" s="22">
        <v>48761</v>
      </c>
      <c r="B272" s="25">
        <f>'[2]US EIA'!$R420</f>
        <v>1830.6666666666636</v>
      </c>
      <c r="C272" s="23">
        <f>'[1]Renewable Diesel'!$AX283</f>
        <v>5446.8500000000013</v>
      </c>
      <c r="D272" s="25">
        <f t="shared" si="28"/>
        <v>7277.5166666666646</v>
      </c>
      <c r="E272" s="25">
        <f>BD!AH31</f>
        <v>116.91312398936599</v>
      </c>
      <c r="F272" s="25">
        <f>RD!AH30</f>
        <v>319.99342768153832</v>
      </c>
      <c r="G272" s="25">
        <f t="shared" si="29"/>
        <v>436.90655167090432</v>
      </c>
      <c r="H272" s="26">
        <f t="shared" si="27"/>
        <v>0.77700819839982993</v>
      </c>
      <c r="I272" s="26">
        <f t="shared" si="31"/>
        <v>0.71477154137260657</v>
      </c>
      <c r="J272" s="26">
        <f t="shared" si="30"/>
        <v>0.73042723529720588</v>
      </c>
      <c r="K272" s="25">
        <f t="shared" si="26"/>
        <v>408.22365812937733</v>
      </c>
      <c r="L272" s="25">
        <f t="shared" si="26"/>
        <v>1553.5966298746182</v>
      </c>
      <c r="M272" s="25">
        <f t="shared" si="26"/>
        <v>1961.8202880039953</v>
      </c>
    </row>
    <row r="273" spans="1:13" x14ac:dyDescent="0.2">
      <c r="A273" s="22">
        <v>48792</v>
      </c>
      <c r="B273" s="25">
        <f>'[2]US EIA'!$R421</f>
        <v>1830.6666666666636</v>
      </c>
      <c r="C273" s="23">
        <f>'[1]Renewable Diesel'!$AX284</f>
        <v>5446.8500000000013</v>
      </c>
      <c r="D273" s="25">
        <f t="shared" si="28"/>
        <v>7277.5166666666646</v>
      </c>
      <c r="E273" s="25">
        <f>BD!AH32</f>
        <v>120.6319640264517</v>
      </c>
      <c r="F273" s="25">
        <f>RD!AH31</f>
        <v>329.21131118897267</v>
      </c>
      <c r="G273" s="25">
        <f t="shared" si="29"/>
        <v>449.84327521542434</v>
      </c>
      <c r="H273" s="26">
        <f t="shared" si="27"/>
        <v>0.77586166746331808</v>
      </c>
      <c r="I273" s="26">
        <f t="shared" si="31"/>
        <v>0.71164025010001342</v>
      </c>
      <c r="J273" s="26">
        <f t="shared" si="30"/>
        <v>0.72779521249145496</v>
      </c>
      <c r="K273" s="25">
        <f t="shared" si="26"/>
        <v>410.32257409715169</v>
      </c>
      <c r="L273" s="25">
        <f t="shared" si="26"/>
        <v>1570.6523037427423</v>
      </c>
      <c r="M273" s="25">
        <f t="shared" si="26"/>
        <v>1980.9748778398944</v>
      </c>
    </row>
    <row r="274" spans="1:13" x14ac:dyDescent="0.2">
      <c r="A274" s="22">
        <v>48823</v>
      </c>
      <c r="B274" s="25">
        <f>'[2]US EIA'!$R422</f>
        <v>1830.6666666666636</v>
      </c>
      <c r="C274" s="23">
        <f>'[1]Renewable Diesel'!$AX285</f>
        <v>5446.8500000000013</v>
      </c>
      <c r="D274" s="25">
        <f t="shared" si="28"/>
        <v>7277.5166666666646</v>
      </c>
      <c r="E274" s="25">
        <f>BD!AH33</f>
        <v>113.81828734066346</v>
      </c>
      <c r="F274" s="25">
        <f>RD!AH32</f>
        <v>333.35698957658457</v>
      </c>
      <c r="G274" s="25">
        <f t="shared" si="29"/>
        <v>447.17527691724803</v>
      </c>
      <c r="H274" s="26">
        <f t="shared" si="27"/>
        <v>0.73203853486612025</v>
      </c>
      <c r="I274" s="26">
        <f t="shared" si="31"/>
        <v>0.72060176358489136</v>
      </c>
      <c r="J274" s="26">
        <f t="shared" si="30"/>
        <v>0.72347869495005523</v>
      </c>
      <c r="K274" s="25">
        <f t="shared" si="26"/>
        <v>490.54812217175504</v>
      </c>
      <c r="L274" s="25">
        <f t="shared" si="26"/>
        <v>1521.8402840176348</v>
      </c>
      <c r="M274" s="25">
        <f t="shared" si="26"/>
        <v>2012.38840618939</v>
      </c>
    </row>
    <row r="275" spans="1:13" x14ac:dyDescent="0.2">
      <c r="A275" s="22">
        <v>48853</v>
      </c>
      <c r="B275" s="25">
        <f>'[2]US EIA'!$R423</f>
        <v>1830.6666666666636</v>
      </c>
      <c r="C275" s="23">
        <f>'[1]Renewable Diesel'!$AX286</f>
        <v>5446.8500000000013</v>
      </c>
      <c r="D275" s="25">
        <f t="shared" si="28"/>
        <v>7277.5166666666646</v>
      </c>
      <c r="E275" s="25">
        <f>BD!AH34</f>
        <v>116.53679255036796</v>
      </c>
      <c r="F275" s="25">
        <f>RD!AH33</f>
        <v>362.38101827605021</v>
      </c>
      <c r="G275" s="25">
        <f t="shared" si="29"/>
        <v>478.91781082641819</v>
      </c>
      <c r="H275" s="26">
        <f t="shared" si="27"/>
        <v>0.77450708814428948</v>
      </c>
      <c r="I275" s="26">
        <f t="shared" si="31"/>
        <v>0.80945299681319349</v>
      </c>
      <c r="J275" s="26">
        <f t="shared" si="30"/>
        <v>0.80066231819756595</v>
      </c>
      <c r="K275" s="25">
        <f t="shared" ref="K275:M290" si="32">((1-H275)*B275)</f>
        <v>412.80235730385334</v>
      </c>
      <c r="L275" s="25">
        <f t="shared" si="32"/>
        <v>1037.8809443080572</v>
      </c>
      <c r="M275" s="25">
        <f t="shared" si="32"/>
        <v>1450.6833016119101</v>
      </c>
    </row>
    <row r="276" spans="1:13" x14ac:dyDescent="0.2">
      <c r="A276" s="22">
        <v>48884</v>
      </c>
      <c r="B276" s="25">
        <f>'[2]US EIA'!$R424</f>
        <v>1830.6666666666636</v>
      </c>
      <c r="C276" s="23">
        <f>'[1]Renewable Diesel'!$AX287</f>
        <v>5446.8500000000013</v>
      </c>
      <c r="D276" s="25">
        <f t="shared" si="28"/>
        <v>7277.5166666666646</v>
      </c>
      <c r="E276" s="25">
        <f>BD!AH35</f>
        <v>110.76695187518163</v>
      </c>
      <c r="F276" s="25">
        <f>RD!AH34</f>
        <v>438.02223240879124</v>
      </c>
      <c r="G276" s="25">
        <f t="shared" si="29"/>
        <v>548.78918428397287</v>
      </c>
      <c r="H276" s="26">
        <f t="shared" si="27"/>
        <v>0.71241343598503459</v>
      </c>
      <c r="I276" s="26">
        <f t="shared" si="31"/>
        <v>0.94685158263541347</v>
      </c>
      <c r="J276" s="26">
        <f t="shared" si="30"/>
        <v>0.88787843009922884</v>
      </c>
      <c r="K276" s="25">
        <f t="shared" si="32"/>
        <v>526.4751365233958</v>
      </c>
      <c r="L276" s="25">
        <f t="shared" si="32"/>
        <v>289.49145712229819</v>
      </c>
      <c r="M276" s="25">
        <f t="shared" si="32"/>
        <v>815.96659364569359</v>
      </c>
    </row>
    <row r="277" spans="1:13" x14ac:dyDescent="0.2">
      <c r="A277" s="22">
        <v>48914</v>
      </c>
      <c r="B277" s="25">
        <f>'[2]US EIA'!$R425</f>
        <v>1830.6666666666636</v>
      </c>
      <c r="C277" s="23">
        <f>'[1]Renewable Diesel'!$AX288</f>
        <v>5446.8500000000013</v>
      </c>
      <c r="D277" s="25">
        <f t="shared" si="28"/>
        <v>7277.5166666666646</v>
      </c>
      <c r="E277" s="25">
        <f>BD!AH36</f>
        <v>133.33380991945589</v>
      </c>
      <c r="F277" s="25">
        <f>RD!AH35</f>
        <v>495.80460801874244</v>
      </c>
      <c r="G277" s="25">
        <f t="shared" si="29"/>
        <v>629.13841793819836</v>
      </c>
      <c r="H277" s="26">
        <f t="shared" si="27"/>
        <v>0.88614057939915303</v>
      </c>
      <c r="I277" s="26">
        <f t="shared" si="31"/>
        <v>1.1074821956839944</v>
      </c>
      <c r="J277" s="26">
        <f t="shared" si="30"/>
        <v>1.0518034885867316</v>
      </c>
      <c r="K277" s="25">
        <f t="shared" si="32"/>
        <v>208.43864597995017</v>
      </c>
      <c r="L277" s="25">
        <f t="shared" si="32"/>
        <v>-585.43939756136513</v>
      </c>
      <c r="M277" s="25">
        <f t="shared" si="32"/>
        <v>-377.00075158141527</v>
      </c>
    </row>
    <row r="278" spans="1:13" x14ac:dyDescent="0.2">
      <c r="A278" s="22">
        <v>48945</v>
      </c>
      <c r="B278" s="25">
        <f>'[2]US EIA'!$R426</f>
        <v>1780.6666666666636</v>
      </c>
      <c r="C278" s="23">
        <f>'[1]Renewable Diesel'!$AX289</f>
        <v>5446.8500000000013</v>
      </c>
      <c r="D278" s="25">
        <f t="shared" si="28"/>
        <v>7227.5166666666646</v>
      </c>
      <c r="E278" s="25">
        <f>BD!AI25</f>
        <v>91.550663978546694</v>
      </c>
      <c r="F278" s="25">
        <f>RD!AI24</f>
        <v>255.77713345371302</v>
      </c>
      <c r="G278" s="25">
        <f t="shared" si="29"/>
        <v>347.32779743225973</v>
      </c>
      <c r="H278" s="26">
        <f t="shared" si="27"/>
        <v>0.60535486924378212</v>
      </c>
      <c r="I278" s="26">
        <f t="shared" si="31"/>
        <v>0.55290112166401728</v>
      </c>
      <c r="J278" s="26">
        <f t="shared" si="30"/>
        <v>0.56582432117565706</v>
      </c>
      <c r="K278" s="25">
        <f t="shared" si="32"/>
        <v>702.73142949990404</v>
      </c>
      <c r="L278" s="25">
        <f t="shared" si="32"/>
        <v>2435.2805254643481</v>
      </c>
      <c r="M278" s="25">
        <f t="shared" si="32"/>
        <v>3138.0119549642513</v>
      </c>
    </row>
    <row r="279" spans="1:13" x14ac:dyDescent="0.2">
      <c r="A279" s="22">
        <v>48976</v>
      </c>
      <c r="B279" s="25">
        <f>'[2]US EIA'!$R427</f>
        <v>1780.6666666666636</v>
      </c>
      <c r="C279" s="23">
        <f>'[1]Renewable Diesel'!$AX290</f>
        <v>5446.8500000000013</v>
      </c>
      <c r="D279" s="25">
        <f t="shared" si="28"/>
        <v>7227.5166666666646</v>
      </c>
      <c r="E279" s="25">
        <f>BD!AI26</f>
        <v>85.805420643432981</v>
      </c>
      <c r="F279" s="25">
        <f>RD!AI25</f>
        <v>278.75945426224507</v>
      </c>
      <c r="G279" s="25">
        <f t="shared" si="29"/>
        <v>364.56487490567804</v>
      </c>
      <c r="H279" s="26">
        <f t="shared" si="27"/>
        <v>0.56736594729869982</v>
      </c>
      <c r="I279" s="26">
        <f t="shared" si="31"/>
        <v>0.60258089867105447</v>
      </c>
      <c r="J279" s="26">
        <f t="shared" si="30"/>
        <v>0.59390487715923412</v>
      </c>
      <c r="K279" s="25">
        <f t="shared" si="32"/>
        <v>770.37703651011384</v>
      </c>
      <c r="L279" s="25">
        <f t="shared" si="32"/>
        <v>2164.6822320735673</v>
      </c>
      <c r="M279" s="25">
        <f t="shared" si="32"/>
        <v>2935.0592685836818</v>
      </c>
    </row>
    <row r="280" spans="1:13" x14ac:dyDescent="0.2">
      <c r="A280" s="22">
        <v>49004</v>
      </c>
      <c r="B280" s="25">
        <f>'[2]US EIA'!$R428</f>
        <v>1780.6666666666636</v>
      </c>
      <c r="C280" s="23">
        <f>'[1]Renewable Diesel'!$AX291</f>
        <v>5446.8500000000013</v>
      </c>
      <c r="D280" s="25">
        <f t="shared" si="28"/>
        <v>7227.5166666666646</v>
      </c>
      <c r="E280" s="25">
        <f>BD!AI27</f>
        <v>98.27504844419046</v>
      </c>
      <c r="F280" s="25">
        <f>RD!AI26</f>
        <v>298.27499633242473</v>
      </c>
      <c r="G280" s="25">
        <f t="shared" si="29"/>
        <v>396.55004477661521</v>
      </c>
      <c r="H280" s="26">
        <f t="shared" si="27"/>
        <v>0.7194414748782475</v>
      </c>
      <c r="I280" s="26">
        <f t="shared" si="31"/>
        <v>0.71384885406463627</v>
      </c>
      <c r="J280" s="26">
        <f t="shared" si="30"/>
        <v>0.71522672615008343</v>
      </c>
      <c r="K280" s="25">
        <f t="shared" si="32"/>
        <v>499.58121373346643</v>
      </c>
      <c r="L280" s="25">
        <f t="shared" si="32"/>
        <v>1558.6223692380363</v>
      </c>
      <c r="M280" s="25">
        <f t="shared" si="32"/>
        <v>2058.2035829715023</v>
      </c>
    </row>
    <row r="281" spans="1:13" x14ac:dyDescent="0.2">
      <c r="A281" s="22">
        <v>49035</v>
      </c>
      <c r="B281" s="25">
        <f>'[2]US EIA'!$R429</f>
        <v>1780.6666666666636</v>
      </c>
      <c r="C281" s="23">
        <f>'[1]Renewable Diesel'!$AX292</f>
        <v>5446.8500000000013</v>
      </c>
      <c r="D281" s="25">
        <f t="shared" si="28"/>
        <v>7227.5166666666646</v>
      </c>
      <c r="E281" s="25">
        <f>BD!AI28</f>
        <v>109.86222622683734</v>
      </c>
      <c r="F281" s="25">
        <f>RD!AI27</f>
        <v>285.42126234656848</v>
      </c>
      <c r="G281" s="25">
        <f t="shared" si="29"/>
        <v>395.2834885734058</v>
      </c>
      <c r="H281" s="26">
        <f t="shared" si="27"/>
        <v>0.72643529497462045</v>
      </c>
      <c r="I281" s="26">
        <f t="shared" si="31"/>
        <v>0.61698140864783624</v>
      </c>
      <c r="J281" s="26">
        <f t="shared" si="30"/>
        <v>0.64394791677338792</v>
      </c>
      <c r="K281" s="25">
        <f t="shared" si="32"/>
        <v>487.12755141519165</v>
      </c>
      <c r="L281" s="25">
        <f t="shared" si="32"/>
        <v>2086.2448143065335</v>
      </c>
      <c r="M281" s="25">
        <f t="shared" si="32"/>
        <v>2573.3723657217251</v>
      </c>
    </row>
    <row r="282" spans="1:13" x14ac:dyDescent="0.2">
      <c r="A282" s="22">
        <v>49065</v>
      </c>
      <c r="B282" s="25">
        <f>'[2]US EIA'!$R430</f>
        <v>1780.6666666666636</v>
      </c>
      <c r="C282" s="23">
        <f>'[1]Renewable Diesel'!$AX293</f>
        <v>5446.8500000000013</v>
      </c>
      <c r="D282" s="25">
        <f t="shared" si="28"/>
        <v>7227.5166666666646</v>
      </c>
      <c r="E282" s="25">
        <f>BD!AI29</f>
        <v>117.34815598831487</v>
      </c>
      <c r="F282" s="25">
        <f>RD!AI28</f>
        <v>318.64096261132664</v>
      </c>
      <c r="G282" s="25">
        <f t="shared" si="29"/>
        <v>435.98911859964153</v>
      </c>
      <c r="H282" s="26">
        <f t="shared" si="27"/>
        <v>0.80179851995011242</v>
      </c>
      <c r="I282" s="26">
        <f t="shared" si="31"/>
        <v>0.71175053075407002</v>
      </c>
      <c r="J282" s="26">
        <f t="shared" si="30"/>
        <v>0.73393594521340533</v>
      </c>
      <c r="K282" s="25">
        <f t="shared" si="32"/>
        <v>352.93076880883251</v>
      </c>
      <c r="L282" s="25">
        <f t="shared" si="32"/>
        <v>1570.051621562194</v>
      </c>
      <c r="M282" s="25">
        <f t="shared" si="32"/>
        <v>1922.9823903710255</v>
      </c>
    </row>
    <row r="283" spans="1:13" x14ac:dyDescent="0.2">
      <c r="A283" s="22">
        <v>49096</v>
      </c>
      <c r="B283" s="25">
        <f>'[2]US EIA'!$R431</f>
        <v>1780.6666666666636</v>
      </c>
      <c r="C283" s="23">
        <f>'[1]Renewable Diesel'!$AX294</f>
        <v>5446.8500000000013</v>
      </c>
      <c r="D283" s="25">
        <f t="shared" si="28"/>
        <v>7227.5166666666646</v>
      </c>
      <c r="E283" s="25">
        <f>BD!AI30</f>
        <v>114.81468613028248</v>
      </c>
      <c r="F283" s="25">
        <f>RD!AI29</f>
        <v>319.49402872717371</v>
      </c>
      <c r="G283" s="25">
        <f t="shared" si="29"/>
        <v>434.30871485745621</v>
      </c>
      <c r="H283" s="26">
        <f t="shared" si="27"/>
        <v>0.75918214340804779</v>
      </c>
      <c r="I283" s="26">
        <f t="shared" si="31"/>
        <v>0.69063486818761122</v>
      </c>
      <c r="J283" s="26">
        <f t="shared" si="30"/>
        <v>0.70752308217662863</v>
      </c>
      <c r="K283" s="25">
        <f t="shared" si="32"/>
        <v>428.81632997140213</v>
      </c>
      <c r="L283" s="25">
        <f t="shared" si="32"/>
        <v>1685.0654682123102</v>
      </c>
      <c r="M283" s="25">
        <f t="shared" si="32"/>
        <v>2113.8817981837133</v>
      </c>
    </row>
    <row r="284" spans="1:13" x14ac:dyDescent="0.2">
      <c r="A284" s="22">
        <v>49126</v>
      </c>
      <c r="B284" s="25">
        <f>'[2]US EIA'!$R432</f>
        <v>1780.6666666666636</v>
      </c>
      <c r="C284" s="23">
        <f>'[1]Renewable Diesel'!$AX295</f>
        <v>5446.8500000000013</v>
      </c>
      <c r="D284" s="25">
        <f t="shared" si="28"/>
        <v>7227.5166666666646</v>
      </c>
      <c r="E284" s="25">
        <f>BD!AI31</f>
        <v>114.25142522002986</v>
      </c>
      <c r="F284" s="25">
        <f>RD!AI30</f>
        <v>311.15316781072767</v>
      </c>
      <c r="G284" s="25">
        <f t="shared" si="29"/>
        <v>425.4045930307575</v>
      </c>
      <c r="H284" s="26">
        <f t="shared" si="27"/>
        <v>0.78063965191521845</v>
      </c>
      <c r="I284" s="26">
        <f t="shared" si="31"/>
        <v>0.69502499151445685</v>
      </c>
      <c r="J284" s="26">
        <f t="shared" si="30"/>
        <v>0.71611815241392984</v>
      </c>
      <c r="K284" s="25">
        <f t="shared" si="32"/>
        <v>390.60765982296698</v>
      </c>
      <c r="L284" s="25">
        <f t="shared" si="32"/>
        <v>1661.153124969481</v>
      </c>
      <c r="M284" s="25">
        <f t="shared" si="32"/>
        <v>2051.7607847924478</v>
      </c>
    </row>
    <row r="285" spans="1:13" x14ac:dyDescent="0.2">
      <c r="A285" s="22">
        <v>49157</v>
      </c>
      <c r="B285" s="25">
        <f>'[2]US EIA'!$R433</f>
        <v>1780.6666666666636</v>
      </c>
      <c r="C285" s="23">
        <f>'[1]Renewable Diesel'!$AX296</f>
        <v>5446.8500000000013</v>
      </c>
      <c r="D285" s="25">
        <f t="shared" si="28"/>
        <v>7227.5166666666646</v>
      </c>
      <c r="E285" s="25">
        <f>BD!AI32</f>
        <v>117.91826370912712</v>
      </c>
      <c r="F285" s="25">
        <f>RD!AI31</f>
        <v>320.43870651265905</v>
      </c>
      <c r="G285" s="25">
        <f t="shared" si="29"/>
        <v>438.35697022178618</v>
      </c>
      <c r="H285" s="26">
        <f t="shared" si="27"/>
        <v>0.77970374006047283</v>
      </c>
      <c r="I285" s="26">
        <f t="shared" si="31"/>
        <v>0.69267693269960728</v>
      </c>
      <c r="J285" s="26">
        <f t="shared" si="30"/>
        <v>0.71411800881481247</v>
      </c>
      <c r="K285" s="25">
        <f t="shared" si="32"/>
        <v>392.27420686565068</v>
      </c>
      <c r="L285" s="25">
        <f t="shared" si="32"/>
        <v>1673.9426491251445</v>
      </c>
      <c r="M285" s="25">
        <f t="shared" si="32"/>
        <v>2066.2168559907955</v>
      </c>
    </row>
    <row r="286" spans="1:13" x14ac:dyDescent="0.2">
      <c r="A286" s="22">
        <v>49188</v>
      </c>
      <c r="B286" s="25">
        <f>'[2]US EIA'!$R434</f>
        <v>1780.6666666666636</v>
      </c>
      <c r="C286" s="23">
        <f>'[1]Renewable Diesel'!$AX297</f>
        <v>5446.8500000000013</v>
      </c>
      <c r="D286" s="25">
        <f t="shared" si="28"/>
        <v>7227.5166666666646</v>
      </c>
      <c r="E286" s="25">
        <f>BD!AI33</f>
        <v>111.23175862128012</v>
      </c>
      <c r="F286" s="25">
        <f>RD!AI32</f>
        <v>324.35906304280564</v>
      </c>
      <c r="G286" s="25">
        <f t="shared" si="29"/>
        <v>435.59082166408575</v>
      </c>
      <c r="H286" s="26">
        <f t="shared" si="27"/>
        <v>0.73549097046111733</v>
      </c>
      <c r="I286" s="26">
        <f t="shared" si="31"/>
        <v>0.70115137876745004</v>
      </c>
      <c r="J286" s="26">
        <f t="shared" si="30"/>
        <v>0.70961173508290043</v>
      </c>
      <c r="K286" s="25">
        <f t="shared" si="32"/>
        <v>471.00241193223627</v>
      </c>
      <c r="L286" s="25">
        <f t="shared" si="32"/>
        <v>1627.7836125605152</v>
      </c>
      <c r="M286" s="25">
        <f t="shared" si="32"/>
        <v>2098.7860244927519</v>
      </c>
    </row>
    <row r="287" spans="1:13" x14ac:dyDescent="0.2">
      <c r="A287" s="22">
        <v>49218</v>
      </c>
      <c r="B287" s="25">
        <f>'[2]US EIA'!$R435</f>
        <v>1780.6666666666636</v>
      </c>
      <c r="C287" s="23">
        <f>'[1]Renewable Diesel'!$AX298</f>
        <v>5446.8500000000013</v>
      </c>
      <c r="D287" s="25">
        <f t="shared" si="28"/>
        <v>7227.5166666666646</v>
      </c>
      <c r="E287" s="25">
        <f>BD!AI34</f>
        <v>113.81999863931493</v>
      </c>
      <c r="F287" s="25">
        <f>RD!AI33</f>
        <v>352.27008106497885</v>
      </c>
      <c r="G287" s="25">
        <f t="shared" si="29"/>
        <v>466.09007970429377</v>
      </c>
      <c r="H287" s="26">
        <f t="shared" si="27"/>
        <v>0.77769186640490495</v>
      </c>
      <c r="I287" s="26">
        <f t="shared" si="31"/>
        <v>0.78686812615681401</v>
      </c>
      <c r="J287" s="26">
        <f t="shared" si="30"/>
        <v>0.78460734135084331</v>
      </c>
      <c r="K287" s="25">
        <f t="shared" si="32"/>
        <v>395.85668322166521</v>
      </c>
      <c r="L287" s="25">
        <f t="shared" si="32"/>
        <v>1160.8973470427579</v>
      </c>
      <c r="M287" s="25">
        <f t="shared" si="32"/>
        <v>1556.7540302644236</v>
      </c>
    </row>
    <row r="288" spans="1:13" x14ac:dyDescent="0.2">
      <c r="A288" s="22">
        <v>49249</v>
      </c>
      <c r="B288" s="25">
        <f>'[2]US EIA'!$R436</f>
        <v>1780.6666666666636</v>
      </c>
      <c r="C288" s="23">
        <f>'[1]Renewable Diesel'!$AX299</f>
        <v>5446.8500000000013</v>
      </c>
      <c r="D288" s="25">
        <f t="shared" si="28"/>
        <v>7227.5166666666646</v>
      </c>
      <c r="E288" s="25">
        <f>BD!AI35</f>
        <v>108.31151502438718</v>
      </c>
      <c r="F288" s="25">
        <f>RD!AI34</f>
        <v>425.69298524432094</v>
      </c>
      <c r="G288" s="25">
        <f t="shared" si="29"/>
        <v>534.00450026870817</v>
      </c>
      <c r="H288" s="26">
        <f t="shared" si="27"/>
        <v>0.71618162191099244</v>
      </c>
      <c r="I288" s="26">
        <f t="shared" si="31"/>
        <v>0.92020004231020236</v>
      </c>
      <c r="J288" s="26">
        <f t="shared" si="30"/>
        <v>0.86993536395029658</v>
      </c>
      <c r="K288" s="25">
        <f t="shared" si="32"/>
        <v>505.38592525049194</v>
      </c>
      <c r="L288" s="25">
        <f t="shared" si="32"/>
        <v>434.65839954267437</v>
      </c>
      <c r="M288" s="25">
        <f t="shared" si="32"/>
        <v>940.0443247931654</v>
      </c>
    </row>
    <row r="289" spans="1:13" x14ac:dyDescent="0.2">
      <c r="A289" s="22">
        <v>49279</v>
      </c>
      <c r="B289" s="25">
        <f>'[2]US EIA'!$R437</f>
        <v>1780.6666666666636</v>
      </c>
      <c r="C289" s="23">
        <f>'[1]Renewable Diesel'!$AX300</f>
        <v>5446.8500000000013</v>
      </c>
      <c r="D289" s="25">
        <f t="shared" si="28"/>
        <v>7227.5166666666646</v>
      </c>
      <c r="E289" s="25">
        <f>BD!AI36</f>
        <v>139.75351409198944</v>
      </c>
      <c r="F289" s="25">
        <f>RD!AI35</f>
        <v>481.82271000184312</v>
      </c>
      <c r="G289" s="25">
        <f t="shared" si="29"/>
        <v>621.57622409383259</v>
      </c>
      <c r="H289" s="26">
        <f t="shared" si="27"/>
        <v>0.95488642163190252</v>
      </c>
      <c r="I289" s="26">
        <f t="shared" si="31"/>
        <v>1.0762507329965803</v>
      </c>
      <c r="J289" s="26">
        <f t="shared" si="30"/>
        <v>1.0463498149168293</v>
      </c>
      <c r="K289" s="25">
        <f t="shared" si="32"/>
        <v>80.33224521412545</v>
      </c>
      <c r="L289" s="25">
        <f t="shared" si="32"/>
        <v>-415.32630502242324</v>
      </c>
      <c r="M289" s="25">
        <f t="shared" si="32"/>
        <v>-334.99405980829914</v>
      </c>
    </row>
    <row r="290" spans="1:13" x14ac:dyDescent="0.2">
      <c r="A290" s="22">
        <v>49310</v>
      </c>
      <c r="B290" s="25">
        <f>'[2]US EIA'!$R438</f>
        <v>1780.6666666666636</v>
      </c>
      <c r="C290" s="23">
        <f>'[1]Renewable Diesel'!$AX301</f>
        <v>5446.8500000000013</v>
      </c>
      <c r="D290" s="25">
        <f t="shared" si="28"/>
        <v>7227.5166666666646</v>
      </c>
      <c r="E290" s="25">
        <f>BD!AJ25</f>
        <v>89.185582602539839</v>
      </c>
      <c r="F290" s="25">
        <f>RD!AJ$24</f>
        <v>270.94848935168307</v>
      </c>
      <c r="G290" s="25">
        <f t="shared" si="29"/>
        <v>360.13407195422292</v>
      </c>
      <c r="H290" s="26">
        <f t="shared" si="27"/>
        <v>0.5897163859722786</v>
      </c>
      <c r="I290" s="26">
        <f t="shared" si="31"/>
        <v>0.58569631167919367</v>
      </c>
      <c r="J290" s="26">
        <f t="shared" si="30"/>
        <v>0.58668675039021512</v>
      </c>
      <c r="K290" s="25">
        <f t="shared" si="32"/>
        <v>730.5783553786946</v>
      </c>
      <c r="L290" s="25">
        <f t="shared" si="32"/>
        <v>2256.6500447301846</v>
      </c>
      <c r="M290" s="25">
        <f t="shared" si="32"/>
        <v>2987.2284001088797</v>
      </c>
    </row>
    <row r="291" spans="1:13" x14ac:dyDescent="0.2">
      <c r="A291" s="22">
        <v>49341</v>
      </c>
      <c r="B291" s="25">
        <f>'[2]US EIA'!$R439</f>
        <v>1780.6666666666636</v>
      </c>
      <c r="C291" s="23">
        <f>'[1]Renewable Diesel'!$AX302</f>
        <v>5446.8500000000013</v>
      </c>
      <c r="D291" s="25">
        <f t="shared" si="28"/>
        <v>7227.5166666666646</v>
      </c>
      <c r="E291" s="25">
        <f>BD!AJ26</f>
        <v>82.361307922389557</v>
      </c>
      <c r="F291" s="25">
        <f>RD!AJ$25</f>
        <v>295.30031929712442</v>
      </c>
      <c r="G291" s="25">
        <f t="shared" si="29"/>
        <v>377.661627219514</v>
      </c>
      <c r="H291" s="26">
        <f t="shared" si="27"/>
        <v>0.5445926509040756</v>
      </c>
      <c r="I291" s="26">
        <f t="shared" si="31"/>
        <v>0.63833649068816867</v>
      </c>
      <c r="J291" s="26">
        <f t="shared" si="30"/>
        <v>0.61524051756108611</v>
      </c>
      <c r="K291" s="25">
        <f t="shared" ref="K291:M306" si="33">((1-H291)*B291)</f>
        <v>810.92868629014129</v>
      </c>
      <c r="L291" s="25">
        <f t="shared" si="33"/>
        <v>1969.9268856951489</v>
      </c>
      <c r="M291" s="25">
        <f t="shared" si="33"/>
        <v>2780.8555719852902</v>
      </c>
    </row>
    <row r="292" spans="1:13" x14ac:dyDescent="0.2">
      <c r="A292" s="22">
        <v>49369</v>
      </c>
      <c r="B292" s="25">
        <f>'[2]US EIA'!$R440</f>
        <v>1780.6666666666636</v>
      </c>
      <c r="C292" s="23">
        <f>'[1]Renewable Diesel'!$AX303</f>
        <v>5446.8500000000013</v>
      </c>
      <c r="D292" s="25">
        <f t="shared" si="28"/>
        <v>7227.5166666666646</v>
      </c>
      <c r="E292" s="25">
        <f>BD!AJ27</f>
        <v>94.448147282101544</v>
      </c>
      <c r="F292" s="25">
        <f>RD!AJ$26</f>
        <v>316.0429041115849</v>
      </c>
      <c r="G292" s="25">
        <f t="shared" si="29"/>
        <v>410.49105139368646</v>
      </c>
      <c r="H292" s="26">
        <f t="shared" si="27"/>
        <v>0.69142590571950968</v>
      </c>
      <c r="I292" s="26">
        <f t="shared" si="31"/>
        <v>0.75637203154594235</v>
      </c>
      <c r="J292" s="26">
        <f t="shared" si="30"/>
        <v>0.74037104438507784</v>
      </c>
      <c r="K292" s="25">
        <f t="shared" si="33"/>
        <v>549.46760388212545</v>
      </c>
      <c r="L292" s="25">
        <f t="shared" si="33"/>
        <v>1327.0049999739842</v>
      </c>
      <c r="M292" s="25">
        <f t="shared" si="33"/>
        <v>1876.4726038561096</v>
      </c>
    </row>
    <row r="293" spans="1:13" x14ac:dyDescent="0.2">
      <c r="A293" s="22">
        <v>49400</v>
      </c>
      <c r="B293" s="25">
        <f>'[2]US EIA'!$R441</f>
        <v>1780.6666666666636</v>
      </c>
      <c r="C293" s="23">
        <f>'[1]Renewable Diesel'!$AX304</f>
        <v>5446.8500000000013</v>
      </c>
      <c r="D293" s="25">
        <f t="shared" si="28"/>
        <v>7227.5166666666646</v>
      </c>
      <c r="E293" s="25">
        <f>BD!AJ28</f>
        <v>105.58718965716207</v>
      </c>
      <c r="F293" s="25">
        <f>RD!AJ$27</f>
        <v>302.39750853541153</v>
      </c>
      <c r="G293" s="25">
        <f t="shared" si="29"/>
        <v>407.9846981925736</v>
      </c>
      <c r="H293" s="26">
        <f t="shared" si="27"/>
        <v>0.69816773151648326</v>
      </c>
      <c r="I293" s="26">
        <f t="shared" si="31"/>
        <v>0.65367814315539696</v>
      </c>
      <c r="J293" s="26">
        <f t="shared" si="30"/>
        <v>0.66463918699133528</v>
      </c>
      <c r="K293" s="25">
        <f t="shared" si="33"/>
        <v>537.46265941298122</v>
      </c>
      <c r="L293" s="25">
        <f t="shared" si="33"/>
        <v>1886.3632059540264</v>
      </c>
      <c r="M293" s="25">
        <f t="shared" si="33"/>
        <v>2423.8258653670068</v>
      </c>
    </row>
    <row r="294" spans="1:13" x14ac:dyDescent="0.2">
      <c r="A294" s="22">
        <v>49430</v>
      </c>
      <c r="B294" s="25">
        <f>'[2]US EIA'!$R442</f>
        <v>1780.6666666666636</v>
      </c>
      <c r="C294" s="23">
        <f>'[1]Renewable Diesel'!$AX305</f>
        <v>5446.8500000000013</v>
      </c>
      <c r="D294" s="25">
        <f t="shared" si="28"/>
        <v>7227.5166666666646</v>
      </c>
      <c r="E294" s="25">
        <f>BD!AJ29</f>
        <v>112.88995692296641</v>
      </c>
      <c r="F294" s="25">
        <f>RD!AJ$28</f>
        <v>337.69797664706579</v>
      </c>
      <c r="G294" s="25">
        <f t="shared" si="29"/>
        <v>450.58793357003219</v>
      </c>
      <c r="H294" s="26">
        <f t="shared" si="27"/>
        <v>0.77133721970952474</v>
      </c>
      <c r="I294" s="26">
        <f t="shared" si="31"/>
        <v>0.75431831533319849</v>
      </c>
      <c r="J294" s="26">
        <f t="shared" si="30"/>
        <v>0.75851131787110748</v>
      </c>
      <c r="K294" s="25">
        <f t="shared" si="33"/>
        <v>407.17219077057223</v>
      </c>
      <c r="L294" s="25">
        <f t="shared" si="33"/>
        <v>1338.1912841273681</v>
      </c>
      <c r="M294" s="25">
        <f t="shared" si="33"/>
        <v>1745.3634748979389</v>
      </c>
    </row>
    <row r="295" spans="1:13" x14ac:dyDescent="0.2">
      <c r="A295" s="22">
        <v>49461</v>
      </c>
      <c r="B295" s="25">
        <f>'[2]US EIA'!$R443</f>
        <v>1780.6666666666636</v>
      </c>
      <c r="C295" s="23">
        <f>'[1]Renewable Diesel'!$AX306</f>
        <v>5446.8500000000013</v>
      </c>
      <c r="D295" s="25">
        <f t="shared" si="28"/>
        <v>7227.5166666666646</v>
      </c>
      <c r="E295" s="25">
        <f>BD!AJ30</f>
        <v>110.51632332493848</v>
      </c>
      <c r="F295" s="25">
        <f>RD!AJ$29</f>
        <v>338.50410654127819</v>
      </c>
      <c r="G295" s="25">
        <f t="shared" si="29"/>
        <v>449.02042986621666</v>
      </c>
      <c r="H295" s="26">
        <f t="shared" si="27"/>
        <v>0.73076034130510414</v>
      </c>
      <c r="I295" s="26">
        <f t="shared" si="31"/>
        <v>0.73172803865369074</v>
      </c>
      <c r="J295" s="26">
        <f t="shared" si="30"/>
        <v>0.73148962392681827</v>
      </c>
      <c r="K295" s="25">
        <f t="shared" si="33"/>
        <v>479.42608558271036</v>
      </c>
      <c r="L295" s="25">
        <f t="shared" si="33"/>
        <v>1461.2371326591449</v>
      </c>
      <c r="M295" s="25">
        <f t="shared" si="33"/>
        <v>1940.663218241855</v>
      </c>
    </row>
    <row r="296" spans="1:13" x14ac:dyDescent="0.2">
      <c r="A296" s="22">
        <v>49491</v>
      </c>
      <c r="B296" s="25">
        <f>'[2]US EIA'!$R444</f>
        <v>1780.6666666666636</v>
      </c>
      <c r="C296" s="23">
        <f>'[1]Renewable Diesel'!$AX307</f>
        <v>5446.8500000000013</v>
      </c>
      <c r="D296" s="25">
        <f t="shared" si="28"/>
        <v>7227.5166666666646</v>
      </c>
      <c r="E296" s="25">
        <f>BD!AJ31</f>
        <v>109.71315000842171</v>
      </c>
      <c r="F296" s="25">
        <f>RD!AJ$30</f>
        <v>329.58868568030601</v>
      </c>
      <c r="G296" s="25">
        <f t="shared" si="29"/>
        <v>439.30183568872769</v>
      </c>
      <c r="H296" s="26">
        <f t="shared" si="27"/>
        <v>0.74963121963822532</v>
      </c>
      <c r="I296" s="26">
        <f t="shared" si="31"/>
        <v>0.73620453579170619</v>
      </c>
      <c r="J296" s="26">
        <f t="shared" si="30"/>
        <v>0.7395125113346247</v>
      </c>
      <c r="K296" s="25">
        <f t="shared" si="33"/>
        <v>445.82334156419932</v>
      </c>
      <c r="L296" s="25">
        <f t="shared" si="33"/>
        <v>1436.8543242229455</v>
      </c>
      <c r="M296" s="25">
        <f t="shared" si="33"/>
        <v>1882.677665787144</v>
      </c>
    </row>
    <row r="297" spans="1:13" x14ac:dyDescent="0.2">
      <c r="A297" s="22">
        <v>49522</v>
      </c>
      <c r="B297" s="25">
        <f>'[2]US EIA'!$R445</f>
        <v>1780.6666666666636</v>
      </c>
      <c r="C297" s="23">
        <f>'[1]Renewable Diesel'!$AX308</f>
        <v>5446.8500000000013</v>
      </c>
      <c r="D297" s="25">
        <f t="shared" si="28"/>
        <v>7227.5166666666646</v>
      </c>
      <c r="E297" s="25">
        <f>BD!AJ32</f>
        <v>113.46237729517195</v>
      </c>
      <c r="F297" s="25">
        <f>RD!AJ$31</f>
        <v>339.44802986728587</v>
      </c>
      <c r="G297" s="25">
        <f t="shared" si="29"/>
        <v>452.91040716245783</v>
      </c>
      <c r="H297" s="26">
        <f t="shared" si="27"/>
        <v>0.75024035421198709</v>
      </c>
      <c r="I297" s="26">
        <f t="shared" si="31"/>
        <v>0.73376847228693776</v>
      </c>
      <c r="J297" s="26">
        <f t="shared" si="30"/>
        <v>0.73782670313356857</v>
      </c>
      <c r="K297" s="25">
        <f t="shared" si="33"/>
        <v>444.73867593318755</v>
      </c>
      <c r="L297" s="25">
        <f t="shared" si="33"/>
        <v>1450.1231967238934</v>
      </c>
      <c r="M297" s="25">
        <f t="shared" si="33"/>
        <v>1894.8618726570803</v>
      </c>
    </row>
    <row r="298" spans="1:13" x14ac:dyDescent="0.2">
      <c r="A298" s="22">
        <v>49553</v>
      </c>
      <c r="B298" s="25">
        <f>'[2]US EIA'!$R446</f>
        <v>1780.6666666666636</v>
      </c>
      <c r="C298" s="23">
        <f>'[1]Renewable Diesel'!$AX309</f>
        <v>5446.8500000000013</v>
      </c>
      <c r="D298" s="25">
        <f t="shared" si="28"/>
        <v>7227.5166666666646</v>
      </c>
      <c r="E298" s="25">
        <f>BD!AJ33</f>
        <v>106.99232087279445</v>
      </c>
      <c r="F298" s="25">
        <f>RD!AJ$32</f>
        <v>343.64672572550035</v>
      </c>
      <c r="G298" s="25">
        <f t="shared" si="29"/>
        <v>450.63904659829478</v>
      </c>
      <c r="H298" s="26">
        <f t="shared" ref="H298:H361" si="34">(E298/(A298-A297)*365)/B298</f>
        <v>0.70745879491618546</v>
      </c>
      <c r="I298" s="26">
        <f t="shared" si="31"/>
        <v>0.74284459108687317</v>
      </c>
      <c r="J298" s="26">
        <f t="shared" si="30"/>
        <v>0.73412647798929875</v>
      </c>
      <c r="K298" s="25">
        <f t="shared" si="33"/>
        <v>520.91837251924483</v>
      </c>
      <c r="L298" s="25">
        <f t="shared" si="33"/>
        <v>1400.6869390384652</v>
      </c>
      <c r="M298" s="25">
        <f t="shared" si="33"/>
        <v>1921.6053115577095</v>
      </c>
    </row>
    <row r="299" spans="1:13" x14ac:dyDescent="0.2">
      <c r="A299" s="22">
        <v>49583</v>
      </c>
      <c r="B299" s="25">
        <f>'[2]US EIA'!$R447</f>
        <v>1780.6666666666636</v>
      </c>
      <c r="C299" s="23">
        <f>'[1]Renewable Diesel'!$AX310</f>
        <v>5446.8500000000013</v>
      </c>
      <c r="D299" s="25">
        <f t="shared" si="28"/>
        <v>7227.5166666666646</v>
      </c>
      <c r="E299" s="25">
        <f>BD!AJ34</f>
        <v>109.26448576943095</v>
      </c>
      <c r="F299" s="25">
        <f>RD!AJ$33</f>
        <v>373.22415201937724</v>
      </c>
      <c r="G299" s="25">
        <f t="shared" si="29"/>
        <v>482.48863778880821</v>
      </c>
      <c r="H299" s="26">
        <f t="shared" si="34"/>
        <v>0.74656565529469043</v>
      </c>
      <c r="I299" s="26">
        <f t="shared" si="31"/>
        <v>0.83367337994787605</v>
      </c>
      <c r="J299" s="26">
        <f t="shared" si="30"/>
        <v>0.81221236797754437</v>
      </c>
      <c r="K299" s="25">
        <f t="shared" si="33"/>
        <v>451.2820898052538</v>
      </c>
      <c r="L299" s="25">
        <f t="shared" si="33"/>
        <v>905.95615043091152</v>
      </c>
      <c r="M299" s="25">
        <f t="shared" si="33"/>
        <v>1357.2382402361648</v>
      </c>
    </row>
    <row r="300" spans="1:13" x14ac:dyDescent="0.2">
      <c r="A300" s="22">
        <v>49614</v>
      </c>
      <c r="B300" s="25">
        <f>'[2]US EIA'!$R448</f>
        <v>1780.6666666666636</v>
      </c>
      <c r="C300" s="23">
        <f>'[1]Renewable Diesel'!$AX311</f>
        <v>5446.8500000000013</v>
      </c>
      <c r="D300" s="25">
        <f t="shared" si="28"/>
        <v>7227.5166666666646</v>
      </c>
      <c r="E300" s="25">
        <f>BD!AJ35</f>
        <v>104.10797244294466</v>
      </c>
      <c r="F300" s="25">
        <f>RD!AJ$34</f>
        <v>450.93823456570317</v>
      </c>
      <c r="G300" s="25">
        <f t="shared" si="29"/>
        <v>555.0462070086478</v>
      </c>
      <c r="H300" s="26">
        <f t="shared" si="34"/>
        <v>0.68838679378887091</v>
      </c>
      <c r="I300" s="26">
        <f t="shared" si="31"/>
        <v>0.97477148299376115</v>
      </c>
      <c r="J300" s="26">
        <f t="shared" si="30"/>
        <v>0.90421396048222447</v>
      </c>
      <c r="K300" s="25">
        <f t="shared" si="33"/>
        <v>554.87924919328293</v>
      </c>
      <c r="L300" s="25">
        <f t="shared" si="33"/>
        <v>137.41594785543211</v>
      </c>
      <c r="M300" s="25">
        <f t="shared" si="33"/>
        <v>692.29519704871439</v>
      </c>
    </row>
    <row r="301" spans="1:13" x14ac:dyDescent="0.2">
      <c r="A301" s="22">
        <v>49644</v>
      </c>
      <c r="B301" s="25">
        <f>'[2]US EIA'!$R449</f>
        <v>1780.6666666666636</v>
      </c>
      <c r="C301" s="23">
        <f>'[1]Renewable Diesel'!$AX312</f>
        <v>5446.8500000000013</v>
      </c>
      <c r="D301" s="25">
        <f t="shared" si="28"/>
        <v>7227.5166666666646</v>
      </c>
      <c r="E301" s="25">
        <f>BD!AJ36</f>
        <v>132.31404278848527</v>
      </c>
      <c r="F301" s="25">
        <f>RD!AJ$35</f>
        <v>510.44358660780591</v>
      </c>
      <c r="G301" s="25">
        <f t="shared" si="29"/>
        <v>642.75762939629112</v>
      </c>
      <c r="H301" s="26">
        <f t="shared" si="34"/>
        <v>0.90405514073001148</v>
      </c>
      <c r="I301" s="26">
        <f t="shared" si="31"/>
        <v>1.1401813838080672</v>
      </c>
      <c r="J301" s="26">
        <f t="shared" si="30"/>
        <v>1.0820061972860493</v>
      </c>
      <c r="K301" s="25">
        <f t="shared" si="33"/>
        <v>170.84581274009261</v>
      </c>
      <c r="L301" s="25">
        <f t="shared" si="33"/>
        <v>-763.54697039497114</v>
      </c>
      <c r="M301" s="25">
        <f t="shared" si="33"/>
        <v>-592.70115765487594</v>
      </c>
    </row>
    <row r="302" spans="1:13" x14ac:dyDescent="0.2">
      <c r="A302" s="22">
        <v>49675</v>
      </c>
      <c r="B302" s="25">
        <f>'[2]US EIA'!$R450</f>
        <v>1763.9999999999968</v>
      </c>
      <c r="C302" s="23">
        <f>'[1]Renewable Diesel'!$AX313</f>
        <v>5446.8500000000013</v>
      </c>
      <c r="D302" s="25">
        <f t="shared" si="28"/>
        <v>7210.8499999999985</v>
      </c>
      <c r="E302" s="25">
        <f>BD!AK$25</f>
        <v>72.152327431409546</v>
      </c>
      <c r="F302" s="25">
        <f>RD!AK$24</f>
        <v>292.54820423721026</v>
      </c>
      <c r="G302" s="25">
        <f t="shared" ref="G302:G365" si="35">SUM(E302:F302)</f>
        <v>364.70053166861982</v>
      </c>
      <c r="H302" s="26">
        <f t="shared" si="34"/>
        <v>0.48159607037642693</v>
      </c>
      <c r="I302" s="26">
        <f t="shared" si="31"/>
        <v>0.63238737599199379</v>
      </c>
      <c r="J302" s="26">
        <f t="shared" si="30"/>
        <v>0.59549909470672779</v>
      </c>
      <c r="K302" s="25">
        <f t="shared" si="33"/>
        <v>914.46453185598125</v>
      </c>
      <c r="L302" s="25">
        <f t="shared" si="33"/>
        <v>2002.330821078009</v>
      </c>
      <c r="M302" s="25">
        <f t="shared" si="33"/>
        <v>2916.7953529339911</v>
      </c>
    </row>
    <row r="303" spans="1:13" x14ac:dyDescent="0.2">
      <c r="A303" s="22">
        <v>49706</v>
      </c>
      <c r="B303" s="25">
        <f>'[2]US EIA'!$R451</f>
        <v>1746.222222222219</v>
      </c>
      <c r="C303" s="23">
        <f>'[1]Renewable Diesel'!$AX314</f>
        <v>5446.8500000000013</v>
      </c>
      <c r="D303" s="25">
        <f t="shared" si="28"/>
        <v>7193.0722222222203</v>
      </c>
      <c r="E303" s="25">
        <f>BD!AK$26</f>
        <v>69.504679762737837</v>
      </c>
      <c r="F303" s="25">
        <f>RD!AK$25</f>
        <v>319.19465898223018</v>
      </c>
      <c r="G303" s="25">
        <f t="shared" si="35"/>
        <v>388.69933874496803</v>
      </c>
      <c r="H303" s="26">
        <f t="shared" si="34"/>
        <v>0.46864685469624995</v>
      </c>
      <c r="I303" s="26">
        <f t="shared" si="31"/>
        <v>0.68998773501531951</v>
      </c>
      <c r="J303" s="26">
        <f t="shared" si="30"/>
        <v>0.63625403793032353</v>
      </c>
      <c r="K303" s="25">
        <f t="shared" si="33"/>
        <v>927.86067017708012</v>
      </c>
      <c r="L303" s="25">
        <f t="shared" si="33"/>
        <v>1688.5903055318072</v>
      </c>
      <c r="M303" s="25">
        <f t="shared" si="33"/>
        <v>2616.4509757088872</v>
      </c>
    </row>
    <row r="304" spans="1:13" x14ac:dyDescent="0.2">
      <c r="A304" s="22">
        <v>49735</v>
      </c>
      <c r="B304" s="25">
        <f>'[2]US EIA'!$R452</f>
        <v>1728.4444444444412</v>
      </c>
      <c r="C304" s="23">
        <f>'[1]Renewable Diesel'!$AX315</f>
        <v>5446.8500000000013</v>
      </c>
      <c r="D304" s="25">
        <f t="shared" si="28"/>
        <v>7175.294444444442</v>
      </c>
      <c r="E304" s="25">
        <f>BD!AK$27</f>
        <v>79.529934413270254</v>
      </c>
      <c r="F304" s="25">
        <f>RD!AK$26</f>
        <v>341.12271072358976</v>
      </c>
      <c r="G304" s="25">
        <f t="shared" si="35"/>
        <v>420.65264513686003</v>
      </c>
      <c r="H304" s="26">
        <f t="shared" si="34"/>
        <v>0.57912200314679174</v>
      </c>
      <c r="I304" s="26">
        <f t="shared" si="31"/>
        <v>0.78824293202119811</v>
      </c>
      <c r="J304" s="26">
        <f t="shared" si="30"/>
        <v>0.737868148027506</v>
      </c>
      <c r="K304" s="25">
        <f t="shared" si="33"/>
        <v>727.46423544983281</v>
      </c>
      <c r="L304" s="25">
        <f t="shared" si="33"/>
        <v>1153.4089857203373</v>
      </c>
      <c r="M304" s="25">
        <f t="shared" si="33"/>
        <v>1880.873221170169</v>
      </c>
    </row>
    <row r="305" spans="1:13" x14ac:dyDescent="0.2">
      <c r="A305" s="22">
        <v>49766</v>
      </c>
      <c r="B305" s="25">
        <f>'[2]US EIA'!$R453</f>
        <v>1710.6666666666633</v>
      </c>
      <c r="C305" s="23">
        <f>'[1]Renewable Diesel'!$AX316</f>
        <v>5446.8500000000013</v>
      </c>
      <c r="D305" s="25">
        <f t="shared" si="28"/>
        <v>7157.5166666666646</v>
      </c>
      <c r="E305" s="25">
        <f>BD!AK$28</f>
        <v>88.47446267741158</v>
      </c>
      <c r="F305" s="25">
        <f>RD!AK$27</f>
        <v>326.86144374999731</v>
      </c>
      <c r="G305" s="25">
        <f t="shared" si="35"/>
        <v>415.33590642740887</v>
      </c>
      <c r="H305" s="26">
        <f t="shared" si="34"/>
        <v>0.60895291172256227</v>
      </c>
      <c r="I305" s="26">
        <f t="shared" si="31"/>
        <v>0.70656065473029539</v>
      </c>
      <c r="J305" s="26">
        <f t="shared" si="30"/>
        <v>0.68323212890938978</v>
      </c>
      <c r="K305" s="25">
        <f t="shared" si="33"/>
        <v>668.95121901326888</v>
      </c>
      <c r="L305" s="25">
        <f t="shared" si="33"/>
        <v>1598.320097782291</v>
      </c>
      <c r="M305" s="25">
        <f t="shared" si="33"/>
        <v>2267.2713167955603</v>
      </c>
    </row>
    <row r="306" spans="1:13" x14ac:dyDescent="0.2">
      <c r="A306" s="22">
        <v>49796</v>
      </c>
      <c r="B306" s="25">
        <f>'[2]US EIA'!$R454</f>
        <v>1692.8888888888855</v>
      </c>
      <c r="C306" s="23">
        <f>'[1]Renewable Diesel'!$AX317</f>
        <v>5446.8500000000013</v>
      </c>
      <c r="D306" s="25">
        <f t="shared" si="28"/>
        <v>7139.7388888888872</v>
      </c>
      <c r="E306" s="25">
        <f>BD!AK$29</f>
        <v>94.659421307093524</v>
      </c>
      <c r="F306" s="25">
        <f>RD!AK$28</f>
        <v>365.00683042158005</v>
      </c>
      <c r="G306" s="25">
        <f t="shared" si="35"/>
        <v>459.66625172867356</v>
      </c>
      <c r="H306" s="26">
        <f t="shared" si="34"/>
        <v>0.68031022795528751</v>
      </c>
      <c r="I306" s="26">
        <f t="shared" si="31"/>
        <v>0.81531829163569591</v>
      </c>
      <c r="J306" s="26">
        <f t="shared" si="30"/>
        <v>0.78330680571558042</v>
      </c>
      <c r="K306" s="25">
        <f t="shared" si="33"/>
        <v>541.1992629859144</v>
      </c>
      <c r="L306" s="25">
        <f t="shared" si="33"/>
        <v>1005.93356320411</v>
      </c>
      <c r="M306" s="25">
        <f t="shared" si="33"/>
        <v>1547.1328261900255</v>
      </c>
    </row>
    <row r="307" spans="1:13" x14ac:dyDescent="0.2">
      <c r="A307" s="22">
        <v>49827</v>
      </c>
      <c r="B307" s="25">
        <f>'[2]US EIA'!$R455</f>
        <v>1675.1111111111077</v>
      </c>
      <c r="C307" s="23">
        <f>'[1]Renewable Diesel'!$AX318</f>
        <v>5446.8500000000013</v>
      </c>
      <c r="D307" s="25">
        <f t="shared" si="28"/>
        <v>7121.9611111111089</v>
      </c>
      <c r="E307" s="25">
        <f>BD!AK$30</f>
        <v>92.562963773777327</v>
      </c>
      <c r="F307" s="25">
        <f>RD!AK$29</f>
        <v>365.55578146483305</v>
      </c>
      <c r="G307" s="25">
        <f t="shared" si="35"/>
        <v>458.11874523861036</v>
      </c>
      <c r="H307" s="26">
        <f t="shared" si="34"/>
        <v>0.6506160956462721</v>
      </c>
      <c r="I307" s="26">
        <f t="shared" si="31"/>
        <v>0.79020434263819261</v>
      </c>
      <c r="J307" s="26">
        <f t="shared" si="30"/>
        <v>0.75737268014120274</v>
      </c>
      <c r="K307" s="25">
        <f t="shared" ref="K307:M370" si="36">((1-H307)*B307)</f>
        <v>585.2568602263101</v>
      </c>
      <c r="L307" s="25">
        <f t="shared" si="36"/>
        <v>1142.7254763011608</v>
      </c>
      <c r="M307" s="25">
        <f t="shared" si="36"/>
        <v>1727.9823365274701</v>
      </c>
    </row>
    <row r="308" spans="1:13" x14ac:dyDescent="0.2">
      <c r="A308" s="22">
        <v>49857</v>
      </c>
      <c r="B308" s="25">
        <f>'[2]US EIA'!$R456</f>
        <v>1657.3333333333298</v>
      </c>
      <c r="C308" s="23">
        <f>'[1]Renewable Diesel'!$AX319</f>
        <v>5446.8500000000013</v>
      </c>
      <c r="D308" s="25">
        <f t="shared" si="28"/>
        <v>7104.1833333333307</v>
      </c>
      <c r="E308" s="25">
        <f>BD!AK$31</f>
        <v>91.955704225734934</v>
      </c>
      <c r="F308" s="25">
        <f>RD!AK$30</f>
        <v>356.11482216137313</v>
      </c>
      <c r="G308" s="25">
        <f t="shared" si="35"/>
        <v>448.07052638710809</v>
      </c>
      <c r="H308" s="26">
        <f t="shared" si="34"/>
        <v>0.6750569598228745</v>
      </c>
      <c r="I308" s="26">
        <f t="shared" si="31"/>
        <v>0.79545615104082279</v>
      </c>
      <c r="J308" s="26">
        <f t="shared" si="30"/>
        <v>0.76736825077850612</v>
      </c>
      <c r="K308" s="25">
        <f t="shared" si="36"/>
        <v>538.53893192022156</v>
      </c>
      <c r="L308" s="25">
        <f t="shared" si="36"/>
        <v>1114.1196637032947</v>
      </c>
      <c r="M308" s="25">
        <f t="shared" si="36"/>
        <v>1652.6585956235158</v>
      </c>
    </row>
    <row r="309" spans="1:13" x14ac:dyDescent="0.2">
      <c r="A309" s="22">
        <v>49888</v>
      </c>
      <c r="B309" s="25">
        <f>'[2]US EIA'!$R457</f>
        <v>1639.555555555552</v>
      </c>
      <c r="C309" s="23">
        <f>'[1]Renewable Diesel'!$AX320</f>
        <v>5446.8500000000013</v>
      </c>
      <c r="D309" s="25">
        <f t="shared" si="28"/>
        <v>7086.4055555555533</v>
      </c>
      <c r="E309" s="25">
        <f>BD!AK$32</f>
        <v>95.034666632337192</v>
      </c>
      <c r="F309" s="25">
        <f>RD!AK$31</f>
        <v>366.24629828555049</v>
      </c>
      <c r="G309" s="25">
        <f t="shared" si="35"/>
        <v>461.28096491788767</v>
      </c>
      <c r="H309" s="26">
        <f t="shared" si="34"/>
        <v>0.68247553731500876</v>
      </c>
      <c r="I309" s="26">
        <f t="shared" si="31"/>
        <v>0.79169699962260454</v>
      </c>
      <c r="J309" s="26">
        <f t="shared" si="30"/>
        <v>0.76642683212958962</v>
      </c>
      <c r="K309" s="25">
        <f t="shared" si="36"/>
        <v>520.59899681996899</v>
      </c>
      <c r="L309" s="25">
        <f t="shared" si="36"/>
        <v>1134.5951976056167</v>
      </c>
      <c r="M309" s="25">
        <f t="shared" si="36"/>
        <v>1655.1941944255859</v>
      </c>
    </row>
    <row r="310" spans="1:13" x14ac:dyDescent="0.2">
      <c r="A310" s="22">
        <v>49919</v>
      </c>
      <c r="B310" s="25">
        <f>'[2]US EIA'!$R458</f>
        <v>1621.7777777777742</v>
      </c>
      <c r="C310" s="23">
        <f>'[1]Renewable Diesel'!$AX321</f>
        <v>5446.8500000000013</v>
      </c>
      <c r="D310" s="25">
        <f t="shared" si="28"/>
        <v>7068.6277777777759</v>
      </c>
      <c r="E310" s="25">
        <f>BD!AK$33</f>
        <v>89.623621266138628</v>
      </c>
      <c r="F310" s="25">
        <f>RD!AK$32</f>
        <v>370.96712754239712</v>
      </c>
      <c r="G310" s="25">
        <f t="shared" si="35"/>
        <v>460.59074880853575</v>
      </c>
      <c r="H310" s="26">
        <f t="shared" si="34"/>
        <v>0.65067229170003726</v>
      </c>
      <c r="I310" s="26">
        <f t="shared" si="31"/>
        <v>0.80190178906586085</v>
      </c>
      <c r="J310" s="26">
        <f t="shared" si="30"/>
        <v>0.76720472396597805</v>
      </c>
      <c r="K310" s="25">
        <f t="shared" si="36"/>
        <v>566.53191448291614</v>
      </c>
      <c r="L310" s="25">
        <f t="shared" si="36"/>
        <v>1079.0112402266161</v>
      </c>
      <c r="M310" s="25">
        <f t="shared" si="36"/>
        <v>1645.5431547095325</v>
      </c>
    </row>
    <row r="311" spans="1:13" x14ac:dyDescent="0.2">
      <c r="A311" s="22">
        <v>49949</v>
      </c>
      <c r="B311" s="25">
        <f>'[2]US EIA'!$R459</f>
        <v>1603.9999999999964</v>
      </c>
      <c r="C311" s="23">
        <f>'[1]Renewable Diesel'!$AX322</f>
        <v>5446.8500000000013</v>
      </c>
      <c r="D311" s="25">
        <f t="shared" si="28"/>
        <v>7050.8499999999976</v>
      </c>
      <c r="E311" s="25">
        <f>BD!AK$34</f>
        <v>91.628278048741819</v>
      </c>
      <c r="F311" s="25">
        <f>RD!AK$33</f>
        <v>403.33435346090243</v>
      </c>
      <c r="G311" s="25">
        <f t="shared" si="35"/>
        <v>494.96263150964427</v>
      </c>
      <c r="H311" s="26">
        <f t="shared" si="34"/>
        <v>0.69501914978783963</v>
      </c>
      <c r="I311" s="26">
        <f t="shared" si="31"/>
        <v>0.90093074598608591</v>
      </c>
      <c r="J311" s="26">
        <f t="shared" si="30"/>
        <v>0.85408785466064485</v>
      </c>
      <c r="K311" s="25">
        <f t="shared" si="36"/>
        <v>489.18928374030412</v>
      </c>
      <c r="L311" s="25">
        <f t="shared" si="36"/>
        <v>539.61536622568804</v>
      </c>
      <c r="M311" s="25">
        <f t="shared" si="36"/>
        <v>1028.804649965992</v>
      </c>
    </row>
    <row r="312" spans="1:13" x14ac:dyDescent="0.2">
      <c r="A312" s="22">
        <v>49980</v>
      </c>
      <c r="B312" s="25">
        <f>'[2]US EIA'!$R460</f>
        <v>1586.2222222222185</v>
      </c>
      <c r="C312" s="23">
        <f>'[1]Renewable Diesel'!$AX323</f>
        <v>5446.8500000000013</v>
      </c>
      <c r="D312" s="25">
        <f t="shared" si="28"/>
        <v>7033.0722222222194</v>
      </c>
      <c r="E312" s="25">
        <f>BD!AK$35</f>
        <v>87.243459486070478</v>
      </c>
      <c r="F312" s="25">
        <f>RD!AK$34</f>
        <v>487.59562741366341</v>
      </c>
      <c r="G312" s="25">
        <f t="shared" si="35"/>
        <v>574.83908689973384</v>
      </c>
      <c r="H312" s="26">
        <f t="shared" si="34"/>
        <v>0.6475898291103096</v>
      </c>
      <c r="I312" s="26">
        <f t="shared" si="31"/>
        <v>1.0540120051985484</v>
      </c>
      <c r="J312" s="26">
        <f t="shared" si="30"/>
        <v>0.96234852344471256</v>
      </c>
      <c r="K312" s="25">
        <f t="shared" si="36"/>
        <v>559.00084440235651</v>
      </c>
      <c r="L312" s="25">
        <f t="shared" si="36"/>
        <v>-294.19529051571357</v>
      </c>
      <c r="M312" s="25">
        <f t="shared" si="36"/>
        <v>264.80555388664328</v>
      </c>
    </row>
    <row r="313" spans="1:13" x14ac:dyDescent="0.2">
      <c r="A313" s="22">
        <v>50010</v>
      </c>
      <c r="B313" s="25">
        <f>'[2]US EIA'!$R461</f>
        <v>1568.4444444444407</v>
      </c>
      <c r="C313" s="23">
        <f>'[1]Renewable Diesel'!$AX324</f>
        <v>5446.8500000000013</v>
      </c>
      <c r="D313" s="25">
        <f t="shared" si="28"/>
        <v>7015.294444444442</v>
      </c>
      <c r="E313" s="25">
        <f>BD!AK$36</f>
        <v>112.77613418250846</v>
      </c>
      <c r="F313" s="25">
        <f>RD!AK$35</f>
        <v>552.06299722252447</v>
      </c>
      <c r="G313" s="25">
        <f t="shared" si="35"/>
        <v>664.83913140503296</v>
      </c>
      <c r="H313" s="26">
        <f t="shared" si="34"/>
        <v>0.87482195331430324</v>
      </c>
      <c r="I313" s="26">
        <f t="shared" si="31"/>
        <v>1.2331469502937256</v>
      </c>
      <c r="J313" s="26">
        <f t="shared" si="30"/>
        <v>1.1530344396544874</v>
      </c>
      <c r="K313" s="25">
        <f t="shared" si="36"/>
        <v>196.33481189058793</v>
      </c>
      <c r="L313" s="25">
        <f t="shared" si="36"/>
        <v>-1269.9164662073795</v>
      </c>
      <c r="M313" s="25">
        <f t="shared" si="36"/>
        <v>-1073.5816543167934</v>
      </c>
    </row>
    <row r="314" spans="1:13" x14ac:dyDescent="0.2">
      <c r="A314" s="22">
        <v>50041</v>
      </c>
      <c r="B314" s="25">
        <f>'[2]US EIA'!$R462</f>
        <v>1550.6666666666629</v>
      </c>
      <c r="C314" s="23">
        <f>'[1]Renewable Diesel'!$AX325</f>
        <v>5446.8500000000013</v>
      </c>
      <c r="D314" s="25">
        <f t="shared" si="28"/>
        <v>6997.5166666666646</v>
      </c>
      <c r="E314" s="25">
        <f>BD!AK$25</f>
        <v>72.152327431409546</v>
      </c>
      <c r="F314" s="25">
        <f>RD!AL$24</f>
        <v>332.80102216583555</v>
      </c>
      <c r="G314" s="25">
        <f t="shared" si="35"/>
        <v>404.95334959724511</v>
      </c>
      <c r="H314" s="26">
        <f t="shared" si="34"/>
        <v>0.54785176363543697</v>
      </c>
      <c r="I314" s="26">
        <f t="shared" si="31"/>
        <v>0.71939995558563408</v>
      </c>
      <c r="J314" s="26">
        <f t="shared" si="30"/>
        <v>0.68138446013832943</v>
      </c>
      <c r="K314" s="25">
        <f t="shared" si="36"/>
        <v>701.13119852264731</v>
      </c>
      <c r="L314" s="25">
        <f t="shared" si="36"/>
        <v>1528.3863519183894</v>
      </c>
      <c r="M314" s="25">
        <f t="shared" si="36"/>
        <v>2229.5175504410367</v>
      </c>
    </row>
    <row r="315" spans="1:13" x14ac:dyDescent="0.2">
      <c r="A315" s="22">
        <v>50072</v>
      </c>
      <c r="B315" s="25">
        <f>'[2]US EIA'!$R463</f>
        <v>1532.888888888885</v>
      </c>
      <c r="C315" s="23">
        <f>'[1]Renewable Diesel'!$AX326</f>
        <v>5446.8500000000013</v>
      </c>
      <c r="D315" s="25">
        <f t="shared" si="28"/>
        <v>6979.7388888888863</v>
      </c>
      <c r="E315" s="25">
        <f>BD!AK$26</f>
        <v>69.504679762737837</v>
      </c>
      <c r="F315" s="25">
        <f>RD!AL$25</f>
        <v>363.31246739881755</v>
      </c>
      <c r="G315" s="25">
        <f t="shared" si="35"/>
        <v>432.8171471615554</v>
      </c>
      <c r="H315" s="26">
        <f t="shared" si="34"/>
        <v>0.5338688002613996</v>
      </c>
      <c r="I315" s="26">
        <f t="shared" si="31"/>
        <v>0.78535507856756737</v>
      </c>
      <c r="J315" s="26">
        <f t="shared" si="30"/>
        <v>0.73012371134017373</v>
      </c>
      <c r="K315" s="25">
        <f t="shared" si="36"/>
        <v>714.52733684374607</v>
      </c>
      <c r="L315" s="25">
        <f t="shared" si="36"/>
        <v>1169.138690304246</v>
      </c>
      <c r="M315" s="25">
        <f t="shared" si="36"/>
        <v>1883.6660271479921</v>
      </c>
    </row>
    <row r="316" spans="1:13" x14ac:dyDescent="0.2">
      <c r="A316" s="22">
        <v>50100</v>
      </c>
      <c r="B316" s="25">
        <f>'[2]US EIA'!$R464</f>
        <v>1515.1111111111072</v>
      </c>
      <c r="C316" s="23">
        <f>'[1]Renewable Diesel'!$AX327</f>
        <v>5446.8500000000013</v>
      </c>
      <c r="D316" s="25">
        <f t="shared" si="28"/>
        <v>6961.961111111108</v>
      </c>
      <c r="E316" s="25">
        <f>BD!AK$27</f>
        <v>79.529934413270254</v>
      </c>
      <c r="F316" s="25">
        <f>RD!AL$26</f>
        <v>387.9993930252391</v>
      </c>
      <c r="G316" s="25">
        <f t="shared" si="35"/>
        <v>467.52932743850937</v>
      </c>
      <c r="H316" s="26">
        <f t="shared" si="34"/>
        <v>0.68425971835999633</v>
      </c>
      <c r="I316" s="26">
        <f t="shared" si="31"/>
        <v>0.92858243397699225</v>
      </c>
      <c r="J316" s="26">
        <f t="shared" si="30"/>
        <v>0.87541120029437969</v>
      </c>
      <c r="K316" s="25">
        <f t="shared" si="36"/>
        <v>478.38160893811988</v>
      </c>
      <c r="L316" s="25">
        <f t="shared" si="36"/>
        <v>389.00076949241986</v>
      </c>
      <c r="M316" s="25">
        <f t="shared" si="36"/>
        <v>867.38237843053969</v>
      </c>
    </row>
    <row r="317" spans="1:13" x14ac:dyDescent="0.2">
      <c r="A317" s="22">
        <v>50131</v>
      </c>
      <c r="B317" s="25">
        <f>'[2]US EIA'!$R465</f>
        <v>1497.3333333333294</v>
      </c>
      <c r="C317" s="23">
        <f>'[1]Renewable Diesel'!$AX328</f>
        <v>5446.8500000000013</v>
      </c>
      <c r="D317" s="25">
        <f t="shared" si="28"/>
        <v>6944.1833333333307</v>
      </c>
      <c r="E317" s="25">
        <f>BD!AK$28</f>
        <v>88.47446267741158</v>
      </c>
      <c r="F317" s="25">
        <f>RD!AL$27</f>
        <v>372.00604933358062</v>
      </c>
      <c r="G317" s="25">
        <f t="shared" si="35"/>
        <v>460.48051201099219</v>
      </c>
      <c r="H317" s="26">
        <f t="shared" si="34"/>
        <v>0.6957137896171397</v>
      </c>
      <c r="I317" s="26">
        <f t="shared" si="31"/>
        <v>0.80414757631005374</v>
      </c>
      <c r="J317" s="26">
        <f t="shared" si="30"/>
        <v>0.78076663783518774</v>
      </c>
      <c r="K317" s="25">
        <f t="shared" si="36"/>
        <v>455.61788567993494</v>
      </c>
      <c r="L317" s="25">
        <f t="shared" si="36"/>
        <v>1066.778773975584</v>
      </c>
      <c r="M317" s="25">
        <f t="shared" si="36"/>
        <v>1522.3966596555192</v>
      </c>
    </row>
    <row r="318" spans="1:13" x14ac:dyDescent="0.2">
      <c r="A318" s="22">
        <v>50161</v>
      </c>
      <c r="B318" s="25">
        <f>'[2]US EIA'!$R466</f>
        <v>1479.5555555555516</v>
      </c>
      <c r="C318" s="23">
        <f>'[1]Renewable Diesel'!$AX329</f>
        <v>5446.8500000000013</v>
      </c>
      <c r="D318" s="25">
        <f t="shared" si="28"/>
        <v>6926.4055555555533</v>
      </c>
      <c r="E318" s="25">
        <f>BD!AK$29</f>
        <v>94.659421307093524</v>
      </c>
      <c r="F318" s="25">
        <f>RD!AL$28</f>
        <v>415.41034878232517</v>
      </c>
      <c r="G318" s="25">
        <f t="shared" si="35"/>
        <v>510.06977008941868</v>
      </c>
      <c r="H318" s="26">
        <f t="shared" si="34"/>
        <v>0.77840242063132836</v>
      </c>
      <c r="I318" s="26">
        <f t="shared" si="31"/>
        <v>0.92790498058846649</v>
      </c>
      <c r="J318" s="26">
        <f t="shared" si="30"/>
        <v>0.89596960785001289</v>
      </c>
      <c r="K318" s="25">
        <f t="shared" si="36"/>
        <v>327.86592965258041</v>
      </c>
      <c r="L318" s="25">
        <f t="shared" si="36"/>
        <v>392.69075648171139</v>
      </c>
      <c r="M318" s="25">
        <f t="shared" si="36"/>
        <v>720.5566861342935</v>
      </c>
    </row>
    <row r="319" spans="1:13" x14ac:dyDescent="0.2">
      <c r="A319" s="22">
        <v>50192</v>
      </c>
      <c r="B319" s="25">
        <f>'[2]US EIA'!$R467</f>
        <v>1461.7777777777737</v>
      </c>
      <c r="C319" s="23">
        <f>'[1]Renewable Diesel'!$AX330</f>
        <v>5446.8500000000013</v>
      </c>
      <c r="D319" s="25">
        <f t="shared" si="28"/>
        <v>6908.627777777775</v>
      </c>
      <c r="E319" s="25">
        <f>BD!AK$30</f>
        <v>92.562963773777327</v>
      </c>
      <c r="F319" s="25">
        <f>RD!AL$29</f>
        <v>415.86089526614876</v>
      </c>
      <c r="G319" s="25">
        <f t="shared" si="35"/>
        <v>508.42385903992607</v>
      </c>
      <c r="H319" s="26">
        <f t="shared" si="34"/>
        <v>0.74556766934958985</v>
      </c>
      <c r="I319" s="26">
        <f t="shared" si="31"/>
        <v>0.89894648651407127</v>
      </c>
      <c r="J319" s="26">
        <f t="shared" si="30"/>
        <v>0.86649347938665644</v>
      </c>
      <c r="K319" s="25">
        <f t="shared" si="36"/>
        <v>371.92352689297633</v>
      </c>
      <c r="L319" s="25">
        <f t="shared" si="36"/>
        <v>550.42332993083096</v>
      </c>
      <c r="M319" s="25">
        <f t="shared" si="36"/>
        <v>922.34685682380643</v>
      </c>
    </row>
    <row r="320" spans="1:13" x14ac:dyDescent="0.2">
      <c r="A320" s="22">
        <v>50222</v>
      </c>
      <c r="B320" s="25">
        <f>'[2]US EIA'!$R468</f>
        <v>1443.9999999999959</v>
      </c>
      <c r="C320" s="23">
        <f>'[1]Renewable Diesel'!$AX331</f>
        <v>5446.8500000000013</v>
      </c>
      <c r="D320" s="25">
        <f t="shared" si="28"/>
        <v>6890.8499999999967</v>
      </c>
      <c r="E320" s="25">
        <f>BD!AK$31</f>
        <v>91.955704225734934</v>
      </c>
      <c r="F320" s="25">
        <f>RD!AL$30</f>
        <v>405.22957833277349</v>
      </c>
      <c r="G320" s="25">
        <f t="shared" si="35"/>
        <v>497.18528255850845</v>
      </c>
      <c r="H320" s="26">
        <f t="shared" si="34"/>
        <v>0.77478836662957862</v>
      </c>
      <c r="I320" s="26">
        <f t="shared" si="31"/>
        <v>0.90516412294238746</v>
      </c>
      <c r="J320" s="26">
        <f t="shared" si="30"/>
        <v>0.87784345972729871</v>
      </c>
      <c r="K320" s="25">
        <f t="shared" si="36"/>
        <v>325.20559858688756</v>
      </c>
      <c r="L320" s="25">
        <f t="shared" si="36"/>
        <v>516.55679695125696</v>
      </c>
      <c r="M320" s="25">
        <f t="shared" si="36"/>
        <v>841.76239553814321</v>
      </c>
    </row>
    <row r="321" spans="1:13" x14ac:dyDescent="0.2">
      <c r="A321" s="22">
        <v>50253</v>
      </c>
      <c r="B321" s="25">
        <f>'[2]US EIA'!$R469</f>
        <v>1426.2222222222181</v>
      </c>
      <c r="C321" s="23">
        <f>'[1]Renewable Diesel'!$AX332</f>
        <v>5446.8500000000013</v>
      </c>
      <c r="D321" s="25">
        <f t="shared" si="28"/>
        <v>6873.0722222222194</v>
      </c>
      <c r="E321" s="25">
        <f>BD!AK$32</f>
        <v>95.034666632337192</v>
      </c>
      <c r="F321" s="25">
        <f>RD!AL$31</f>
        <v>416.46855418677683</v>
      </c>
      <c r="G321" s="25">
        <f t="shared" si="35"/>
        <v>511.50322081911401</v>
      </c>
      <c r="H321" s="26">
        <f t="shared" si="34"/>
        <v>0.78455975604707673</v>
      </c>
      <c r="I321" s="26">
        <f t="shared" si="31"/>
        <v>0.90026003356289397</v>
      </c>
      <c r="J321" s="26">
        <f t="shared" si="30"/>
        <v>0.87625122038953507</v>
      </c>
      <c r="K321" s="25">
        <f t="shared" si="36"/>
        <v>307.26566348663499</v>
      </c>
      <c r="L321" s="25">
        <f t="shared" si="36"/>
        <v>543.26863618795107</v>
      </c>
      <c r="M321" s="25">
        <f t="shared" si="36"/>
        <v>850.5342996745859</v>
      </c>
    </row>
    <row r="322" spans="1:13" x14ac:dyDescent="0.2">
      <c r="A322" s="22">
        <v>50284</v>
      </c>
      <c r="B322" s="25">
        <f>'[2]US EIA'!$R470</f>
        <v>1408.4444444444403</v>
      </c>
      <c r="C322" s="23">
        <f>'[1]Renewable Diesel'!$AX333</f>
        <v>5446.8500000000013</v>
      </c>
      <c r="D322" s="25">
        <f t="shared" si="28"/>
        <v>6855.294444444442</v>
      </c>
      <c r="E322" s="25">
        <f>BD!AK$33</f>
        <v>89.623621266138628</v>
      </c>
      <c r="F322" s="25">
        <f>RD!AL$32</f>
        <v>421.93643803856435</v>
      </c>
      <c r="G322" s="25">
        <f t="shared" si="35"/>
        <v>511.56005930470297</v>
      </c>
      <c r="H322" s="26">
        <f t="shared" si="34"/>
        <v>0.74922789284109736</v>
      </c>
      <c r="I322" s="26">
        <f t="shared" si="31"/>
        <v>0.91207969497656349</v>
      </c>
      <c r="J322" s="26">
        <f t="shared" si="30"/>
        <v>0.87862121732191767</v>
      </c>
      <c r="K322" s="25">
        <f t="shared" si="36"/>
        <v>353.19858114958225</v>
      </c>
      <c r="L322" s="25">
        <f t="shared" si="36"/>
        <v>478.88871341690526</v>
      </c>
      <c r="M322" s="25">
        <f t="shared" si="36"/>
        <v>832.08729456648712</v>
      </c>
    </row>
    <row r="323" spans="1:13" x14ac:dyDescent="0.2">
      <c r="A323" s="22">
        <v>50314</v>
      </c>
      <c r="B323" s="25">
        <f>'[2]US EIA'!$R471</f>
        <v>1390.6666666666624</v>
      </c>
      <c r="C323" s="23">
        <f>'[1]Renewable Diesel'!$AX334</f>
        <v>5446.8500000000013</v>
      </c>
      <c r="D323" s="25">
        <f t="shared" ref="D323:D386" si="37">C323+B323</f>
        <v>6837.5166666666637</v>
      </c>
      <c r="E323" s="25">
        <f>BD!AK$34</f>
        <v>91.628278048741819</v>
      </c>
      <c r="F323" s="25">
        <f>RD!AL$33</f>
        <v>458.99830558736232</v>
      </c>
      <c r="G323" s="25">
        <f t="shared" si="35"/>
        <v>550.6265836361041</v>
      </c>
      <c r="H323" s="26">
        <f t="shared" si="34"/>
        <v>0.80163761955395185</v>
      </c>
      <c r="I323" s="26">
        <f t="shared" si="31"/>
        <v>1.025267702368569</v>
      </c>
      <c r="J323" s="26">
        <f t="shared" si="30"/>
        <v>0.97978409816028766</v>
      </c>
      <c r="K323" s="25">
        <f t="shared" si="36"/>
        <v>275.85595040697012</v>
      </c>
      <c r="L323" s="25">
        <f t="shared" si="36"/>
        <v>-137.62938464624014</v>
      </c>
      <c r="M323" s="25">
        <f t="shared" si="36"/>
        <v>138.22656576073035</v>
      </c>
    </row>
    <row r="324" spans="1:13" x14ac:dyDescent="0.2">
      <c r="A324" s="22">
        <v>50345</v>
      </c>
      <c r="B324" s="25">
        <f>'[2]US EIA'!$R472</f>
        <v>1372.8888888888846</v>
      </c>
      <c r="C324" s="23">
        <f>'[1]Renewable Diesel'!$AX335</f>
        <v>5446.8500000000013</v>
      </c>
      <c r="D324" s="25">
        <f t="shared" si="37"/>
        <v>6819.7388888888854</v>
      </c>
      <c r="E324" s="25">
        <f>BD!AK$35</f>
        <v>87.243459486070478</v>
      </c>
      <c r="F324" s="25">
        <f>RD!AL$34</f>
        <v>555.04404536868401</v>
      </c>
      <c r="G324" s="25">
        <f t="shared" si="35"/>
        <v>642.2875048547545</v>
      </c>
      <c r="H324" s="26">
        <f t="shared" si="34"/>
        <v>0.74821887345247551</v>
      </c>
      <c r="I324" s="26">
        <f t="shared" si="31"/>
        <v>1.1998120047459784</v>
      </c>
      <c r="J324" s="26">
        <f t="shared" ref="J324:J387" si="38">(G324/(A324-A323)*365)/D324</f>
        <v>1.1089013111911989</v>
      </c>
      <c r="K324" s="25">
        <f t="shared" si="36"/>
        <v>345.66751106902257</v>
      </c>
      <c r="L324" s="25">
        <f t="shared" si="36"/>
        <v>-1088.3460180506327</v>
      </c>
      <c r="M324" s="25">
        <f t="shared" si="36"/>
        <v>-742.67850698160987</v>
      </c>
    </row>
    <row r="325" spans="1:13" x14ac:dyDescent="0.2">
      <c r="A325" s="22">
        <v>50375</v>
      </c>
      <c r="B325" s="25">
        <f>'[2]US EIA'!$R473</f>
        <v>1355.1111111111068</v>
      </c>
      <c r="C325" s="23">
        <f>'[1]Renewable Diesel'!$AX336</f>
        <v>5446.8500000000013</v>
      </c>
      <c r="D325" s="25">
        <f t="shared" si="37"/>
        <v>6801.961111111108</v>
      </c>
      <c r="E325" s="25">
        <f>BD!AK$36</f>
        <v>112.77613418250846</v>
      </c>
      <c r="F325" s="25">
        <f>RD!AL$35</f>
        <v>628.43828786428332</v>
      </c>
      <c r="G325" s="25">
        <f t="shared" si="35"/>
        <v>741.21442204679181</v>
      </c>
      <c r="H325" s="26">
        <f t="shared" si="34"/>
        <v>1.0125440056563395</v>
      </c>
      <c r="I325" s="26">
        <f t="shared" si="31"/>
        <v>1.4037469673325766</v>
      </c>
      <c r="J325" s="26">
        <f t="shared" si="38"/>
        <v>1.3258101089166889</v>
      </c>
      <c r="K325" s="25">
        <f t="shared" si="36"/>
        <v>-16.998521442746238</v>
      </c>
      <c r="L325" s="25">
        <f t="shared" si="36"/>
        <v>-2199.1491690154458</v>
      </c>
      <c r="M325" s="25">
        <f t="shared" si="36"/>
        <v>-2216.1476904581928</v>
      </c>
    </row>
    <row r="326" spans="1:13" x14ac:dyDescent="0.2">
      <c r="A326" s="22">
        <v>50406</v>
      </c>
      <c r="B326" s="25">
        <f>'[2]US EIA'!$R474</f>
        <v>1337.3333333333289</v>
      </c>
      <c r="C326" s="23">
        <f>'[1]Renewable Diesel'!$AX337</f>
        <v>5446.8500000000013</v>
      </c>
      <c r="D326" s="25">
        <f t="shared" si="37"/>
        <v>6784.1833333333307</v>
      </c>
      <c r="E326" s="25">
        <f>BD!AL$25</f>
        <v>59.525288886323779</v>
      </c>
      <c r="F326" s="25">
        <f>RD!AM$24</f>
        <v>367.13890577510347</v>
      </c>
      <c r="G326" s="25">
        <f t="shared" si="35"/>
        <v>426.66419466142725</v>
      </c>
      <c r="H326" s="26">
        <f t="shared" si="34"/>
        <v>0.52407448083591768</v>
      </c>
      <c r="I326" s="26">
        <f t="shared" si="31"/>
        <v>0.79362650628145093</v>
      </c>
      <c r="J326" s="26">
        <f t="shared" si="38"/>
        <v>0.74049101583492305</v>
      </c>
      <c r="K326" s="25">
        <f t="shared" si="36"/>
        <v>636.47106096209734</v>
      </c>
      <c r="L326" s="25">
        <f t="shared" si="36"/>
        <v>1124.0854642608792</v>
      </c>
      <c r="M326" s="25">
        <f t="shared" si="36"/>
        <v>1760.5565252229783</v>
      </c>
    </row>
    <row r="327" spans="1:13" x14ac:dyDescent="0.2">
      <c r="A327" s="22">
        <v>50437</v>
      </c>
      <c r="B327" s="25">
        <f>'[2]US EIA'!$R475</f>
        <v>1319.5555555555511</v>
      </c>
      <c r="C327" s="23">
        <f>'[1]Renewable Diesel'!$AX338</f>
        <v>5446.8500000000013</v>
      </c>
      <c r="D327" s="25">
        <f t="shared" si="37"/>
        <v>6766.4055555555524</v>
      </c>
      <c r="E327" s="25">
        <f>BD!AL$26</f>
        <v>56.244934347341754</v>
      </c>
      <c r="F327" s="25">
        <f>RD!AM$25</f>
        <v>400.78788250954102</v>
      </c>
      <c r="G327" s="25">
        <f t="shared" si="35"/>
        <v>457.03281685688279</v>
      </c>
      <c r="H327" s="26">
        <f t="shared" si="34"/>
        <v>0.50186499562961973</v>
      </c>
      <c r="I327" s="26">
        <f t="shared" si="31"/>
        <v>0.86636388013541077</v>
      </c>
      <c r="J327" s="26">
        <f t="shared" si="38"/>
        <v>0.79528086211434168</v>
      </c>
      <c r="K327" s="25">
        <f t="shared" si="36"/>
        <v>657.31681243362402</v>
      </c>
      <c r="L327" s="25">
        <f t="shared" si="36"/>
        <v>727.89589948443802</v>
      </c>
      <c r="M327" s="25">
        <f t="shared" si="36"/>
        <v>1385.2127119180616</v>
      </c>
    </row>
    <row r="328" spans="1:13" x14ac:dyDescent="0.2">
      <c r="A328" s="22">
        <v>50465</v>
      </c>
      <c r="B328" s="25">
        <f>'[2]US EIA'!$R476</f>
        <v>1301.7777777777733</v>
      </c>
      <c r="C328" s="23">
        <f>'[1]Renewable Diesel'!$AX339</f>
        <v>5446.8500000000013</v>
      </c>
      <c r="D328" s="25">
        <f t="shared" si="37"/>
        <v>6748.6277777777741</v>
      </c>
      <c r="E328" s="25">
        <f>BD!AL$27</f>
        <v>64.454751820695108</v>
      </c>
      <c r="F328" s="25">
        <f>RD!AM$26</f>
        <v>428.00340827289244</v>
      </c>
      <c r="G328" s="25">
        <f t="shared" si="35"/>
        <v>492.45816009358754</v>
      </c>
      <c r="H328" s="26">
        <f t="shared" si="34"/>
        <v>0.64543560616429363</v>
      </c>
      <c r="I328" s="26">
        <f t="shared" si="31"/>
        <v>1.0243223410883993</v>
      </c>
      <c r="J328" s="26">
        <f t="shared" si="38"/>
        <v>0.9512369157159849</v>
      </c>
      <c r="K328" s="25">
        <f t="shared" si="36"/>
        <v>461.56404868656904</v>
      </c>
      <c r="L328" s="25">
        <f t="shared" si="36"/>
        <v>-132.48014355734753</v>
      </c>
      <c r="M328" s="25">
        <f t="shared" si="36"/>
        <v>329.08390512922313</v>
      </c>
    </row>
    <row r="329" spans="1:13" x14ac:dyDescent="0.2">
      <c r="A329" s="22">
        <v>50496</v>
      </c>
      <c r="B329" s="25">
        <f>'[2]US EIA'!$R477</f>
        <v>1283.9999999999955</v>
      </c>
      <c r="C329" s="23">
        <f>'[1]Renewable Diesel'!$AX340</f>
        <v>5446.8500000000013</v>
      </c>
      <c r="D329" s="25">
        <f t="shared" si="37"/>
        <v>6730.8499999999967</v>
      </c>
      <c r="E329" s="25">
        <f>BD!AL$28</f>
        <v>71.820743607586735</v>
      </c>
      <c r="F329" s="25">
        <f>RD!AM$27</f>
        <v>410.35986985578813</v>
      </c>
      <c r="G329" s="25">
        <f t="shared" si="35"/>
        <v>482.18061346337487</v>
      </c>
      <c r="H329" s="26">
        <f t="shared" si="34"/>
        <v>0.65859138319689603</v>
      </c>
      <c r="I329" s="26">
        <f t="shared" si="31"/>
        <v>0.88705518458797072</v>
      </c>
      <c r="J329" s="26">
        <f t="shared" si="38"/>
        <v>0.84347264731762017</v>
      </c>
      <c r="K329" s="25">
        <f t="shared" si="36"/>
        <v>438.36866397518395</v>
      </c>
      <c r="L329" s="25">
        <f t="shared" si="36"/>
        <v>615.19346782701177</v>
      </c>
      <c r="M329" s="25">
        <f t="shared" si="36"/>
        <v>1053.5621318021958</v>
      </c>
    </row>
    <row r="330" spans="1:13" x14ac:dyDescent="0.2">
      <c r="A330" s="22">
        <v>50526</v>
      </c>
      <c r="B330" s="25">
        <f>'[2]US EIA'!$R478</f>
        <v>1266.2222222222176</v>
      </c>
      <c r="C330" s="23">
        <f>'[1]Renewable Diesel'!$AX341</f>
        <v>5446.8500000000013</v>
      </c>
      <c r="D330" s="25">
        <f t="shared" si="37"/>
        <v>6713.0722222222194</v>
      </c>
      <c r="E330" s="25">
        <f>BD!AL$29</f>
        <v>76.834850829395307</v>
      </c>
      <c r="F330" s="25">
        <f>RD!AM$28</f>
        <v>458.22361586661657</v>
      </c>
      <c r="G330" s="25">
        <f t="shared" si="35"/>
        <v>535.05846669601192</v>
      </c>
      <c r="H330" s="26">
        <f t="shared" si="34"/>
        <v>0.738278006828608</v>
      </c>
      <c r="I330" s="26">
        <f t="shared" ref="I330:I393" si="39">(F330/(A330-A329)*365)/C330</f>
        <v>1.0235372725600729</v>
      </c>
      <c r="J330" s="26">
        <f t="shared" si="38"/>
        <v>0.9697315619394884</v>
      </c>
      <c r="K330" s="25">
        <f t="shared" si="36"/>
        <v>331.39820379790802</v>
      </c>
      <c r="L330" s="25">
        <f t="shared" si="36"/>
        <v>-128.20399304383298</v>
      </c>
      <c r="M330" s="25">
        <f t="shared" si="36"/>
        <v>203.19421075407425</v>
      </c>
    </row>
    <row r="331" spans="1:13" x14ac:dyDescent="0.2">
      <c r="A331" s="22">
        <v>50557</v>
      </c>
      <c r="B331" s="25">
        <f>'[2]US EIA'!$R479</f>
        <v>1248.4444444444398</v>
      </c>
      <c r="C331" s="23">
        <f>'[1]Renewable Diesel'!$AX342</f>
        <v>5446.8500000000013</v>
      </c>
      <c r="D331" s="25">
        <f t="shared" si="37"/>
        <v>6695.2944444444411</v>
      </c>
      <c r="E331" s="25">
        <f>BD!AL$30</f>
        <v>75.131863807259094</v>
      </c>
      <c r="F331" s="25">
        <f>RD!AM$29</f>
        <v>458.73248028835752</v>
      </c>
      <c r="G331" s="25">
        <f t="shared" si="35"/>
        <v>533.86434409561662</v>
      </c>
      <c r="H331" s="26">
        <f t="shared" si="34"/>
        <v>0.70857546769843205</v>
      </c>
      <c r="I331" s="26">
        <f t="shared" si="39"/>
        <v>0.99161992892163153</v>
      </c>
      <c r="J331" s="26">
        <f t="shared" si="38"/>
        <v>0.93884177434202454</v>
      </c>
      <c r="K331" s="25">
        <f t="shared" si="36"/>
        <v>363.8273383267117</v>
      </c>
      <c r="L331" s="25">
        <f t="shared" si="36"/>
        <v>45.644990153211296</v>
      </c>
      <c r="M331" s="25">
        <f t="shared" si="36"/>
        <v>409.47232847992257</v>
      </c>
    </row>
    <row r="332" spans="1:13" x14ac:dyDescent="0.2">
      <c r="A332" s="22">
        <v>50587</v>
      </c>
      <c r="B332" s="25">
        <f>'[2]US EIA'!$R480</f>
        <v>1230.666666666662</v>
      </c>
      <c r="C332" s="23">
        <f>'[1]Renewable Diesel'!$AX343</f>
        <v>5446.8500000000013</v>
      </c>
      <c r="D332" s="25">
        <f t="shared" si="37"/>
        <v>6677.5166666666628</v>
      </c>
      <c r="E332" s="25">
        <f>BD!AL$31</f>
        <v>74.676173923987449</v>
      </c>
      <c r="F332" s="25">
        <f>RD!AM$30</f>
        <v>447.02094442079215</v>
      </c>
      <c r="G332" s="25">
        <f t="shared" si="35"/>
        <v>521.6971183447796</v>
      </c>
      <c r="H332" s="26">
        <f t="shared" si="34"/>
        <v>0.73826661652913117</v>
      </c>
      <c r="I332" s="26">
        <f t="shared" si="39"/>
        <v>0.99851378756277542</v>
      </c>
      <c r="J332" s="26">
        <f t="shared" si="38"/>
        <v>0.95055022049536697</v>
      </c>
      <c r="K332" s="25">
        <f t="shared" si="36"/>
        <v>322.10655059148132</v>
      </c>
      <c r="L332" s="25">
        <f t="shared" si="36"/>
        <v>8.0951762136966874</v>
      </c>
      <c r="M332" s="25">
        <f t="shared" si="36"/>
        <v>330.20172680517862</v>
      </c>
    </row>
    <row r="333" spans="1:13" x14ac:dyDescent="0.2">
      <c r="A333" s="22">
        <v>50618</v>
      </c>
      <c r="B333" s="25">
        <f>'[2]US EIA'!$R481</f>
        <v>1212.8888888888841</v>
      </c>
      <c r="C333" s="23">
        <f>'[1]Renewable Diesel'!$AX344</f>
        <v>5446.8500000000013</v>
      </c>
      <c r="D333" s="25">
        <f t="shared" si="37"/>
        <v>6659.7388888888854</v>
      </c>
      <c r="E333" s="25">
        <f>BD!AL$32</f>
        <v>77.143115833632677</v>
      </c>
      <c r="F333" s="25">
        <f>RD!AM$31</f>
        <v>459.41334634739809</v>
      </c>
      <c r="G333" s="25">
        <f t="shared" si="35"/>
        <v>536.55646218103072</v>
      </c>
      <c r="H333" s="26">
        <f t="shared" si="34"/>
        <v>0.74887154550728829</v>
      </c>
      <c r="I333" s="26">
        <f t="shared" si="39"/>
        <v>0.99309172431891102</v>
      </c>
      <c r="J333" s="26">
        <f t="shared" si="38"/>
        <v>0.94861371305374342</v>
      </c>
      <c r="K333" s="25">
        <f t="shared" si="36"/>
        <v>304.59091213804783</v>
      </c>
      <c r="L333" s="25">
        <f t="shared" si="36"/>
        <v>37.628341393539529</v>
      </c>
      <c r="M333" s="25">
        <f t="shared" si="36"/>
        <v>342.21925353158821</v>
      </c>
    </row>
    <row r="334" spans="1:13" x14ac:dyDescent="0.2">
      <c r="A334" s="22">
        <v>50649</v>
      </c>
      <c r="B334" s="25">
        <f>'[2]US EIA'!$R482</f>
        <v>1195.1111111111063</v>
      </c>
      <c r="C334" s="23">
        <f>'[1]Renewable Diesel'!$AX345</f>
        <v>5446.8500000000013</v>
      </c>
      <c r="D334" s="25">
        <f t="shared" si="37"/>
        <v>6641.961111111108</v>
      </c>
      <c r="E334" s="25">
        <f>BD!AL$33</f>
        <v>72.765236805982838</v>
      </c>
      <c r="F334" s="25">
        <f>RD!AM$32</f>
        <v>465.43535269876645</v>
      </c>
      <c r="G334" s="25">
        <f t="shared" si="35"/>
        <v>538.20058950474925</v>
      </c>
      <c r="H334" s="26">
        <f t="shared" si="34"/>
        <v>0.71688060949523913</v>
      </c>
      <c r="I334" s="26">
        <f t="shared" si="39"/>
        <v>1.0061092056761407</v>
      </c>
      <c r="J334" s="26">
        <f t="shared" si="38"/>
        <v>0.95406730070794976</v>
      </c>
      <c r="K334" s="25">
        <f t="shared" si="36"/>
        <v>338.35912936324394</v>
      </c>
      <c r="L334" s="25">
        <f t="shared" si="36"/>
        <v>-33.275926937087007</v>
      </c>
      <c r="M334" s="25">
        <f t="shared" si="36"/>
        <v>305.08320242615844</v>
      </c>
    </row>
    <row r="335" spans="1:13" x14ac:dyDescent="0.2">
      <c r="A335" s="22">
        <v>50679</v>
      </c>
      <c r="B335" s="25">
        <f>'[2]US EIA'!$R483</f>
        <v>1177.3333333333285</v>
      </c>
      <c r="C335" s="23">
        <f>'[1]Renewable Diesel'!$AX346</f>
        <v>5446.8500000000013</v>
      </c>
      <c r="D335" s="25">
        <f t="shared" si="37"/>
        <v>6624.1833333333298</v>
      </c>
      <c r="E335" s="25">
        <f>BD!AL$34</f>
        <v>74.398617004710644</v>
      </c>
      <c r="F335" s="25">
        <f>RD!AM$33</f>
        <v>506.32540438053087</v>
      </c>
      <c r="G335" s="25">
        <f t="shared" si="35"/>
        <v>580.72402138524149</v>
      </c>
      <c r="H335" s="26">
        <f t="shared" si="34"/>
        <v>0.76884188014494603</v>
      </c>
      <c r="I335" s="26">
        <f t="shared" si="39"/>
        <v>1.130982571571298</v>
      </c>
      <c r="J335" s="26">
        <f t="shared" si="38"/>
        <v>1.0666183645562006</v>
      </c>
      <c r="K335" s="25">
        <f t="shared" si="36"/>
        <v>272.15015977601576</v>
      </c>
      <c r="L335" s="25">
        <f t="shared" si="36"/>
        <v>-713.44241996312473</v>
      </c>
      <c r="M335" s="25">
        <f t="shared" si="36"/>
        <v>-441.29226018710801</v>
      </c>
    </row>
    <row r="336" spans="1:13" x14ac:dyDescent="0.2">
      <c r="A336" s="22">
        <v>50710</v>
      </c>
      <c r="B336" s="25">
        <f>'[2]US EIA'!$R484</f>
        <v>1159.5555555555507</v>
      </c>
      <c r="C336" s="23">
        <f>'[1]Renewable Diesel'!$AX347</f>
        <v>5446.8500000000013</v>
      </c>
      <c r="D336" s="25">
        <f t="shared" si="37"/>
        <v>6606.4055555555515</v>
      </c>
      <c r="E336" s="25">
        <f>BD!AL$35</f>
        <v>70.804481280589854</v>
      </c>
      <c r="F336" s="25">
        <f>RD!AM$34</f>
        <v>612.26692157508739</v>
      </c>
      <c r="G336" s="25">
        <f t="shared" si="35"/>
        <v>683.07140285567721</v>
      </c>
      <c r="H336" s="26">
        <f t="shared" si="34"/>
        <v>0.71895275969886707</v>
      </c>
      <c r="I336" s="26">
        <f t="shared" si="39"/>
        <v>1.3235079427375862</v>
      </c>
      <c r="J336" s="26">
        <f t="shared" si="38"/>
        <v>1.2173964854197801</v>
      </c>
      <c r="K336" s="25">
        <f t="shared" si="36"/>
        <v>325.88988886473453</v>
      </c>
      <c r="L336" s="25">
        <f t="shared" si="36"/>
        <v>-1762.0992379002219</v>
      </c>
      <c r="M336" s="25">
        <f t="shared" si="36"/>
        <v>-1436.2093490354864</v>
      </c>
    </row>
    <row r="337" spans="1:13" x14ac:dyDescent="0.2">
      <c r="A337" s="22">
        <v>50740</v>
      </c>
      <c r="B337" s="25">
        <f>'[2]US EIA'!$R485</f>
        <v>1141.7777777777728</v>
      </c>
      <c r="C337" s="23">
        <f>'[1]Renewable Diesel'!$AX348</f>
        <v>5446.8500000000013</v>
      </c>
      <c r="D337" s="25">
        <f t="shared" si="37"/>
        <v>6588.6277777777741</v>
      </c>
      <c r="E337" s="25">
        <f>BD!AL$36</f>
        <v>90.98503209923085</v>
      </c>
      <c r="F337" s="25">
        <f>RD!AM$35</f>
        <v>693.24475961271594</v>
      </c>
      <c r="G337" s="25">
        <f t="shared" si="35"/>
        <v>784.22979171194675</v>
      </c>
      <c r="H337" s="26">
        <f t="shared" si="34"/>
        <v>0.9695271520889277</v>
      </c>
      <c r="I337" s="26">
        <f t="shared" si="39"/>
        <v>1.5485056332782021</v>
      </c>
      <c r="J337" s="26">
        <f t="shared" si="38"/>
        <v>1.4481714231922889</v>
      </c>
      <c r="K337" s="25">
        <f t="shared" si="36"/>
        <v>34.793220570464179</v>
      </c>
      <c r="L337" s="25">
        <f t="shared" si="36"/>
        <v>-2987.6279086213758</v>
      </c>
      <c r="M337" s="25">
        <f t="shared" si="36"/>
        <v>-2952.8346880509125</v>
      </c>
    </row>
    <row r="338" spans="1:13" x14ac:dyDescent="0.2">
      <c r="A338" s="22">
        <v>50771</v>
      </c>
      <c r="B338" s="25">
        <f>'[2]US EIA'!$R486</f>
        <v>1123.999999999995</v>
      </c>
      <c r="C338" s="23">
        <f>'[1]Renewable Diesel'!$AX349</f>
        <v>5446.8500000000013</v>
      </c>
      <c r="D338" s="25">
        <f t="shared" si="37"/>
        <v>6570.8499999999967</v>
      </c>
      <c r="E338" s="25">
        <f>BD!AM$25</f>
        <v>59.952771686018004</v>
      </c>
      <c r="F338" s="25">
        <f>RD!AN$24</f>
        <v>368.53790728145384</v>
      </c>
      <c r="G338" s="25">
        <f t="shared" si="35"/>
        <v>428.49067896747187</v>
      </c>
      <c r="H338" s="26">
        <f t="shared" si="34"/>
        <v>0.62802094091943139</v>
      </c>
      <c r="I338" s="26">
        <f t="shared" si="39"/>
        <v>0.79665066051926803</v>
      </c>
      <c r="J338" s="26">
        <f t="shared" si="38"/>
        <v>0.76780510707789951</v>
      </c>
      <c r="K338" s="25">
        <f t="shared" si="36"/>
        <v>418.10446240655727</v>
      </c>
      <c r="L338" s="25">
        <f t="shared" si="36"/>
        <v>1107.6133497506253</v>
      </c>
      <c r="M338" s="25">
        <f t="shared" si="36"/>
        <v>1525.7178121571833</v>
      </c>
    </row>
    <row r="339" spans="1:13" x14ac:dyDescent="0.2">
      <c r="A339" s="22">
        <v>50802</v>
      </c>
      <c r="B339" s="25">
        <f>'[2]US EIA'!$R487</f>
        <v>1106.2222222222172</v>
      </c>
      <c r="C339" s="23">
        <f>'[1]Renewable Diesel'!$AX350</f>
        <v>5446.8500000000013</v>
      </c>
      <c r="D339" s="25">
        <f t="shared" si="37"/>
        <v>6553.0722222222184</v>
      </c>
      <c r="E339" s="25">
        <f>BD!AM$26</f>
        <v>55.167090064765603</v>
      </c>
      <c r="F339" s="25">
        <f>RD!AN$25</f>
        <v>401.95995389041195</v>
      </c>
      <c r="G339" s="25">
        <f t="shared" si="35"/>
        <v>457.12704395517756</v>
      </c>
      <c r="H339" s="26">
        <f t="shared" si="34"/>
        <v>0.58717677413767622</v>
      </c>
      <c r="I339" s="26">
        <f t="shared" si="39"/>
        <v>0.86889749044061471</v>
      </c>
      <c r="J339" s="26">
        <f t="shared" si="38"/>
        <v>0.82134029798699804</v>
      </c>
      <c r="K339" s="25">
        <f t="shared" si="36"/>
        <v>456.67422629836409</v>
      </c>
      <c r="L339" s="25">
        <f t="shared" si="36"/>
        <v>714.09570419353793</v>
      </c>
      <c r="M339" s="25">
        <f t="shared" si="36"/>
        <v>1170.7699304919022</v>
      </c>
    </row>
    <row r="340" spans="1:13" x14ac:dyDescent="0.2">
      <c r="A340" s="22">
        <v>50830</v>
      </c>
      <c r="B340" s="25">
        <f>'[2]US EIA'!$R488</f>
        <v>1088.4444444444393</v>
      </c>
      <c r="C340" s="23">
        <f>'[1]Renewable Diesel'!$AX351</f>
        <v>5446.8500000000013</v>
      </c>
      <c r="D340" s="25">
        <f t="shared" si="37"/>
        <v>6535.2944444444402</v>
      </c>
      <c r="E340" s="25">
        <f>BD!AM$27</f>
        <v>63.215595769091713</v>
      </c>
      <c r="F340" s="25">
        <f>RD!AN$26</f>
        <v>429.75963369802207</v>
      </c>
      <c r="G340" s="25">
        <f t="shared" si="35"/>
        <v>492.97522946711376</v>
      </c>
      <c r="H340" s="26">
        <f t="shared" si="34"/>
        <v>0.75709922454306156</v>
      </c>
      <c r="I340" s="26">
        <f t="shared" si="39"/>
        <v>1.0285254406529727</v>
      </c>
      <c r="J340" s="26">
        <f t="shared" si="38"/>
        <v>0.98331977172514784</v>
      </c>
      <c r="K340" s="25">
        <f t="shared" si="36"/>
        <v>264.38399959735085</v>
      </c>
      <c r="L340" s="25">
        <f t="shared" si="36"/>
        <v>-155.37379642064434</v>
      </c>
      <c r="M340" s="25">
        <f t="shared" si="36"/>
        <v>109.0102031767064</v>
      </c>
    </row>
    <row r="341" spans="1:13" x14ac:dyDescent="0.2">
      <c r="A341" s="22">
        <v>50861</v>
      </c>
      <c r="B341" s="25">
        <f>'[2]US EIA'!$R489</f>
        <v>1070.6666666666615</v>
      </c>
      <c r="C341" s="23">
        <f>'[1]Renewable Diesel'!$AX352</f>
        <v>5446.8500000000013</v>
      </c>
      <c r="D341" s="25">
        <f t="shared" si="37"/>
        <v>6517.5166666666628</v>
      </c>
      <c r="E341" s="25">
        <f>BD!AM$28</f>
        <v>70.491451620413059</v>
      </c>
      <c r="F341" s="25">
        <f>RD!AN$27</f>
        <v>411.59704179497294</v>
      </c>
      <c r="G341" s="25">
        <f t="shared" si="35"/>
        <v>482.08849341538598</v>
      </c>
      <c r="H341" s="26">
        <f t="shared" si="34"/>
        <v>0.77519924802507401</v>
      </c>
      <c r="I341" s="26">
        <f t="shared" si="39"/>
        <v>0.88972951963751223</v>
      </c>
      <c r="J341" s="26">
        <f t="shared" si="38"/>
        <v>0.87091503086652577</v>
      </c>
      <c r="K341" s="25">
        <f t="shared" si="36"/>
        <v>240.68667178115294</v>
      </c>
      <c r="L341" s="25">
        <f t="shared" si="36"/>
        <v>600.62676596241658</v>
      </c>
      <c r="M341" s="25">
        <f t="shared" si="36"/>
        <v>841.31343774357003</v>
      </c>
    </row>
    <row r="342" spans="1:13" x14ac:dyDescent="0.2">
      <c r="A342" s="22">
        <v>50891</v>
      </c>
      <c r="B342" s="25">
        <f>'[2]US EIA'!$R490</f>
        <v>1052.8888888888837</v>
      </c>
      <c r="C342" s="23">
        <f>'[1]Renewable Diesel'!$AX353</f>
        <v>5446.8500000000013</v>
      </c>
      <c r="D342" s="25">
        <f t="shared" si="37"/>
        <v>6499.7388888888854</v>
      </c>
      <c r="E342" s="25">
        <f>BD!AM$29</f>
        <v>75.39037951696892</v>
      </c>
      <c r="F342" s="25">
        <f>RD!AN$28</f>
        <v>459.59940871388926</v>
      </c>
      <c r="G342" s="25">
        <f t="shared" si="35"/>
        <v>534.98978823085815</v>
      </c>
      <c r="H342" s="26">
        <f t="shared" si="34"/>
        <v>0.87117418289448467</v>
      </c>
      <c r="I342" s="26">
        <f t="shared" si="39"/>
        <v>1.0266103905962134</v>
      </c>
      <c r="J342" s="26">
        <f t="shared" si="38"/>
        <v>1.0014313705128153</v>
      </c>
      <c r="K342" s="25">
        <f t="shared" si="36"/>
        <v>135.63927143242859</v>
      </c>
      <c r="L342" s="25">
        <f t="shared" si="36"/>
        <v>-144.94280601898498</v>
      </c>
      <c r="M342" s="25">
        <f t="shared" si="36"/>
        <v>-9.3035345865542869</v>
      </c>
    </row>
    <row r="343" spans="1:13" x14ac:dyDescent="0.2">
      <c r="A343" s="22">
        <v>50922</v>
      </c>
      <c r="B343" s="25">
        <f>'[2]US EIA'!$R491</f>
        <v>1035.1111111111059</v>
      </c>
      <c r="C343" s="23">
        <f>'[1]Renewable Diesel'!$AX354</f>
        <v>5446.8500000000013</v>
      </c>
      <c r="D343" s="25">
        <f t="shared" si="37"/>
        <v>6481.9611111111071</v>
      </c>
      <c r="E343" s="25">
        <f>BD!AM$30</f>
        <v>73.739981688929404</v>
      </c>
      <c r="F343" s="25">
        <f>RD!AN$29</f>
        <v>460.46109031863699</v>
      </c>
      <c r="G343" s="25">
        <f t="shared" si="35"/>
        <v>534.20107200756638</v>
      </c>
      <c r="H343" s="26">
        <f t="shared" si="34"/>
        <v>0.83877837590594861</v>
      </c>
      <c r="I343" s="26">
        <f t="shared" si="39"/>
        <v>0.9953565820452156</v>
      </c>
      <c r="J343" s="26">
        <f t="shared" si="38"/>
        <v>0.97035244546457833</v>
      </c>
      <c r="K343" s="25">
        <f t="shared" si="36"/>
        <v>166.88229445113058</v>
      </c>
      <c r="L343" s="25">
        <f t="shared" si="36"/>
        <v>25.292001087017422</v>
      </c>
      <c r="M343" s="25">
        <f t="shared" si="36"/>
        <v>192.17429553814901</v>
      </c>
    </row>
    <row r="344" spans="1:13" x14ac:dyDescent="0.2">
      <c r="A344" s="22">
        <v>50952</v>
      </c>
      <c r="B344" s="25">
        <f>'[2]US EIA'!$R492</f>
        <v>1017.333333333328</v>
      </c>
      <c r="C344" s="23">
        <f>'[1]Renewable Diesel'!$AX355</f>
        <v>5446.8500000000013</v>
      </c>
      <c r="D344" s="25">
        <f t="shared" si="37"/>
        <v>6464.1833333333288</v>
      </c>
      <c r="E344" s="25">
        <f>BD!AM$31</f>
        <v>73.302088254906749</v>
      </c>
      <c r="F344" s="25">
        <f>RD!AN$30</f>
        <v>448.51491247089086</v>
      </c>
      <c r="G344" s="25">
        <f t="shared" si="35"/>
        <v>521.81700072579758</v>
      </c>
      <c r="H344" s="26">
        <f t="shared" si="34"/>
        <v>0.87664686150200199</v>
      </c>
      <c r="I344" s="26">
        <f t="shared" si="39"/>
        <v>1.0018508743700496</v>
      </c>
      <c r="J344" s="26">
        <f t="shared" si="38"/>
        <v>0.98214626371939884</v>
      </c>
      <c r="K344" s="25">
        <f t="shared" si="36"/>
        <v>125.49125956529598</v>
      </c>
      <c r="L344" s="25">
        <f t="shared" si="36"/>
        <v>-10.08143506250469</v>
      </c>
      <c r="M344" s="25">
        <f t="shared" si="36"/>
        <v>115.40982450279061</v>
      </c>
    </row>
    <row r="345" spans="1:13" x14ac:dyDescent="0.2">
      <c r="A345" s="22">
        <v>50983</v>
      </c>
      <c r="B345" s="25">
        <f>'[2]US EIA'!$R493</f>
        <v>999.5555555555502</v>
      </c>
      <c r="C345" s="23">
        <f>'[1]Renewable Diesel'!$AX356</f>
        <v>5446.8500000000013</v>
      </c>
      <c r="D345" s="25">
        <f t="shared" si="37"/>
        <v>6446.4055555555515</v>
      </c>
      <c r="E345" s="25">
        <f>BD!AM$32</f>
        <v>75.711171137630075</v>
      </c>
      <c r="F345" s="25">
        <f>RD!AN$31</f>
        <v>461.48017325302555</v>
      </c>
      <c r="G345" s="25">
        <f t="shared" si="35"/>
        <v>537.19134439065567</v>
      </c>
      <c r="H345" s="26">
        <f t="shared" si="34"/>
        <v>0.89183435357333041</v>
      </c>
      <c r="I345" s="26">
        <f t="shared" si="39"/>
        <v>0.99755948458729959</v>
      </c>
      <c r="J345" s="26">
        <f t="shared" si="38"/>
        <v>0.98116614086169773</v>
      </c>
      <c r="K345" s="25">
        <f t="shared" si="36"/>
        <v>108.11757280603494</v>
      </c>
      <c r="L345" s="25">
        <f t="shared" si="36"/>
        <v>13.293121375667209</v>
      </c>
      <c r="M345" s="25">
        <f t="shared" si="36"/>
        <v>121.41069418170242</v>
      </c>
    </row>
    <row r="346" spans="1:13" x14ac:dyDescent="0.2">
      <c r="A346" s="22">
        <v>51014</v>
      </c>
      <c r="B346" s="25">
        <f>'[2]US EIA'!$R494</f>
        <v>981.77777777777237</v>
      </c>
      <c r="C346" s="23">
        <f>'[1]Renewable Diesel'!$AX357</f>
        <v>5446.8500000000013</v>
      </c>
      <c r="D346" s="25">
        <f t="shared" si="37"/>
        <v>6428.6277777777741</v>
      </c>
      <c r="E346" s="25">
        <f>BD!AM$33</f>
        <v>71.411522756728317</v>
      </c>
      <c r="F346" s="25">
        <f>RD!AN$32</f>
        <v>467.33232568381385</v>
      </c>
      <c r="G346" s="25">
        <f t="shared" si="35"/>
        <v>538.74384844054214</v>
      </c>
      <c r="H346" s="26">
        <f t="shared" si="34"/>
        <v>0.85641894688829356</v>
      </c>
      <c r="I346" s="26">
        <f t="shared" si="39"/>
        <v>1.0102098008976008</v>
      </c>
      <c r="J346" s="26">
        <f t="shared" si="38"/>
        <v>0.98672291565379577</v>
      </c>
      <c r="K346" s="25">
        <f t="shared" si="36"/>
        <v>140.96468725500344</v>
      </c>
      <c r="L346" s="25">
        <f t="shared" si="36"/>
        <v>-55.611254019097032</v>
      </c>
      <c r="M346" s="25">
        <f t="shared" si="36"/>
        <v>85.353433235906948</v>
      </c>
    </row>
    <row r="347" spans="1:13" x14ac:dyDescent="0.2">
      <c r="A347" s="22">
        <v>51044</v>
      </c>
      <c r="B347" s="25">
        <f>'[2]US EIA'!$R495</f>
        <v>963.99999999999454</v>
      </c>
      <c r="C347" s="23">
        <f>'[1]Renewable Diesel'!$AX358</f>
        <v>5446.8500000000013</v>
      </c>
      <c r="D347" s="25">
        <f t="shared" si="37"/>
        <v>6410.8499999999958</v>
      </c>
      <c r="E347" s="25">
        <f>BD!AM$34</f>
        <v>73.008361632279659</v>
      </c>
      <c r="F347" s="25">
        <f>RD!AN$33</f>
        <v>507.93041099449977</v>
      </c>
      <c r="G347" s="25">
        <f t="shared" si="35"/>
        <v>580.93877262677938</v>
      </c>
      <c r="H347" s="26">
        <f t="shared" si="34"/>
        <v>0.92144024881681275</v>
      </c>
      <c r="I347" s="26">
        <f t="shared" si="39"/>
        <v>1.1345676859897151</v>
      </c>
      <c r="J347" s="26">
        <f t="shared" si="38"/>
        <v>1.1025196971216744</v>
      </c>
      <c r="K347" s="25">
        <f t="shared" si="36"/>
        <v>75.731600140592079</v>
      </c>
      <c r="L347" s="25">
        <f t="shared" si="36"/>
        <v>-732.97000043308003</v>
      </c>
      <c r="M347" s="25">
        <f t="shared" si="36"/>
        <v>-657.23840029248595</v>
      </c>
    </row>
    <row r="348" spans="1:13" x14ac:dyDescent="0.2">
      <c r="A348" s="22">
        <v>51075</v>
      </c>
      <c r="B348" s="25">
        <f>'[2]US EIA'!$R496</f>
        <v>946.22222222221671</v>
      </c>
      <c r="C348" s="23">
        <f>'[1]Renewable Diesel'!$AX359</f>
        <v>5446.8500000000013</v>
      </c>
      <c r="D348" s="25">
        <f t="shared" si="37"/>
        <v>6393.0722222222175</v>
      </c>
      <c r="E348" s="25">
        <f>BD!AM$35</f>
        <v>69.480637128251175</v>
      </c>
      <c r="F348" s="25">
        <f>RD!AN$34</f>
        <v>613.95284632622713</v>
      </c>
      <c r="G348" s="25">
        <f t="shared" si="35"/>
        <v>683.43348345447828</v>
      </c>
      <c r="H348" s="26">
        <f t="shared" si="34"/>
        <v>0.86457330022540646</v>
      </c>
      <c r="I348" s="26">
        <f t="shared" si="39"/>
        <v>1.3271523251472237</v>
      </c>
      <c r="J348" s="26">
        <f t="shared" si="38"/>
        <v>1.2586871901228671</v>
      </c>
      <c r="K348" s="25">
        <f t="shared" si="36"/>
        <v>128.14375280893688</v>
      </c>
      <c r="L348" s="25">
        <f t="shared" si="36"/>
        <v>-1781.9496422281559</v>
      </c>
      <c r="M348" s="25">
        <f t="shared" si="36"/>
        <v>-1653.8058894192193</v>
      </c>
    </row>
    <row r="349" spans="1:13" x14ac:dyDescent="0.2">
      <c r="A349" s="22">
        <v>51105</v>
      </c>
      <c r="B349" s="25">
        <f>'[2]US EIA'!$R497</f>
        <v>928.44444444443889</v>
      </c>
      <c r="C349" s="23">
        <f>'[1]Renewable Diesel'!$AX360</f>
        <v>5446.8500000000013</v>
      </c>
      <c r="D349" s="25">
        <f t="shared" si="37"/>
        <v>6375.2944444444402</v>
      </c>
      <c r="E349" s="25">
        <f>BD!AM$36</f>
        <v>87.887990178734228</v>
      </c>
      <c r="F349" s="25">
        <f>RD!AN$35</f>
        <v>695.03773112350711</v>
      </c>
      <c r="G349" s="25">
        <f t="shared" si="35"/>
        <v>782.9257213022413</v>
      </c>
      <c r="H349" s="26">
        <f t="shared" si="34"/>
        <v>1.1517155247213327</v>
      </c>
      <c r="I349" s="26">
        <f t="shared" si="39"/>
        <v>1.5525106061918357</v>
      </c>
      <c r="J349" s="26">
        <f t="shared" si="38"/>
        <v>1.4941421700365123</v>
      </c>
      <c r="K349" s="25">
        <f t="shared" si="36"/>
        <v>-140.85943606349423</v>
      </c>
      <c r="L349" s="25">
        <f t="shared" si="36"/>
        <v>-3009.442395336001</v>
      </c>
      <c r="M349" s="25">
        <f t="shared" si="36"/>
        <v>-3150.3018313994967</v>
      </c>
    </row>
    <row r="350" spans="1:13" x14ac:dyDescent="0.2">
      <c r="A350" s="22">
        <v>51136</v>
      </c>
      <c r="B350" s="25">
        <f>'[2]US EIA'!$R498</f>
        <v>910.66666666666106</v>
      </c>
      <c r="C350" s="23">
        <f>'[1]Renewable Diesel'!$AX361</f>
        <v>5446.8500000000013</v>
      </c>
      <c r="D350" s="25">
        <f t="shared" si="37"/>
        <v>6357.5166666666628</v>
      </c>
      <c r="E350" s="25">
        <f>BD!AN$25</f>
        <v>48.936842763469805</v>
      </c>
      <c r="F350" s="25">
        <f>RD!AO$24</f>
        <v>324.29240180549533</v>
      </c>
      <c r="G350" s="25">
        <f t="shared" si="35"/>
        <v>373.22924456896516</v>
      </c>
      <c r="H350" s="26">
        <f t="shared" si="34"/>
        <v>0.63271433932366417</v>
      </c>
      <c r="I350" s="26">
        <f t="shared" si="39"/>
        <v>0.70100728037842386</v>
      </c>
      <c r="J350" s="26">
        <f t="shared" si="38"/>
        <v>0.69122482785049222</v>
      </c>
      <c r="K350" s="25">
        <f t="shared" si="36"/>
        <v>334.47480832258111</v>
      </c>
      <c r="L350" s="25">
        <f t="shared" si="36"/>
        <v>1628.5684948707824</v>
      </c>
      <c r="M350" s="25">
        <f t="shared" si="36"/>
        <v>1963.0433031933637</v>
      </c>
    </row>
    <row r="351" spans="1:13" x14ac:dyDescent="0.2">
      <c r="A351" s="22">
        <v>51167</v>
      </c>
      <c r="B351" s="25">
        <f>'[2]US EIA'!$R499</f>
        <v>892.88888888888323</v>
      </c>
      <c r="C351" s="23">
        <f>'[1]Renewable Diesel'!$AX362</f>
        <v>5446.8500000000013</v>
      </c>
      <c r="D351" s="25">
        <f t="shared" si="37"/>
        <v>6339.7388888888845</v>
      </c>
      <c r="E351" s="25">
        <f>BD!AN$26</f>
        <v>45.936323337684371</v>
      </c>
      <c r="F351" s="25">
        <f>RD!AO$25</f>
        <v>353.17469714437715</v>
      </c>
      <c r="G351" s="25">
        <f t="shared" si="35"/>
        <v>399.11102048206152</v>
      </c>
      <c r="H351" s="26">
        <f t="shared" si="34"/>
        <v>0.60574520369745066</v>
      </c>
      <c r="I351" s="26">
        <f t="shared" si="39"/>
        <v>0.76344074842723619</v>
      </c>
      <c r="J351" s="26">
        <f t="shared" si="38"/>
        <v>0.74123090632107602</v>
      </c>
      <c r="K351" s="25">
        <f t="shared" si="36"/>
        <v>352.02572700969625</v>
      </c>
      <c r="L351" s="25">
        <f t="shared" si="36"/>
        <v>1288.5027594291089</v>
      </c>
      <c r="M351" s="25">
        <f t="shared" si="36"/>
        <v>1640.5284864388052</v>
      </c>
    </row>
    <row r="352" spans="1:13" x14ac:dyDescent="0.2">
      <c r="A352" s="22">
        <v>51196</v>
      </c>
      <c r="B352" s="25">
        <f>'[2]US EIA'!$R500</f>
        <v>875.1111111111054</v>
      </c>
      <c r="C352" s="23">
        <f>'[1]Renewable Diesel'!$AX363</f>
        <v>5446.8500000000013</v>
      </c>
      <c r="D352" s="25">
        <f t="shared" si="37"/>
        <v>6321.9611111111062</v>
      </c>
      <c r="E352" s="25">
        <f>BD!AN$27</f>
        <v>52.668274493032733</v>
      </c>
      <c r="F352" s="25">
        <f>RD!AO$26</f>
        <v>378.38741096765256</v>
      </c>
      <c r="G352" s="25">
        <f t="shared" si="35"/>
        <v>431.05568546068531</v>
      </c>
      <c r="H352" s="26">
        <f t="shared" si="34"/>
        <v>0.75749672382976507</v>
      </c>
      <c r="I352" s="26">
        <f t="shared" si="39"/>
        <v>0.8743516420480496</v>
      </c>
      <c r="J352" s="26">
        <f t="shared" si="38"/>
        <v>0.85817611747212774</v>
      </c>
      <c r="K352" s="25">
        <f t="shared" si="36"/>
        <v>212.21731145741754</v>
      </c>
      <c r="L352" s="25">
        <f t="shared" si="36"/>
        <v>684.38775851058119</v>
      </c>
      <c r="M352" s="25">
        <f t="shared" si="36"/>
        <v>896.60506996799836</v>
      </c>
    </row>
    <row r="353" spans="1:13" x14ac:dyDescent="0.2">
      <c r="A353" s="22">
        <v>51227</v>
      </c>
      <c r="B353" s="25">
        <f>'[2]US EIA'!$R501</f>
        <v>857.33333333332757</v>
      </c>
      <c r="C353" s="23">
        <f>'[1]Renewable Diesel'!$AX364</f>
        <v>5446.8500000000013</v>
      </c>
      <c r="D353" s="25">
        <f t="shared" si="37"/>
        <v>6304.1833333333288</v>
      </c>
      <c r="E353" s="25">
        <f>BD!AN$28</f>
        <v>58.713037719302612</v>
      </c>
      <c r="F353" s="25">
        <f>RD!AO$27</f>
        <v>361.71666573921573</v>
      </c>
      <c r="G353" s="25">
        <f t="shared" si="35"/>
        <v>420.42970345851836</v>
      </c>
      <c r="H353" s="26">
        <f t="shared" si="34"/>
        <v>0.80633592914559771</v>
      </c>
      <c r="I353" s="26">
        <f t="shared" si="39"/>
        <v>0.78190551090828009</v>
      </c>
      <c r="J353" s="26">
        <f t="shared" si="38"/>
        <v>0.785227909828911</v>
      </c>
      <c r="K353" s="25">
        <f t="shared" si="36"/>
        <v>166.03466341250646</v>
      </c>
      <c r="L353" s="25">
        <f t="shared" si="36"/>
        <v>1187.9279679092349</v>
      </c>
      <c r="M353" s="25">
        <f t="shared" si="36"/>
        <v>1353.962631321742</v>
      </c>
    </row>
    <row r="354" spans="1:13" x14ac:dyDescent="0.2">
      <c r="A354" s="22">
        <v>51257</v>
      </c>
      <c r="B354" s="25">
        <f>'[2]US EIA'!$R502</f>
        <v>839.55555555554974</v>
      </c>
      <c r="C354" s="23">
        <f>'[1]Renewable Diesel'!$AX365</f>
        <v>5446.8500000000013</v>
      </c>
      <c r="D354" s="25">
        <f t="shared" si="37"/>
        <v>6286.4055555555515</v>
      </c>
      <c r="E354" s="25">
        <f>BD!AN$29</f>
        <v>62.758216741239721</v>
      </c>
      <c r="F354" s="25">
        <f>RD!AO$28</f>
        <v>403.8919719483311</v>
      </c>
      <c r="G354" s="25">
        <f t="shared" si="35"/>
        <v>466.65018868957083</v>
      </c>
      <c r="H354" s="26">
        <f t="shared" si="34"/>
        <v>0.90947918649626747</v>
      </c>
      <c r="I354" s="26">
        <f t="shared" si="39"/>
        <v>0.90217630227342904</v>
      </c>
      <c r="J354" s="26">
        <f t="shared" si="38"/>
        <v>0.90315160954030504</v>
      </c>
      <c r="K354" s="25">
        <f t="shared" si="36"/>
        <v>75.997251870466471</v>
      </c>
      <c r="L354" s="25">
        <f t="shared" si="36"/>
        <v>532.83100796197311</v>
      </c>
      <c r="M354" s="25">
        <f t="shared" si="36"/>
        <v>608.82825983243958</v>
      </c>
    </row>
    <row r="355" spans="1:13" x14ac:dyDescent="0.2">
      <c r="A355" s="22">
        <v>51288</v>
      </c>
      <c r="B355" s="25">
        <f>'[2]US EIA'!$R503</f>
        <v>821.77777777777192</v>
      </c>
      <c r="C355" s="23">
        <f>'[1]Renewable Diesel'!$AX366</f>
        <v>5446.8500000000013</v>
      </c>
      <c r="D355" s="25">
        <f t="shared" si="37"/>
        <v>6268.6277777777732</v>
      </c>
      <c r="E355" s="25">
        <f>BD!AN$30</f>
        <v>61.408734843822373</v>
      </c>
      <c r="F355" s="25">
        <f>RD!AO$29</f>
        <v>405.19659980051375</v>
      </c>
      <c r="G355" s="25">
        <f t="shared" si="35"/>
        <v>466.60533464433615</v>
      </c>
      <c r="H355" s="26">
        <f t="shared" si="34"/>
        <v>0.87984653414207292</v>
      </c>
      <c r="I355" s="26">
        <f t="shared" si="39"/>
        <v>0.87589399216053254</v>
      </c>
      <c r="J355" s="26">
        <f t="shared" si="38"/>
        <v>0.87641214561952041</v>
      </c>
      <c r="K355" s="25">
        <f t="shared" si="36"/>
        <v>98.739448165024697</v>
      </c>
      <c r="L355" s="25">
        <f t="shared" si="36"/>
        <v>675.98680880040354</v>
      </c>
      <c r="M355" s="25">
        <f t="shared" si="36"/>
        <v>774.72625696542877</v>
      </c>
    </row>
    <row r="356" spans="1:13" x14ac:dyDescent="0.2">
      <c r="A356" s="22">
        <v>51318</v>
      </c>
      <c r="B356" s="25">
        <f>'[2]US EIA'!$R504</f>
        <v>803.99999999999409</v>
      </c>
      <c r="C356" s="23">
        <f>'[1]Renewable Diesel'!$AX367</f>
        <v>5446.8500000000013</v>
      </c>
      <c r="D356" s="25">
        <f t="shared" si="37"/>
        <v>6250.8499999999949</v>
      </c>
      <c r="E356" s="25">
        <f>BD!AN$31</f>
        <v>61.034821961538093</v>
      </c>
      <c r="F356" s="25">
        <f>RD!AO$30</f>
        <v>394.37283667875039</v>
      </c>
      <c r="G356" s="25">
        <f t="shared" si="35"/>
        <v>455.4076586402885</v>
      </c>
      <c r="H356" s="26">
        <f t="shared" si="34"/>
        <v>0.9236198182405293</v>
      </c>
      <c r="I356" s="26">
        <f t="shared" si="39"/>
        <v>0.88091334372309305</v>
      </c>
      <c r="J356" s="26">
        <f t="shared" si="38"/>
        <v>0.88640635755513486</v>
      </c>
      <c r="K356" s="25">
        <f t="shared" si="36"/>
        <v>61.409666134613992</v>
      </c>
      <c r="L356" s="25">
        <f t="shared" si="36"/>
        <v>648.64715374187085</v>
      </c>
      <c r="M356" s="25">
        <f t="shared" si="36"/>
        <v>710.05681987648472</v>
      </c>
    </row>
    <row r="357" spans="1:13" x14ac:dyDescent="0.2">
      <c r="A357" s="22">
        <v>51349</v>
      </c>
      <c r="B357" s="25">
        <f>'[2]US EIA'!$R505</f>
        <v>786.22222222221626</v>
      </c>
      <c r="C357" s="23">
        <f>'[1]Renewable Diesel'!$AX368</f>
        <v>5446.8500000000013</v>
      </c>
      <c r="D357" s="25">
        <f t="shared" si="37"/>
        <v>6233.0722222222175</v>
      </c>
      <c r="E357" s="25">
        <f>BD!AN$32</f>
        <v>63.05674179322115</v>
      </c>
      <c r="F357" s="25">
        <f>RD!AO$31</f>
        <v>406.56313011718686</v>
      </c>
      <c r="G357" s="25">
        <f t="shared" si="35"/>
        <v>469.61987191040799</v>
      </c>
      <c r="H357" s="26">
        <f t="shared" si="34"/>
        <v>0.94431607428441899</v>
      </c>
      <c r="I357" s="26">
        <f t="shared" si="39"/>
        <v>0.87884795499010326</v>
      </c>
      <c r="J357" s="26">
        <f t="shared" si="38"/>
        <v>0.88710591966645924</v>
      </c>
      <c r="K357" s="25">
        <f t="shared" si="36"/>
        <v>43.779939818160912</v>
      </c>
      <c r="L357" s="25">
        <f t="shared" si="36"/>
        <v>659.89701636215614</v>
      </c>
      <c r="M357" s="25">
        <f t="shared" si="36"/>
        <v>703.67695618031644</v>
      </c>
    </row>
    <row r="358" spans="1:13" x14ac:dyDescent="0.2">
      <c r="A358" s="22">
        <v>51380</v>
      </c>
      <c r="B358" s="25">
        <f>'[2]US EIA'!$R506</f>
        <v>768.44444444443843</v>
      </c>
      <c r="C358" s="23">
        <f>'[1]Renewable Diesel'!$AX369</f>
        <v>5446.8500000000013</v>
      </c>
      <c r="D358" s="25">
        <f t="shared" si="37"/>
        <v>6215.2944444444402</v>
      </c>
      <c r="E358" s="25">
        <f>BD!AN$33</f>
        <v>59.470379481899116</v>
      </c>
      <c r="F358" s="25">
        <f>RD!AO$32</f>
        <v>411.42166876684036</v>
      </c>
      <c r="G358" s="25">
        <f t="shared" si="35"/>
        <v>470.89204824873946</v>
      </c>
      <c r="H358" s="26">
        <f t="shared" si="34"/>
        <v>0.91121194704210973</v>
      </c>
      <c r="I358" s="26">
        <f t="shared" si="39"/>
        <v>0.88935042420136112</v>
      </c>
      <c r="J358" s="26">
        <f t="shared" si="38"/>
        <v>0.89205333167006262</v>
      </c>
      <c r="K358" s="25">
        <f t="shared" si="36"/>
        <v>68.228686028529367</v>
      </c>
      <c r="L358" s="25">
        <f t="shared" si="36"/>
        <v>602.69164193881636</v>
      </c>
      <c r="M358" s="25">
        <f t="shared" si="36"/>
        <v>670.92032796734634</v>
      </c>
    </row>
    <row r="359" spans="1:13" x14ac:dyDescent="0.2">
      <c r="A359" s="22">
        <v>51410</v>
      </c>
      <c r="B359" s="25">
        <f>'[2]US EIA'!$R507</f>
        <v>750.6666666666606</v>
      </c>
      <c r="C359" s="23">
        <f>'[1]Renewable Diesel'!$AX370</f>
        <v>5446.8500000000013</v>
      </c>
      <c r="D359" s="25">
        <f t="shared" si="37"/>
        <v>6197.5166666666619</v>
      </c>
      <c r="E359" s="25">
        <f>BD!AN$34</f>
        <v>60.768658407289259</v>
      </c>
      <c r="F359" s="25">
        <f>RD!AO$33</f>
        <v>446.49664492050312</v>
      </c>
      <c r="G359" s="25">
        <f t="shared" si="35"/>
        <v>507.26530332779237</v>
      </c>
      <c r="H359" s="26">
        <f t="shared" si="34"/>
        <v>0.98492718999381701</v>
      </c>
      <c r="I359" s="26">
        <f t="shared" si="39"/>
        <v>0.99734265612836526</v>
      </c>
      <c r="J359" s="26">
        <f t="shared" si="38"/>
        <v>0.99583884789684229</v>
      </c>
      <c r="K359" s="25">
        <f t="shared" si="36"/>
        <v>11.314656044641273</v>
      </c>
      <c r="L359" s="25">
        <f t="shared" si="36"/>
        <v>14.474153467213704</v>
      </c>
      <c r="M359" s="25">
        <f t="shared" si="36"/>
        <v>25.788809511854915</v>
      </c>
    </row>
    <row r="360" spans="1:13" x14ac:dyDescent="0.2">
      <c r="A360" s="22">
        <v>51441</v>
      </c>
      <c r="B360" s="25">
        <f>'[2]US EIA'!$R508</f>
        <v>732.88888888888278</v>
      </c>
      <c r="C360" s="23">
        <f>'[1]Renewable Diesel'!$AX371</f>
        <v>5446.8500000000013</v>
      </c>
      <c r="D360" s="25">
        <f t="shared" si="37"/>
        <v>6179.7388888888836</v>
      </c>
      <c r="E360" s="25">
        <f>BD!AN$35</f>
        <v>57.849376496037237</v>
      </c>
      <c r="F360" s="25">
        <f>RD!AO$34</f>
        <v>539.30442554450042</v>
      </c>
      <c r="G360" s="25">
        <f t="shared" si="35"/>
        <v>597.1538020405377</v>
      </c>
      <c r="H360" s="26">
        <f t="shared" si="34"/>
        <v>0.92937656150102654</v>
      </c>
      <c r="I360" s="26">
        <f t="shared" si="39"/>
        <v>1.1657884259457603</v>
      </c>
      <c r="J360" s="26">
        <f t="shared" si="38"/>
        <v>1.1377510554729438</v>
      </c>
      <c r="K360" s="25">
        <f t="shared" si="36"/>
        <v>51.759133371025001</v>
      </c>
      <c r="L360" s="25">
        <f t="shared" si="36"/>
        <v>-903.02468786266456</v>
      </c>
      <c r="M360" s="25">
        <f t="shared" si="36"/>
        <v>-851.26555449164039</v>
      </c>
    </row>
    <row r="361" spans="1:13" x14ac:dyDescent="0.2">
      <c r="A361" s="22">
        <v>51471</v>
      </c>
      <c r="B361" s="25">
        <f>'[2]US EIA'!$R509</f>
        <v>715.11111111110495</v>
      </c>
      <c r="C361" s="23">
        <f>'[1]Renewable Diesel'!$AX372</f>
        <v>5446.8500000000013</v>
      </c>
      <c r="D361" s="25">
        <f t="shared" si="37"/>
        <v>6161.9611111111062</v>
      </c>
      <c r="E361" s="25">
        <f>BD!AN$36</f>
        <v>74.033525979352916</v>
      </c>
      <c r="F361" s="25">
        <f>RD!AO$35</f>
        <v>610.34105591532546</v>
      </c>
      <c r="G361" s="25">
        <f t="shared" si="35"/>
        <v>684.37458189467839</v>
      </c>
      <c r="H361" s="26">
        <f t="shared" si="34"/>
        <v>1.2595822086294617</v>
      </c>
      <c r="I361" s="26">
        <f t="shared" si="39"/>
        <v>1.3633230546651962</v>
      </c>
      <c r="J361" s="26">
        <f t="shared" si="38"/>
        <v>1.3512836681227451</v>
      </c>
      <c r="K361" s="25">
        <f t="shared" si="36"/>
        <v>-185.630121637689</v>
      </c>
      <c r="L361" s="25">
        <f t="shared" si="36"/>
        <v>-1978.9661803031245</v>
      </c>
      <c r="M361" s="25">
        <f t="shared" si="36"/>
        <v>-2164.5963019408159</v>
      </c>
    </row>
    <row r="362" spans="1:13" x14ac:dyDescent="0.2">
      <c r="A362" s="22">
        <v>51502</v>
      </c>
      <c r="B362" s="25">
        <f>'[2]US EIA'!$R510</f>
        <v>712.33333333332712</v>
      </c>
      <c r="C362" s="23">
        <f>'[1]Renewable Diesel'!$AX373</f>
        <v>5446.8500000000013</v>
      </c>
      <c r="D362" s="25">
        <f t="shared" si="37"/>
        <v>6159.1833333333288</v>
      </c>
      <c r="E362" s="25">
        <f>BD!AO$25</f>
        <v>29.492825349619935</v>
      </c>
      <c r="F362" s="25">
        <f>RD!AP$24</f>
        <v>342.92867657374359</v>
      </c>
      <c r="G362" s="25">
        <f t="shared" si="35"/>
        <v>372.42150192336351</v>
      </c>
      <c r="H362" s="26">
        <f t="shared" ref="H362:H425" si="40">(E362/(A362-A361)*365)/B362</f>
        <v>0.48748839581919345</v>
      </c>
      <c r="I362" s="26">
        <f t="shared" si="39"/>
        <v>0.74129241878728003</v>
      </c>
      <c r="J362" s="26">
        <f t="shared" si="38"/>
        <v>0.71193900358435536</v>
      </c>
      <c r="K362" s="25">
        <f t="shared" si="36"/>
        <v>365.07909937812468</v>
      </c>
      <c r="L362" s="25">
        <f t="shared" si="36"/>
        <v>1409.1413887285041</v>
      </c>
      <c r="M362" s="25">
        <f t="shared" si="36"/>
        <v>1774.2204881066302</v>
      </c>
    </row>
    <row r="363" spans="1:13" x14ac:dyDescent="0.2">
      <c r="A363" s="22">
        <v>51533</v>
      </c>
      <c r="B363" s="25">
        <f>'[2]US EIA'!$R511</f>
        <v>709.55555555554929</v>
      </c>
      <c r="C363" s="23">
        <f>'[1]Renewable Diesel'!$AX374</f>
        <v>5446.8500000000013</v>
      </c>
      <c r="D363" s="25">
        <f t="shared" si="37"/>
        <v>6156.4055555555506</v>
      </c>
      <c r="E363" s="25">
        <f>BD!AO$26</f>
        <v>27.733737867534785</v>
      </c>
      <c r="F363" s="25">
        <f>RD!AP$25</f>
        <v>373.70870781553322</v>
      </c>
      <c r="G363" s="25">
        <f t="shared" si="35"/>
        <v>401.442445683068</v>
      </c>
      <c r="H363" s="26">
        <f t="shared" si="40"/>
        <v>0.46020694914708876</v>
      </c>
      <c r="I363" s="26">
        <f t="shared" si="39"/>
        <v>0.80782813122038044</v>
      </c>
      <c r="J363" s="26">
        <f t="shared" si="38"/>
        <v>0.76776310646802171</v>
      </c>
      <c r="K363" s="25">
        <f t="shared" si="36"/>
        <v>383.01315808296226</v>
      </c>
      <c r="L363" s="25">
        <f t="shared" si="36"/>
        <v>1046.7313434622711</v>
      </c>
      <c r="M363" s="25">
        <f t="shared" si="36"/>
        <v>1429.744501545234</v>
      </c>
    </row>
    <row r="364" spans="1:13" x14ac:dyDescent="0.2">
      <c r="A364" s="22">
        <v>51561</v>
      </c>
      <c r="B364" s="25">
        <f>'[2]US EIA'!$R512</f>
        <v>706.77777777777146</v>
      </c>
      <c r="C364" s="23">
        <f>'[1]Renewable Diesel'!$AX375</f>
        <v>5446.8500000000013</v>
      </c>
      <c r="D364" s="25">
        <f t="shared" si="37"/>
        <v>6153.6277777777723</v>
      </c>
      <c r="E364" s="25">
        <f>BD!AO$27</f>
        <v>31.833836949735971</v>
      </c>
      <c r="F364" s="25">
        <f>RD!AP$26</f>
        <v>400.04196207578815</v>
      </c>
      <c r="G364" s="25">
        <f t="shared" si="35"/>
        <v>431.87579902552415</v>
      </c>
      <c r="H364" s="26">
        <f t="shared" si="40"/>
        <v>0.58713900768007943</v>
      </c>
      <c r="I364" s="26">
        <f t="shared" si="39"/>
        <v>0.95740340195094831</v>
      </c>
      <c r="J364" s="26">
        <f t="shared" si="38"/>
        <v>0.91487651289892624</v>
      </c>
      <c r="K364" s="25">
        <f t="shared" si="36"/>
        <v>291.80097468299903</v>
      </c>
      <c r="L364" s="25">
        <f t="shared" si="36"/>
        <v>232.01728008347726</v>
      </c>
      <c r="M364" s="25">
        <f t="shared" si="36"/>
        <v>523.81825476647532</v>
      </c>
    </row>
    <row r="365" spans="1:13" x14ac:dyDescent="0.2">
      <c r="A365" s="22">
        <v>51592</v>
      </c>
      <c r="B365" s="25">
        <f>'[2]US EIA'!$R513</f>
        <v>703.99999999999363</v>
      </c>
      <c r="C365" s="23">
        <f>'[1]Renewable Diesel'!$AX376</f>
        <v>5446.8500000000013</v>
      </c>
      <c r="D365" s="25">
        <f t="shared" si="37"/>
        <v>6150.8499999999949</v>
      </c>
      <c r="E365" s="25">
        <f>BD!AO$28</f>
        <v>35.425968714917175</v>
      </c>
      <c r="F365" s="25">
        <f>RD!AP$27</f>
        <v>382.72197009857024</v>
      </c>
      <c r="G365" s="25">
        <f t="shared" si="35"/>
        <v>418.14793881348743</v>
      </c>
      <c r="H365" s="26">
        <f t="shared" si="40"/>
        <v>0.59248893790986468</v>
      </c>
      <c r="I365" s="26">
        <f t="shared" si="39"/>
        <v>0.8273116665890532</v>
      </c>
      <c r="J365" s="26">
        <f t="shared" si="38"/>
        <v>0.80043486078332748</v>
      </c>
      <c r="K365" s="25">
        <f t="shared" si="36"/>
        <v>286.88778771145269</v>
      </c>
      <c r="L365" s="25">
        <f t="shared" si="36"/>
        <v>940.60744883941584</v>
      </c>
      <c r="M365" s="25">
        <f t="shared" si="36"/>
        <v>1227.4952365508691</v>
      </c>
    </row>
    <row r="366" spans="1:13" x14ac:dyDescent="0.2">
      <c r="A366" s="22">
        <v>51622</v>
      </c>
      <c r="B366" s="25">
        <f>'[2]US EIA'!$R514</f>
        <v>701.22222222221581</v>
      </c>
      <c r="C366" s="23">
        <f>'[1]Renewable Diesel'!$AX377</f>
        <v>5446.8500000000013</v>
      </c>
      <c r="D366" s="25">
        <f t="shared" si="37"/>
        <v>6148.0722222222175</v>
      </c>
      <c r="E366" s="25">
        <f>BD!AO$29</f>
        <v>37.862171733304805</v>
      </c>
      <c r="F366" s="25">
        <f>RD!AP$28</f>
        <v>427.34898791155643</v>
      </c>
      <c r="G366" s="25">
        <f t="shared" ref="G366:G429" si="41">SUM(E366:F366)</f>
        <v>465.21115964486125</v>
      </c>
      <c r="H366" s="26">
        <f t="shared" si="40"/>
        <v>0.65693357705544508</v>
      </c>
      <c r="I366" s="26">
        <f t="shared" si="39"/>
        <v>0.95457240171057911</v>
      </c>
      <c r="J366" s="26">
        <f t="shared" si="38"/>
        <v>0.92062501942546293</v>
      </c>
      <c r="K366" s="25">
        <f t="shared" si="36"/>
        <v>240.56579946700737</v>
      </c>
      <c r="L366" s="25">
        <f t="shared" si="36"/>
        <v>247.43731374273224</v>
      </c>
      <c r="M366" s="25">
        <f t="shared" si="36"/>
        <v>488.00311320973947</v>
      </c>
    </row>
    <row r="367" spans="1:13" x14ac:dyDescent="0.2">
      <c r="A367" s="22">
        <v>51653</v>
      </c>
      <c r="B367" s="25">
        <f>'[2]US EIA'!$R515</f>
        <v>698.44444444443798</v>
      </c>
      <c r="C367" s="23">
        <f>'[1]Renewable Diesel'!$AX378</f>
        <v>5446.8500000000013</v>
      </c>
      <c r="D367" s="25">
        <f t="shared" si="37"/>
        <v>6145.2944444444393</v>
      </c>
      <c r="E367" s="25">
        <f>BD!AO$30</f>
        <v>37.057040818554832</v>
      </c>
      <c r="F367" s="25">
        <f>RD!AP$29</f>
        <v>428.49087393320309</v>
      </c>
      <c r="G367" s="25">
        <f t="shared" si="41"/>
        <v>465.5479147517579</v>
      </c>
      <c r="H367" s="26">
        <f t="shared" si="40"/>
        <v>0.62469789028847378</v>
      </c>
      <c r="I367" s="26">
        <f t="shared" si="39"/>
        <v>0.92624810365753918</v>
      </c>
      <c r="J367" s="26">
        <f t="shared" si="38"/>
        <v>0.89197536487297813</v>
      </c>
      <c r="K367" s="25">
        <f t="shared" si="36"/>
        <v>262.12767351629242</v>
      </c>
      <c r="L367" s="25">
        <f t="shared" si="36"/>
        <v>401.71551659293283</v>
      </c>
      <c r="M367" s="25">
        <f t="shared" si="36"/>
        <v>663.84319010922513</v>
      </c>
    </row>
    <row r="368" spans="1:13" x14ac:dyDescent="0.2">
      <c r="A368" s="22">
        <v>51683</v>
      </c>
      <c r="B368" s="25">
        <f>'[2]US EIA'!$R516</f>
        <v>695.66666666666015</v>
      </c>
      <c r="C368" s="23">
        <f>'[1]Renewable Diesel'!$AX379</f>
        <v>5446.8500000000013</v>
      </c>
      <c r="D368" s="25">
        <f t="shared" si="37"/>
        <v>6142.516666666661</v>
      </c>
      <c r="E368" s="25">
        <f>BD!AO$31</f>
        <v>36.821600708692031</v>
      </c>
      <c r="F368" s="25">
        <f>RD!AP$30</f>
        <v>417.17858162669512</v>
      </c>
      <c r="G368" s="25">
        <f t="shared" si="41"/>
        <v>454.00018233538714</v>
      </c>
      <c r="H368" s="26">
        <f t="shared" si="40"/>
        <v>0.64398103778978044</v>
      </c>
      <c r="I368" s="26">
        <f t="shared" si="39"/>
        <v>0.93185469457113557</v>
      </c>
      <c r="J368" s="26">
        <f t="shared" si="38"/>
        <v>0.89925175377310862</v>
      </c>
      <c r="K368" s="25">
        <f t="shared" si="36"/>
        <v>247.67052471090707</v>
      </c>
      <c r="L368" s="25">
        <f t="shared" si="36"/>
        <v>371.17725687521033</v>
      </c>
      <c r="M368" s="25">
        <f t="shared" si="36"/>
        <v>618.84778158611687</v>
      </c>
    </row>
    <row r="369" spans="1:13" x14ac:dyDescent="0.2">
      <c r="A369" s="22">
        <v>51714</v>
      </c>
      <c r="B369" s="25">
        <f>'[2]US EIA'!$R517</f>
        <v>692.88888888888232</v>
      </c>
      <c r="C369" s="23">
        <f>'[1]Renewable Diesel'!$AX380</f>
        <v>5446.8500000000013</v>
      </c>
      <c r="D369" s="25">
        <f t="shared" si="37"/>
        <v>6139.7388888888836</v>
      </c>
      <c r="E369" s="25">
        <f>BD!AO$32</f>
        <v>38.051462875882628</v>
      </c>
      <c r="F369" s="25">
        <f>RD!AP$31</f>
        <v>429.71941564624353</v>
      </c>
      <c r="G369" s="25">
        <f t="shared" si="41"/>
        <v>467.77087852212617</v>
      </c>
      <c r="H369" s="26">
        <f t="shared" si="40"/>
        <v>0.64660481050340179</v>
      </c>
      <c r="I369" s="26">
        <f t="shared" si="39"/>
        <v>0.92890378316250177</v>
      </c>
      <c r="J369" s="26">
        <f t="shared" si="38"/>
        <v>0.89704545416186332</v>
      </c>
      <c r="K369" s="25">
        <f t="shared" si="36"/>
        <v>244.86360018897395</v>
      </c>
      <c r="L369" s="25">
        <f t="shared" si="36"/>
        <v>387.25042868132732</v>
      </c>
      <c r="M369" s="25">
        <f t="shared" si="36"/>
        <v>632.1140288703009</v>
      </c>
    </row>
    <row r="370" spans="1:13" x14ac:dyDescent="0.2">
      <c r="A370" s="22">
        <v>51745</v>
      </c>
      <c r="B370" s="25">
        <f>'[2]US EIA'!$R518</f>
        <v>690.11111111110449</v>
      </c>
      <c r="C370" s="23">
        <f>'[1]Renewable Diesel'!$AX381</f>
        <v>5446.8500000000013</v>
      </c>
      <c r="D370" s="25">
        <f t="shared" si="37"/>
        <v>6136.9611111111062</v>
      </c>
      <c r="E370" s="25">
        <f>BD!AO$33</f>
        <v>35.884399764903748</v>
      </c>
      <c r="F370" s="25">
        <f>RD!AP$32</f>
        <v>434.9869585297854</v>
      </c>
      <c r="G370" s="25">
        <f t="shared" si="41"/>
        <v>470.87135829468912</v>
      </c>
      <c r="H370" s="26">
        <f t="shared" si="40"/>
        <v>0.6122345538233932</v>
      </c>
      <c r="I370" s="26">
        <f t="shared" si="39"/>
        <v>0.9402903771453085</v>
      </c>
      <c r="J370" s="26">
        <f t="shared" si="38"/>
        <v>0.90339997412006168</v>
      </c>
      <c r="K370" s="25">
        <f t="shared" si="36"/>
        <v>267.60124291143131</v>
      </c>
      <c r="L370" s="25">
        <f t="shared" si="36"/>
        <v>325.22935924607646</v>
      </c>
      <c r="M370" s="25">
        <f t="shared" si="36"/>
        <v>592.83060215750788</v>
      </c>
    </row>
    <row r="371" spans="1:13" x14ac:dyDescent="0.2">
      <c r="A371" s="22">
        <v>51775</v>
      </c>
      <c r="B371" s="25">
        <f>'[2]US EIA'!$R519</f>
        <v>687.33333333332666</v>
      </c>
      <c r="C371" s="23">
        <f>'[1]Renewable Diesel'!$AX382</f>
        <v>5446.8500000000013</v>
      </c>
      <c r="D371" s="25">
        <f t="shared" si="37"/>
        <v>6134.1833333333279</v>
      </c>
      <c r="E371" s="25">
        <f>BD!AO$34</f>
        <v>36.634810127377889</v>
      </c>
      <c r="F371" s="25">
        <f>RD!AP$33</f>
        <v>472.37063098572713</v>
      </c>
      <c r="G371" s="25">
        <f t="shared" si="41"/>
        <v>509.00544111310501</v>
      </c>
      <c r="H371" s="26">
        <f t="shared" si="40"/>
        <v>0.64848233251663723</v>
      </c>
      <c r="I371" s="26">
        <f t="shared" si="39"/>
        <v>1.0551375584652314</v>
      </c>
      <c r="J371" s="26">
        <f t="shared" si="38"/>
        <v>1.0095719669626408</v>
      </c>
      <c r="K371" s="25">
        <f t="shared" ref="K371:M434" si="42">((1-H371)*B371)</f>
        <v>241.60981011689566</v>
      </c>
      <c r="L371" s="25">
        <f t="shared" si="42"/>
        <v>-300.32601032634562</v>
      </c>
      <c r="M371" s="25">
        <f t="shared" si="42"/>
        <v>-58.716200209448701</v>
      </c>
    </row>
    <row r="372" spans="1:13" x14ac:dyDescent="0.2">
      <c r="A372" s="22">
        <v>51806</v>
      </c>
      <c r="B372" s="25">
        <f>'[2]US EIA'!$R520</f>
        <v>684.55555555554884</v>
      </c>
      <c r="C372" s="23">
        <f>'[1]Renewable Diesel'!$AX383</f>
        <v>5446.8500000000013</v>
      </c>
      <c r="D372" s="25">
        <f t="shared" si="37"/>
        <v>6131.4055555555497</v>
      </c>
      <c r="E372" s="25">
        <f>BD!AO$35</f>
        <v>34.876109645105586</v>
      </c>
      <c r="F372" s="25">
        <f>RD!AP$34</f>
        <v>570.73421915428582</v>
      </c>
      <c r="G372" s="25">
        <f t="shared" si="41"/>
        <v>605.61032879939137</v>
      </c>
      <c r="H372" s="26">
        <f t="shared" si="40"/>
        <v>0.59986083210294183</v>
      </c>
      <c r="I372" s="26">
        <f t="shared" si="39"/>
        <v>1.2337286984238849</v>
      </c>
      <c r="J372" s="26">
        <f t="shared" si="38"/>
        <v>1.1629589922861172</v>
      </c>
      <c r="K372" s="25">
        <f t="shared" si="42"/>
        <v>273.91749037930566</v>
      </c>
      <c r="L372" s="25">
        <f t="shared" si="42"/>
        <v>-1273.0851610101377</v>
      </c>
      <c r="M372" s="25">
        <f t="shared" si="42"/>
        <v>-999.16767063083307</v>
      </c>
    </row>
    <row r="373" spans="1:13" x14ac:dyDescent="0.2">
      <c r="A373" s="22">
        <v>51836</v>
      </c>
      <c r="B373" s="25">
        <f>'[2]US EIA'!$R521</f>
        <v>681.77777777777101</v>
      </c>
      <c r="C373" s="23">
        <f>'[1]Renewable Diesel'!$AX384</f>
        <v>5446.8500000000013</v>
      </c>
      <c r="D373" s="25">
        <f t="shared" si="37"/>
        <v>6128.6277777777723</v>
      </c>
      <c r="E373" s="25">
        <f>BD!AO$36</f>
        <v>44.475946083278266</v>
      </c>
      <c r="F373" s="25">
        <f>RD!AP$35</f>
        <v>645.99148915770172</v>
      </c>
      <c r="G373" s="25">
        <f t="shared" si="41"/>
        <v>690.46743524097997</v>
      </c>
      <c r="H373" s="26">
        <f t="shared" si="40"/>
        <v>0.79369558280948793</v>
      </c>
      <c r="I373" s="26">
        <f t="shared" si="39"/>
        <v>1.4429556749470553</v>
      </c>
      <c r="J373" s="26">
        <f t="shared" si="38"/>
        <v>1.3707288863627687</v>
      </c>
      <c r="K373" s="25">
        <f t="shared" si="42"/>
        <v>140.65376709788549</v>
      </c>
      <c r="L373" s="25">
        <f t="shared" si="42"/>
        <v>-2412.7131180853689</v>
      </c>
      <c r="M373" s="25">
        <f t="shared" si="42"/>
        <v>-2272.0593509874834</v>
      </c>
    </row>
    <row r="374" spans="1:13" x14ac:dyDescent="0.2">
      <c r="A374" s="22">
        <v>51867</v>
      </c>
      <c r="B374" s="25">
        <f>'[2]US EIA'!$R522</f>
        <v>663.99999999999318</v>
      </c>
      <c r="C374" s="23">
        <f>'[1]Renewable Diesel'!$AX385</f>
        <v>5446.8500000000013</v>
      </c>
      <c r="D374" s="25">
        <f t="shared" si="37"/>
        <v>6110.8499999999949</v>
      </c>
      <c r="E374" s="25">
        <f>BD!AP$25</f>
        <v>32.50772932795882</v>
      </c>
      <c r="F374" s="25">
        <f>RD!AQ$24</f>
        <v>362.47462886067655</v>
      </c>
      <c r="G374" s="25">
        <f t="shared" si="41"/>
        <v>394.98235818863537</v>
      </c>
      <c r="H374" s="26">
        <f t="shared" si="40"/>
        <v>0.57643418211742581</v>
      </c>
      <c r="I374" s="26">
        <f t="shared" si="39"/>
        <v>0.78354396331556475</v>
      </c>
      <c r="J374" s="26">
        <f t="shared" si="38"/>
        <v>0.76103958262947968</v>
      </c>
      <c r="K374" s="25">
        <f t="shared" si="42"/>
        <v>281.24770307402639</v>
      </c>
      <c r="L374" s="25">
        <f t="shared" si="42"/>
        <v>1179.0035634146163</v>
      </c>
      <c r="M374" s="25">
        <f t="shared" si="42"/>
        <v>1460.2512664886428</v>
      </c>
    </row>
    <row r="375" spans="1:13" x14ac:dyDescent="0.2">
      <c r="A375" s="22">
        <v>51898</v>
      </c>
      <c r="B375" s="25">
        <f>'[2]US EIA'!$R523</f>
        <v>646.22222222221535</v>
      </c>
      <c r="C375" s="23">
        <f>'[1]Renewable Diesel'!$AX386</f>
        <v>5446.8500000000013</v>
      </c>
      <c r="D375" s="25">
        <f t="shared" si="37"/>
        <v>6093.0722222222166</v>
      </c>
      <c r="E375" s="25">
        <f>BD!AP$26</f>
        <v>30.701361125791838</v>
      </c>
      <c r="F375" s="25">
        <f>RD!AQ$25</f>
        <v>395.03723216588793</v>
      </c>
      <c r="G375" s="25">
        <f t="shared" si="41"/>
        <v>425.73859329167976</v>
      </c>
      <c r="H375" s="26">
        <f t="shared" si="40"/>
        <v>0.55937997125963557</v>
      </c>
      <c r="I375" s="26">
        <f t="shared" si="39"/>
        <v>0.85393297600269735</v>
      </c>
      <c r="J375" s="26">
        <f t="shared" si="38"/>
        <v>0.82269312025421748</v>
      </c>
      <c r="K375" s="25">
        <f t="shared" si="42"/>
        <v>284.7384541282147</v>
      </c>
      <c r="L375" s="25">
        <f t="shared" si="42"/>
        <v>795.60516965970817</v>
      </c>
      <c r="M375" s="25">
        <f t="shared" si="42"/>
        <v>1080.3436237879225</v>
      </c>
    </row>
    <row r="376" spans="1:13" x14ac:dyDescent="0.2">
      <c r="A376" s="22">
        <v>51926</v>
      </c>
      <c r="B376" s="25">
        <f>'[2]US EIA'!$R524</f>
        <v>628.44444444443752</v>
      </c>
      <c r="C376" s="23">
        <f>'[1]Renewable Diesel'!$AX387</f>
        <v>5446.8500000000013</v>
      </c>
      <c r="D376" s="25">
        <f t="shared" si="37"/>
        <v>6075.2944444444383</v>
      </c>
      <c r="E376" s="25">
        <f>BD!AP$27</f>
        <v>35.218421165871391</v>
      </c>
      <c r="F376" s="25">
        <f>RD!AQ$26</f>
        <v>422.83087671840815</v>
      </c>
      <c r="G376" s="25">
        <f t="shared" si="41"/>
        <v>458.04929788427955</v>
      </c>
      <c r="H376" s="26">
        <f t="shared" si="40"/>
        <v>0.73052961160012631</v>
      </c>
      <c r="I376" s="26">
        <f t="shared" si="39"/>
        <v>1.0119431414632765</v>
      </c>
      <c r="J376" s="26">
        <f t="shared" si="38"/>
        <v>0.98283298539574349</v>
      </c>
      <c r="K376" s="25">
        <f t="shared" si="42"/>
        <v>169.34716853218544</v>
      </c>
      <c r="L376" s="25">
        <f t="shared" si="42"/>
        <v>-65.052500079247423</v>
      </c>
      <c r="M376" s="25">
        <f t="shared" si="42"/>
        <v>104.29466845293614</v>
      </c>
    </row>
    <row r="377" spans="1:13" x14ac:dyDescent="0.2">
      <c r="A377" s="22">
        <v>51957</v>
      </c>
      <c r="B377" s="25">
        <f>'[2]US EIA'!$R525</f>
        <v>610.66666666665969</v>
      </c>
      <c r="C377" s="23">
        <f>'[1]Renewable Diesel'!$AX388</f>
        <v>5446.8500000000013</v>
      </c>
      <c r="D377" s="25">
        <f t="shared" si="37"/>
        <v>6057.516666666661</v>
      </c>
      <c r="E377" s="25">
        <f>BD!AP$28</f>
        <v>39.177092053561445</v>
      </c>
      <c r="F377" s="25">
        <f>RD!AQ$27</f>
        <v>404.55774823663205</v>
      </c>
      <c r="G377" s="25">
        <f t="shared" si="41"/>
        <v>443.73484029019352</v>
      </c>
      <c r="H377" s="26">
        <f t="shared" si="40"/>
        <v>0.75536899208779884</v>
      </c>
      <c r="I377" s="26">
        <f t="shared" si="39"/>
        <v>0.87451301747574528</v>
      </c>
      <c r="J377" s="26">
        <f t="shared" si="38"/>
        <v>0.86250194283235637</v>
      </c>
      <c r="K377" s="25">
        <f t="shared" si="42"/>
        <v>149.38800216504913</v>
      </c>
      <c r="L377" s="25">
        <f t="shared" si="42"/>
        <v>683.50877076223696</v>
      </c>
      <c r="M377" s="25">
        <f t="shared" si="42"/>
        <v>832.89677292728663</v>
      </c>
    </row>
    <row r="378" spans="1:13" x14ac:dyDescent="0.2">
      <c r="A378" s="22">
        <v>51987</v>
      </c>
      <c r="B378" s="25">
        <f>'[2]US EIA'!$R526</f>
        <v>592.88888888888187</v>
      </c>
      <c r="C378" s="23">
        <f>'[1]Renewable Diesel'!$AX389</f>
        <v>5446.8500000000013</v>
      </c>
      <c r="D378" s="25">
        <f t="shared" si="37"/>
        <v>6039.7388888888836</v>
      </c>
      <c r="E378" s="25">
        <f>BD!AP$29</f>
        <v>41.880938924156574</v>
      </c>
      <c r="F378" s="25">
        <f>RD!AQ$28</f>
        <v>451.7287099638163</v>
      </c>
      <c r="G378" s="25">
        <f t="shared" si="41"/>
        <v>493.60964888797287</v>
      </c>
      <c r="H378" s="26">
        <f t="shared" si="40"/>
        <v>0.85943830813253363</v>
      </c>
      <c r="I378" s="26">
        <f t="shared" si="39"/>
        <v>1.0090295561458635</v>
      </c>
      <c r="J378" s="26">
        <f t="shared" si="38"/>
        <v>0.99434498278040118</v>
      </c>
      <c r="K378" s="25">
        <f t="shared" si="42"/>
        <v>83.337465311643513</v>
      </c>
      <c r="L378" s="25">
        <f t="shared" si="42"/>
        <v>-49.182637893096825</v>
      </c>
      <c r="M378" s="25">
        <f t="shared" si="42"/>
        <v>34.154827418547299</v>
      </c>
    </row>
    <row r="379" spans="1:13" x14ac:dyDescent="0.2">
      <c r="A379" s="22">
        <v>52018</v>
      </c>
      <c r="B379" s="25">
        <f>'[2]US EIA'!$R527</f>
        <v>575.11111111110404</v>
      </c>
      <c r="C379" s="23">
        <f>'[1]Renewable Diesel'!$AX390</f>
        <v>5446.8500000000013</v>
      </c>
      <c r="D379" s="25">
        <f t="shared" si="37"/>
        <v>6021.9611111111053</v>
      </c>
      <c r="E379" s="25">
        <f>BD!AP$30</f>
        <v>40.977202278882359</v>
      </c>
      <c r="F379" s="25">
        <f>RD!AQ$29</f>
        <v>452.90981518144463</v>
      </c>
      <c r="G379" s="25">
        <f t="shared" si="41"/>
        <v>493.887017460327</v>
      </c>
      <c r="H379" s="26">
        <f t="shared" si="40"/>
        <v>0.8389222558591154</v>
      </c>
      <c r="I379" s="26">
        <f t="shared" si="39"/>
        <v>0.97903335394045288</v>
      </c>
      <c r="J379" s="26">
        <f t="shared" si="38"/>
        <v>0.96565242241170601</v>
      </c>
      <c r="K379" s="25">
        <f t="shared" si="42"/>
        <v>92.637600408134276</v>
      </c>
      <c r="L379" s="25">
        <f t="shared" si="42"/>
        <v>114.20217608944427</v>
      </c>
      <c r="M379" s="25">
        <f t="shared" si="42"/>
        <v>206.83977649757776</v>
      </c>
    </row>
    <row r="380" spans="1:13" x14ac:dyDescent="0.2">
      <c r="A380" s="22">
        <v>52048</v>
      </c>
      <c r="B380" s="25">
        <f>'[2]US EIA'!$R528</f>
        <v>557.33333333332621</v>
      </c>
      <c r="C380" s="23">
        <f>'[1]Renewable Diesel'!$AX391</f>
        <v>5446.8500000000013</v>
      </c>
      <c r="D380" s="25">
        <f t="shared" si="37"/>
        <v>6004.183333333327</v>
      </c>
      <c r="E380" s="25">
        <f>BD!AP$31</f>
        <v>40.726110852190033</v>
      </c>
      <c r="F380" s="25">
        <f>RD!AQ$30</f>
        <v>440.97084772339889</v>
      </c>
      <c r="G380" s="25">
        <f t="shared" si="41"/>
        <v>481.69695857558895</v>
      </c>
      <c r="H380" s="26">
        <f t="shared" si="40"/>
        <v>0.88905684575655208</v>
      </c>
      <c r="I380" s="26">
        <f t="shared" si="39"/>
        <v>0.98499964455933586</v>
      </c>
      <c r="J380" s="26">
        <f t="shared" si="38"/>
        <v>0.97609383391074644</v>
      </c>
      <c r="K380" s="25">
        <f t="shared" si="42"/>
        <v>61.832317965014184</v>
      </c>
      <c r="L380" s="25">
        <f t="shared" si="42"/>
        <v>81.704686031981481</v>
      </c>
      <c r="M380" s="25">
        <f t="shared" si="42"/>
        <v>143.53700399699457</v>
      </c>
    </row>
    <row r="381" spans="1:13" x14ac:dyDescent="0.2">
      <c r="A381" s="22">
        <v>52079</v>
      </c>
      <c r="B381" s="25">
        <f>'[2]US EIA'!$R529</f>
        <v>539.55555555554838</v>
      </c>
      <c r="C381" s="23">
        <f>'[1]Renewable Diesel'!$AX392</f>
        <v>5446.8500000000013</v>
      </c>
      <c r="D381" s="25">
        <f t="shared" si="37"/>
        <v>5986.4055555555497</v>
      </c>
      <c r="E381" s="25">
        <f>BD!AP$32</f>
        <v>42.076809084460407</v>
      </c>
      <c r="F381" s="25">
        <f>RD!AQ$31</f>
        <v>454.18389550973092</v>
      </c>
      <c r="G381" s="25">
        <f t="shared" si="41"/>
        <v>496.26070459419134</v>
      </c>
      <c r="H381" s="26">
        <f t="shared" si="40"/>
        <v>0.9182010804223194</v>
      </c>
      <c r="I381" s="26">
        <f t="shared" si="39"/>
        <v>0.98178747207872286</v>
      </c>
      <c r="J381" s="26">
        <f t="shared" si="38"/>
        <v>0.97605642185876174</v>
      </c>
      <c r="K381" s="25">
        <f t="shared" si="42"/>
        <v>44.135061496579077</v>
      </c>
      <c r="L381" s="25">
        <f t="shared" si="42"/>
        <v>99.20090770800843</v>
      </c>
      <c r="M381" s="25">
        <f t="shared" si="42"/>
        <v>143.33596920458717</v>
      </c>
    </row>
    <row r="382" spans="1:13" x14ac:dyDescent="0.2">
      <c r="A382" s="22">
        <v>52110</v>
      </c>
      <c r="B382" s="25">
        <f>'[2]US EIA'!$R530</f>
        <v>539.55555555554838</v>
      </c>
      <c r="C382" s="23">
        <f>'[1]Renewable Diesel'!$AX393</f>
        <v>5446.8500000000013</v>
      </c>
      <c r="D382" s="25">
        <f t="shared" si="37"/>
        <v>5986.4055555555497</v>
      </c>
      <c r="E382" s="25">
        <f>BD!AP$33</f>
        <v>39.682827098170897</v>
      </c>
      <c r="F382" s="25">
        <f>RD!AQ$32</f>
        <v>459.76544383089225</v>
      </c>
      <c r="G382" s="25">
        <f t="shared" si="41"/>
        <v>499.44827092906314</v>
      </c>
      <c r="H382" s="26">
        <f t="shared" si="40"/>
        <v>0.86595955131990443</v>
      </c>
      <c r="I382" s="26">
        <f t="shared" si="39"/>
        <v>0.99385283650642497</v>
      </c>
      <c r="J382" s="26">
        <f t="shared" si="38"/>
        <v>0.98232579713359147</v>
      </c>
      <c r="K382" s="25">
        <f t="shared" si="42"/>
        <v>72.322268754503938</v>
      </c>
      <c r="L382" s="25">
        <f t="shared" si="42"/>
        <v>33.482677474979134</v>
      </c>
      <c r="M382" s="25">
        <f t="shared" si="42"/>
        <v>105.80494622948383</v>
      </c>
    </row>
    <row r="383" spans="1:13" x14ac:dyDescent="0.2">
      <c r="A383" s="22">
        <v>52140</v>
      </c>
      <c r="B383" s="25">
        <f>'[2]US EIA'!$R531</f>
        <v>539.55555555554838</v>
      </c>
      <c r="C383" s="23">
        <f>'[1]Renewable Diesel'!$AX394</f>
        <v>5446.8500000000013</v>
      </c>
      <c r="D383" s="25">
        <f t="shared" si="37"/>
        <v>5986.4055555555497</v>
      </c>
      <c r="E383" s="25">
        <f>BD!AP$34</f>
        <v>40.531580883837222</v>
      </c>
      <c r="F383" s="25">
        <f>RD!AQ$33</f>
        <v>499.31523669568378</v>
      </c>
      <c r="G383" s="25">
        <f t="shared" si="41"/>
        <v>539.84681757952103</v>
      </c>
      <c r="H383" s="26">
        <f t="shared" si="40"/>
        <v>0.91396377816726415</v>
      </c>
      <c r="I383" s="26">
        <f t="shared" si="39"/>
        <v>1.1153239113366717</v>
      </c>
      <c r="J383" s="26">
        <f t="shared" si="38"/>
        <v>1.0971752948570994</v>
      </c>
      <c r="K383" s="25">
        <f t="shared" si="42"/>
        <v>46.421321468862189</v>
      </c>
      <c r="L383" s="25">
        <f t="shared" si="42"/>
        <v>-628.15204646415066</v>
      </c>
      <c r="M383" s="25">
        <f t="shared" si="42"/>
        <v>-581.7307249952886</v>
      </c>
    </row>
    <row r="384" spans="1:13" x14ac:dyDescent="0.2">
      <c r="A384" s="22">
        <v>52171</v>
      </c>
      <c r="B384" s="25">
        <f>'[2]US EIA'!$R532</f>
        <v>539.55555555554838</v>
      </c>
      <c r="C384" s="23">
        <f>'[1]Renewable Diesel'!$AX395</f>
        <v>5446.8500000000013</v>
      </c>
      <c r="D384" s="25">
        <f t="shared" si="37"/>
        <v>5986.4055555555497</v>
      </c>
      <c r="E384" s="25">
        <f>BD!AP$35</f>
        <v>38.578193835964008</v>
      </c>
      <c r="F384" s="25">
        <f>RD!AQ$34</f>
        <v>603.31170482833284</v>
      </c>
      <c r="G384" s="25">
        <f t="shared" si="41"/>
        <v>641.88989866429688</v>
      </c>
      <c r="H384" s="26">
        <f t="shared" si="40"/>
        <v>0.8418542192641193</v>
      </c>
      <c r="I384" s="26">
        <f t="shared" si="39"/>
        <v>1.3041498816116057</v>
      </c>
      <c r="J384" s="26">
        <f t="shared" si="38"/>
        <v>1.2624831100215428</v>
      </c>
      <c r="K384" s="25">
        <f t="shared" si="42"/>
        <v>85.328434583714056</v>
      </c>
      <c r="L384" s="25">
        <f t="shared" si="42"/>
        <v>-1656.6587826561749</v>
      </c>
      <c r="M384" s="25">
        <f t="shared" si="42"/>
        <v>-1571.3303480724624</v>
      </c>
    </row>
    <row r="385" spans="1:13" x14ac:dyDescent="0.2">
      <c r="A385" s="22">
        <v>52201</v>
      </c>
      <c r="B385" s="25">
        <f>'[2]US EIA'!$R533</f>
        <v>539.55555555554838</v>
      </c>
      <c r="C385" s="23">
        <f>'[1]Renewable Diesel'!$AX396</f>
        <v>5446.8500000000013</v>
      </c>
      <c r="D385" s="25">
        <f t="shared" si="37"/>
        <v>5986.4055555555497</v>
      </c>
      <c r="E385" s="25">
        <f>BD!AP$36</f>
        <v>49.319470208712247</v>
      </c>
      <c r="F385" s="25">
        <f>RD!AQ$35</f>
        <v>682.86821524964091</v>
      </c>
      <c r="G385" s="25">
        <f t="shared" si="41"/>
        <v>732.18768545835314</v>
      </c>
      <c r="H385" s="26">
        <f t="shared" si="40"/>
        <v>1.1121256152911989</v>
      </c>
      <c r="I385" s="26">
        <f t="shared" si="39"/>
        <v>1.5253274740820773</v>
      </c>
      <c r="J385" s="26">
        <f t="shared" si="38"/>
        <v>1.48808553375453</v>
      </c>
      <c r="K385" s="25">
        <f t="shared" si="42"/>
        <v>-60.497998650450519</v>
      </c>
      <c r="L385" s="25">
        <f t="shared" si="42"/>
        <v>-2861.3799522039631</v>
      </c>
      <c r="M385" s="25">
        <f t="shared" si="42"/>
        <v>-2921.8779508544144</v>
      </c>
    </row>
    <row r="386" spans="1:13" x14ac:dyDescent="0.2">
      <c r="A386" s="22">
        <v>52232</v>
      </c>
      <c r="B386" s="25">
        <f>'[2]US EIA'!$R534</f>
        <v>539.55555555554838</v>
      </c>
      <c r="C386" s="23">
        <f>'[1]Renewable Diesel'!$AX397</f>
        <v>5446.8500000000013</v>
      </c>
      <c r="D386" s="25">
        <f t="shared" si="37"/>
        <v>5986.4055555555497</v>
      </c>
      <c r="E386" s="25">
        <f>BD!AQ$25</f>
        <v>32.228544007321233</v>
      </c>
      <c r="F386" s="25">
        <f>RD!AR$24</f>
        <v>393.87503693947525</v>
      </c>
      <c r="G386" s="25">
        <f t="shared" si="41"/>
        <v>426.10358094679646</v>
      </c>
      <c r="H386" s="26">
        <f t="shared" si="40"/>
        <v>0.70329201695309862</v>
      </c>
      <c r="I386" s="26">
        <f t="shared" si="39"/>
        <v>0.85142071450535584</v>
      </c>
      <c r="J386" s="26">
        <f t="shared" si="38"/>
        <v>0.83806985463463479</v>
      </c>
      <c r="K386" s="25">
        <f t="shared" si="42"/>
        <v>160.09044063063712</v>
      </c>
      <c r="L386" s="25">
        <f t="shared" si="42"/>
        <v>809.28908119650271</v>
      </c>
      <c r="M386" s="25">
        <f t="shared" si="42"/>
        <v>969.37952182714002</v>
      </c>
    </row>
    <row r="387" spans="1:13" x14ac:dyDescent="0.2">
      <c r="A387" s="22">
        <v>52263</v>
      </c>
      <c r="B387" s="25">
        <f>'[2]US EIA'!$R535</f>
        <v>539.55555555554838</v>
      </c>
      <c r="C387" s="23">
        <f>'[1]Renewable Diesel'!$AX398</f>
        <v>5446.8500000000013</v>
      </c>
      <c r="D387" s="25">
        <f t="shared" ref="D387:D450" si="43">C387+B387</f>
        <v>5986.4055555555497</v>
      </c>
      <c r="E387" s="25">
        <f>BD!AQ$26</f>
        <v>30.232122444017659</v>
      </c>
      <c r="F387" s="25">
        <f>RD!AR$25</f>
        <v>429.28916377650756</v>
      </c>
      <c r="G387" s="25">
        <f t="shared" si="41"/>
        <v>459.52128622052521</v>
      </c>
      <c r="H387" s="26">
        <f t="shared" si="40"/>
        <v>0.65972606040149417</v>
      </c>
      <c r="I387" s="26">
        <f t="shared" si="39"/>
        <v>0.92797372839895476</v>
      </c>
      <c r="J387" s="26">
        <f t="shared" si="38"/>
        <v>0.90379652921161713</v>
      </c>
      <c r="K387" s="25">
        <f t="shared" si="42"/>
        <v>183.59669452114693</v>
      </c>
      <c r="L387" s="25">
        <f t="shared" si="42"/>
        <v>392.31629747015336</v>
      </c>
      <c r="M387" s="25">
        <f t="shared" si="42"/>
        <v>575.91299199130128</v>
      </c>
    </row>
    <row r="388" spans="1:13" x14ac:dyDescent="0.2">
      <c r="A388" s="22">
        <v>52291</v>
      </c>
      <c r="B388" s="25">
        <f>'[2]US EIA'!$R536</f>
        <v>539.55555555554838</v>
      </c>
      <c r="C388" s="23">
        <f>'[1]Renewable Diesel'!$AX399</f>
        <v>5446.8500000000013</v>
      </c>
      <c r="D388" s="25">
        <f t="shared" si="43"/>
        <v>5986.4055555555497</v>
      </c>
      <c r="E388" s="25">
        <f>BD!AQ$27</f>
        <v>34.695203778580016</v>
      </c>
      <c r="F388" s="25">
        <f>RD!AR$26</f>
        <v>459.44178741338158</v>
      </c>
      <c r="G388" s="25">
        <f t="shared" si="41"/>
        <v>494.13699119196161</v>
      </c>
      <c r="H388" s="26">
        <f t="shared" si="40"/>
        <v>0.83823947114495234</v>
      </c>
      <c r="I388" s="26">
        <f t="shared" si="39"/>
        <v>1.0995624758601252</v>
      </c>
      <c r="J388" s="26">
        <f t="shared" ref="J388:J451" si="44">(G388/(A388-A387)*365)/D388</f>
        <v>1.0760093975262175</v>
      </c>
      <c r="K388" s="25">
        <f t="shared" si="42"/>
        <v>87.278792013344557</v>
      </c>
      <c r="L388" s="25">
        <f t="shared" si="42"/>
        <v>-542.30187163872324</v>
      </c>
      <c r="M388" s="25">
        <f t="shared" si="42"/>
        <v>-455.02307962537867</v>
      </c>
    </row>
    <row r="389" spans="1:13" x14ac:dyDescent="0.2">
      <c r="A389" s="22">
        <v>52322</v>
      </c>
      <c r="B389" s="25">
        <f>'[2]US EIA'!$R537</f>
        <v>539.55555555554838</v>
      </c>
      <c r="C389" s="23">
        <f>'[1]Renewable Diesel'!$AX400</f>
        <v>5446.8500000000013</v>
      </c>
      <c r="D389" s="25">
        <f t="shared" si="43"/>
        <v>5986.4055555555497</v>
      </c>
      <c r="E389" s="25">
        <f>BD!AQ$28</f>
        <v>38.61054385043272</v>
      </c>
      <c r="F389" s="25">
        <f>RD!AR$27</f>
        <v>439.62831967919084</v>
      </c>
      <c r="G389" s="25">
        <f t="shared" si="41"/>
        <v>478.23886352962359</v>
      </c>
      <c r="H389" s="26">
        <f t="shared" si="40"/>
        <v>0.84256016201223083</v>
      </c>
      <c r="I389" s="26">
        <f t="shared" si="39"/>
        <v>0.95032338420462981</v>
      </c>
      <c r="J389" s="26">
        <f t="shared" si="44"/>
        <v>0.94061067017634015</v>
      </c>
      <c r="K389" s="25">
        <f t="shared" si="42"/>
        <v>84.947539252066321</v>
      </c>
      <c r="L389" s="25">
        <f t="shared" si="42"/>
        <v>270.58107474501219</v>
      </c>
      <c r="M389" s="25">
        <f t="shared" si="42"/>
        <v>355.52861399707825</v>
      </c>
    </row>
    <row r="390" spans="1:13" x14ac:dyDescent="0.2">
      <c r="A390" s="22">
        <v>52352</v>
      </c>
      <c r="B390" s="25">
        <f>'[2]US EIA'!$R538</f>
        <v>539.55555555554838</v>
      </c>
      <c r="C390" s="23">
        <f>'[1]Renewable Diesel'!$AX401</f>
        <v>5446.8500000000013</v>
      </c>
      <c r="D390" s="25">
        <f t="shared" si="43"/>
        <v>5986.4055555555497</v>
      </c>
      <c r="E390" s="25">
        <f>BD!AQ$29</f>
        <v>41.270140080673009</v>
      </c>
      <c r="F390" s="25">
        <f>RD!AR$28</f>
        <v>490.88931985094069</v>
      </c>
      <c r="G390" s="25">
        <f t="shared" si="41"/>
        <v>532.1594599316137</v>
      </c>
      <c r="H390" s="26">
        <f t="shared" si="40"/>
        <v>0.93061786219805498</v>
      </c>
      <c r="I390" s="26">
        <f t="shared" si="39"/>
        <v>1.0965028823729515</v>
      </c>
      <c r="J390" s="26">
        <f t="shared" si="44"/>
        <v>1.0815516427036398</v>
      </c>
      <c r="K390" s="25">
        <f t="shared" si="42"/>
        <v>37.435517907360058</v>
      </c>
      <c r="L390" s="25">
        <f t="shared" si="42"/>
        <v>-525.63672485311076</v>
      </c>
      <c r="M390" s="25">
        <f t="shared" si="42"/>
        <v>-488.20120694575047</v>
      </c>
    </row>
    <row r="391" spans="1:13" x14ac:dyDescent="0.2">
      <c r="A391" s="22">
        <v>52383</v>
      </c>
      <c r="B391" s="25">
        <f>'[2]US EIA'!$R539</f>
        <v>539.55555555554838</v>
      </c>
      <c r="C391" s="23">
        <f>'[1]Renewable Diesel'!$AX402</f>
        <v>5446.8500000000013</v>
      </c>
      <c r="D391" s="25">
        <f t="shared" si="43"/>
        <v>5986.4055555555497</v>
      </c>
      <c r="E391" s="25">
        <f>BD!AQ$30</f>
        <v>40.383088553454257</v>
      </c>
      <c r="F391" s="25">
        <f>RD!AR$29</f>
        <v>492.13759767026903</v>
      </c>
      <c r="G391" s="25">
        <f t="shared" si="41"/>
        <v>532.52068622372326</v>
      </c>
      <c r="H391" s="26">
        <f t="shared" si="40"/>
        <v>0.88124067265038919</v>
      </c>
      <c r="I391" s="26">
        <f t="shared" si="39"/>
        <v>1.0638301637474881</v>
      </c>
      <c r="J391" s="26">
        <f t="shared" si="44"/>
        <v>1.0473733478179235</v>
      </c>
      <c r="K391" s="25">
        <f t="shared" si="42"/>
        <v>64.077254845522489</v>
      </c>
      <c r="L391" s="25">
        <f t="shared" si="42"/>
        <v>-347.67332740800543</v>
      </c>
      <c r="M391" s="25">
        <f t="shared" si="42"/>
        <v>-283.59607256248239</v>
      </c>
    </row>
    <row r="392" spans="1:13" x14ac:dyDescent="0.2">
      <c r="A392" s="22">
        <v>52413</v>
      </c>
      <c r="B392" s="25">
        <f>'[2]US EIA'!$R540</f>
        <v>539.55555555554838</v>
      </c>
      <c r="C392" s="23">
        <f>'[1]Renewable Diesel'!$AX403</f>
        <v>5446.8500000000013</v>
      </c>
      <c r="D392" s="25">
        <f t="shared" si="43"/>
        <v>5986.4055555555497</v>
      </c>
      <c r="E392" s="25">
        <f>BD!AQ$31</f>
        <v>40.140155453395899</v>
      </c>
      <c r="F392" s="25">
        <f>RD!AR$30</f>
        <v>479.18542611763957</v>
      </c>
      <c r="G392" s="25">
        <f t="shared" si="41"/>
        <v>519.32558157103551</v>
      </c>
      <c r="H392" s="26">
        <f t="shared" si="40"/>
        <v>0.90513736040916581</v>
      </c>
      <c r="I392" s="26">
        <f t="shared" si="39"/>
        <v>1.0703598136717456</v>
      </c>
      <c r="J392" s="26">
        <f t="shared" si="44"/>
        <v>1.0554682912493112</v>
      </c>
      <c r="K392" s="25">
        <f t="shared" si="42"/>
        <v>51.183664205898296</v>
      </c>
      <c r="L392" s="25">
        <f t="shared" si="42"/>
        <v>-383.23935109794758</v>
      </c>
      <c r="M392" s="25">
        <f t="shared" si="42"/>
        <v>-332.05568689204978</v>
      </c>
    </row>
    <row r="393" spans="1:13" x14ac:dyDescent="0.2">
      <c r="A393" s="22">
        <v>52444</v>
      </c>
      <c r="B393" s="25">
        <f>'[2]US EIA'!$R541</f>
        <v>539.55555555554838</v>
      </c>
      <c r="C393" s="23">
        <f>'[1]Renewable Diesel'!$AX404</f>
        <v>5446.8500000000013</v>
      </c>
      <c r="D393" s="25">
        <f t="shared" si="43"/>
        <v>5986.4055555555497</v>
      </c>
      <c r="E393" s="25">
        <f>BD!AQ$32</f>
        <v>41.467524428641973</v>
      </c>
      <c r="F393" s="25">
        <f>RD!AR$31</f>
        <v>493.49513425461197</v>
      </c>
      <c r="G393" s="25">
        <f t="shared" si="41"/>
        <v>534.96265868325395</v>
      </c>
      <c r="H393" s="26">
        <f t="shared" si="40"/>
        <v>0.90490525686939138</v>
      </c>
      <c r="I393" s="26">
        <f t="shared" si="39"/>
        <v>1.0667646852586494</v>
      </c>
      <c r="J393" s="26">
        <f t="shared" si="44"/>
        <v>1.0521762727302961</v>
      </c>
      <c r="K393" s="25">
        <f t="shared" si="42"/>
        <v>51.308896960247701</v>
      </c>
      <c r="L393" s="25">
        <f t="shared" si="42"/>
        <v>-363.6572259010747</v>
      </c>
      <c r="M393" s="25">
        <f t="shared" si="42"/>
        <v>-312.34832894082626</v>
      </c>
    </row>
    <row r="394" spans="1:13" x14ac:dyDescent="0.2">
      <c r="A394" s="22">
        <v>52475</v>
      </c>
      <c r="B394" s="25">
        <f>'[2]US EIA'!$R542</f>
        <v>539.55555555554838</v>
      </c>
      <c r="C394" s="23">
        <f>'[1]Renewable Diesel'!$AX405</f>
        <v>5446.8500000000013</v>
      </c>
      <c r="D394" s="25">
        <f t="shared" si="43"/>
        <v>5986.4055555555497</v>
      </c>
      <c r="E394" s="25">
        <f>BD!AQ$33</f>
        <v>39.109295640294704</v>
      </c>
      <c r="F394" s="25">
        <f>RD!AR$32</f>
        <v>499.57784943475701</v>
      </c>
      <c r="G394" s="25">
        <f t="shared" si="41"/>
        <v>538.68714507505172</v>
      </c>
      <c r="H394" s="26">
        <f t="shared" si="40"/>
        <v>0.85344393486189218</v>
      </c>
      <c r="I394" s="26">
        <f t="shared" ref="I394:I457" si="45">(F394/(A394-A393)*365)/C394</f>
        <v>1.0799133979698019</v>
      </c>
      <c r="J394" s="26">
        <f t="shared" si="44"/>
        <v>1.059501674131587</v>
      </c>
      <c r="K394" s="25">
        <f t="shared" si="42"/>
        <v>79.075139145626892</v>
      </c>
      <c r="L394" s="25">
        <f t="shared" si="42"/>
        <v>-435.2762917318156</v>
      </c>
      <c r="M394" s="25">
        <f t="shared" si="42"/>
        <v>-356.20115258618847</v>
      </c>
    </row>
    <row r="395" spans="1:13" x14ac:dyDescent="0.2">
      <c r="A395" s="22">
        <v>52505</v>
      </c>
      <c r="B395" s="25">
        <f>'[2]US EIA'!$R543</f>
        <v>539.55555555554838</v>
      </c>
      <c r="C395" s="23">
        <f>'[1]Renewable Diesel'!$AX406</f>
        <v>5446.8500000000013</v>
      </c>
      <c r="D395" s="25">
        <f t="shared" si="43"/>
        <v>5986.4055555555497</v>
      </c>
      <c r="E395" s="25">
        <f>BD!AQ$34</f>
        <v>39.942714021808484</v>
      </c>
      <c r="F395" s="25">
        <f>RD!AR$33</f>
        <v>542.593217690762</v>
      </c>
      <c r="G395" s="25">
        <f t="shared" si="41"/>
        <v>582.53593171257046</v>
      </c>
      <c r="H395" s="26">
        <f t="shared" si="40"/>
        <v>0.90068516997283499</v>
      </c>
      <c r="I395" s="26">
        <f t="shared" si="45"/>
        <v>1.2119942379976689</v>
      </c>
      <c r="J395" s="26">
        <f t="shared" si="44"/>
        <v>1.1839359089070614</v>
      </c>
      <c r="K395" s="25">
        <f t="shared" si="42"/>
        <v>53.585868290211877</v>
      </c>
      <c r="L395" s="25">
        <f t="shared" si="42"/>
        <v>-1154.7008152376031</v>
      </c>
      <c r="M395" s="25">
        <f t="shared" si="42"/>
        <v>-1101.1149469473917</v>
      </c>
    </row>
    <row r="396" spans="1:13" x14ac:dyDescent="0.2">
      <c r="A396" s="22">
        <v>52536</v>
      </c>
      <c r="B396" s="25">
        <f>'[2]US EIA'!$R544</f>
        <v>539.55555555554838</v>
      </c>
      <c r="C396" s="23">
        <f>'[1]Renewable Diesel'!$AX407</f>
        <v>5446.8500000000013</v>
      </c>
      <c r="D396" s="25">
        <f t="shared" si="43"/>
        <v>5986.4055555555497</v>
      </c>
      <c r="E396" s="25">
        <f>BD!AQ$35</f>
        <v>38.014510466681941</v>
      </c>
      <c r="F396" s="25">
        <f>RD!AR$34</f>
        <v>655.62528377727415</v>
      </c>
      <c r="G396" s="25">
        <f t="shared" si="41"/>
        <v>693.63979424395609</v>
      </c>
      <c r="H396" s="26">
        <f t="shared" si="40"/>
        <v>0.82955350801835992</v>
      </c>
      <c r="I396" s="26">
        <f t="shared" si="45"/>
        <v>1.417233627951906</v>
      </c>
      <c r="J396" s="26">
        <f t="shared" si="44"/>
        <v>1.364265937965478</v>
      </c>
      <c r="K396" s="25">
        <f t="shared" si="42"/>
        <v>91.965351673648129</v>
      </c>
      <c r="L396" s="25">
        <f t="shared" si="42"/>
        <v>-2272.6089864098399</v>
      </c>
      <c r="M396" s="25">
        <f t="shared" si="42"/>
        <v>-2180.643634736191</v>
      </c>
    </row>
    <row r="397" spans="1:13" x14ac:dyDescent="0.2">
      <c r="A397" s="22">
        <v>52566</v>
      </c>
      <c r="B397" s="25">
        <f>'[2]US EIA'!$R545</f>
        <v>539.55555555554838</v>
      </c>
      <c r="C397" s="23">
        <f>'[1]Renewable Diesel'!$AX408</f>
        <v>5446.8500000000013</v>
      </c>
      <c r="D397" s="25">
        <f t="shared" si="43"/>
        <v>5986.4055555555497</v>
      </c>
      <c r="E397" s="25">
        <f>BD!AQ$36</f>
        <v>48.454651010795352</v>
      </c>
      <c r="F397" s="25">
        <f>RD!AR$35</f>
        <v>742.09683995330363</v>
      </c>
      <c r="G397" s="25">
        <f t="shared" si="41"/>
        <v>790.551490964099</v>
      </c>
      <c r="H397" s="26">
        <f t="shared" si="40"/>
        <v>1.0926244410383363</v>
      </c>
      <c r="I397" s="26">
        <f t="shared" si="45"/>
        <v>1.6576268643525205</v>
      </c>
      <c r="J397" s="26">
        <f t="shared" si="44"/>
        <v>1.6067031182794522</v>
      </c>
      <c r="K397" s="25">
        <f t="shared" si="42"/>
        <v>-49.976031742461693</v>
      </c>
      <c r="L397" s="25">
        <f t="shared" si="42"/>
        <v>-3581.9948860985269</v>
      </c>
      <c r="M397" s="25">
        <f t="shared" si="42"/>
        <v>-3631.9709178409885</v>
      </c>
    </row>
    <row r="398" spans="1:13" x14ac:dyDescent="0.2">
      <c r="A398" s="22">
        <v>52597</v>
      </c>
      <c r="B398" s="25">
        <f>'[2]US EIA'!$R546</f>
        <v>539.55555555554838</v>
      </c>
      <c r="C398" s="23">
        <f>'[1]Renewable Diesel'!$AX409</f>
        <v>5446.8500000000013</v>
      </c>
      <c r="D398" s="25">
        <f t="shared" si="43"/>
        <v>5986.4055555555497</v>
      </c>
      <c r="E398" s="25">
        <f>BD!AR$25</f>
        <v>26.844185880740316</v>
      </c>
      <c r="F398" s="25">
        <f>RD!AS$24</f>
        <v>401.73417858368697</v>
      </c>
      <c r="G398" s="25">
        <f t="shared" si="41"/>
        <v>428.5783644644273</v>
      </c>
      <c r="H398" s="26">
        <f t="shared" si="40"/>
        <v>0.58579443201781034</v>
      </c>
      <c r="I398" s="26">
        <f t="shared" si="45"/>
        <v>0.86840944282413435</v>
      </c>
      <c r="J398" s="26">
        <f t="shared" si="44"/>
        <v>0.84293731305463826</v>
      </c>
      <c r="K398" s="25">
        <f t="shared" si="42"/>
        <v>223.48691534683181</v>
      </c>
      <c r="L398" s="25">
        <f t="shared" si="42"/>
        <v>716.754026353364</v>
      </c>
      <c r="M398" s="25">
        <f t="shared" si="42"/>
        <v>940.24094170019566</v>
      </c>
    </row>
    <row r="399" spans="1:13" x14ac:dyDescent="0.2">
      <c r="A399" s="22">
        <v>52628</v>
      </c>
      <c r="B399" s="25">
        <f>'[2]US EIA'!$R547</f>
        <v>539.55555555554838</v>
      </c>
      <c r="C399" s="23">
        <f>'[1]Renewable Diesel'!$AX410</f>
        <v>5446.8500000000013</v>
      </c>
      <c r="D399" s="25">
        <f t="shared" si="43"/>
        <v>5986.4055555555497</v>
      </c>
      <c r="E399" s="25">
        <f>BD!AR$26</f>
        <v>25.143292362227889</v>
      </c>
      <c r="F399" s="25">
        <f>RD!AS$25</f>
        <v>437.83050935546811</v>
      </c>
      <c r="G399" s="25">
        <f t="shared" si="41"/>
        <v>462.97380171769601</v>
      </c>
      <c r="H399" s="26">
        <f t="shared" si="40"/>
        <v>0.5486774951501282</v>
      </c>
      <c r="I399" s="26">
        <f t="shared" si="45"/>
        <v>0.94643714413655378</v>
      </c>
      <c r="J399" s="26">
        <f t="shared" si="44"/>
        <v>0.91058701230121841</v>
      </c>
      <c r="K399" s="25">
        <f t="shared" si="42"/>
        <v>243.51356483899426</v>
      </c>
      <c r="L399" s="25">
        <f t="shared" si="42"/>
        <v>291.74884145981213</v>
      </c>
      <c r="M399" s="25">
        <f t="shared" si="42"/>
        <v>535.26240629880613</v>
      </c>
    </row>
    <row r="400" spans="1:13" x14ac:dyDescent="0.2">
      <c r="A400" s="22">
        <v>52657</v>
      </c>
      <c r="B400" s="25">
        <f>'[2]US EIA'!$R548</f>
        <v>539.55555555554838</v>
      </c>
      <c r="C400" s="23">
        <f>'[1]Renewable Diesel'!$AX411</f>
        <v>5446.8500000000013</v>
      </c>
      <c r="D400" s="25">
        <f t="shared" si="43"/>
        <v>5986.4055555555497</v>
      </c>
      <c r="E400" s="25">
        <f>BD!AR$27</f>
        <v>28.877510744823834</v>
      </c>
      <c r="F400" s="25">
        <f>RD!AS$26</f>
        <v>468.61884621794417</v>
      </c>
      <c r="G400" s="25">
        <f t="shared" si="41"/>
        <v>497.496356962768</v>
      </c>
      <c r="H400" s="26">
        <f t="shared" si="40"/>
        <v>0.67362539621618156</v>
      </c>
      <c r="I400" s="26">
        <f t="shared" si="45"/>
        <v>1.0828522456323193</v>
      </c>
      <c r="J400" s="26">
        <f t="shared" si="44"/>
        <v>1.0459685734460837</v>
      </c>
      <c r="K400" s="25">
        <f t="shared" si="42"/>
        <v>176.09723066380013</v>
      </c>
      <c r="L400" s="25">
        <f t="shared" si="42"/>
        <v>-451.28375412239848</v>
      </c>
      <c r="M400" s="25">
        <f t="shared" si="42"/>
        <v>-275.18652345859903</v>
      </c>
    </row>
    <row r="401" spans="1:13" x14ac:dyDescent="0.2">
      <c r="A401" s="22">
        <v>52688</v>
      </c>
      <c r="B401" s="25">
        <f>'[2]US EIA'!$R549</f>
        <v>539.55555555554838</v>
      </c>
      <c r="C401" s="23">
        <f>'[1]Renewable Diesel'!$AX412</f>
        <v>5446.8500000000013</v>
      </c>
      <c r="D401" s="25">
        <f t="shared" si="43"/>
        <v>5986.4055555555497</v>
      </c>
      <c r="E401" s="25">
        <f>BD!AR$28</f>
        <v>32.111140083339045</v>
      </c>
      <c r="F401" s="25">
        <f>RD!AS$27</f>
        <v>448.37891680213147</v>
      </c>
      <c r="G401" s="25">
        <f t="shared" si="41"/>
        <v>480.49005688547049</v>
      </c>
      <c r="H401" s="26">
        <f t="shared" si="40"/>
        <v>0.70073002586603972</v>
      </c>
      <c r="I401" s="26">
        <f t="shared" si="45"/>
        <v>0.96923912893588948</v>
      </c>
      <c r="J401" s="26">
        <f t="shared" si="44"/>
        <v>0.94503836656954321</v>
      </c>
      <c r="K401" s="25">
        <f t="shared" si="42"/>
        <v>161.47277715494354</v>
      </c>
      <c r="L401" s="25">
        <f t="shared" si="42"/>
        <v>167.54985055555042</v>
      </c>
      <c r="M401" s="25">
        <f t="shared" si="42"/>
        <v>329.02262771049413</v>
      </c>
    </row>
    <row r="402" spans="1:13" x14ac:dyDescent="0.2">
      <c r="A402" s="22">
        <v>52718</v>
      </c>
      <c r="B402" s="25">
        <f>'[2]US EIA'!$R550</f>
        <v>539.55555555554838</v>
      </c>
      <c r="C402" s="23">
        <f>'[1]Renewable Diesel'!$AX413</f>
        <v>5446.8500000000013</v>
      </c>
      <c r="D402" s="25">
        <f t="shared" si="43"/>
        <v>5986.4055555555497</v>
      </c>
      <c r="E402" s="25">
        <f>BD!AR$29</f>
        <v>34.309714241686855</v>
      </c>
      <c r="F402" s="25">
        <f>RD!AS$28</f>
        <v>500.66195388548073</v>
      </c>
      <c r="G402" s="25">
        <f t="shared" si="41"/>
        <v>534.97166812716762</v>
      </c>
      <c r="H402" s="26">
        <f t="shared" si="40"/>
        <v>0.77366427295402806</v>
      </c>
      <c r="I402" s="26">
        <f t="shared" si="45"/>
        <v>1.118332082874814</v>
      </c>
      <c r="J402" s="26">
        <f t="shared" si="44"/>
        <v>1.0872671257919548</v>
      </c>
      <c r="K402" s="25">
        <f t="shared" si="42"/>
        <v>122.12069894835834</v>
      </c>
      <c r="L402" s="25">
        <f t="shared" si="42"/>
        <v>-644.53710560668083</v>
      </c>
      <c r="M402" s="25">
        <f t="shared" si="42"/>
        <v>-522.41640665832347</v>
      </c>
    </row>
    <row r="403" spans="1:13" x14ac:dyDescent="0.2">
      <c r="A403" s="22">
        <v>52749</v>
      </c>
      <c r="B403" s="25">
        <f>'[2]US EIA'!$R551</f>
        <v>539.55555555554838</v>
      </c>
      <c r="C403" s="23">
        <f>'[1]Renewable Diesel'!$AX414</f>
        <v>5446.8500000000013</v>
      </c>
      <c r="D403" s="25">
        <f t="shared" si="43"/>
        <v>5986.4055555555497</v>
      </c>
      <c r="E403" s="25">
        <f>BD!AR$30</f>
        <v>33.582137001945213</v>
      </c>
      <c r="F403" s="25">
        <f>RD!AS$29</f>
        <v>501.95704962916807</v>
      </c>
      <c r="G403" s="25">
        <f t="shared" si="41"/>
        <v>535.53918663111324</v>
      </c>
      <c r="H403" s="26">
        <f t="shared" si="40"/>
        <v>0.73283015392591466</v>
      </c>
      <c r="I403" s="26">
        <f t="shared" si="45"/>
        <v>1.0850564005454841</v>
      </c>
      <c r="J403" s="26">
        <f t="shared" si="44"/>
        <v>1.053310200524054</v>
      </c>
      <c r="K403" s="25">
        <f t="shared" si="42"/>
        <v>144.15297472619346</v>
      </c>
      <c r="L403" s="25">
        <f t="shared" si="42"/>
        <v>-463.28945531117034</v>
      </c>
      <c r="M403" s="25">
        <f t="shared" si="42"/>
        <v>-319.13648058497722</v>
      </c>
    </row>
    <row r="404" spans="1:13" x14ac:dyDescent="0.2">
      <c r="A404" s="22">
        <v>52779</v>
      </c>
      <c r="B404" s="25">
        <f>'[2]US EIA'!$R552</f>
        <v>539.55555555554838</v>
      </c>
      <c r="C404" s="23">
        <f>'[1]Renewable Diesel'!$AX415</f>
        <v>5446.8500000000013</v>
      </c>
      <c r="D404" s="25">
        <f t="shared" si="43"/>
        <v>5986.4055555555497</v>
      </c>
      <c r="E404" s="25">
        <f>BD!AR$31</f>
        <v>33.381409638825247</v>
      </c>
      <c r="F404" s="25">
        <f>RD!AS$30</f>
        <v>488.73230266466373</v>
      </c>
      <c r="G404" s="25">
        <f t="shared" si="41"/>
        <v>522.11371230348902</v>
      </c>
      <c r="H404" s="26">
        <f t="shared" si="40"/>
        <v>0.75273153942574411</v>
      </c>
      <c r="I404" s="26">
        <f t="shared" si="45"/>
        <v>1.0916847381061361</v>
      </c>
      <c r="J404" s="26">
        <f t="shared" si="44"/>
        <v>1.0611348397198486</v>
      </c>
      <c r="K404" s="25">
        <f t="shared" si="42"/>
        <v>133.41507161650784</v>
      </c>
      <c r="L404" s="25">
        <f t="shared" si="42"/>
        <v>-499.39301575340744</v>
      </c>
      <c r="M404" s="25">
        <f t="shared" si="42"/>
        <v>-365.97794413689957</v>
      </c>
    </row>
    <row r="405" spans="1:13" x14ac:dyDescent="0.2">
      <c r="A405" s="22">
        <v>52810</v>
      </c>
      <c r="B405" s="25">
        <f>'[2]US EIA'!$R553</f>
        <v>539.55555555554838</v>
      </c>
      <c r="C405" s="23">
        <f>'[1]Renewable Diesel'!$AX416</f>
        <v>5446.8500000000013</v>
      </c>
      <c r="D405" s="25">
        <f t="shared" si="43"/>
        <v>5986.4055555555497</v>
      </c>
      <c r="E405" s="25">
        <f>BD!AR$32</f>
        <v>34.485499880381511</v>
      </c>
      <c r="F405" s="25">
        <f>RD!AS$31</f>
        <v>503.36486006139029</v>
      </c>
      <c r="G405" s="25">
        <f t="shared" si="41"/>
        <v>537.85035994177179</v>
      </c>
      <c r="H405" s="26">
        <f t="shared" si="40"/>
        <v>0.75254335911047698</v>
      </c>
      <c r="I405" s="26">
        <f t="shared" si="45"/>
        <v>1.0880995966144826</v>
      </c>
      <c r="J405" s="26">
        <f t="shared" si="44"/>
        <v>1.0578558668059361</v>
      </c>
      <c r="K405" s="25">
        <f t="shared" si="42"/>
        <v>133.51660535105643</v>
      </c>
      <c r="L405" s="25">
        <f t="shared" si="42"/>
        <v>-479.86528781959487</v>
      </c>
      <c r="M405" s="25">
        <f t="shared" si="42"/>
        <v>-346.34868246853796</v>
      </c>
    </row>
    <row r="406" spans="1:13" x14ac:dyDescent="0.2">
      <c r="A406" s="22">
        <v>52841</v>
      </c>
      <c r="B406" s="25">
        <f>'[2]US EIA'!$R554</f>
        <v>539.55555555554838</v>
      </c>
      <c r="C406" s="23">
        <f>'[1]Renewable Diesel'!$AX417</f>
        <v>5446.8500000000013</v>
      </c>
      <c r="D406" s="25">
        <f t="shared" si="43"/>
        <v>5986.4055555555497</v>
      </c>
      <c r="E406" s="25">
        <f>BD!AR$33</f>
        <v>32.522701503456489</v>
      </c>
      <c r="F406" s="25">
        <f>RD!AS$32</f>
        <v>509.55667475729842</v>
      </c>
      <c r="G406" s="25">
        <f t="shared" si="41"/>
        <v>542.07937626075488</v>
      </c>
      <c r="H406" s="26">
        <f t="shared" si="40"/>
        <v>0.70971112849322415</v>
      </c>
      <c r="I406" s="26">
        <f t="shared" si="45"/>
        <v>1.1014841444991075</v>
      </c>
      <c r="J406" s="26">
        <f t="shared" si="44"/>
        <v>1.066173588717173</v>
      </c>
      <c r="K406" s="25">
        <f t="shared" si="42"/>
        <v>156.62697333743165</v>
      </c>
      <c r="L406" s="25">
        <f t="shared" si="42"/>
        <v>-552.76891246496371</v>
      </c>
      <c r="M406" s="25">
        <f t="shared" si="42"/>
        <v>-396.14193912753279</v>
      </c>
    </row>
    <row r="407" spans="1:13" x14ac:dyDescent="0.2">
      <c r="A407" s="22">
        <v>52871</v>
      </c>
      <c r="B407" s="25">
        <f>'[2]US EIA'!$R555</f>
        <v>539.55555555554838</v>
      </c>
      <c r="C407" s="23">
        <f>'[1]Renewable Diesel'!$AX418</f>
        <v>5446.8500000000013</v>
      </c>
      <c r="D407" s="25">
        <f t="shared" si="43"/>
        <v>5986.4055555555497</v>
      </c>
      <c r="E407" s="25">
        <f>BD!AR$34</f>
        <v>33.197674960756878</v>
      </c>
      <c r="F407" s="25">
        <f>RD!AS$33</f>
        <v>553.39847727520532</v>
      </c>
      <c r="G407" s="25">
        <f t="shared" si="41"/>
        <v>586.59615223596222</v>
      </c>
      <c r="H407" s="26">
        <f t="shared" si="40"/>
        <v>0.74858842837786788</v>
      </c>
      <c r="I407" s="26">
        <f t="shared" si="45"/>
        <v>1.2361300213606634</v>
      </c>
      <c r="J407" s="26">
        <f t="shared" si="44"/>
        <v>1.1921878305723788</v>
      </c>
      <c r="K407" s="25">
        <f t="shared" si="42"/>
        <v>135.65051019967305</v>
      </c>
      <c r="L407" s="25">
        <f t="shared" si="42"/>
        <v>-1286.1648068483298</v>
      </c>
      <c r="M407" s="25">
        <f t="shared" si="42"/>
        <v>-1150.5142966486569</v>
      </c>
    </row>
    <row r="408" spans="1:13" x14ac:dyDescent="0.2">
      <c r="A408" s="22">
        <v>52902</v>
      </c>
      <c r="B408" s="25">
        <f>'[2]US EIA'!$R556</f>
        <v>539.55555555554838</v>
      </c>
      <c r="C408" s="23">
        <f>'[1]Renewable Diesel'!$AX419</f>
        <v>5446.8500000000013</v>
      </c>
      <c r="D408" s="25">
        <f t="shared" si="43"/>
        <v>5986.4055555555497</v>
      </c>
      <c r="E408" s="25">
        <f>BD!AR$35</f>
        <v>31.594534541580728</v>
      </c>
      <c r="F408" s="25">
        <f>RD!AS$34</f>
        <v>668.66319227012843</v>
      </c>
      <c r="G408" s="25">
        <f t="shared" si="41"/>
        <v>700.25772681170918</v>
      </c>
      <c r="H408" s="26">
        <f t="shared" si="40"/>
        <v>0.68945664803830364</v>
      </c>
      <c r="I408" s="26">
        <f t="shared" si="45"/>
        <v>1.4454170473706573</v>
      </c>
      <c r="J408" s="26">
        <f t="shared" si="44"/>
        <v>1.3772822326718375</v>
      </c>
      <c r="K408" s="25">
        <f t="shared" si="42"/>
        <v>167.55539079177527</v>
      </c>
      <c r="L408" s="25">
        <f t="shared" si="42"/>
        <v>-2426.1198444708657</v>
      </c>
      <c r="M408" s="25">
        <f t="shared" si="42"/>
        <v>-2258.5644536790892</v>
      </c>
    </row>
    <row r="409" spans="1:13" x14ac:dyDescent="0.2">
      <c r="A409" s="22">
        <v>52932</v>
      </c>
      <c r="B409" s="25">
        <f>'[2]US EIA'!$R557</f>
        <v>539.55555555554838</v>
      </c>
      <c r="C409" s="23">
        <f>'[1]Renewable Diesel'!$AX420</f>
        <v>5446.8500000000013</v>
      </c>
      <c r="D409" s="25">
        <f t="shared" si="43"/>
        <v>5986.4055555555497</v>
      </c>
      <c r="E409" s="25">
        <f>BD!AR$36</f>
        <v>40.154375078910661</v>
      </c>
      <c r="F409" s="25">
        <f>RD!AS$35</f>
        <v>756.84747637819601</v>
      </c>
      <c r="G409" s="25">
        <f t="shared" si="41"/>
        <v>797.00185145710668</v>
      </c>
      <c r="H409" s="26">
        <f t="shared" si="40"/>
        <v>0.90545800476539851</v>
      </c>
      <c r="I409" s="26">
        <f t="shared" si="45"/>
        <v>1.6905754633598102</v>
      </c>
      <c r="J409" s="26">
        <f t="shared" si="44"/>
        <v>1.6198127189020544</v>
      </c>
      <c r="K409" s="25">
        <f t="shared" si="42"/>
        <v>51.010658762135414</v>
      </c>
      <c r="L409" s="25">
        <f t="shared" si="42"/>
        <v>-3761.4609626013835</v>
      </c>
      <c r="M409" s="25">
        <f t="shared" si="42"/>
        <v>-3710.4503038392486</v>
      </c>
    </row>
    <row r="410" spans="1:13" x14ac:dyDescent="0.2">
      <c r="A410" s="22">
        <v>52963</v>
      </c>
      <c r="B410" s="25">
        <f>'[2]US EIA'!$R558</f>
        <v>539.55555555554838</v>
      </c>
      <c r="C410" s="23">
        <f>'[1]Renewable Diesel'!$AX421</f>
        <v>5446.8500000000013</v>
      </c>
      <c r="D410" s="25">
        <f t="shared" si="43"/>
        <v>5986.4055555555497</v>
      </c>
      <c r="E410" s="25">
        <f>BD!AS$25</f>
        <v>27.013877851393197</v>
      </c>
      <c r="F410" s="25">
        <f>RD!AT$24</f>
        <v>399.45715346708329</v>
      </c>
      <c r="G410" s="25">
        <f t="shared" si="41"/>
        <v>426.47103131847649</v>
      </c>
      <c r="H410" s="26">
        <f t="shared" si="40"/>
        <v>0.58949745404307163</v>
      </c>
      <c r="I410" s="26">
        <f t="shared" si="45"/>
        <v>0.86348730719759215</v>
      </c>
      <c r="J410" s="26">
        <f t="shared" si="44"/>
        <v>0.8387925640727838</v>
      </c>
      <c r="K410" s="25">
        <f t="shared" si="42"/>
        <v>221.48892924075753</v>
      </c>
      <c r="L410" s="25">
        <f t="shared" si="42"/>
        <v>743.56416079079543</v>
      </c>
      <c r="M410" s="25">
        <f t="shared" si="42"/>
        <v>965.05309003155241</v>
      </c>
    </row>
    <row r="411" spans="1:13" x14ac:dyDescent="0.2">
      <c r="A411" s="22">
        <v>52994</v>
      </c>
      <c r="B411" s="25">
        <f>'[2]US EIA'!$R559</f>
        <v>539.55555555554838</v>
      </c>
      <c r="C411" s="23">
        <f>'[1]Renewable Diesel'!$AX422</f>
        <v>5446.8500000000013</v>
      </c>
      <c r="D411" s="25">
        <f t="shared" si="43"/>
        <v>5986.4055555555497</v>
      </c>
      <c r="E411" s="25">
        <f>BD!AS$26</f>
        <v>25.426358466015618</v>
      </c>
      <c r="F411" s="25">
        <f>RD!AT$25</f>
        <v>435.32969764782507</v>
      </c>
      <c r="G411" s="25">
        <f t="shared" si="41"/>
        <v>460.75605611384071</v>
      </c>
      <c r="H411" s="26">
        <f t="shared" si="40"/>
        <v>0.55485457007534689</v>
      </c>
      <c r="I411" s="26">
        <f t="shared" si="45"/>
        <v>0.94103125980453406</v>
      </c>
      <c r="J411" s="26">
        <f t="shared" si="44"/>
        <v>0.90622510167913506</v>
      </c>
      <c r="K411" s="25">
        <f t="shared" si="42"/>
        <v>240.18068974600965</v>
      </c>
      <c r="L411" s="25">
        <f t="shared" si="42"/>
        <v>321.19388253367373</v>
      </c>
      <c r="M411" s="25">
        <f t="shared" si="42"/>
        <v>561.37457227968264</v>
      </c>
    </row>
    <row r="412" spans="1:13" x14ac:dyDescent="0.2">
      <c r="A412" s="22">
        <v>53022</v>
      </c>
      <c r="B412" s="25">
        <f>'[2]US EIA'!$R560</f>
        <v>539.55555555554838</v>
      </c>
      <c r="C412" s="23">
        <f>'[1]Renewable Diesel'!$AX423</f>
        <v>5446.8500000000013</v>
      </c>
      <c r="D412" s="25">
        <f t="shared" si="43"/>
        <v>5986.4055555555497</v>
      </c>
      <c r="E412" s="25">
        <f>BD!AS$27</f>
        <v>29.204532279186378</v>
      </c>
      <c r="F412" s="25">
        <f>RD!AT$26</f>
        <v>465.97345787264112</v>
      </c>
      <c r="G412" s="25">
        <f t="shared" si="41"/>
        <v>495.17799015182749</v>
      </c>
      <c r="H412" s="26">
        <f t="shared" si="40"/>
        <v>0.7055843179066289</v>
      </c>
      <c r="I412" s="26">
        <f t="shared" si="45"/>
        <v>1.1151944447807576</v>
      </c>
      <c r="J412" s="26">
        <f t="shared" si="44"/>
        <v>1.0782762277445517</v>
      </c>
      <c r="K412" s="25">
        <f t="shared" si="42"/>
        <v>158.85361691615455</v>
      </c>
      <c r="L412" s="25">
        <f t="shared" si="42"/>
        <v>-627.44686155406953</v>
      </c>
      <c r="M412" s="25">
        <f t="shared" si="42"/>
        <v>-468.59324463791557</v>
      </c>
    </row>
    <row r="413" spans="1:13" x14ac:dyDescent="0.2">
      <c r="A413" s="22">
        <v>53053</v>
      </c>
      <c r="B413" s="25">
        <f>'[2]US EIA'!$R561</f>
        <v>539.55555555554838</v>
      </c>
      <c r="C413" s="23">
        <f>'[1]Renewable Diesel'!$AX424</f>
        <v>5446.8500000000013</v>
      </c>
      <c r="D413" s="25">
        <f t="shared" si="43"/>
        <v>5986.4055555555497</v>
      </c>
      <c r="E413" s="25">
        <f>BD!AS$28</f>
        <v>32.470653858680109</v>
      </c>
      <c r="F413" s="25">
        <f>RD!AT$27</f>
        <v>445.82222049405357</v>
      </c>
      <c r="G413" s="25">
        <f t="shared" si="41"/>
        <v>478.29287435273369</v>
      </c>
      <c r="H413" s="26">
        <f t="shared" si="40"/>
        <v>0.70857534361060204</v>
      </c>
      <c r="I413" s="26">
        <f t="shared" si="45"/>
        <v>0.96371244155221725</v>
      </c>
      <c r="J413" s="26">
        <f t="shared" si="44"/>
        <v>0.94071689984606499</v>
      </c>
      <c r="K413" s="25">
        <f t="shared" si="42"/>
        <v>157.2397923807664</v>
      </c>
      <c r="L413" s="25">
        <f t="shared" si="42"/>
        <v>197.65288773130553</v>
      </c>
      <c r="M413" s="25">
        <f t="shared" si="42"/>
        <v>354.89268011207258</v>
      </c>
    </row>
    <row r="414" spans="1:13" x14ac:dyDescent="0.2">
      <c r="A414" s="22">
        <v>53083</v>
      </c>
      <c r="B414" s="25">
        <f>'[2]US EIA'!$R562</f>
        <v>539.55555555554838</v>
      </c>
      <c r="C414" s="23">
        <f>'[1]Renewable Diesel'!$AX425</f>
        <v>5446.8500000000013</v>
      </c>
      <c r="D414" s="25">
        <f t="shared" si="43"/>
        <v>5986.4055555555497</v>
      </c>
      <c r="E414" s="25">
        <f>BD!AS$29</f>
        <v>34.691843448946358</v>
      </c>
      <c r="F414" s="25">
        <f>RD!AT$28</f>
        <v>497.80739627595096</v>
      </c>
      <c r="G414" s="25">
        <f t="shared" si="41"/>
        <v>532.49923972489728</v>
      </c>
      <c r="H414" s="26">
        <f t="shared" si="40"/>
        <v>0.78228106623963678</v>
      </c>
      <c r="I414" s="26">
        <f t="shared" si="45"/>
        <v>1.1119558377210197</v>
      </c>
      <c r="J414" s="26">
        <f t="shared" si="44"/>
        <v>1.0822422052535015</v>
      </c>
      <c r="K414" s="25">
        <f t="shared" si="42"/>
        <v>117.47146026003442</v>
      </c>
      <c r="L414" s="25">
        <f t="shared" si="42"/>
        <v>-609.8066546907362</v>
      </c>
      <c r="M414" s="25">
        <f t="shared" si="42"/>
        <v>-492.33519443070094</v>
      </c>
    </row>
    <row r="415" spans="1:13" x14ac:dyDescent="0.2">
      <c r="A415" s="22">
        <v>53114</v>
      </c>
      <c r="B415" s="25">
        <f>'[2]US EIA'!$R563</f>
        <v>539.55555555554838</v>
      </c>
      <c r="C415" s="23">
        <f>'[1]Renewable Diesel'!$AX426</f>
        <v>5446.8500000000013</v>
      </c>
      <c r="D415" s="25">
        <f t="shared" si="43"/>
        <v>5986.4055555555497</v>
      </c>
      <c r="E415" s="25">
        <f>BD!AS$30</f>
        <v>33.957841315480309</v>
      </c>
      <c r="F415" s="25">
        <f>RD!AT$29</f>
        <v>499.11583075627993</v>
      </c>
      <c r="G415" s="25">
        <f t="shared" si="41"/>
        <v>533.07367207176026</v>
      </c>
      <c r="H415" s="26">
        <f t="shared" si="40"/>
        <v>0.74102878196148625</v>
      </c>
      <c r="I415" s="26">
        <f t="shared" si="45"/>
        <v>1.0789146744243838</v>
      </c>
      <c r="J415" s="26">
        <f t="shared" si="44"/>
        <v>1.0484609724941809</v>
      </c>
      <c r="K415" s="25">
        <f t="shared" si="42"/>
        <v>139.72935942166734</v>
      </c>
      <c r="L415" s="25">
        <f t="shared" si="42"/>
        <v>-429.83639438845512</v>
      </c>
      <c r="M415" s="25">
        <f t="shared" si="42"/>
        <v>-290.10703496678929</v>
      </c>
    </row>
    <row r="416" spans="1:13" x14ac:dyDescent="0.2">
      <c r="A416" s="22">
        <v>53144</v>
      </c>
      <c r="B416" s="25">
        <f>'[2]US EIA'!$R564</f>
        <v>539.55555555554838</v>
      </c>
      <c r="C416" s="23">
        <f>'[1]Renewable Diesel'!$AX427</f>
        <v>5446.8500000000013</v>
      </c>
      <c r="D416" s="25">
        <f t="shared" si="43"/>
        <v>5986.4055555555497</v>
      </c>
      <c r="E416" s="25">
        <f>BD!AS$31</f>
        <v>33.752769407070602</v>
      </c>
      <c r="F416" s="25">
        <f>RD!AT$30</f>
        <v>485.95261805736914</v>
      </c>
      <c r="G416" s="25">
        <f t="shared" si="41"/>
        <v>519.7053874644397</v>
      </c>
      <c r="H416" s="26">
        <f t="shared" si="40"/>
        <v>0.76110548807130973</v>
      </c>
      <c r="I416" s="26">
        <f t="shared" si="45"/>
        <v>1.0854757372973349</v>
      </c>
      <c r="J416" s="26">
        <f t="shared" si="44"/>
        <v>1.0562402021498005</v>
      </c>
      <c r="K416" s="25">
        <f t="shared" si="42"/>
        <v>128.89686110285606</v>
      </c>
      <c r="L416" s="25">
        <f t="shared" si="42"/>
        <v>-465.5735196979889</v>
      </c>
      <c r="M416" s="25">
        <f t="shared" si="42"/>
        <v>-336.67665859513301</v>
      </c>
    </row>
    <row r="417" spans="1:13" x14ac:dyDescent="0.2">
      <c r="A417" s="22">
        <v>53175</v>
      </c>
      <c r="B417" s="25">
        <f>'[2]US EIA'!$R565</f>
        <v>539.55555555554838</v>
      </c>
      <c r="C417" s="23">
        <f>'[1]Renewable Diesel'!$AX428</f>
        <v>5446.8500000000013</v>
      </c>
      <c r="D417" s="25">
        <f t="shared" si="43"/>
        <v>5986.4055555555497</v>
      </c>
      <c r="E417" s="25">
        <f>BD!AS$32</f>
        <v>34.871762705735399</v>
      </c>
      <c r="F417" s="25">
        <f>RD!AT$31</f>
        <v>500.53140909394165</v>
      </c>
      <c r="G417" s="25">
        <f t="shared" si="41"/>
        <v>535.40317179967701</v>
      </c>
      <c r="H417" s="26">
        <f t="shared" si="40"/>
        <v>0.7609723952299936</v>
      </c>
      <c r="I417" s="26">
        <f t="shared" si="45"/>
        <v>1.0819746620007875</v>
      </c>
      <c r="J417" s="26">
        <f t="shared" si="44"/>
        <v>1.0530426835748732</v>
      </c>
      <c r="K417" s="25">
        <f t="shared" si="42"/>
        <v>128.96867208479284</v>
      </c>
      <c r="L417" s="25">
        <f t="shared" si="42"/>
        <v>-446.50368771898957</v>
      </c>
      <c r="M417" s="25">
        <f t="shared" si="42"/>
        <v>-317.53501563419593</v>
      </c>
    </row>
    <row r="418" spans="1:13" x14ac:dyDescent="0.2">
      <c r="A418" s="22">
        <v>53206</v>
      </c>
      <c r="B418" s="25">
        <f>'[2]US EIA'!$R566</f>
        <v>539.55555555554838</v>
      </c>
      <c r="C418" s="23">
        <f>'[1]Renewable Diesel'!$AX429</f>
        <v>5446.8500000000013</v>
      </c>
      <c r="D418" s="25">
        <f t="shared" si="43"/>
        <v>5986.4055555555497</v>
      </c>
      <c r="E418" s="25">
        <f>BD!AS$33</f>
        <v>32.886360264410747</v>
      </c>
      <c r="F418" s="25">
        <f>RD!AT$32</f>
        <v>506.67759734702884</v>
      </c>
      <c r="G418" s="25">
        <f t="shared" si="41"/>
        <v>539.5639576114396</v>
      </c>
      <c r="H418" s="26">
        <f t="shared" si="40"/>
        <v>0.71764689820767624</v>
      </c>
      <c r="I418" s="26">
        <f t="shared" si="45"/>
        <v>1.0952605813994623</v>
      </c>
      <c r="J418" s="26">
        <f t="shared" si="44"/>
        <v>1.061226208230267</v>
      </c>
      <c r="K418" s="25">
        <f t="shared" si="42"/>
        <v>152.34518470038955</v>
      </c>
      <c r="L418" s="25">
        <f t="shared" si="42"/>
        <v>-518.87009779566108</v>
      </c>
      <c r="M418" s="25">
        <f t="shared" si="42"/>
        <v>-366.52491309527147</v>
      </c>
    </row>
    <row r="419" spans="1:13" x14ac:dyDescent="0.2">
      <c r="A419" s="22">
        <v>53236</v>
      </c>
      <c r="B419" s="25">
        <f>'[2]US EIA'!$R567</f>
        <v>539.55555555554838</v>
      </c>
      <c r="C419" s="23">
        <f>'[1]Renewable Diesel'!$AX430</f>
        <v>5446.8500000000013</v>
      </c>
      <c r="D419" s="25">
        <f t="shared" si="43"/>
        <v>5986.4055555555497</v>
      </c>
      <c r="E419" s="25">
        <f>BD!AS$34</f>
        <v>33.565748809970579</v>
      </c>
      <c r="F419" s="25">
        <f>RD!AT$33</f>
        <v>550.2474598193495</v>
      </c>
      <c r="G419" s="25">
        <f t="shared" si="41"/>
        <v>583.81320862932012</v>
      </c>
      <c r="H419" s="26">
        <f t="shared" si="40"/>
        <v>0.75688828144395115</v>
      </c>
      <c r="I419" s="26">
        <f t="shared" si="45"/>
        <v>1.2290915717895818</v>
      </c>
      <c r="J419" s="26">
        <f t="shared" si="44"/>
        <v>1.1865318243262395</v>
      </c>
      <c r="K419" s="25">
        <f t="shared" si="42"/>
        <v>131.17227836757306</v>
      </c>
      <c r="L419" s="25">
        <f t="shared" si="42"/>
        <v>-1247.8274278020842</v>
      </c>
      <c r="M419" s="25">
        <f t="shared" si="42"/>
        <v>-1116.6551494345119</v>
      </c>
    </row>
    <row r="420" spans="1:13" x14ac:dyDescent="0.2">
      <c r="A420" s="22">
        <v>53267</v>
      </c>
      <c r="B420" s="25">
        <f>'[2]US EIA'!$R568</f>
        <v>539.55555555554838</v>
      </c>
      <c r="C420" s="23">
        <f>'[1]Renewable Diesel'!$AX431</f>
        <v>5446.8500000000013</v>
      </c>
      <c r="D420" s="25">
        <f t="shared" si="43"/>
        <v>5986.4055555555497</v>
      </c>
      <c r="E420" s="25">
        <f>BD!AS$35</f>
        <v>31.946974386598431</v>
      </c>
      <c r="F420" s="25">
        <f>RD!AT$34</f>
        <v>664.84091018463346</v>
      </c>
      <c r="G420" s="25">
        <f t="shared" si="41"/>
        <v>696.78788457123187</v>
      </c>
      <c r="H420" s="26">
        <f t="shared" si="40"/>
        <v>0.69714759831520201</v>
      </c>
      <c r="I420" s="26">
        <f t="shared" si="45"/>
        <v>1.4371546041105803</v>
      </c>
      <c r="J420" s="26">
        <f t="shared" si="44"/>
        <v>1.3704576709640472</v>
      </c>
      <c r="K420" s="25">
        <f t="shared" si="42"/>
        <v>163.40569584237326</v>
      </c>
      <c r="L420" s="25">
        <f t="shared" si="42"/>
        <v>-2381.1155553997146</v>
      </c>
      <c r="M420" s="25">
        <f t="shared" si="42"/>
        <v>-2217.7098595573425</v>
      </c>
    </row>
    <row r="421" spans="1:13" x14ac:dyDescent="0.2">
      <c r="A421" s="22">
        <v>53297</v>
      </c>
      <c r="B421" s="25">
        <f>'[2]US EIA'!$R569</f>
        <v>539.55555555554838</v>
      </c>
      <c r="C421" s="23">
        <f>'[1]Renewable Diesel'!$AX432</f>
        <v>5446.8500000000013</v>
      </c>
      <c r="D421" s="25">
        <f t="shared" si="43"/>
        <v>5986.4055555555497</v>
      </c>
      <c r="E421" s="25">
        <f>BD!AS$36</f>
        <v>40.711139313525095</v>
      </c>
      <c r="F421" s="25">
        <f>RD!AT$35</f>
        <v>752.51344544148162</v>
      </c>
      <c r="G421" s="25">
        <f t="shared" si="41"/>
        <v>793.22458475500673</v>
      </c>
      <c r="H421" s="26">
        <f t="shared" si="40"/>
        <v>0.91801271722221112</v>
      </c>
      <c r="I421" s="26">
        <f t="shared" si="45"/>
        <v>1.6808945083619629</v>
      </c>
      <c r="J421" s="26">
        <f t="shared" si="44"/>
        <v>1.6121358676681949</v>
      </c>
      <c r="K421" s="25">
        <f t="shared" si="42"/>
        <v>44.236693907659728</v>
      </c>
      <c r="L421" s="25">
        <f t="shared" si="42"/>
        <v>-3708.7302528713581</v>
      </c>
      <c r="M421" s="25">
        <f t="shared" si="42"/>
        <v>-3664.4935589636989</v>
      </c>
    </row>
    <row r="422" spans="1:13" x14ac:dyDescent="0.2">
      <c r="A422" s="22">
        <v>53328</v>
      </c>
      <c r="B422" s="25">
        <f>'[2]US EIA'!$R570</f>
        <v>539.55555555554838</v>
      </c>
      <c r="C422" s="23">
        <f>'[1]Renewable Diesel'!$AX433</f>
        <v>5446.8500000000013</v>
      </c>
      <c r="D422" s="25">
        <f t="shared" si="43"/>
        <v>5986.4055555555497</v>
      </c>
      <c r="E422" s="25">
        <f>BD!AT$25</f>
        <v>27.120565456817143</v>
      </c>
      <c r="F422" s="25">
        <f>RD!AU$24</f>
        <v>380.77502591852135</v>
      </c>
      <c r="G422" s="25">
        <f t="shared" si="41"/>
        <v>407.89559137533848</v>
      </c>
      <c r="H422" s="26">
        <f t="shared" si="40"/>
        <v>0.59182559338394469</v>
      </c>
      <c r="I422" s="26">
        <f t="shared" si="45"/>
        <v>0.82310305103991888</v>
      </c>
      <c r="J422" s="26">
        <f t="shared" si="44"/>
        <v>0.80225798199222664</v>
      </c>
      <c r="K422" s="25">
        <f t="shared" si="42"/>
        <v>220.23276872528203</v>
      </c>
      <c r="L422" s="25">
        <f t="shared" si="42"/>
        <v>963.53114644321806</v>
      </c>
      <c r="M422" s="25">
        <f t="shared" si="42"/>
        <v>1183.7639151685</v>
      </c>
    </row>
    <row r="423" spans="1:13" x14ac:dyDescent="0.2">
      <c r="A423" s="22">
        <v>53359</v>
      </c>
      <c r="B423" s="25">
        <f>'[2]US EIA'!$R571</f>
        <v>539.55555555554838</v>
      </c>
      <c r="C423" s="23">
        <f>'[1]Renewable Diesel'!$AX434</f>
        <v>5446.8500000000013</v>
      </c>
      <c r="D423" s="25">
        <f t="shared" si="43"/>
        <v>5986.4055555555497</v>
      </c>
      <c r="E423" s="25">
        <f>BD!AT$26</f>
        <v>25.522894243461803</v>
      </c>
      <c r="F423" s="25">
        <f>RD!AU$25</f>
        <v>414.75207712690269</v>
      </c>
      <c r="G423" s="25">
        <f t="shared" si="41"/>
        <v>440.27497137036448</v>
      </c>
      <c r="H423" s="26">
        <f t="shared" si="40"/>
        <v>0.55696117599626094</v>
      </c>
      <c r="I423" s="26">
        <f t="shared" si="45"/>
        <v>0.89654960769760939</v>
      </c>
      <c r="J423" s="26">
        <f t="shared" si="44"/>
        <v>0.86594245567183015</v>
      </c>
      <c r="K423" s="25">
        <f t="shared" si="42"/>
        <v>239.04405881801426</v>
      </c>
      <c r="L423" s="25">
        <f t="shared" si="42"/>
        <v>563.47876931227643</v>
      </c>
      <c r="M423" s="25">
        <f t="shared" si="42"/>
        <v>802.52282813029035</v>
      </c>
    </row>
    <row r="424" spans="1:13" x14ac:dyDescent="0.2">
      <c r="A424" s="22">
        <v>53387</v>
      </c>
      <c r="B424" s="25">
        <f>'[2]US EIA'!$R572</f>
        <v>539.55555555554838</v>
      </c>
      <c r="C424" s="23">
        <f>'[1]Renewable Diesel'!$AX435</f>
        <v>5446.8500000000013</v>
      </c>
      <c r="D424" s="25">
        <f t="shared" si="43"/>
        <v>5986.4055555555497</v>
      </c>
      <c r="E424" s="25">
        <f>BD!AT$27</f>
        <v>29.313876998979243</v>
      </c>
      <c r="F424" s="25">
        <f>RD!AU$26</f>
        <v>444.26629348293</v>
      </c>
      <c r="G424" s="25">
        <f t="shared" si="41"/>
        <v>473.58017048190925</v>
      </c>
      <c r="H424" s="26">
        <f t="shared" si="40"/>
        <v>0.70822609688785665</v>
      </c>
      <c r="I424" s="26">
        <f t="shared" si="45"/>
        <v>1.0632436121091575</v>
      </c>
      <c r="J424" s="26">
        <f t="shared" si="44"/>
        <v>1.0312458346649926</v>
      </c>
      <c r="K424" s="25">
        <f t="shared" si="42"/>
        <v>157.42823039028326</v>
      </c>
      <c r="L424" s="25">
        <f t="shared" si="42"/>
        <v>-344.4784686167647</v>
      </c>
      <c r="M424" s="25">
        <f t="shared" si="42"/>
        <v>-187.05023822648215</v>
      </c>
    </row>
    <row r="425" spans="1:13" x14ac:dyDescent="0.2">
      <c r="A425" s="22">
        <v>53418</v>
      </c>
      <c r="B425" s="25">
        <f>'[2]US EIA'!$R573</f>
        <v>539.55555555554838</v>
      </c>
      <c r="C425" s="23">
        <f>'[1]Renewable Diesel'!$AX436</f>
        <v>5446.8500000000013</v>
      </c>
      <c r="D425" s="25">
        <f t="shared" si="43"/>
        <v>5986.4055555555497</v>
      </c>
      <c r="E425" s="25">
        <f>BD!AT$28</f>
        <v>32.588077145624439</v>
      </c>
      <c r="F425" s="25">
        <f>RD!AU$27</f>
        <v>424.77543769649986</v>
      </c>
      <c r="G425" s="25">
        <f t="shared" si="41"/>
        <v>457.36351484212429</v>
      </c>
      <c r="H425" s="26">
        <f t="shared" si="40"/>
        <v>0.71113775723665906</v>
      </c>
      <c r="I425" s="26">
        <f t="shared" si="45"/>
        <v>0.91821662392748704</v>
      </c>
      <c r="J425" s="26">
        <f t="shared" si="44"/>
        <v>0.89955257720958737</v>
      </c>
      <c r="K425" s="25">
        <f t="shared" si="42"/>
        <v>155.85722787319611</v>
      </c>
      <c r="L425" s="25">
        <f t="shared" si="42"/>
        <v>445.46178196056729</v>
      </c>
      <c r="M425" s="25">
        <f t="shared" si="42"/>
        <v>601.31900983376329</v>
      </c>
    </row>
    <row r="426" spans="1:13" x14ac:dyDescent="0.2">
      <c r="A426" s="22">
        <v>53448</v>
      </c>
      <c r="B426" s="25">
        <f>'[2]US EIA'!$R574</f>
        <v>539.55555555554838</v>
      </c>
      <c r="C426" s="23">
        <f>'[1]Renewable Diesel'!$AX437</f>
        <v>5446.8500000000013</v>
      </c>
      <c r="D426" s="25">
        <f t="shared" si="43"/>
        <v>5986.4055555555497</v>
      </c>
      <c r="E426" s="25">
        <f>BD!AT$29</f>
        <v>34.820435513393946</v>
      </c>
      <c r="F426" s="25">
        <f>RD!AU$28</f>
        <v>474.29554119663419</v>
      </c>
      <c r="G426" s="25">
        <f t="shared" si="41"/>
        <v>509.11597671002812</v>
      </c>
      <c r="H426" s="26">
        <f t="shared" ref="H426:H481" si="46">(E426/(A426-A425)*365)/B426</f>
        <v>0.78518074314594066</v>
      </c>
      <c r="I426" s="26">
        <f t="shared" si="45"/>
        <v>1.0594372437694657</v>
      </c>
      <c r="J426" s="26">
        <f t="shared" si="44"/>
        <v>1.0347184676716252</v>
      </c>
      <c r="K426" s="25">
        <f t="shared" si="42"/>
        <v>115.90692347592203</v>
      </c>
      <c r="L426" s="25">
        <f t="shared" si="42"/>
        <v>-323.74575122571423</v>
      </c>
      <c r="M426" s="25">
        <f t="shared" si="42"/>
        <v>-207.83882774979304</v>
      </c>
    </row>
    <row r="427" spans="1:13" x14ac:dyDescent="0.2">
      <c r="A427" s="22">
        <v>53479</v>
      </c>
      <c r="B427" s="25">
        <f>'[2]US EIA'!$R575</f>
        <v>539.55555555554838</v>
      </c>
      <c r="C427" s="23">
        <f>'[1]Renewable Diesel'!$AX438</f>
        <v>5446.8500000000013</v>
      </c>
      <c r="D427" s="25">
        <f t="shared" si="43"/>
        <v>5986.4055555555497</v>
      </c>
      <c r="E427" s="25">
        <f>BD!AT$30</f>
        <v>34.081911750806213</v>
      </c>
      <c r="F427" s="25">
        <f>RD!AU$29</f>
        <v>475.7736648911565</v>
      </c>
      <c r="G427" s="25">
        <f t="shared" si="41"/>
        <v>509.85557664196273</v>
      </c>
      <c r="H427" s="26">
        <f t="shared" si="46"/>
        <v>0.74373624981001152</v>
      </c>
      <c r="I427" s="26">
        <f t="shared" si="45"/>
        <v>1.0284570376738735</v>
      </c>
      <c r="J427" s="26">
        <f t="shared" si="44"/>
        <v>1.0027951139287419</v>
      </c>
      <c r="K427" s="25">
        <f t="shared" si="42"/>
        <v>138.2685301025075</v>
      </c>
      <c r="L427" s="25">
        <f t="shared" si="42"/>
        <v>-155.00121565393809</v>
      </c>
      <c r="M427" s="25">
        <f t="shared" si="42"/>
        <v>-16.732685551431072</v>
      </c>
    </row>
    <row r="428" spans="1:13" x14ac:dyDescent="0.2">
      <c r="A428" s="22">
        <v>53509</v>
      </c>
      <c r="B428" s="25">
        <f>'[2]US EIA'!$R576</f>
        <v>539.55555555554838</v>
      </c>
      <c r="C428" s="23">
        <f>'[1]Renewable Diesel'!$AX439</f>
        <v>5446.8500000000013</v>
      </c>
      <c r="D428" s="25">
        <f t="shared" si="43"/>
        <v>5986.4055555555497</v>
      </c>
      <c r="E428" s="25">
        <f>BD!AT$31</f>
        <v>33.875153106504776</v>
      </c>
      <c r="F428" s="25">
        <f>RD!AU$30</f>
        <v>463.10371350400578</v>
      </c>
      <c r="G428" s="25">
        <f t="shared" si="41"/>
        <v>496.97886661051058</v>
      </c>
      <c r="H428" s="26">
        <f t="shared" si="46"/>
        <v>0.76386516992634312</v>
      </c>
      <c r="I428" s="26">
        <f t="shared" si="45"/>
        <v>1.0344379805389785</v>
      </c>
      <c r="J428" s="26">
        <f t="shared" si="44"/>
        <v>1.0100512159281441</v>
      </c>
      <c r="K428" s="25">
        <f t="shared" si="42"/>
        <v>127.40785942640694</v>
      </c>
      <c r="L428" s="25">
        <f t="shared" si="42"/>
        <v>-187.57851429873512</v>
      </c>
      <c r="M428" s="25">
        <f t="shared" si="42"/>
        <v>-60.170654872330054</v>
      </c>
    </row>
    <row r="429" spans="1:13" x14ac:dyDescent="0.2">
      <c r="A429" s="22">
        <v>53540</v>
      </c>
      <c r="B429" s="25">
        <f>'[2]US EIA'!$R577</f>
        <v>539.55555555554838</v>
      </c>
      <c r="C429" s="23">
        <f>'[1]Renewable Diesel'!$AX440</f>
        <v>5446.8500000000013</v>
      </c>
      <c r="D429" s="25">
        <f t="shared" si="43"/>
        <v>5986.4055555555497</v>
      </c>
      <c r="E429" s="25">
        <f>BD!AT$32</f>
        <v>34.998692538332854</v>
      </c>
      <c r="F429" s="25">
        <f>RD!AU$31</f>
        <v>477.32093933113725</v>
      </c>
      <c r="G429" s="25">
        <f t="shared" si="41"/>
        <v>512.31963186947007</v>
      </c>
      <c r="H429" s="26">
        <f t="shared" si="46"/>
        <v>0.76374226091051278</v>
      </c>
      <c r="I429" s="26">
        <f t="shared" si="45"/>
        <v>1.0318017063775839</v>
      </c>
      <c r="J429" s="26">
        <f t="shared" si="44"/>
        <v>1.0076414717127817</v>
      </c>
      <c r="K429" s="25">
        <f t="shared" si="42"/>
        <v>127.47417566872608</v>
      </c>
      <c r="L429" s="25">
        <f t="shared" si="42"/>
        <v>-173.21912438274316</v>
      </c>
      <c r="M429" s="25">
        <f t="shared" si="42"/>
        <v>-45.744948714017148</v>
      </c>
    </row>
    <row r="430" spans="1:13" x14ac:dyDescent="0.2">
      <c r="A430" s="22">
        <v>53571</v>
      </c>
      <c r="B430" s="25">
        <f>'[2]US EIA'!$R578</f>
        <v>539.55555555554838</v>
      </c>
      <c r="C430" s="23">
        <f>'[1]Renewable Diesel'!$AX441</f>
        <v>5446.8500000000013</v>
      </c>
      <c r="D430" s="25">
        <f t="shared" si="43"/>
        <v>5986.4055555555497</v>
      </c>
      <c r="E430" s="25">
        <f>BD!AT$33</f>
        <v>33.006169618444879</v>
      </c>
      <c r="F430" s="25">
        <f>RD!AU$32</f>
        <v>483.05671848419172</v>
      </c>
      <c r="G430" s="25">
        <f t="shared" ref="G430:G481" si="47">SUM(E430:F430)</f>
        <v>516.06288810263663</v>
      </c>
      <c r="H430" s="26">
        <f t="shared" si="46"/>
        <v>0.72026138064378542</v>
      </c>
      <c r="I430" s="26">
        <f t="shared" si="45"/>
        <v>1.0442004641731664</v>
      </c>
      <c r="J430" s="26">
        <f t="shared" si="44"/>
        <v>1.0150037900491344</v>
      </c>
      <c r="K430" s="25">
        <f t="shared" si="42"/>
        <v>150.93452617708445</v>
      </c>
      <c r="L430" s="25">
        <f t="shared" si="42"/>
        <v>-240.75329828161128</v>
      </c>
      <c r="M430" s="25">
        <f t="shared" si="42"/>
        <v>-89.818772104527454</v>
      </c>
    </row>
    <row r="431" spans="1:13" x14ac:dyDescent="0.2">
      <c r="A431" s="22">
        <v>53601</v>
      </c>
      <c r="B431" s="25">
        <f>'[2]US EIA'!$R579</f>
        <v>539.55555555554838</v>
      </c>
      <c r="C431" s="23">
        <f>'[1]Renewable Diesel'!$AX442</f>
        <v>5446.8500000000013</v>
      </c>
      <c r="D431" s="25">
        <f t="shared" si="43"/>
        <v>5986.4055555555497</v>
      </c>
      <c r="E431" s="25">
        <f>BD!AT$34</f>
        <v>33.688647718583333</v>
      </c>
      <c r="F431" s="25">
        <f>RD!AU$33</f>
        <v>524.3207399237001</v>
      </c>
      <c r="G431" s="25">
        <f t="shared" si="47"/>
        <v>558.0093876422834</v>
      </c>
      <c r="H431" s="26">
        <f t="shared" si="46"/>
        <v>0.75965958096888886</v>
      </c>
      <c r="I431" s="26">
        <f t="shared" si="45"/>
        <v>1.1711788775295233</v>
      </c>
      <c r="J431" s="26">
        <f t="shared" si="44"/>
        <v>1.1340885867670565</v>
      </c>
      <c r="K431" s="25">
        <f t="shared" si="42"/>
        <v>129.67700831278447</v>
      </c>
      <c r="L431" s="25">
        <f t="shared" si="42"/>
        <v>-932.38566907168433</v>
      </c>
      <c r="M431" s="25">
        <f t="shared" si="42"/>
        <v>-802.70866075889933</v>
      </c>
    </row>
    <row r="432" spans="1:13" x14ac:dyDescent="0.2">
      <c r="A432" s="22">
        <v>53632</v>
      </c>
      <c r="B432" s="25">
        <f>'[2]US EIA'!$R580</f>
        <v>539.55555555554838</v>
      </c>
      <c r="C432" s="23">
        <f>'[1]Renewable Diesel'!$AX443</f>
        <v>5446.8500000000013</v>
      </c>
      <c r="D432" s="25">
        <f t="shared" si="43"/>
        <v>5986.4055555555497</v>
      </c>
      <c r="E432" s="25">
        <f>BD!AT$35</f>
        <v>32.063511185896715</v>
      </c>
      <c r="F432" s="25">
        <f>RD!AU$34</f>
        <v>633.35819298578224</v>
      </c>
      <c r="G432" s="25">
        <f t="shared" si="47"/>
        <v>665.42170417167893</v>
      </c>
      <c r="H432" s="26">
        <f t="shared" si="46"/>
        <v>0.69969066698777771</v>
      </c>
      <c r="I432" s="26">
        <f t="shared" si="45"/>
        <v>1.3690999292565988</v>
      </c>
      <c r="J432" s="26">
        <f t="shared" si="44"/>
        <v>1.3087659804377962</v>
      </c>
      <c r="K432" s="25">
        <f t="shared" si="42"/>
        <v>162.03356901192578</v>
      </c>
      <c r="L432" s="25">
        <f t="shared" si="42"/>
        <v>-2010.4319496713058</v>
      </c>
      <c r="M432" s="25">
        <f t="shared" si="42"/>
        <v>-1848.3983806593797</v>
      </c>
    </row>
    <row r="433" spans="1:13" x14ac:dyDescent="0.2">
      <c r="A433" s="22">
        <v>53662</v>
      </c>
      <c r="B433" s="25">
        <f>'[2]US EIA'!$R581</f>
        <v>539.55555555554838</v>
      </c>
      <c r="C433" s="23">
        <f>'[1]Renewable Diesel'!$AX444</f>
        <v>5446.8500000000013</v>
      </c>
      <c r="D433" s="25">
        <f t="shared" si="43"/>
        <v>5986.4055555555497</v>
      </c>
      <c r="E433" s="25">
        <f>BD!AT$36</f>
        <v>40.84229509066973</v>
      </c>
      <c r="F433" s="25">
        <f>RD!AU$35</f>
        <v>716.79791959206682</v>
      </c>
      <c r="G433" s="25">
        <f t="shared" si="47"/>
        <v>757.64021468273654</v>
      </c>
      <c r="H433" s="26">
        <f t="shared" si="46"/>
        <v>0.9209702043715805</v>
      </c>
      <c r="I433" s="26">
        <f t="shared" si="45"/>
        <v>1.6011164902717738</v>
      </c>
      <c r="J433" s="26">
        <f t="shared" si="44"/>
        <v>1.5398148120372681</v>
      </c>
      <c r="K433" s="25">
        <f t="shared" si="42"/>
        <v>42.64096528573333</v>
      </c>
      <c r="L433" s="25">
        <f t="shared" si="42"/>
        <v>-3274.1913550368122</v>
      </c>
      <c r="M433" s="25">
        <f t="shared" si="42"/>
        <v>-3231.5503897510766</v>
      </c>
    </row>
    <row r="434" spans="1:13" x14ac:dyDescent="0.2">
      <c r="A434" s="22">
        <v>53693</v>
      </c>
      <c r="B434" s="25">
        <f>'[2]US EIA'!$R582</f>
        <v>539.55555555554838</v>
      </c>
      <c r="C434" s="23">
        <f>'[1]Renewable Diesel'!$AX445</f>
        <v>5446.8500000000013</v>
      </c>
      <c r="D434" s="25">
        <f t="shared" si="43"/>
        <v>5986.4055555555497</v>
      </c>
      <c r="E434" s="25">
        <f>BD!AU$25</f>
        <v>27.037295703058902</v>
      </c>
      <c r="F434" s="25">
        <f>RD!AV$24</f>
        <v>396.25781208964474</v>
      </c>
      <c r="G434" s="25">
        <f t="shared" si="47"/>
        <v>423.29510779270367</v>
      </c>
      <c r="H434" s="26">
        <f t="shared" si="46"/>
        <v>0.59000847893227981</v>
      </c>
      <c r="I434" s="26">
        <f t="shared" si="45"/>
        <v>0.85657144489087833</v>
      </c>
      <c r="J434" s="26">
        <f t="shared" si="44"/>
        <v>0.8325460881298663</v>
      </c>
      <c r="K434" s="25">
        <f t="shared" si="42"/>
        <v>221.21320292275809</v>
      </c>
      <c r="L434" s="25">
        <f t="shared" si="42"/>
        <v>781.23382539611953</v>
      </c>
      <c r="M434" s="25">
        <f t="shared" si="42"/>
        <v>1002.4470283188778</v>
      </c>
    </row>
    <row r="435" spans="1:13" x14ac:dyDescent="0.2">
      <c r="A435" s="22">
        <v>53724</v>
      </c>
      <c r="B435" s="25">
        <f>'[2]US EIA'!$R583</f>
        <v>539.55555555554838</v>
      </c>
      <c r="C435" s="23">
        <f>'[1]Renewable Diesel'!$AX446</f>
        <v>5446.8500000000013</v>
      </c>
      <c r="D435" s="25">
        <f t="shared" si="43"/>
        <v>5986.4055555555497</v>
      </c>
      <c r="E435" s="25">
        <f>BD!AU$26</f>
        <v>25.442065938274446</v>
      </c>
      <c r="F435" s="25">
        <f>RD!AV$25</f>
        <v>431.91277261670194</v>
      </c>
      <c r="G435" s="25">
        <f t="shared" si="47"/>
        <v>457.35483855497637</v>
      </c>
      <c r="H435" s="26">
        <f t="shared" si="46"/>
        <v>0.55519733889058209</v>
      </c>
      <c r="I435" s="26">
        <f t="shared" si="45"/>
        <v>0.93364505738354342</v>
      </c>
      <c r="J435" s="26">
        <f t="shared" si="44"/>
        <v>0.89953551249801478</v>
      </c>
      <c r="K435" s="25">
        <f t="shared" ref="K435:M481" si="48">((1-H435)*B435)</f>
        <v>239.99574692747828</v>
      </c>
      <c r="L435" s="25">
        <f t="shared" si="48"/>
        <v>361.42541919044663</v>
      </c>
      <c r="M435" s="25">
        <f t="shared" si="48"/>
        <v>601.4211661179254</v>
      </c>
    </row>
    <row r="436" spans="1:13" x14ac:dyDescent="0.2">
      <c r="A436" s="22">
        <v>53752</v>
      </c>
      <c r="B436" s="25">
        <f>'[2]US EIA'!$R584</f>
        <v>539.55555555554838</v>
      </c>
      <c r="C436" s="23">
        <f>'[1]Renewable Diesel'!$AX447</f>
        <v>5446.8500000000013</v>
      </c>
      <c r="D436" s="25">
        <f t="shared" si="43"/>
        <v>5986.4055555555497</v>
      </c>
      <c r="E436" s="25">
        <f>BD!AU$27</f>
        <v>29.220072667137213</v>
      </c>
      <c r="F436" s="25">
        <f>RD!AV$26</f>
        <v>462.21311695904552</v>
      </c>
      <c r="G436" s="25">
        <f t="shared" si="47"/>
        <v>491.43318962618275</v>
      </c>
      <c r="H436" s="26">
        <f t="shared" si="46"/>
        <v>0.70595977517906439</v>
      </c>
      <c r="I436" s="26">
        <f t="shared" si="45"/>
        <v>1.1061949809132903</v>
      </c>
      <c r="J436" s="26">
        <f t="shared" si="44"/>
        <v>1.0701217268080099</v>
      </c>
      <c r="K436" s="25">
        <f t="shared" si="48"/>
        <v>158.65103685893826</v>
      </c>
      <c r="L436" s="25">
        <f t="shared" si="48"/>
        <v>-578.42813178755523</v>
      </c>
      <c r="M436" s="25">
        <f t="shared" si="48"/>
        <v>-419.77709492861885</v>
      </c>
    </row>
    <row r="437" spans="1:13" x14ac:dyDescent="0.2">
      <c r="A437" s="22">
        <v>53783</v>
      </c>
      <c r="B437" s="25">
        <f>'[2]US EIA'!$R585</f>
        <v>539.55555555554838</v>
      </c>
      <c r="C437" s="23">
        <f>'[1]Renewable Diesel'!$AX448</f>
        <v>5446.8500000000013</v>
      </c>
      <c r="D437" s="25">
        <f t="shared" si="43"/>
        <v>5986.4055555555497</v>
      </c>
      <c r="E437" s="25">
        <f>BD!AU$28</f>
        <v>32.48287922203064</v>
      </c>
      <c r="F437" s="25">
        <f>RD!AV$27</f>
        <v>442.31355422764301</v>
      </c>
      <c r="G437" s="25">
        <f t="shared" si="47"/>
        <v>474.79643344967366</v>
      </c>
      <c r="H437" s="26">
        <f t="shared" si="46"/>
        <v>0.70884212576640848</v>
      </c>
      <c r="I437" s="26">
        <f t="shared" si="45"/>
        <v>0.9561279265173962</v>
      </c>
      <c r="J437" s="26">
        <f t="shared" si="44"/>
        <v>0.93384002330619853</v>
      </c>
      <c r="K437" s="25">
        <f t="shared" si="48"/>
        <v>157.09584858647796</v>
      </c>
      <c r="L437" s="25">
        <f t="shared" si="48"/>
        <v>238.96460344872057</v>
      </c>
      <c r="M437" s="25">
        <f t="shared" si="48"/>
        <v>396.06045203519881</v>
      </c>
    </row>
    <row r="438" spans="1:13" x14ac:dyDescent="0.2">
      <c r="A438" s="22">
        <v>53813</v>
      </c>
      <c r="B438" s="25">
        <f>'[2]US EIA'!$R586</f>
        <v>539.55555555554838</v>
      </c>
      <c r="C438" s="23">
        <f>'[1]Renewable Diesel'!$AX449</f>
        <v>5446.8500000000013</v>
      </c>
      <c r="D438" s="25">
        <f t="shared" si="43"/>
        <v>5986.4055555555497</v>
      </c>
      <c r="E438" s="25">
        <f>BD!AU$29</f>
        <v>34.708333011227737</v>
      </c>
      <c r="F438" s="25">
        <f>RD!AV$28</f>
        <v>493.89068447622213</v>
      </c>
      <c r="G438" s="25">
        <f t="shared" si="47"/>
        <v>528.59901748744983</v>
      </c>
      <c r="H438" s="26">
        <f t="shared" si="46"/>
        <v>0.78265289636109714</v>
      </c>
      <c r="I438" s="26">
        <f t="shared" si="45"/>
        <v>1.1032070513772245</v>
      </c>
      <c r="J438" s="26">
        <f t="shared" si="44"/>
        <v>1.0743154613253512</v>
      </c>
      <c r="K438" s="25">
        <f t="shared" si="48"/>
        <v>117.27083725227759</v>
      </c>
      <c r="L438" s="25">
        <f t="shared" si="48"/>
        <v>-562.15332779403548</v>
      </c>
      <c r="M438" s="25">
        <f t="shared" si="48"/>
        <v>-444.88249054175577</v>
      </c>
    </row>
    <row r="439" spans="1:13" x14ac:dyDescent="0.2">
      <c r="A439" s="22">
        <v>53844</v>
      </c>
      <c r="B439" s="25">
        <f>'[2]US EIA'!$R587</f>
        <v>539.55555555554838</v>
      </c>
      <c r="C439" s="23">
        <f>'[1]Renewable Diesel'!$AX450</f>
        <v>5446.8500000000013</v>
      </c>
      <c r="D439" s="25">
        <f t="shared" si="43"/>
        <v>5986.4055555555497</v>
      </c>
      <c r="E439" s="25">
        <f>BD!AU$30</f>
        <v>33.971174015363587</v>
      </c>
      <c r="F439" s="25">
        <f>RD!AV$29</f>
        <v>495.11745528483743</v>
      </c>
      <c r="G439" s="25">
        <f t="shared" si="47"/>
        <v>529.08862930020098</v>
      </c>
      <c r="H439" s="26">
        <f t="shared" si="46"/>
        <v>0.74131972844017957</v>
      </c>
      <c r="I439" s="26">
        <f t="shared" si="45"/>
        <v>1.0702715785653303</v>
      </c>
      <c r="J439" s="26">
        <f t="shared" si="44"/>
        <v>1.040623103099015</v>
      </c>
      <c r="K439" s="25">
        <f t="shared" si="48"/>
        <v>139.57237763271903</v>
      </c>
      <c r="L439" s="25">
        <f t="shared" si="48"/>
        <v>-382.75874770856933</v>
      </c>
      <c r="M439" s="25">
        <f t="shared" si="48"/>
        <v>-243.186370075849</v>
      </c>
    </row>
    <row r="440" spans="1:13" x14ac:dyDescent="0.2">
      <c r="A440" s="22">
        <v>53874</v>
      </c>
      <c r="B440" s="25">
        <f>'[2]US EIA'!$R588</f>
        <v>539.55555555554838</v>
      </c>
      <c r="C440" s="23">
        <f>'[1]Renewable Diesel'!$AX451</f>
        <v>5446.8500000000013</v>
      </c>
      <c r="D440" s="25">
        <f t="shared" si="43"/>
        <v>5986.4055555555497</v>
      </c>
      <c r="E440" s="25">
        <f>BD!AU$31</f>
        <v>33.766684910991088</v>
      </c>
      <c r="F440" s="25">
        <f>RD!AV$30</f>
        <v>482.10002713165693</v>
      </c>
      <c r="G440" s="25">
        <f t="shared" si="47"/>
        <v>515.86671204264803</v>
      </c>
      <c r="H440" s="26">
        <f t="shared" si="46"/>
        <v>0.76141927466094994</v>
      </c>
      <c r="I440" s="26">
        <f t="shared" si="45"/>
        <v>1.0768701781950714</v>
      </c>
      <c r="J440" s="26">
        <f t="shared" si="44"/>
        <v>1.0484385449007152</v>
      </c>
      <c r="K440" s="25">
        <f t="shared" si="48"/>
        <v>128.72755580515684</v>
      </c>
      <c r="L440" s="25">
        <f t="shared" si="48"/>
        <v>-418.70033010182453</v>
      </c>
      <c r="M440" s="25">
        <f t="shared" si="48"/>
        <v>-289.97277429666838</v>
      </c>
    </row>
    <row r="441" spans="1:13" x14ac:dyDescent="0.2">
      <c r="A441" s="22">
        <v>53905</v>
      </c>
      <c r="B441" s="25">
        <f>'[2]US EIA'!$R589</f>
        <v>539.55555555554838</v>
      </c>
      <c r="C441" s="23">
        <f>'[1]Renewable Diesel'!$AX452</f>
        <v>5446.8500000000013</v>
      </c>
      <c r="D441" s="25">
        <f t="shared" si="43"/>
        <v>5986.4055555555497</v>
      </c>
      <c r="E441" s="25">
        <f>BD!AU$32</f>
        <v>34.885090858536358</v>
      </c>
      <c r="F441" s="25">
        <f>RD!AV$31</f>
        <v>496.45883836562479</v>
      </c>
      <c r="G441" s="25">
        <f t="shared" si="47"/>
        <v>531.34392922416112</v>
      </c>
      <c r="H441" s="26">
        <f t="shared" si="46"/>
        <v>0.7612632424821536</v>
      </c>
      <c r="I441" s="26">
        <f t="shared" si="45"/>
        <v>1.0731711818251448</v>
      </c>
      <c r="J441" s="26">
        <f t="shared" si="44"/>
        <v>1.0450588763803166</v>
      </c>
      <c r="K441" s="25">
        <f t="shared" si="48"/>
        <v>128.81174383407185</v>
      </c>
      <c r="L441" s="25">
        <f t="shared" si="48"/>
        <v>-398.55245172429011</v>
      </c>
      <c r="M441" s="25">
        <f t="shared" si="48"/>
        <v>-269.74070789021789</v>
      </c>
    </row>
    <row r="442" spans="1:13" x14ac:dyDescent="0.2">
      <c r="A442" s="22">
        <v>53936</v>
      </c>
      <c r="B442" s="25">
        <f>'[2]US EIA'!$R590</f>
        <v>539.55555555554838</v>
      </c>
      <c r="C442" s="23">
        <f>'[1]Renewable Diesel'!$AX453</f>
        <v>5446.8500000000013</v>
      </c>
      <c r="D442" s="25">
        <f t="shared" si="43"/>
        <v>5986.4055555555497</v>
      </c>
      <c r="E442" s="25">
        <f>BD!AU$33</f>
        <v>32.899363618523417</v>
      </c>
      <c r="F442" s="25">
        <f>RD!AV$32</f>
        <v>502.59401262212805</v>
      </c>
      <c r="G442" s="25">
        <f t="shared" si="47"/>
        <v>535.49337624065151</v>
      </c>
      <c r="H442" s="26">
        <f t="shared" si="46"/>
        <v>0.71793065769550712</v>
      </c>
      <c r="I442" s="26">
        <f t="shared" si="45"/>
        <v>1.0864332927973859</v>
      </c>
      <c r="J442" s="26">
        <f t="shared" si="44"/>
        <v>1.0532200996448504</v>
      </c>
      <c r="K442" s="25">
        <f t="shared" si="48"/>
        <v>152.19208069228881</v>
      </c>
      <c r="L442" s="25">
        <f t="shared" si="48"/>
        <v>-470.78918087344135</v>
      </c>
      <c r="M442" s="25">
        <f t="shared" si="48"/>
        <v>-318.59710018115248</v>
      </c>
    </row>
    <row r="443" spans="1:13" x14ac:dyDescent="0.2">
      <c r="A443" s="22">
        <v>53966</v>
      </c>
      <c r="B443" s="25">
        <f>'[2]US EIA'!$R591</f>
        <v>539.55555555554838</v>
      </c>
      <c r="C443" s="23">
        <f>'[1]Renewable Diesel'!$AX454</f>
        <v>5446.8500000000013</v>
      </c>
      <c r="D443" s="25">
        <f t="shared" si="43"/>
        <v>5986.4055555555497</v>
      </c>
      <c r="E443" s="25">
        <f>BD!AU$34</f>
        <v>33.581312243334757</v>
      </c>
      <c r="F443" s="25">
        <f>RD!AV$33</f>
        <v>545.90107971907059</v>
      </c>
      <c r="G443" s="25">
        <f t="shared" si="47"/>
        <v>579.48239196240536</v>
      </c>
      <c r="H443" s="26">
        <f t="shared" si="46"/>
        <v>0.75723922789234044</v>
      </c>
      <c r="I443" s="26">
        <f t="shared" si="45"/>
        <v>1.2193830323793307</v>
      </c>
      <c r="J443" s="26">
        <f t="shared" si="44"/>
        <v>1.177729947759107</v>
      </c>
      <c r="K443" s="25">
        <f t="shared" si="48"/>
        <v>130.98292326164213</v>
      </c>
      <c r="L443" s="25">
        <f t="shared" si="48"/>
        <v>-1194.9464699153575</v>
      </c>
      <c r="M443" s="25">
        <f t="shared" si="48"/>
        <v>-1063.9635466537156</v>
      </c>
    </row>
    <row r="444" spans="1:13" x14ac:dyDescent="0.2">
      <c r="A444" s="22">
        <v>53997</v>
      </c>
      <c r="B444" s="25">
        <f>'[2]US EIA'!$R592</f>
        <v>539.55555555554838</v>
      </c>
      <c r="C444" s="23">
        <f>'[1]Renewable Diesel'!$AX455</f>
        <v>5446.8500000000013</v>
      </c>
      <c r="D444" s="25">
        <f t="shared" si="43"/>
        <v>5986.4055555555497</v>
      </c>
      <c r="E444" s="25">
        <f>BD!AU$35</f>
        <v>31.96017118409096</v>
      </c>
      <c r="F444" s="25">
        <f>RD!AV$34</f>
        <v>659.64095916620397</v>
      </c>
      <c r="G444" s="25">
        <f t="shared" si="47"/>
        <v>691.60113035029497</v>
      </c>
      <c r="H444" s="26">
        <f t="shared" si="46"/>
        <v>0.69743557912884757</v>
      </c>
      <c r="I444" s="26">
        <f t="shared" si="45"/>
        <v>1.4259141202101386</v>
      </c>
      <c r="J444" s="26">
        <f t="shared" si="44"/>
        <v>1.3602562491728774</v>
      </c>
      <c r="K444" s="25">
        <f t="shared" si="48"/>
        <v>163.2503141944774</v>
      </c>
      <c r="L444" s="25">
        <f t="shared" si="48"/>
        <v>-2319.890325666594</v>
      </c>
      <c r="M444" s="25">
        <f t="shared" si="48"/>
        <v>-2156.6400114721173</v>
      </c>
    </row>
    <row r="445" spans="1:13" x14ac:dyDescent="0.2">
      <c r="A445" s="22">
        <v>54027</v>
      </c>
      <c r="B445" s="25">
        <f>'[2]US EIA'!$R593</f>
        <v>539.55555555554838</v>
      </c>
      <c r="C445" s="23">
        <f>'[1]Renewable Diesel'!$AX456</f>
        <v>5446.8500000000013</v>
      </c>
      <c r="D445" s="25">
        <f t="shared" si="43"/>
        <v>5986.4055555555497</v>
      </c>
      <c r="E445" s="25">
        <f>BD!AU$36</f>
        <v>40.710885154861344</v>
      </c>
      <c r="F445" s="25">
        <f>RD!AV$35</f>
        <v>746.65163144184578</v>
      </c>
      <c r="G445" s="25">
        <f t="shared" si="47"/>
        <v>787.36251659670711</v>
      </c>
      <c r="H445" s="26">
        <f t="shared" si="46"/>
        <v>0.91800698609089304</v>
      </c>
      <c r="I445" s="26">
        <f t="shared" si="45"/>
        <v>1.6678009337278956</v>
      </c>
      <c r="J445" s="26">
        <f t="shared" si="44"/>
        <v>1.6002219021679587</v>
      </c>
      <c r="K445" s="25">
        <f t="shared" si="48"/>
        <v>44.23978617140201</v>
      </c>
      <c r="L445" s="25">
        <f t="shared" si="48"/>
        <v>-3637.4115158757891</v>
      </c>
      <c r="M445" s="25">
        <f t="shared" si="48"/>
        <v>-3593.1717297043874</v>
      </c>
    </row>
    <row r="446" spans="1:13" x14ac:dyDescent="0.2">
      <c r="A446" s="22">
        <v>54058</v>
      </c>
      <c r="B446" s="25">
        <f>'[2]US EIA'!$R594</f>
        <v>539.55555555554838</v>
      </c>
      <c r="C446" s="23">
        <f>'[1]Renewable Diesel'!$AX457</f>
        <v>5446.8500000000013</v>
      </c>
      <c r="D446" s="25">
        <f t="shared" si="43"/>
        <v>5986.4055555555497</v>
      </c>
      <c r="E446" s="25">
        <f>BD!AV$25</f>
        <v>27.062926746440077</v>
      </c>
      <c r="F446" s="25">
        <f>RD!AW$24</f>
        <v>410.48541823343174</v>
      </c>
      <c r="G446" s="25">
        <f t="shared" si="47"/>
        <v>437.54834497987184</v>
      </c>
      <c r="H446" s="26">
        <f t="shared" si="46"/>
        <v>0.59056780014120769</v>
      </c>
      <c r="I446" s="26">
        <f t="shared" si="45"/>
        <v>0.88732657647466895</v>
      </c>
      <c r="J446" s="26">
        <f t="shared" si="44"/>
        <v>0.8605796671741468</v>
      </c>
      <c r="K446" s="25">
        <f t="shared" si="48"/>
        <v>220.91141805714099</v>
      </c>
      <c r="L446" s="25">
        <f t="shared" si="48"/>
        <v>613.71523692894959</v>
      </c>
      <c r="M446" s="25">
        <f t="shared" si="48"/>
        <v>834.62665498609135</v>
      </c>
    </row>
    <row r="447" spans="1:13" x14ac:dyDescent="0.2">
      <c r="A447" s="22">
        <v>54089</v>
      </c>
      <c r="B447" s="25">
        <f>'[2]US EIA'!$R595</f>
        <v>539.55555555554838</v>
      </c>
      <c r="C447" s="23">
        <f>'[1]Renewable Diesel'!$AX458</f>
        <v>5446.8500000000013</v>
      </c>
      <c r="D447" s="25">
        <f t="shared" si="43"/>
        <v>5986.4055555555497</v>
      </c>
      <c r="E447" s="25">
        <f>BD!AV$26</f>
        <v>25.432458703081128</v>
      </c>
      <c r="F447" s="25">
        <f>RD!AW$25</f>
        <v>447.4085316435964</v>
      </c>
      <c r="G447" s="25">
        <f t="shared" si="47"/>
        <v>472.84099034667753</v>
      </c>
      <c r="H447" s="26">
        <f t="shared" si="46"/>
        <v>0.55498768958669431</v>
      </c>
      <c r="I447" s="26">
        <f t="shared" si="45"/>
        <v>0.9671414940325832</v>
      </c>
      <c r="J447" s="26">
        <f t="shared" si="44"/>
        <v>0.92999401498720513</v>
      </c>
      <c r="K447" s="25">
        <f t="shared" si="48"/>
        <v>240.10886437410929</v>
      </c>
      <c r="L447" s="25">
        <f t="shared" si="48"/>
        <v>178.97535322862421</v>
      </c>
      <c r="M447" s="25">
        <f t="shared" si="48"/>
        <v>419.08421760273376</v>
      </c>
    </row>
    <row r="448" spans="1:13" x14ac:dyDescent="0.2">
      <c r="A448" s="22">
        <v>54118</v>
      </c>
      <c r="B448" s="25">
        <f>'[2]US EIA'!$R596</f>
        <v>539.55555555554838</v>
      </c>
      <c r="C448" s="23">
        <f>'[1]Renewable Diesel'!$AX459</f>
        <v>5446.8500000000013</v>
      </c>
      <c r="D448" s="25">
        <f t="shared" si="43"/>
        <v>5986.4055555555497</v>
      </c>
      <c r="E448" s="25">
        <f>BD!AV$27</f>
        <v>29.208559257200321</v>
      </c>
      <c r="F448" s="25">
        <f>RD!AW$26</f>
        <v>478.81291639649663</v>
      </c>
      <c r="G448" s="25">
        <f t="shared" si="47"/>
        <v>508.02147565369694</v>
      </c>
      <c r="H448" s="26">
        <f t="shared" si="46"/>
        <v>0.68134776146043519</v>
      </c>
      <c r="I448" s="26">
        <f t="shared" si="45"/>
        <v>1.1064080028838006</v>
      </c>
      <c r="J448" s="26">
        <f t="shared" si="44"/>
        <v>1.0680972648996485</v>
      </c>
      <c r="K448" s="25">
        <f t="shared" si="48"/>
        <v>171.93058559423403</v>
      </c>
      <c r="L448" s="25">
        <f t="shared" si="48"/>
        <v>-579.58843050762937</v>
      </c>
      <c r="M448" s="25">
        <f t="shared" si="48"/>
        <v>-407.65784491339377</v>
      </c>
    </row>
    <row r="449" spans="1:13" x14ac:dyDescent="0.2">
      <c r="A449" s="22">
        <v>54149</v>
      </c>
      <c r="B449" s="25">
        <f>'[2]US EIA'!$R597</f>
        <v>539.55555555554838</v>
      </c>
      <c r="C449" s="23">
        <f>'[1]Renewable Diesel'!$AX460</f>
        <v>5446.8500000000013</v>
      </c>
      <c r="D449" s="25">
        <f t="shared" si="43"/>
        <v>5986.4055555555497</v>
      </c>
      <c r="E449" s="25">
        <f>BD!AV$28</f>
        <v>32.476041410351414</v>
      </c>
      <c r="F449" s="25">
        <f>RD!AW$27</f>
        <v>458.18368348848298</v>
      </c>
      <c r="G449" s="25">
        <f t="shared" si="47"/>
        <v>490.65972489883438</v>
      </c>
      <c r="H449" s="26">
        <f t="shared" si="46"/>
        <v>0.70869291088514252</v>
      </c>
      <c r="I449" s="26">
        <f t="shared" si="45"/>
        <v>0.99043362128685952</v>
      </c>
      <c r="J449" s="26">
        <f t="shared" si="44"/>
        <v>0.96504029233300348</v>
      </c>
      <c r="K449" s="25">
        <f t="shared" si="48"/>
        <v>157.17635830463658</v>
      </c>
      <c r="L449" s="25">
        <f t="shared" si="48"/>
        <v>52.106629893669222</v>
      </c>
      <c r="M449" s="25">
        <f t="shared" si="48"/>
        <v>209.2829881983059</v>
      </c>
    </row>
    <row r="450" spans="1:13" x14ac:dyDescent="0.2">
      <c r="A450" s="22">
        <v>54179</v>
      </c>
      <c r="B450" s="25">
        <f>'[2]US EIA'!$R598</f>
        <v>539.55555555554838</v>
      </c>
      <c r="C450" s="23">
        <f>'[1]Renewable Diesel'!$AX461</f>
        <v>5446.8500000000013</v>
      </c>
      <c r="D450" s="25">
        <f t="shared" si="43"/>
        <v>5986.4055555555497</v>
      </c>
      <c r="E450" s="25">
        <f>BD!AV$29</f>
        <v>34.701083847314344</v>
      </c>
      <c r="F450" s="25">
        <f>RD!AW$28</f>
        <v>511.61113512325238</v>
      </c>
      <c r="G450" s="25">
        <f t="shared" si="47"/>
        <v>546.31221897056673</v>
      </c>
      <c r="H450" s="26">
        <f t="shared" si="46"/>
        <v>0.7824894318947635</v>
      </c>
      <c r="I450" s="26">
        <f t="shared" si="45"/>
        <v>1.1427893450342068</v>
      </c>
      <c r="J450" s="26">
        <f t="shared" si="44"/>
        <v>1.1103154643396123</v>
      </c>
      <c r="K450" s="25">
        <f t="shared" si="48"/>
        <v>117.35903541322382</v>
      </c>
      <c r="L450" s="25">
        <f t="shared" si="48"/>
        <v>-777.75214399956963</v>
      </c>
      <c r="M450" s="25">
        <f t="shared" si="48"/>
        <v>-660.39310858634497</v>
      </c>
    </row>
    <row r="451" spans="1:13" x14ac:dyDescent="0.2">
      <c r="A451" s="22">
        <v>54210</v>
      </c>
      <c r="B451" s="25">
        <f>'[2]US EIA'!$R599</f>
        <v>539.55555555554838</v>
      </c>
      <c r="C451" s="23">
        <f>'[1]Renewable Diesel'!$AX462</f>
        <v>5446.8500000000013</v>
      </c>
      <c r="D451" s="25">
        <f t="shared" ref="D451:D481" si="49">C451+B451</f>
        <v>5986.4055555555497</v>
      </c>
      <c r="E451" s="25">
        <f>BD!AV$30</f>
        <v>33.96417510207489</v>
      </c>
      <c r="F451" s="25">
        <f>RD!AW$29</f>
        <v>512.89385003131952</v>
      </c>
      <c r="G451" s="25">
        <f t="shared" si="47"/>
        <v>546.85802513339445</v>
      </c>
      <c r="H451" s="26">
        <f t="shared" si="46"/>
        <v>0.74116699799594443</v>
      </c>
      <c r="I451" s="26">
        <f t="shared" si="45"/>
        <v>1.1086979557076437</v>
      </c>
      <c r="J451" s="26">
        <f t="shared" si="44"/>
        <v>1.0755723399718427</v>
      </c>
      <c r="K451" s="25">
        <f t="shared" si="48"/>
        <v>139.65478419240856</v>
      </c>
      <c r="L451" s="25">
        <f t="shared" si="48"/>
        <v>-592.06146004617938</v>
      </c>
      <c r="M451" s="25">
        <f t="shared" si="48"/>
        <v>-452.40667585377156</v>
      </c>
    </row>
    <row r="452" spans="1:13" x14ac:dyDescent="0.2">
      <c r="A452" s="22">
        <v>54240</v>
      </c>
      <c r="B452" s="25">
        <f>'[2]US EIA'!$R600</f>
        <v>539.55555555554838</v>
      </c>
      <c r="C452" s="23">
        <f>'[1]Renewable Diesel'!$AX463</f>
        <v>5446.8500000000013</v>
      </c>
      <c r="D452" s="25">
        <f t="shared" si="49"/>
        <v>5986.4055555555497</v>
      </c>
      <c r="E452" s="25">
        <f>BD!AV$31</f>
        <v>33.759897603563338</v>
      </c>
      <c r="F452" s="25">
        <f>RD!AW$30</f>
        <v>499.40260078882289</v>
      </c>
      <c r="G452" s="25">
        <f t="shared" si="47"/>
        <v>533.16249839238628</v>
      </c>
      <c r="H452" s="26">
        <f t="shared" si="46"/>
        <v>0.76126622479205819</v>
      </c>
      <c r="I452" s="26">
        <f t="shared" si="45"/>
        <v>1.1155190571181528</v>
      </c>
      <c r="J452" s="26">
        <f t="shared" ref="J452:J481" si="50">(G452/(A452-A451)*365)/D452</f>
        <v>1.0835902006484386</v>
      </c>
      <c r="K452" s="25">
        <f t="shared" si="48"/>
        <v>128.81013471219444</v>
      </c>
      <c r="L452" s="25">
        <f t="shared" si="48"/>
        <v>-629.21497626401072</v>
      </c>
      <c r="M452" s="25">
        <f t="shared" si="48"/>
        <v>-500.40484155181582</v>
      </c>
    </row>
    <row r="453" spans="1:13" x14ac:dyDescent="0.2">
      <c r="A453" s="22">
        <v>54271</v>
      </c>
      <c r="B453" s="25">
        <f>'[2]US EIA'!$R601</f>
        <v>539.55555555554838</v>
      </c>
      <c r="C453" s="23">
        <f>'[1]Renewable Diesel'!$AX464</f>
        <v>5446.8500000000013</v>
      </c>
      <c r="D453" s="25">
        <f t="shared" si="49"/>
        <v>5986.4055555555497</v>
      </c>
      <c r="E453" s="25">
        <f>BD!AV$32</f>
        <v>34.877826004123357</v>
      </c>
      <c r="F453" s="25">
        <f>RD!AW$31</f>
        <v>514.29446448160763</v>
      </c>
      <c r="G453" s="25">
        <f t="shared" si="47"/>
        <v>549.17229048573097</v>
      </c>
      <c r="H453" s="26">
        <f t="shared" si="46"/>
        <v>0.76110470866468316</v>
      </c>
      <c r="I453" s="26">
        <f t="shared" si="45"/>
        <v>1.1117255965687582</v>
      </c>
      <c r="J453" s="26">
        <f t="shared" si="50"/>
        <v>1.0801240877490124</v>
      </c>
      <c r="K453" s="25">
        <f t="shared" si="48"/>
        <v>128.89728163603147</v>
      </c>
      <c r="L453" s="25">
        <f t="shared" si="48"/>
        <v>-608.55256567054096</v>
      </c>
      <c r="M453" s="25">
        <f t="shared" si="48"/>
        <v>-479.65528403450799</v>
      </c>
    </row>
    <row r="454" spans="1:13" x14ac:dyDescent="0.2">
      <c r="A454" s="22">
        <v>54302</v>
      </c>
      <c r="B454" s="25">
        <f>'[2]US EIA'!$R602</f>
        <v>539.55555555554838</v>
      </c>
      <c r="C454" s="23">
        <f>'[1]Renewable Diesel'!$AX465</f>
        <v>5446.8500000000013</v>
      </c>
      <c r="D454" s="25">
        <f t="shared" si="49"/>
        <v>5986.4055555555497</v>
      </c>
      <c r="E454" s="25">
        <f>BD!AV$33</f>
        <v>32.892660596924593</v>
      </c>
      <c r="F454" s="25">
        <f>RD!AW$32</f>
        <v>520.6433836052413</v>
      </c>
      <c r="G454" s="25">
        <f t="shared" si="47"/>
        <v>553.53604420216584</v>
      </c>
      <c r="H454" s="26">
        <f t="shared" si="46"/>
        <v>0.71778438420642721</v>
      </c>
      <c r="I454" s="26">
        <f t="shared" si="45"/>
        <v>1.1254497495350999</v>
      </c>
      <c r="J454" s="26">
        <f t="shared" si="50"/>
        <v>1.0887068141242939</v>
      </c>
      <c r="K454" s="25">
        <f t="shared" si="48"/>
        <v>152.27100336595237</v>
      </c>
      <c r="L454" s="25">
        <f t="shared" si="48"/>
        <v>-683.30596825525913</v>
      </c>
      <c r="M454" s="25">
        <f t="shared" si="48"/>
        <v>-531.03496488930671</v>
      </c>
    </row>
    <row r="455" spans="1:13" x14ac:dyDescent="0.2">
      <c r="A455" s="22">
        <v>54332</v>
      </c>
      <c r="B455" s="25">
        <f>'[2]US EIA'!$R603</f>
        <v>539.55555555554838</v>
      </c>
      <c r="C455" s="23">
        <f>'[1]Renewable Diesel'!$AX466</f>
        <v>5446.8500000000013</v>
      </c>
      <c r="D455" s="25">
        <f t="shared" si="49"/>
        <v>5986.4055555555497</v>
      </c>
      <c r="E455" s="25">
        <f>BD!AV$34</f>
        <v>33.575537819567167</v>
      </c>
      <c r="F455" s="25">
        <f>RD!AW$33</f>
        <v>565.49063475281753</v>
      </c>
      <c r="G455" s="25">
        <f t="shared" si="47"/>
        <v>599.06617257238474</v>
      </c>
      <c r="H455" s="26">
        <f t="shared" si="46"/>
        <v>0.75710901796595009</v>
      </c>
      <c r="I455" s="26">
        <f t="shared" si="45"/>
        <v>1.2631403574835507</v>
      </c>
      <c r="J455" s="26">
        <f t="shared" si="50"/>
        <v>1.2175316832986629</v>
      </c>
      <c r="K455" s="25">
        <f t="shared" si="48"/>
        <v>131.05317875081451</v>
      </c>
      <c r="L455" s="25">
        <f t="shared" si="48"/>
        <v>-1433.2860561592784</v>
      </c>
      <c r="M455" s="25">
        <f t="shared" si="48"/>
        <v>-1302.232877408466</v>
      </c>
    </row>
    <row r="456" spans="1:13" x14ac:dyDescent="0.2">
      <c r="A456" s="22">
        <v>54363</v>
      </c>
      <c r="B456" s="25">
        <f>'[2]US EIA'!$R604</f>
        <v>539.55555555554838</v>
      </c>
      <c r="C456" s="23">
        <f>'[1]Renewable Diesel'!$AX467</f>
        <v>5446.8500000000013</v>
      </c>
      <c r="D456" s="25">
        <f t="shared" si="49"/>
        <v>5986.4055555555497</v>
      </c>
      <c r="E456" s="25">
        <f>BD!AV$35</f>
        <v>31.954790816344946</v>
      </c>
      <c r="F456" s="25">
        <f>RD!AW$34</f>
        <v>683.30315960383518</v>
      </c>
      <c r="G456" s="25">
        <f t="shared" si="47"/>
        <v>715.25795042018012</v>
      </c>
      <c r="H456" s="26">
        <f t="shared" si="46"/>
        <v>0.6973181686220874</v>
      </c>
      <c r="I456" s="26">
        <f t="shared" si="45"/>
        <v>1.4770635602963167</v>
      </c>
      <c r="J456" s="26">
        <f t="shared" si="50"/>
        <v>1.4067850009684688</v>
      </c>
      <c r="K456" s="25">
        <f t="shared" si="48"/>
        <v>163.31366368568044</v>
      </c>
      <c r="L456" s="25">
        <f t="shared" si="48"/>
        <v>-2598.493653399993</v>
      </c>
      <c r="M456" s="25">
        <f t="shared" si="48"/>
        <v>-2435.1799897143114</v>
      </c>
    </row>
    <row r="457" spans="1:13" x14ac:dyDescent="0.2">
      <c r="A457" s="22">
        <v>54393</v>
      </c>
      <c r="B457" s="25">
        <f>'[2]US EIA'!$R605</f>
        <v>539.55555555554838</v>
      </c>
      <c r="C457" s="23">
        <f>'[1]Renewable Diesel'!$AX468</f>
        <v>5446.8500000000013</v>
      </c>
      <c r="D457" s="25">
        <f t="shared" si="49"/>
        <v>5986.4055555555497</v>
      </c>
      <c r="E457" s="25">
        <f>BD!AV$36</f>
        <v>40.68783750047286</v>
      </c>
      <c r="F457" s="25">
        <f>RD!AW$35</f>
        <v>773.431573274843</v>
      </c>
      <c r="G457" s="25">
        <f t="shared" si="47"/>
        <v>814.11941077531583</v>
      </c>
      <c r="H457" s="26">
        <f t="shared" si="46"/>
        <v>0.9174872747738545</v>
      </c>
      <c r="I457" s="26">
        <f t="shared" si="45"/>
        <v>1.727619475753984</v>
      </c>
      <c r="J457" s="26">
        <f t="shared" si="50"/>
        <v>1.6546021491267191</v>
      </c>
      <c r="K457" s="25">
        <f t="shared" si="48"/>
        <v>44.520199299795244</v>
      </c>
      <c r="L457" s="25">
        <f t="shared" si="48"/>
        <v>-3963.2341415105889</v>
      </c>
      <c r="M457" s="25">
        <f t="shared" si="48"/>
        <v>-3918.7139422107934</v>
      </c>
    </row>
    <row r="458" spans="1:13" x14ac:dyDescent="0.2">
      <c r="A458" s="22">
        <v>54424</v>
      </c>
      <c r="B458" s="25">
        <f>'[2]US EIA'!$R606</f>
        <v>539.55555555554838</v>
      </c>
      <c r="C458" s="23">
        <f>'[1]Renewable Diesel'!$AX469</f>
        <v>5446.8500000000013</v>
      </c>
      <c r="D458" s="25">
        <f t="shared" si="49"/>
        <v>5986.4055555555497</v>
      </c>
      <c r="E458" s="25">
        <f>BD!AW$25</f>
        <v>27.528461504392361</v>
      </c>
      <c r="F458" s="25">
        <f>RD!AX$24</f>
        <v>425.32799879783437</v>
      </c>
      <c r="G458" s="25">
        <f t="shared" si="47"/>
        <v>452.85646030222671</v>
      </c>
      <c r="H458" s="26">
        <f t="shared" si="46"/>
        <v>0.60072671016853174</v>
      </c>
      <c r="I458" s="26">
        <f t="shared" ref="I458:I481" si="51">(F458/(A458-A457)*365)/C458</f>
        <v>0.91941106867159095</v>
      </c>
      <c r="J458" s="26">
        <f t="shared" si="50"/>
        <v>0.89068800363644485</v>
      </c>
      <c r="K458" s="25">
        <f t="shared" si="48"/>
        <v>215.43012171350935</v>
      </c>
      <c r="L458" s="25">
        <f t="shared" si="48"/>
        <v>438.95582060614493</v>
      </c>
      <c r="M458" s="25">
        <f t="shared" si="48"/>
        <v>654.38594231965465</v>
      </c>
    </row>
    <row r="459" spans="1:13" x14ac:dyDescent="0.2">
      <c r="A459" s="22">
        <v>54455</v>
      </c>
      <c r="B459" s="25">
        <f>'[2]US EIA'!$R607</f>
        <v>539.55555555554838</v>
      </c>
      <c r="C459" s="23">
        <f>'[1]Renewable Diesel'!$AX470</f>
        <v>5446.8500000000013</v>
      </c>
      <c r="D459" s="25">
        <f t="shared" si="49"/>
        <v>5986.4055555555497</v>
      </c>
      <c r="E459" s="25">
        <f>BD!AW$26</f>
        <v>25.876271594432261</v>
      </c>
      <c r="F459" s="25">
        <f>RD!AX$25</f>
        <v>463.58669781772699</v>
      </c>
      <c r="G459" s="25">
        <f t="shared" si="47"/>
        <v>489.46296941215923</v>
      </c>
      <c r="H459" s="26">
        <f t="shared" si="46"/>
        <v>0.5646725845492846</v>
      </c>
      <c r="I459" s="26">
        <f t="shared" si="51"/>
        <v>1.0021130573750991</v>
      </c>
      <c r="J459" s="26">
        <f t="shared" si="50"/>
        <v>0.96268648743297791</v>
      </c>
      <c r="K459" s="25">
        <f t="shared" si="48"/>
        <v>234.88332549207178</v>
      </c>
      <c r="L459" s="25">
        <f t="shared" si="48"/>
        <v>-11.509506563558796</v>
      </c>
      <c r="M459" s="25">
        <f t="shared" si="48"/>
        <v>223.37381892851286</v>
      </c>
    </row>
    <row r="460" spans="1:13" x14ac:dyDescent="0.2">
      <c r="A460" s="22">
        <v>54483</v>
      </c>
      <c r="B460" s="25">
        <f>'[2]US EIA'!$R608</f>
        <v>539.55555555554838</v>
      </c>
      <c r="C460" s="23">
        <f>'[1]Renewable Diesel'!$AX471</f>
        <v>5446.8500000000013</v>
      </c>
      <c r="D460" s="25">
        <f t="shared" si="49"/>
        <v>5986.4055555555497</v>
      </c>
      <c r="E460" s="25">
        <f>BD!AW$27</f>
        <v>29.720146093059704</v>
      </c>
      <c r="F460" s="25">
        <f>RD!AX$26</f>
        <v>496.1262921475851</v>
      </c>
      <c r="G460" s="25">
        <f t="shared" si="47"/>
        <v>525.84643824064483</v>
      </c>
      <c r="H460" s="26">
        <f t="shared" si="46"/>
        <v>0.71804159740308326</v>
      </c>
      <c r="I460" s="26">
        <f t="shared" si="51"/>
        <v>1.1873579397388825</v>
      </c>
      <c r="J460" s="26">
        <f t="shared" si="50"/>
        <v>1.1450583932964784</v>
      </c>
      <c r="K460" s="25">
        <f t="shared" si="48"/>
        <v>152.13222255673438</v>
      </c>
      <c r="L460" s="25">
        <f t="shared" si="48"/>
        <v>-1020.5105940667323</v>
      </c>
      <c r="M460" s="25">
        <f t="shared" si="48"/>
        <v>-868.37837151000019</v>
      </c>
    </row>
    <row r="461" spans="1:13" x14ac:dyDescent="0.2">
      <c r="A461" s="22">
        <v>54514</v>
      </c>
      <c r="B461" s="25">
        <f>'[2]US EIA'!$R609</f>
        <v>539.55555555554838</v>
      </c>
      <c r="C461" s="23">
        <f>'[1]Renewable Diesel'!$AX472</f>
        <v>5446.8500000000013</v>
      </c>
      <c r="D461" s="25">
        <f t="shared" si="49"/>
        <v>5986.4055555555497</v>
      </c>
      <c r="E461" s="25">
        <f>BD!AW$28</f>
        <v>33.042220938280771</v>
      </c>
      <c r="F461" s="25">
        <f>RD!AX$27</f>
        <v>474.75172027144509</v>
      </c>
      <c r="G461" s="25">
        <f t="shared" si="47"/>
        <v>507.79394120972586</v>
      </c>
      <c r="H461" s="26">
        <f t="shared" si="46"/>
        <v>0.72104809336141373</v>
      </c>
      <c r="I461" s="26">
        <f t="shared" si="51"/>
        <v>1.0262479491643286</v>
      </c>
      <c r="J461" s="26">
        <f t="shared" si="50"/>
        <v>0.99874024421099561</v>
      </c>
      <c r="K461" s="25">
        <f t="shared" si="48"/>
        <v>150.51005095966187</v>
      </c>
      <c r="L461" s="25">
        <f t="shared" si="48"/>
        <v>-142.96864190572327</v>
      </c>
      <c r="M461" s="25">
        <f t="shared" si="48"/>
        <v>7.5414090539391507</v>
      </c>
    </row>
    <row r="462" spans="1:13" x14ac:dyDescent="0.2">
      <c r="A462" s="22">
        <v>54544</v>
      </c>
      <c r="B462" s="25">
        <f>'[2]US EIA'!$R610</f>
        <v>539.55555555554838</v>
      </c>
      <c r="C462" s="23">
        <f>'[1]Renewable Diesel'!$AX473</f>
        <v>5446.8500000000013</v>
      </c>
      <c r="D462" s="25">
        <f t="shared" si="49"/>
        <v>5986.4055555555497</v>
      </c>
      <c r="E462" s="25">
        <f>BD!AW$29</f>
        <v>35.304660993889478</v>
      </c>
      <c r="F462" s="25">
        <f>RD!AX$28</f>
        <v>530.11159103694376</v>
      </c>
      <c r="G462" s="25">
        <f t="shared" si="47"/>
        <v>565.41625203083322</v>
      </c>
      <c r="H462" s="26">
        <f t="shared" si="46"/>
        <v>0.7960997485236716</v>
      </c>
      <c r="I462" s="26">
        <f t="shared" si="51"/>
        <v>1.1841139418715063</v>
      </c>
      <c r="J462" s="26">
        <f t="shared" si="50"/>
        <v>1.1491421692923931</v>
      </c>
      <c r="K462" s="25">
        <f t="shared" si="48"/>
        <v>110.0155134632264</v>
      </c>
      <c r="L462" s="25">
        <f t="shared" si="48"/>
        <v>-1002.8410242828144</v>
      </c>
      <c r="M462" s="25">
        <f t="shared" si="48"/>
        <v>-892.82551081958832</v>
      </c>
    </row>
    <row r="463" spans="1:13" x14ac:dyDescent="0.2">
      <c r="A463" s="22">
        <v>54575</v>
      </c>
      <c r="B463" s="25">
        <f>'[2]US EIA'!$R611</f>
        <v>539.55555555554838</v>
      </c>
      <c r="C463" s="23">
        <f>'[1]Renewable Diesel'!$AX474</f>
        <v>5446.8500000000013</v>
      </c>
      <c r="D463" s="25">
        <f t="shared" si="49"/>
        <v>5986.4055555555497</v>
      </c>
      <c r="E463" s="25">
        <f>BD!AW$30</f>
        <v>34.556067683388257</v>
      </c>
      <c r="F463" s="25">
        <f>RD!AX$29</f>
        <v>531.43977940409593</v>
      </c>
      <c r="G463" s="25">
        <f t="shared" si="47"/>
        <v>565.99584708748421</v>
      </c>
      <c r="H463" s="26">
        <f t="shared" si="46"/>
        <v>0.75408329130528207</v>
      </c>
      <c r="I463" s="26">
        <f t="shared" si="51"/>
        <v>1.1487877988224324</v>
      </c>
      <c r="J463" s="26">
        <f t="shared" si="50"/>
        <v>1.113213027307653</v>
      </c>
      <c r="K463" s="25">
        <f t="shared" si="48"/>
        <v>132.68572638017048</v>
      </c>
      <c r="L463" s="25">
        <f t="shared" si="48"/>
        <v>-810.42482201596624</v>
      </c>
      <c r="M463" s="25">
        <f t="shared" si="48"/>
        <v>-677.73909563579628</v>
      </c>
    </row>
    <row r="464" spans="1:13" x14ac:dyDescent="0.2">
      <c r="A464" s="22">
        <v>54605</v>
      </c>
      <c r="B464" s="25">
        <f>'[2]US EIA'!$R612</f>
        <v>539.55555555554838</v>
      </c>
      <c r="C464" s="23">
        <f>'[1]Renewable Diesel'!$AX475</f>
        <v>5446.8500000000013</v>
      </c>
      <c r="D464" s="25">
        <f t="shared" si="49"/>
        <v>5986.4055555555497</v>
      </c>
      <c r="E464" s="25">
        <f>BD!AW$31</f>
        <v>34.347972961582009</v>
      </c>
      <c r="F464" s="25">
        <f>RD!AX$30</f>
        <v>517.46066101597353</v>
      </c>
      <c r="G464" s="25">
        <f t="shared" si="47"/>
        <v>551.80863397755559</v>
      </c>
      <c r="H464" s="26">
        <f t="shared" si="46"/>
        <v>0.77452698502744644</v>
      </c>
      <c r="I464" s="26">
        <f t="shared" si="51"/>
        <v>1.155855471638533</v>
      </c>
      <c r="J464" s="26">
        <f t="shared" si="50"/>
        <v>1.1214862827265553</v>
      </c>
      <c r="K464" s="25">
        <f t="shared" si="48"/>
        <v>121.65521785630062</v>
      </c>
      <c r="L464" s="25">
        <f t="shared" si="48"/>
        <v>-848.92137569434351</v>
      </c>
      <c r="M464" s="25">
        <f t="shared" si="48"/>
        <v>-727.26615783804266</v>
      </c>
    </row>
    <row r="465" spans="1:13" x14ac:dyDescent="0.2">
      <c r="A465" s="22">
        <v>54636</v>
      </c>
      <c r="B465" s="25">
        <f>'[2]US EIA'!$R613</f>
        <v>539.55555555554838</v>
      </c>
      <c r="C465" s="23">
        <f>'[1]Renewable Diesel'!$AX476</f>
        <v>5446.8500000000013</v>
      </c>
      <c r="D465" s="25">
        <f t="shared" si="49"/>
        <v>5986.4055555555497</v>
      </c>
      <c r="E465" s="25">
        <f>BD!AW$32</f>
        <v>35.485784261556915</v>
      </c>
      <c r="F465" s="25">
        <f>RD!AX$31</f>
        <v>532.89056932980839</v>
      </c>
      <c r="G465" s="25">
        <f t="shared" si="47"/>
        <v>568.37635359136527</v>
      </c>
      <c r="H465" s="26">
        <f t="shared" si="46"/>
        <v>0.77437158752202795</v>
      </c>
      <c r="I465" s="26">
        <f t="shared" si="51"/>
        <v>1.1519239015943812</v>
      </c>
      <c r="J465" s="26">
        <f t="shared" si="50"/>
        <v>1.1178950596323556</v>
      </c>
      <c r="K465" s="25">
        <f t="shared" si="48"/>
        <v>121.73906344366864</v>
      </c>
      <c r="L465" s="25">
        <f t="shared" si="48"/>
        <v>-827.50670339935539</v>
      </c>
      <c r="M465" s="25">
        <f t="shared" si="48"/>
        <v>-705.76763995568626</v>
      </c>
    </row>
    <row r="466" spans="1:13" x14ac:dyDescent="0.2">
      <c r="A466" s="22">
        <v>54667</v>
      </c>
      <c r="B466" s="25">
        <f>'[2]US EIA'!$R614</f>
        <v>539.55555555554838</v>
      </c>
      <c r="C466" s="23">
        <f>'[1]Renewable Diesel'!$AX477</f>
        <v>5446.8500000000013</v>
      </c>
      <c r="D466" s="25">
        <f t="shared" si="49"/>
        <v>5986.4055555555497</v>
      </c>
      <c r="E466" s="25">
        <f>BD!AW$33</f>
        <v>33.465748392685732</v>
      </c>
      <c r="F466" s="25">
        <f>RD!AX$32</f>
        <v>539.46953374594193</v>
      </c>
      <c r="G466" s="25">
        <f t="shared" si="47"/>
        <v>572.93528213862771</v>
      </c>
      <c r="H466" s="26">
        <f t="shared" si="46"/>
        <v>0.73029031905972053</v>
      </c>
      <c r="I466" s="26">
        <f t="shared" si="51"/>
        <v>1.166145332399986</v>
      </c>
      <c r="J466" s="26">
        <f t="shared" si="50"/>
        <v>1.1268616601392192</v>
      </c>
      <c r="K466" s="25">
        <f t="shared" si="48"/>
        <v>145.5233567384422</v>
      </c>
      <c r="L466" s="25">
        <f t="shared" si="48"/>
        <v>-904.96870378286383</v>
      </c>
      <c r="M466" s="25">
        <f t="shared" si="48"/>
        <v>-759.44534704442174</v>
      </c>
    </row>
    <row r="467" spans="1:13" x14ac:dyDescent="0.2">
      <c r="A467" s="22">
        <v>54697</v>
      </c>
      <c r="B467" s="25">
        <f>'[2]US EIA'!$R615</f>
        <v>539.55555555554838</v>
      </c>
      <c r="C467" s="23">
        <f>'[1]Renewable Diesel'!$AX478</f>
        <v>5446.8500000000013</v>
      </c>
      <c r="D467" s="25">
        <f t="shared" si="49"/>
        <v>5986.4055555555497</v>
      </c>
      <c r="E467" s="25">
        <f>BD!AW$34</f>
        <v>34.158540693213808</v>
      </c>
      <c r="F467" s="25">
        <f>RD!AX$33</f>
        <v>585.93875752156669</v>
      </c>
      <c r="G467" s="25">
        <f t="shared" si="47"/>
        <v>620.09729821478049</v>
      </c>
      <c r="H467" s="26">
        <f t="shared" si="46"/>
        <v>0.77025539660357534</v>
      </c>
      <c r="I467" s="26">
        <f t="shared" si="51"/>
        <v>1.3088154712991411</v>
      </c>
      <c r="J467" s="26">
        <f t="shared" si="50"/>
        <v>1.260274977741578</v>
      </c>
      <c r="K467" s="25">
        <f t="shared" si="48"/>
        <v>123.95997712144704</v>
      </c>
      <c r="L467" s="25">
        <f t="shared" si="48"/>
        <v>-1682.0715498457271</v>
      </c>
      <c r="M467" s="25">
        <f t="shared" si="48"/>
        <v>-1558.1115727242798</v>
      </c>
    </row>
    <row r="468" spans="1:13" x14ac:dyDescent="0.2">
      <c r="A468" s="22">
        <v>54728</v>
      </c>
      <c r="B468" s="25">
        <f>'[2]US EIA'!$R616</f>
        <v>539.55555555554838</v>
      </c>
      <c r="C468" s="23">
        <f>'[1]Renewable Diesel'!$AX479</f>
        <v>5446.8500000000013</v>
      </c>
      <c r="D468" s="25">
        <f t="shared" si="49"/>
        <v>5986.4055555555497</v>
      </c>
      <c r="E468" s="25">
        <f>BD!AW$35</f>
        <v>32.509964415392069</v>
      </c>
      <c r="F468" s="25">
        <f>RD!AX$34</f>
        <v>708.01159508728233</v>
      </c>
      <c r="G468" s="25">
        <f t="shared" si="47"/>
        <v>740.52155950267445</v>
      </c>
      <c r="H468" s="26">
        <f t="shared" si="46"/>
        <v>0.7094331794691261</v>
      </c>
      <c r="I468" s="26">
        <f t="shared" si="51"/>
        <v>1.5304745963373207</v>
      </c>
      <c r="J468" s="26">
        <f t="shared" si="50"/>
        <v>1.4564740205825895</v>
      </c>
      <c r="K468" s="25">
        <f t="shared" si="48"/>
        <v>156.776942277545</v>
      </c>
      <c r="L468" s="25">
        <f t="shared" si="48"/>
        <v>-2889.4155550599362</v>
      </c>
      <c r="M468" s="25">
        <f t="shared" si="48"/>
        <v>-2732.6386127823916</v>
      </c>
    </row>
    <row r="469" spans="1:13" x14ac:dyDescent="0.2">
      <c r="A469" s="22">
        <v>54758</v>
      </c>
      <c r="B469" s="25">
        <f>'[2]US EIA'!$R617</f>
        <v>539.55555555554838</v>
      </c>
      <c r="C469" s="23">
        <f>'[1]Renewable Diesel'!$AX480</f>
        <v>5446.8500000000013</v>
      </c>
      <c r="D469" s="25">
        <f t="shared" si="49"/>
        <v>5986.4055555555497</v>
      </c>
      <c r="E469" s="25">
        <f>BD!AW$36</f>
        <v>41.391441200926238</v>
      </c>
      <c r="F469" s="25">
        <f>RD!AX$35</f>
        <v>801.3993992506671</v>
      </c>
      <c r="G469" s="25">
        <f t="shared" si="47"/>
        <v>842.79084045159334</v>
      </c>
      <c r="H469" s="26">
        <f t="shared" si="46"/>
        <v>0.93335313251677987</v>
      </c>
      <c r="I469" s="26">
        <f t="shared" si="51"/>
        <v>1.7900914028382975</v>
      </c>
      <c r="J469" s="26">
        <f t="shared" si="50"/>
        <v>1.7128734647752741</v>
      </c>
      <c r="K469" s="25">
        <f t="shared" si="48"/>
        <v>35.959687610945849</v>
      </c>
      <c r="L469" s="25">
        <f t="shared" si="48"/>
        <v>-4303.5093575497813</v>
      </c>
      <c r="M469" s="25">
        <f t="shared" si="48"/>
        <v>-4267.5496699388341</v>
      </c>
    </row>
    <row r="470" spans="1:13" x14ac:dyDescent="0.2">
      <c r="A470" s="22">
        <v>54789</v>
      </c>
      <c r="B470" s="25">
        <f>'[2]US EIA'!$R618</f>
        <v>539.55555555554838</v>
      </c>
      <c r="C470" s="23">
        <f>'[1]Renewable Diesel'!$AX481</f>
        <v>5446.8500000000013</v>
      </c>
      <c r="D470" s="25">
        <f t="shared" si="49"/>
        <v>5986.4055555555497</v>
      </c>
      <c r="E470" s="25">
        <f>BD!AX$25</f>
        <v>28.000588079461295</v>
      </c>
      <c r="F470" s="25">
        <f>RD!AY$24</f>
        <v>443.62295822248586</v>
      </c>
      <c r="G470" s="25">
        <f t="shared" si="47"/>
        <v>471.62354630194716</v>
      </c>
      <c r="H470" s="26">
        <f t="shared" si="46"/>
        <v>0.61102946697820826</v>
      </c>
      <c r="I470" s="26">
        <f t="shared" si="51"/>
        <v>0.95895840212592431</v>
      </c>
      <c r="J470" s="26">
        <f t="shared" si="50"/>
        <v>0.92759951937811902</v>
      </c>
      <c r="K470" s="25">
        <f t="shared" si="48"/>
        <v>209.87121203931062</v>
      </c>
      <c r="L470" s="25">
        <f t="shared" si="48"/>
        <v>223.5474273804092</v>
      </c>
      <c r="M470" s="25">
        <f t="shared" si="48"/>
        <v>433.41863941972019</v>
      </c>
    </row>
    <row r="471" spans="1:13" x14ac:dyDescent="0.2">
      <c r="A471" s="22">
        <v>54820</v>
      </c>
      <c r="B471" s="25">
        <f>'[2]US EIA'!$R619</f>
        <v>539.55555555554838</v>
      </c>
      <c r="C471" s="23">
        <f>'[1]Renewable Diesel'!$AX482</f>
        <v>5446.8500000000013</v>
      </c>
      <c r="D471" s="25">
        <f t="shared" si="49"/>
        <v>5986.4055555555497</v>
      </c>
      <c r="E471" s="25">
        <f>BD!AX$26</f>
        <v>26.341027215544646</v>
      </c>
      <c r="F471" s="25">
        <f>RD!AY$25</f>
        <v>483.71198743685954</v>
      </c>
      <c r="G471" s="25">
        <f t="shared" si="47"/>
        <v>510.05301465240422</v>
      </c>
      <c r="H471" s="26">
        <f t="shared" si="46"/>
        <v>0.57481449223484959</v>
      </c>
      <c r="I471" s="26">
        <f t="shared" si="51"/>
        <v>1.0456169275373051</v>
      </c>
      <c r="J471" s="26">
        <f t="shared" si="50"/>
        <v>1.003183439331552</v>
      </c>
      <c r="K471" s="25">
        <f t="shared" si="48"/>
        <v>229.41120285639366</v>
      </c>
      <c r="L471" s="25">
        <f t="shared" si="48"/>
        <v>-248.46856175657015</v>
      </c>
      <c r="M471" s="25">
        <f t="shared" si="48"/>
        <v>-19.057358900176716</v>
      </c>
    </row>
    <row r="472" spans="1:13" x14ac:dyDescent="0.2">
      <c r="A472" s="22">
        <v>54848</v>
      </c>
      <c r="B472" s="25">
        <f>'[2]US EIA'!$R620</f>
        <v>539.55555555554838</v>
      </c>
      <c r="C472" s="23">
        <f>'[1]Renewable Diesel'!$AX483</f>
        <v>5446.8500000000013</v>
      </c>
      <c r="D472" s="25">
        <f t="shared" si="49"/>
        <v>5986.4055555555497</v>
      </c>
      <c r="E472" s="25">
        <f>BD!AX$27</f>
        <v>30.255812623438469</v>
      </c>
      <c r="F472" s="25">
        <f>RD!AY$26</f>
        <v>517.39420178451201</v>
      </c>
      <c r="G472" s="25">
        <f t="shared" si="47"/>
        <v>547.65001440795049</v>
      </c>
      <c r="H472" s="26">
        <f t="shared" si="46"/>
        <v>0.73098335246526158</v>
      </c>
      <c r="I472" s="26">
        <f t="shared" si="51"/>
        <v>1.2382575227054355</v>
      </c>
      <c r="J472" s="26">
        <f t="shared" si="50"/>
        <v>1.1925368320166945</v>
      </c>
      <c r="K472" s="25">
        <f t="shared" si="48"/>
        <v>145.14942671429694</v>
      </c>
      <c r="L472" s="25">
        <f t="shared" si="48"/>
        <v>-1297.7529875481018</v>
      </c>
      <c r="M472" s="25">
        <f t="shared" si="48"/>
        <v>-1152.6035608338054</v>
      </c>
    </row>
    <row r="473" spans="1:13" x14ac:dyDescent="0.2">
      <c r="A473" s="22">
        <v>54879</v>
      </c>
      <c r="B473" s="25">
        <f>'[2]US EIA'!$R621</f>
        <v>539.55555555554838</v>
      </c>
      <c r="C473" s="23">
        <f>'[1]Renewable Diesel'!$AX484</f>
        <v>5446.8500000000013</v>
      </c>
      <c r="D473" s="25">
        <f t="shared" si="49"/>
        <v>5986.4055555555497</v>
      </c>
      <c r="E473" s="25">
        <f>BD!AX$28</f>
        <v>33.634376955314657</v>
      </c>
      <c r="F473" s="25">
        <f>RD!AY$27</f>
        <v>495.33926125581235</v>
      </c>
      <c r="G473" s="25">
        <f t="shared" si="47"/>
        <v>528.97363821112697</v>
      </c>
      <c r="H473" s="26">
        <f t="shared" si="46"/>
        <v>0.73397013537100841</v>
      </c>
      <c r="I473" s="26">
        <f t="shared" si="51"/>
        <v>1.0707510458597198</v>
      </c>
      <c r="J473" s="26">
        <f t="shared" si="50"/>
        <v>1.0403969361067302</v>
      </c>
      <c r="K473" s="25">
        <f t="shared" si="48"/>
        <v>143.53789140426289</v>
      </c>
      <c r="L473" s="25">
        <f t="shared" si="48"/>
        <v>-385.37033414101495</v>
      </c>
      <c r="M473" s="25">
        <f t="shared" si="48"/>
        <v>-241.83244273675243</v>
      </c>
    </row>
    <row r="474" spans="1:13" x14ac:dyDescent="0.2">
      <c r="A474" s="22">
        <v>54909</v>
      </c>
      <c r="B474" s="25">
        <f>'[2]US EIA'!$R622</f>
        <v>539.55555555554838</v>
      </c>
      <c r="C474" s="23">
        <f>'[1]Renewable Diesel'!$AX485</f>
        <v>5446.8500000000013</v>
      </c>
      <c r="D474" s="25">
        <f t="shared" si="49"/>
        <v>5986.4055555555497</v>
      </c>
      <c r="E474" s="25">
        <f>BD!AX$29</f>
        <v>35.936612979545345</v>
      </c>
      <c r="F474" s="25">
        <f>RD!AY$28</f>
        <v>553.10771981817891</v>
      </c>
      <c r="G474" s="25">
        <f t="shared" si="47"/>
        <v>589.04433279772422</v>
      </c>
      <c r="H474" s="26">
        <f t="shared" si="46"/>
        <v>0.81034990141274033</v>
      </c>
      <c r="I474" s="26">
        <f t="shared" si="51"/>
        <v>1.235480554409951</v>
      </c>
      <c r="J474" s="26">
        <f t="shared" si="50"/>
        <v>1.1971634702209706</v>
      </c>
      <c r="K474" s="25">
        <f t="shared" si="48"/>
        <v>102.32676430441342</v>
      </c>
      <c r="L474" s="25">
        <f t="shared" si="48"/>
        <v>-1282.6272577878417</v>
      </c>
      <c r="M474" s="25">
        <f t="shared" si="48"/>
        <v>-1180.3004934834294</v>
      </c>
    </row>
    <row r="475" spans="1:13" x14ac:dyDescent="0.2">
      <c r="A475" s="22">
        <v>54940</v>
      </c>
      <c r="B475" s="25">
        <f>'[2]US EIA'!$R623</f>
        <v>539.55555555554838</v>
      </c>
      <c r="C475" s="23">
        <f>'[1]Renewable Diesel'!$AX486</f>
        <v>5446.8500000000013</v>
      </c>
      <c r="D475" s="25">
        <f t="shared" si="49"/>
        <v>5986.4055555555497</v>
      </c>
      <c r="E475" s="25">
        <f>BD!AX$30</f>
        <v>35.17516587181332</v>
      </c>
      <c r="F475" s="25">
        <f>RD!AY$29</f>
        <v>554.29930350247605</v>
      </c>
      <c r="G475" s="25">
        <f t="shared" si="47"/>
        <v>589.47446937428936</v>
      </c>
      <c r="H475" s="26">
        <f t="shared" si="46"/>
        <v>0.76759326598892152</v>
      </c>
      <c r="I475" s="26">
        <f t="shared" si="51"/>
        <v>1.1982021320899812</v>
      </c>
      <c r="J475" s="26">
        <f t="shared" si="50"/>
        <v>1.1593912958009684</v>
      </c>
      <c r="K475" s="25">
        <f t="shared" si="48"/>
        <v>125.39634448419801</v>
      </c>
      <c r="L475" s="25">
        <f t="shared" si="48"/>
        <v>-1079.5772831743141</v>
      </c>
      <c r="M475" s="25">
        <f t="shared" si="48"/>
        <v>-954.18093869011545</v>
      </c>
    </row>
    <row r="476" spans="1:13" x14ac:dyDescent="0.2">
      <c r="A476" s="22">
        <v>54970</v>
      </c>
      <c r="B476" s="25">
        <f>'[2]US EIA'!$R624</f>
        <v>539.55555555554838</v>
      </c>
      <c r="C476" s="23">
        <f>'[1]Renewable Diesel'!$AX487</f>
        <v>5446.8500000000013</v>
      </c>
      <c r="D476" s="25">
        <f t="shared" si="49"/>
        <v>5986.4055555555497</v>
      </c>
      <c r="E476" s="25">
        <f>BD!AX$31</f>
        <v>34.963170482454458</v>
      </c>
      <c r="F476" s="25">
        <f>RD!AY$30</f>
        <v>539.82265784982314</v>
      </c>
      <c r="G476" s="25">
        <f t="shared" si="47"/>
        <v>574.78582833227756</v>
      </c>
      <c r="H476" s="26">
        <f t="shared" si="46"/>
        <v>0.78839933439637855</v>
      </c>
      <c r="I476" s="26">
        <f t="shared" si="51"/>
        <v>1.2058056192428368</v>
      </c>
      <c r="J476" s="26">
        <f t="shared" si="50"/>
        <v>1.1681847334170006</v>
      </c>
      <c r="K476" s="25">
        <f t="shared" si="48"/>
        <v>114.1703146856858</v>
      </c>
      <c r="L476" s="25">
        <f t="shared" si="48"/>
        <v>-1120.992337172846</v>
      </c>
      <c r="M476" s="25">
        <f t="shared" si="48"/>
        <v>-1006.8220224871613</v>
      </c>
    </row>
    <row r="477" spans="1:13" x14ac:dyDescent="0.2">
      <c r="A477" s="22">
        <v>55001</v>
      </c>
      <c r="B477" s="25">
        <f>'[2]US EIA'!$R625</f>
        <v>539.55555555554838</v>
      </c>
      <c r="C477" s="23">
        <f>'[1]Renewable Diesel'!$AX488</f>
        <v>5446.8500000000013</v>
      </c>
      <c r="D477" s="25">
        <f t="shared" si="49"/>
        <v>5986.4055555555497</v>
      </c>
      <c r="E477" s="25">
        <f>BD!AX$32</f>
        <v>36.121693268018838</v>
      </c>
      <c r="F477" s="25">
        <f>RD!AY$31</f>
        <v>555.64456033273007</v>
      </c>
      <c r="G477" s="25">
        <f t="shared" si="47"/>
        <v>591.76625360074888</v>
      </c>
      <c r="H477" s="26">
        <f t="shared" si="46"/>
        <v>0.7882484082574498</v>
      </c>
      <c r="I477" s="26">
        <f t="shared" si="51"/>
        <v>1.2011101090476173</v>
      </c>
      <c r="J477" s="26">
        <f t="shared" si="50"/>
        <v>1.1638988272074287</v>
      </c>
      <c r="K477" s="25">
        <f t="shared" si="48"/>
        <v>114.25174772242335</v>
      </c>
      <c r="L477" s="25">
        <f t="shared" si="48"/>
        <v>-1095.4165974660145</v>
      </c>
      <c r="M477" s="25">
        <f t="shared" si="48"/>
        <v>-981.16484974359003</v>
      </c>
    </row>
    <row r="478" spans="1:13" x14ac:dyDescent="0.2">
      <c r="A478" s="22">
        <v>55032</v>
      </c>
      <c r="B478" s="25">
        <f>'[2]US EIA'!$R626</f>
        <v>539.55555555554838</v>
      </c>
      <c r="C478" s="23">
        <f>'[1]Renewable Diesel'!$AX489</f>
        <v>5446.8500000000013</v>
      </c>
      <c r="D478" s="25">
        <f t="shared" si="49"/>
        <v>5986.4055555555497</v>
      </c>
      <c r="E478" s="25">
        <f>BD!AX$33</f>
        <v>34.065324606918729</v>
      </c>
      <c r="F478" s="25">
        <f>RD!AY$32</f>
        <v>562.61009202643618</v>
      </c>
      <c r="G478" s="25">
        <f t="shared" si="47"/>
        <v>596.67541663335487</v>
      </c>
      <c r="H478" s="26">
        <f t="shared" si="46"/>
        <v>0.74337428478058087</v>
      </c>
      <c r="I478" s="26">
        <f t="shared" si="51"/>
        <v>1.2161671637359452</v>
      </c>
      <c r="J478" s="26">
        <f t="shared" si="50"/>
        <v>1.1735542765701683</v>
      </c>
      <c r="K478" s="25">
        <f t="shared" si="48"/>
        <v>138.46383034505362</v>
      </c>
      <c r="L478" s="25">
        <f t="shared" si="48"/>
        <v>-1177.4301157951336</v>
      </c>
      <c r="M478" s="25">
        <f t="shared" si="48"/>
        <v>-1038.96628545008</v>
      </c>
    </row>
    <row r="479" spans="1:13" x14ac:dyDescent="0.2">
      <c r="A479" s="22">
        <v>55062</v>
      </c>
      <c r="B479" s="25">
        <f>'[2]US EIA'!$R627</f>
        <v>539.55555555554838</v>
      </c>
      <c r="C479" s="23">
        <f>'[1]Renewable Diesel'!$AX490</f>
        <v>5446.8500000000013</v>
      </c>
      <c r="D479" s="25">
        <f t="shared" si="49"/>
        <v>5986.4055555555497</v>
      </c>
      <c r="E479" s="25">
        <f>BD!AX$34</f>
        <v>34.768953886756165</v>
      </c>
      <c r="F479" s="25">
        <f>RD!AY$33</f>
        <v>611.30567684576067</v>
      </c>
      <c r="G479" s="25">
        <f t="shared" si="47"/>
        <v>646.07463073251688</v>
      </c>
      <c r="H479" s="26">
        <f t="shared" si="46"/>
        <v>0.78401986214988684</v>
      </c>
      <c r="I479" s="26">
        <f t="shared" si="51"/>
        <v>1.365477735135614</v>
      </c>
      <c r="J479" s="26">
        <f t="shared" si="50"/>
        <v>1.313070857121843</v>
      </c>
      <c r="K479" s="25">
        <f t="shared" si="48"/>
        <v>116.53328326668174</v>
      </c>
      <c r="L479" s="25">
        <f t="shared" si="48"/>
        <v>-1990.7024016234195</v>
      </c>
      <c r="M479" s="25">
        <f t="shared" si="48"/>
        <v>-1874.1691183567386</v>
      </c>
    </row>
    <row r="480" spans="1:13" x14ac:dyDescent="0.2">
      <c r="A480" s="22">
        <v>55093</v>
      </c>
      <c r="B480" s="25">
        <f>'[2]US EIA'!$R628</f>
        <v>539.55555555554838</v>
      </c>
      <c r="C480" s="23">
        <f>'[1]Renewable Diesel'!$AX491</f>
        <v>5446.8500000000013</v>
      </c>
      <c r="D480" s="25">
        <f t="shared" si="49"/>
        <v>5986.4055555555497</v>
      </c>
      <c r="E480" s="25">
        <f>BD!AX$35</f>
        <v>33.090960839761159</v>
      </c>
      <c r="F480" s="25">
        <f>RD!AY$34</f>
        <v>738.79692908413995</v>
      </c>
      <c r="G480" s="25">
        <f t="shared" si="47"/>
        <v>771.88788992390107</v>
      </c>
      <c r="H480" s="26">
        <f t="shared" si="46"/>
        <v>0.72211169659494634</v>
      </c>
      <c r="I480" s="26">
        <f t="shared" si="51"/>
        <v>1.5970217714808885</v>
      </c>
      <c r="J480" s="26">
        <f t="shared" si="50"/>
        <v>1.5181660061747537</v>
      </c>
      <c r="K480" s="25">
        <f t="shared" si="48"/>
        <v>149.93617792610252</v>
      </c>
      <c r="L480" s="25">
        <f t="shared" si="48"/>
        <v>-3251.8880359906784</v>
      </c>
      <c r="M480" s="25">
        <f t="shared" si="48"/>
        <v>-3101.9518580645768</v>
      </c>
    </row>
    <row r="481" spans="1:13" x14ac:dyDescent="0.2">
      <c r="A481" s="22">
        <v>55123</v>
      </c>
      <c r="B481" s="25">
        <f>'[2]US EIA'!$R629</f>
        <v>539.55555555554838</v>
      </c>
      <c r="C481" s="23">
        <f>'[1]Renewable Diesel'!$AX492</f>
        <v>5446.8500000000013</v>
      </c>
      <c r="D481" s="25">
        <f t="shared" si="49"/>
        <v>5986.4055555555497</v>
      </c>
      <c r="E481" s="25">
        <f>BD!AX$36</f>
        <v>42.142271629108535</v>
      </c>
      <c r="F481" s="25">
        <f>RD!AY$35</f>
        <v>836.3127795015688</v>
      </c>
      <c r="G481" s="25">
        <f t="shared" si="47"/>
        <v>878.45505113067736</v>
      </c>
      <c r="H481" s="26">
        <f t="shared" si="46"/>
        <v>0.95028392573876563</v>
      </c>
      <c r="I481" s="26">
        <f t="shared" si="51"/>
        <v>1.8680776627351745</v>
      </c>
      <c r="J481" s="26">
        <f t="shared" si="50"/>
        <v>1.7853567870686502</v>
      </c>
      <c r="K481" s="25">
        <f t="shared" si="48"/>
        <v>26.82458406806121</v>
      </c>
      <c r="L481" s="25">
        <f t="shared" si="48"/>
        <v>-4728.2888172690864</v>
      </c>
      <c r="M481" s="25">
        <f t="shared" si="48"/>
        <v>-4701.4642332010244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B614-3A25-4AA0-9BC4-DDF34AC34004}">
  <sheetPr>
    <tabColor rgb="FFFFFF00"/>
  </sheetPr>
  <dimension ref="A1:AS81"/>
  <sheetViews>
    <sheetView zoomScale="110" zoomScaleNormal="110" workbookViewId="0">
      <pane xSplit="1" ySplit="2" topLeftCell="B31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5" x14ac:dyDescent="0.25"/>
  <cols>
    <col min="1" max="1" width="10.5703125" bestFit="1" customWidth="1"/>
    <col min="2" max="2" width="18.5703125" style="40" bestFit="1" customWidth="1"/>
    <col min="3" max="3" width="26.42578125" bestFit="1" customWidth="1"/>
    <col min="4" max="4" width="26.42578125" style="41" customWidth="1"/>
    <col min="5" max="7" width="16.7109375" bestFit="1" customWidth="1"/>
    <col min="8" max="9" width="15.28515625" bestFit="1" customWidth="1"/>
    <col min="10" max="10" width="17.42578125" bestFit="1" customWidth="1"/>
    <col min="11" max="11" width="15.28515625" bestFit="1" customWidth="1"/>
    <col min="12" max="14" width="18.5703125" bestFit="1" customWidth="1"/>
    <col min="15" max="15" width="18.5703125" style="40" bestFit="1" customWidth="1"/>
    <col min="16" max="16" width="27.28515625" style="42" bestFit="1" customWidth="1"/>
    <col min="17" max="18" width="27.28515625" bestFit="1" customWidth="1"/>
    <col min="19" max="19" width="24.5703125" bestFit="1" customWidth="1"/>
    <col min="20" max="20" width="23.5703125" bestFit="1" customWidth="1"/>
    <col min="21" max="21" width="29" bestFit="1" customWidth="1"/>
    <col min="22" max="23" width="29.140625" bestFit="1" customWidth="1"/>
    <col min="24" max="24" width="29.140625" style="42" bestFit="1" customWidth="1"/>
    <col min="25" max="25" width="20.140625" style="43" bestFit="1" customWidth="1"/>
    <col min="26" max="26" width="30.5703125" bestFit="1" customWidth="1"/>
    <col min="27" max="29" width="20.85546875" bestFit="1" customWidth="1"/>
    <col min="30" max="30" width="18.42578125" bestFit="1" customWidth="1"/>
    <col min="31" max="31" width="17.28515625" bestFit="1" customWidth="1"/>
    <col min="32" max="32" width="22.7109375" bestFit="1" customWidth="1"/>
    <col min="33" max="34" width="22.85546875" bestFit="1" customWidth="1"/>
    <col min="35" max="35" width="22.85546875" style="43" bestFit="1" customWidth="1"/>
    <col min="36" max="39" width="25.140625" customWidth="1"/>
    <col min="40" max="43" width="25.140625" style="41" customWidth="1"/>
  </cols>
  <sheetData>
    <row r="1" spans="1:43" s="32" customFormat="1" ht="40.5" x14ac:dyDescent="0.25">
      <c r="A1" s="27" t="s">
        <v>78</v>
      </c>
      <c r="B1" s="28" t="s">
        <v>79</v>
      </c>
      <c r="C1" s="27" t="s">
        <v>80</v>
      </c>
      <c r="D1" s="29" t="s">
        <v>80</v>
      </c>
      <c r="E1" s="27" t="s">
        <v>81</v>
      </c>
      <c r="F1" s="27" t="s">
        <v>81</v>
      </c>
      <c r="G1" s="27" t="s">
        <v>81</v>
      </c>
      <c r="H1" s="27" t="s">
        <v>82</v>
      </c>
      <c r="I1" s="27" t="s">
        <v>83</v>
      </c>
      <c r="J1" s="27" t="s">
        <v>84</v>
      </c>
      <c r="K1" s="27" t="s">
        <v>85</v>
      </c>
      <c r="L1" s="27" t="s">
        <v>86</v>
      </c>
      <c r="M1" s="27" t="s">
        <v>87</v>
      </c>
      <c r="N1" s="27" t="s">
        <v>87</v>
      </c>
      <c r="O1" s="28" t="s">
        <v>87</v>
      </c>
      <c r="P1" s="30" t="s">
        <v>88</v>
      </c>
      <c r="Q1" s="27" t="s">
        <v>88</v>
      </c>
      <c r="R1" s="27" t="s">
        <v>88</v>
      </c>
      <c r="S1" s="27" t="s">
        <v>89</v>
      </c>
      <c r="T1" s="27" t="s">
        <v>90</v>
      </c>
      <c r="U1" s="27" t="s">
        <v>91</v>
      </c>
      <c r="V1" s="27" t="s">
        <v>92</v>
      </c>
      <c r="W1" s="27" t="s">
        <v>92</v>
      </c>
      <c r="X1" s="30" t="s">
        <v>92</v>
      </c>
      <c r="Y1" s="31" t="s">
        <v>93</v>
      </c>
      <c r="Z1" s="27" t="s">
        <v>94</v>
      </c>
      <c r="AA1" s="27" t="s">
        <v>95</v>
      </c>
      <c r="AB1" s="27" t="s">
        <v>95</v>
      </c>
      <c r="AC1" s="27" t="s">
        <v>95</v>
      </c>
      <c r="AD1" s="27" t="s">
        <v>96</v>
      </c>
      <c r="AE1" s="27" t="s">
        <v>97</v>
      </c>
      <c r="AF1" s="27" t="s">
        <v>98</v>
      </c>
      <c r="AG1" s="27" t="s">
        <v>99</v>
      </c>
      <c r="AH1" s="27" t="s">
        <v>99</v>
      </c>
      <c r="AI1" s="31" t="s">
        <v>99</v>
      </c>
      <c r="AJ1" s="27" t="s">
        <v>100</v>
      </c>
      <c r="AK1" s="27" t="s">
        <v>101</v>
      </c>
      <c r="AL1" s="27" t="s">
        <v>102</v>
      </c>
      <c r="AM1" s="27" t="s">
        <v>103</v>
      </c>
      <c r="AN1" s="29" t="s">
        <v>104</v>
      </c>
      <c r="AO1" s="29" t="s">
        <v>105</v>
      </c>
      <c r="AP1" s="29" t="s">
        <v>106</v>
      </c>
      <c r="AQ1" s="29" t="s">
        <v>107</v>
      </c>
    </row>
    <row r="2" spans="1:43" ht="40.5" x14ac:dyDescent="0.25">
      <c r="A2" s="33"/>
      <c r="B2" s="34" t="s">
        <v>108</v>
      </c>
      <c r="C2" s="33" t="s">
        <v>108</v>
      </c>
      <c r="D2" s="35" t="s">
        <v>109</v>
      </c>
      <c r="E2" s="33" t="s">
        <v>109</v>
      </c>
      <c r="F2" s="33" t="s">
        <v>110</v>
      </c>
      <c r="G2" s="33" t="s">
        <v>108</v>
      </c>
      <c r="H2" s="33" t="s">
        <v>109</v>
      </c>
      <c r="I2" s="33" t="s">
        <v>109</v>
      </c>
      <c r="J2" s="33" t="s">
        <v>109</v>
      </c>
      <c r="K2" s="33" t="s">
        <v>109</v>
      </c>
      <c r="L2" s="33" t="s">
        <v>109</v>
      </c>
      <c r="M2" s="33" t="s">
        <v>109</v>
      </c>
      <c r="N2" s="33" t="s">
        <v>110</v>
      </c>
      <c r="O2" s="34" t="s">
        <v>108</v>
      </c>
      <c r="P2" s="36" t="s">
        <v>109</v>
      </c>
      <c r="Q2" s="33" t="s">
        <v>110</v>
      </c>
      <c r="R2" s="33" t="s">
        <v>108</v>
      </c>
      <c r="S2" s="33" t="s">
        <v>109</v>
      </c>
      <c r="T2" s="33" t="s">
        <v>109</v>
      </c>
      <c r="U2" s="33" t="s">
        <v>109</v>
      </c>
      <c r="V2" s="33" t="s">
        <v>109</v>
      </c>
      <c r="W2" s="33" t="s">
        <v>110</v>
      </c>
      <c r="X2" s="36" t="s">
        <v>108</v>
      </c>
      <c r="Y2" s="37" t="s">
        <v>108</v>
      </c>
      <c r="Z2" s="33" t="s">
        <v>108</v>
      </c>
      <c r="AA2" s="33" t="s">
        <v>109</v>
      </c>
      <c r="AB2" s="33" t="s">
        <v>110</v>
      </c>
      <c r="AC2" s="33" t="s">
        <v>108</v>
      </c>
      <c r="AD2" s="33" t="s">
        <v>109</v>
      </c>
      <c r="AE2" s="33" t="s">
        <v>109</v>
      </c>
      <c r="AF2" s="33" t="s">
        <v>109</v>
      </c>
      <c r="AG2" s="33" t="s">
        <v>109</v>
      </c>
      <c r="AH2" s="33" t="s">
        <v>110</v>
      </c>
      <c r="AI2" s="37" t="s">
        <v>108</v>
      </c>
      <c r="AJ2" s="38" t="s">
        <v>111</v>
      </c>
      <c r="AK2" s="38" t="s">
        <v>112</v>
      </c>
      <c r="AL2" s="38" t="s">
        <v>113</v>
      </c>
      <c r="AM2" s="38" t="s">
        <v>114</v>
      </c>
      <c r="AN2" s="35" t="s">
        <v>115</v>
      </c>
      <c r="AO2" s="35" t="s">
        <v>115</v>
      </c>
      <c r="AP2" s="35" t="s">
        <v>115</v>
      </c>
      <c r="AQ2" s="35" t="s">
        <v>115</v>
      </c>
    </row>
    <row r="3" spans="1:43" x14ac:dyDescent="0.25">
      <c r="A3" s="39">
        <v>1949</v>
      </c>
      <c r="AJ3">
        <v>340825</v>
      </c>
      <c r="AK3">
        <v>1825</v>
      </c>
      <c r="AL3">
        <v>329278</v>
      </c>
      <c r="AM3">
        <v>75207</v>
      </c>
      <c r="AN3" s="44">
        <f>AJ3*42/1000</f>
        <v>14314.65</v>
      </c>
      <c r="AO3" s="44">
        <f>AK3*42/1000</f>
        <v>76.650000000000006</v>
      </c>
      <c r="AP3" s="44">
        <f>AL3*42/1000</f>
        <v>13829.675999999999</v>
      </c>
      <c r="AQ3" s="41">
        <f>AM3*42/1000</f>
        <v>3158.694</v>
      </c>
    </row>
    <row r="4" spans="1:43" x14ac:dyDescent="0.25">
      <c r="A4" s="39">
        <v>1950</v>
      </c>
      <c r="AJ4">
        <v>398912</v>
      </c>
      <c r="AK4">
        <v>2340</v>
      </c>
      <c r="AL4">
        <v>394715</v>
      </c>
      <c r="AM4">
        <v>71948</v>
      </c>
      <c r="AN4" s="44">
        <f t="shared" ref="AN4:AQ67" si="0">AJ4*42/1000</f>
        <v>16754.304</v>
      </c>
      <c r="AO4" s="44">
        <f t="shared" si="0"/>
        <v>98.28</v>
      </c>
      <c r="AP4" s="44">
        <f t="shared" si="0"/>
        <v>16578.03</v>
      </c>
      <c r="AQ4" s="41">
        <f t="shared" si="0"/>
        <v>3021.8159999999998</v>
      </c>
    </row>
    <row r="5" spans="1:43" x14ac:dyDescent="0.25">
      <c r="A5" s="39">
        <v>1951</v>
      </c>
      <c r="AJ5">
        <v>475801</v>
      </c>
      <c r="AK5">
        <v>1767</v>
      </c>
      <c r="AL5">
        <v>449102</v>
      </c>
      <c r="AM5">
        <v>80722</v>
      </c>
      <c r="AN5" s="44">
        <f t="shared" si="0"/>
        <v>19983.642</v>
      </c>
      <c r="AO5" s="44">
        <f t="shared" si="0"/>
        <v>74.213999999999999</v>
      </c>
      <c r="AP5" s="44">
        <f t="shared" si="0"/>
        <v>18862.284</v>
      </c>
      <c r="AQ5" s="41">
        <f t="shared" si="0"/>
        <v>3390.3240000000001</v>
      </c>
    </row>
    <row r="6" spans="1:43" x14ac:dyDescent="0.25">
      <c r="A6" s="39">
        <v>1952</v>
      </c>
      <c r="AJ6">
        <v>521264</v>
      </c>
      <c r="AK6">
        <v>2674</v>
      </c>
      <c r="AL6">
        <v>479764</v>
      </c>
      <c r="AM6">
        <v>99582</v>
      </c>
      <c r="AN6" s="44">
        <f t="shared" si="0"/>
        <v>21893.088</v>
      </c>
      <c r="AO6" s="44">
        <f t="shared" si="0"/>
        <v>112.30800000000001</v>
      </c>
      <c r="AP6" s="44">
        <f t="shared" si="0"/>
        <v>20150.088</v>
      </c>
      <c r="AQ6" s="41">
        <f t="shared" si="0"/>
        <v>4182.4440000000004</v>
      </c>
    </row>
    <row r="7" spans="1:43" x14ac:dyDescent="0.25">
      <c r="A7" s="39">
        <v>1953</v>
      </c>
      <c r="AJ7">
        <v>528111</v>
      </c>
      <c r="AK7">
        <v>3379</v>
      </c>
      <c r="AL7">
        <v>488075</v>
      </c>
      <c r="AM7">
        <v>111741</v>
      </c>
      <c r="AN7" s="44">
        <f t="shared" si="0"/>
        <v>22180.662</v>
      </c>
      <c r="AO7" s="44">
        <f t="shared" si="0"/>
        <v>141.91800000000001</v>
      </c>
      <c r="AP7" s="44">
        <f t="shared" si="0"/>
        <v>20499.150000000001</v>
      </c>
      <c r="AQ7" s="41">
        <f t="shared" si="0"/>
        <v>4693.1220000000003</v>
      </c>
    </row>
    <row r="8" spans="1:43" x14ac:dyDescent="0.25">
      <c r="A8" s="39">
        <v>1954</v>
      </c>
      <c r="AJ8">
        <v>542278</v>
      </c>
      <c r="AK8">
        <v>3195</v>
      </c>
      <c r="AL8">
        <v>526369</v>
      </c>
      <c r="AM8">
        <v>108144</v>
      </c>
      <c r="AN8" s="44">
        <f t="shared" si="0"/>
        <v>22775.675999999999</v>
      </c>
      <c r="AO8" s="44">
        <f t="shared" si="0"/>
        <v>134.19</v>
      </c>
      <c r="AP8" s="44">
        <f t="shared" si="0"/>
        <v>22107.498</v>
      </c>
      <c r="AQ8" s="41">
        <f t="shared" si="0"/>
        <v>4542.0479999999998</v>
      </c>
    </row>
    <row r="9" spans="1:43" x14ac:dyDescent="0.25">
      <c r="A9" s="39">
        <v>1955</v>
      </c>
      <c r="AJ9">
        <v>602547</v>
      </c>
      <c r="AK9">
        <v>4413</v>
      </c>
      <c r="AL9">
        <v>581128</v>
      </c>
      <c r="AM9">
        <v>111333</v>
      </c>
      <c r="AN9" s="44">
        <f t="shared" si="0"/>
        <v>25306.973999999998</v>
      </c>
      <c r="AO9" s="44">
        <f t="shared" si="0"/>
        <v>185.346</v>
      </c>
      <c r="AP9" s="44">
        <f t="shared" si="0"/>
        <v>24407.376</v>
      </c>
      <c r="AQ9" s="41">
        <f t="shared" si="0"/>
        <v>4675.9859999999999</v>
      </c>
    </row>
    <row r="10" spans="1:43" x14ac:dyDescent="0.25">
      <c r="A10" s="39">
        <v>1956</v>
      </c>
      <c r="AJ10">
        <v>665687</v>
      </c>
      <c r="AK10">
        <v>5159</v>
      </c>
      <c r="AL10">
        <v>615856</v>
      </c>
      <c r="AM10">
        <v>133981</v>
      </c>
      <c r="AN10" s="44">
        <f t="shared" si="0"/>
        <v>27958.853999999999</v>
      </c>
      <c r="AO10" s="44">
        <f t="shared" si="0"/>
        <v>216.678</v>
      </c>
      <c r="AP10" s="44">
        <f t="shared" si="0"/>
        <v>25865.952000000001</v>
      </c>
      <c r="AQ10" s="41">
        <f t="shared" si="0"/>
        <v>5627.2020000000002</v>
      </c>
    </row>
    <row r="11" spans="1:43" x14ac:dyDescent="0.25">
      <c r="A11" s="39">
        <v>1957</v>
      </c>
      <c r="AJ11">
        <v>668573</v>
      </c>
      <c r="AK11">
        <v>8566</v>
      </c>
      <c r="AL11">
        <v>616090</v>
      </c>
      <c r="AM11">
        <v>149449</v>
      </c>
      <c r="AN11" s="44">
        <f t="shared" si="0"/>
        <v>28080.065999999999</v>
      </c>
      <c r="AO11" s="44">
        <f t="shared" si="0"/>
        <v>359.77199999999999</v>
      </c>
      <c r="AP11" s="44">
        <f t="shared" si="0"/>
        <v>25875.78</v>
      </c>
      <c r="AQ11" s="41">
        <f t="shared" si="0"/>
        <v>6276.8580000000002</v>
      </c>
    </row>
    <row r="12" spans="1:43" x14ac:dyDescent="0.25">
      <c r="A12" s="39">
        <v>1958</v>
      </c>
      <c r="AJ12">
        <v>631405</v>
      </c>
      <c r="AK12">
        <v>14892</v>
      </c>
      <c r="AL12">
        <v>653426</v>
      </c>
      <c r="AM12">
        <v>125101</v>
      </c>
      <c r="AN12" s="44">
        <f t="shared" si="0"/>
        <v>26519.01</v>
      </c>
      <c r="AO12" s="44">
        <f t="shared" si="0"/>
        <v>625.46400000000006</v>
      </c>
      <c r="AP12" s="44">
        <f t="shared" si="0"/>
        <v>27443.892</v>
      </c>
      <c r="AQ12" s="41">
        <f t="shared" si="0"/>
        <v>5254.2420000000002</v>
      </c>
    </row>
    <row r="13" spans="1:43" x14ac:dyDescent="0.25">
      <c r="A13" s="39">
        <v>1959</v>
      </c>
      <c r="AJ13">
        <v>678938</v>
      </c>
      <c r="AK13">
        <v>17658</v>
      </c>
      <c r="AL13">
        <v>659332</v>
      </c>
      <c r="AM13">
        <v>151030</v>
      </c>
      <c r="AN13" s="44">
        <f t="shared" si="0"/>
        <v>28515.396000000001</v>
      </c>
      <c r="AO13" s="44">
        <f t="shared" si="0"/>
        <v>741.63599999999997</v>
      </c>
      <c r="AP13" s="44">
        <f t="shared" si="0"/>
        <v>27691.944</v>
      </c>
      <c r="AQ13" s="41">
        <f t="shared" si="0"/>
        <v>6343.26</v>
      </c>
    </row>
    <row r="14" spans="1:43" x14ac:dyDescent="0.25">
      <c r="A14" s="39">
        <v>1960</v>
      </c>
      <c r="AJ14">
        <v>665416</v>
      </c>
      <c r="AK14">
        <v>12771</v>
      </c>
      <c r="AL14">
        <v>685268</v>
      </c>
      <c r="AM14">
        <v>138455</v>
      </c>
      <c r="AN14" s="44">
        <f t="shared" si="0"/>
        <v>27947.472000000002</v>
      </c>
      <c r="AO14" s="44">
        <f t="shared" si="0"/>
        <v>536.38199999999995</v>
      </c>
      <c r="AP14" s="44">
        <f t="shared" si="0"/>
        <v>28781.256000000001</v>
      </c>
      <c r="AQ14" s="41">
        <f t="shared" si="0"/>
        <v>5815.11</v>
      </c>
    </row>
    <row r="15" spans="1:43" x14ac:dyDescent="0.25">
      <c r="A15" s="39">
        <v>1961</v>
      </c>
      <c r="AJ15">
        <v>696015</v>
      </c>
      <c r="AK15">
        <v>17377</v>
      </c>
      <c r="AL15">
        <v>694356</v>
      </c>
      <c r="AM15">
        <v>152018</v>
      </c>
      <c r="AN15" s="44">
        <f t="shared" si="0"/>
        <v>29232.63</v>
      </c>
      <c r="AO15" s="44">
        <f t="shared" si="0"/>
        <v>729.83399999999995</v>
      </c>
      <c r="AP15" s="44">
        <f t="shared" si="0"/>
        <v>29162.952000000001</v>
      </c>
      <c r="AQ15" s="41">
        <f t="shared" si="0"/>
        <v>6384.7560000000003</v>
      </c>
    </row>
    <row r="16" spans="1:43" x14ac:dyDescent="0.25">
      <c r="A16" s="39">
        <v>1962</v>
      </c>
      <c r="AJ16">
        <v>719590</v>
      </c>
      <c r="AK16">
        <v>11831</v>
      </c>
      <c r="AL16">
        <v>732405</v>
      </c>
      <c r="AM16">
        <v>144505</v>
      </c>
      <c r="AN16" s="44">
        <f t="shared" si="0"/>
        <v>30222.78</v>
      </c>
      <c r="AO16" s="44">
        <f t="shared" si="0"/>
        <v>496.90199999999999</v>
      </c>
      <c r="AP16" s="44">
        <f t="shared" si="0"/>
        <v>30761.01</v>
      </c>
      <c r="AQ16" s="41">
        <f t="shared" si="0"/>
        <v>6069.21</v>
      </c>
    </row>
    <row r="17" spans="1:43" x14ac:dyDescent="0.25">
      <c r="A17" s="39">
        <v>1963</v>
      </c>
      <c r="AJ17">
        <v>764597</v>
      </c>
      <c r="AK17">
        <v>9210</v>
      </c>
      <c r="AL17">
        <v>747254</v>
      </c>
      <c r="AM17">
        <v>156677</v>
      </c>
      <c r="AN17" s="44">
        <f t="shared" si="0"/>
        <v>32113.074000000001</v>
      </c>
      <c r="AO17" s="44">
        <f t="shared" si="0"/>
        <v>386.82</v>
      </c>
      <c r="AP17" s="44">
        <f t="shared" si="0"/>
        <v>31384.668000000001</v>
      </c>
      <c r="AQ17" s="41">
        <f t="shared" si="0"/>
        <v>6580.4340000000002</v>
      </c>
    </row>
    <row r="18" spans="1:43" x14ac:dyDescent="0.25">
      <c r="A18" s="39">
        <v>1964</v>
      </c>
      <c r="AJ18">
        <v>742046</v>
      </c>
      <c r="AK18">
        <v>11885</v>
      </c>
      <c r="AL18">
        <v>750424</v>
      </c>
      <c r="AM18">
        <v>155846</v>
      </c>
      <c r="AN18" s="44">
        <f t="shared" si="0"/>
        <v>31165.932000000001</v>
      </c>
      <c r="AO18" s="44">
        <f t="shared" si="0"/>
        <v>499.17</v>
      </c>
      <c r="AP18" s="44">
        <f t="shared" si="0"/>
        <v>31517.808000000001</v>
      </c>
      <c r="AQ18" s="41">
        <f t="shared" si="0"/>
        <v>6545.5320000000002</v>
      </c>
    </row>
    <row r="19" spans="1:43" x14ac:dyDescent="0.25">
      <c r="A19" s="39">
        <v>1965</v>
      </c>
      <c r="AJ19">
        <v>765071</v>
      </c>
      <c r="AK19">
        <v>13002</v>
      </c>
      <c r="AL19">
        <v>775814</v>
      </c>
      <c r="AM19">
        <v>155407</v>
      </c>
      <c r="AN19" s="44">
        <f t="shared" si="0"/>
        <v>32132.982</v>
      </c>
      <c r="AO19" s="44">
        <f t="shared" si="0"/>
        <v>546.08399999999995</v>
      </c>
      <c r="AP19" s="44">
        <f t="shared" si="0"/>
        <v>32584.187999999998</v>
      </c>
      <c r="AQ19" s="41">
        <f t="shared" si="0"/>
        <v>6527.0940000000001</v>
      </c>
    </row>
    <row r="20" spans="1:43" x14ac:dyDescent="0.25">
      <c r="A20" s="39">
        <v>1966</v>
      </c>
      <c r="AJ20">
        <v>784727</v>
      </c>
      <c r="AK20">
        <v>13845</v>
      </c>
      <c r="AL20">
        <v>797380</v>
      </c>
      <c r="AM20">
        <v>154096</v>
      </c>
      <c r="AN20" s="44">
        <f t="shared" si="0"/>
        <v>32958.534</v>
      </c>
      <c r="AO20" s="44">
        <f t="shared" si="0"/>
        <v>581.49</v>
      </c>
      <c r="AP20" s="44">
        <f t="shared" si="0"/>
        <v>33489.96</v>
      </c>
      <c r="AQ20" s="41">
        <f t="shared" si="0"/>
        <v>6472.0320000000002</v>
      </c>
    </row>
    <row r="21" spans="1:43" x14ac:dyDescent="0.25">
      <c r="A21" s="39">
        <v>1967</v>
      </c>
      <c r="AJ21">
        <v>804429</v>
      </c>
      <c r="AK21">
        <v>18492</v>
      </c>
      <c r="AL21">
        <v>818150</v>
      </c>
      <c r="AM21">
        <v>159703</v>
      </c>
      <c r="AN21" s="44">
        <f t="shared" si="0"/>
        <v>33786.017999999996</v>
      </c>
      <c r="AO21" s="44">
        <f t="shared" si="0"/>
        <v>776.66399999999999</v>
      </c>
      <c r="AP21" s="44">
        <f t="shared" si="0"/>
        <v>34362.300000000003</v>
      </c>
      <c r="AQ21" s="41">
        <f t="shared" si="0"/>
        <v>6707.5259999999998</v>
      </c>
    </row>
    <row r="22" spans="1:43" x14ac:dyDescent="0.25">
      <c r="A22" s="39">
        <v>1968</v>
      </c>
      <c r="AJ22">
        <v>839373</v>
      </c>
      <c r="AK22">
        <v>48148</v>
      </c>
      <c r="AL22">
        <v>875539</v>
      </c>
      <c r="AM22">
        <v>173158</v>
      </c>
      <c r="AN22" s="44">
        <f t="shared" si="0"/>
        <v>35253.665999999997</v>
      </c>
      <c r="AO22" s="44">
        <f t="shared" si="0"/>
        <v>2022.2159999999999</v>
      </c>
      <c r="AP22" s="44">
        <f t="shared" si="0"/>
        <v>36772.637999999999</v>
      </c>
      <c r="AQ22" s="41">
        <f t="shared" si="0"/>
        <v>7272.6360000000004</v>
      </c>
    </row>
    <row r="23" spans="1:43" x14ac:dyDescent="0.25">
      <c r="A23" s="39">
        <v>1969</v>
      </c>
      <c r="AJ23">
        <v>846863</v>
      </c>
      <c r="AK23">
        <v>50853</v>
      </c>
      <c r="AL23">
        <v>900262</v>
      </c>
      <c r="AM23">
        <v>171714</v>
      </c>
      <c r="AN23" s="44">
        <f t="shared" si="0"/>
        <v>35568.245999999999</v>
      </c>
      <c r="AO23" s="44">
        <f t="shared" si="0"/>
        <v>2135.826</v>
      </c>
      <c r="AP23" s="44">
        <f t="shared" si="0"/>
        <v>37811.004000000001</v>
      </c>
      <c r="AQ23" s="41">
        <f t="shared" si="0"/>
        <v>7211.9880000000003</v>
      </c>
    </row>
    <row r="24" spans="1:43" x14ac:dyDescent="0.25">
      <c r="A24" s="39">
        <v>1970</v>
      </c>
      <c r="AJ24">
        <v>895756</v>
      </c>
      <c r="AK24">
        <v>53825</v>
      </c>
      <c r="AL24">
        <v>927211</v>
      </c>
      <c r="AM24">
        <v>195271</v>
      </c>
      <c r="AN24" s="44">
        <f t="shared" si="0"/>
        <v>37621.752</v>
      </c>
      <c r="AO24" s="44">
        <f t="shared" si="0"/>
        <v>2260.65</v>
      </c>
      <c r="AP24" s="44">
        <f t="shared" si="0"/>
        <v>38942.862000000001</v>
      </c>
      <c r="AQ24" s="41">
        <f t="shared" si="0"/>
        <v>8201.3819999999996</v>
      </c>
    </row>
    <row r="25" spans="1:43" x14ac:dyDescent="0.25">
      <c r="A25" s="39">
        <v>1971</v>
      </c>
      <c r="AJ25">
        <v>910824</v>
      </c>
      <c r="AK25">
        <v>55778</v>
      </c>
      <c r="AL25">
        <v>971316</v>
      </c>
      <c r="AM25">
        <v>190622</v>
      </c>
      <c r="AN25" s="44">
        <f t="shared" si="0"/>
        <v>38254.608</v>
      </c>
      <c r="AO25" s="44">
        <f t="shared" si="0"/>
        <v>2342.6759999999999</v>
      </c>
      <c r="AP25" s="44">
        <f t="shared" si="0"/>
        <v>40795.271999999997</v>
      </c>
      <c r="AQ25" s="41">
        <f t="shared" si="0"/>
        <v>8006.1239999999998</v>
      </c>
    </row>
    <row r="26" spans="1:43" x14ac:dyDescent="0.25">
      <c r="A26" s="39">
        <v>1972</v>
      </c>
      <c r="AJ26">
        <v>976665</v>
      </c>
      <c r="AK26">
        <v>66449</v>
      </c>
      <c r="AL26">
        <v>1067110</v>
      </c>
      <c r="AM26">
        <v>154319</v>
      </c>
      <c r="AN26" s="44">
        <f t="shared" si="0"/>
        <v>41019.93</v>
      </c>
      <c r="AO26" s="44">
        <f t="shared" si="0"/>
        <v>2790.8580000000002</v>
      </c>
      <c r="AP26" s="44">
        <f t="shared" si="0"/>
        <v>44818.62</v>
      </c>
      <c r="AQ26" s="41">
        <f t="shared" si="0"/>
        <v>6481.3980000000001</v>
      </c>
    </row>
    <row r="27" spans="1:43" x14ac:dyDescent="0.25">
      <c r="A27" s="39">
        <v>1973</v>
      </c>
      <c r="AJ27">
        <v>1029343</v>
      </c>
      <c r="AK27">
        <v>143149</v>
      </c>
      <c r="AL27">
        <v>1128714</v>
      </c>
      <c r="AM27">
        <v>196461</v>
      </c>
      <c r="AN27" s="44">
        <f t="shared" si="0"/>
        <v>43232.406000000003</v>
      </c>
      <c r="AO27" s="44">
        <f t="shared" si="0"/>
        <v>6012.2579999999998</v>
      </c>
      <c r="AP27" s="44">
        <f t="shared" si="0"/>
        <v>47405.987999999998</v>
      </c>
      <c r="AQ27" s="41">
        <f t="shared" si="0"/>
        <v>8251.3619999999992</v>
      </c>
    </row>
    <row r="28" spans="1:43" x14ac:dyDescent="0.25">
      <c r="A28" s="39">
        <v>1974</v>
      </c>
      <c r="AJ28">
        <v>974025</v>
      </c>
      <c r="AK28">
        <v>105579</v>
      </c>
      <c r="AL28">
        <v>1075916</v>
      </c>
      <c r="AM28">
        <v>200068</v>
      </c>
      <c r="AN28" s="44">
        <f t="shared" si="0"/>
        <v>40909.050000000003</v>
      </c>
      <c r="AO28" s="44">
        <f t="shared" si="0"/>
        <v>4434.3180000000002</v>
      </c>
      <c r="AP28" s="44">
        <f t="shared" si="0"/>
        <v>45188.472000000002</v>
      </c>
      <c r="AQ28" s="41">
        <f t="shared" si="0"/>
        <v>8402.8559999999998</v>
      </c>
    </row>
    <row r="29" spans="1:43" x14ac:dyDescent="0.25">
      <c r="A29" s="39">
        <v>1975</v>
      </c>
      <c r="AJ29">
        <v>968650</v>
      </c>
      <c r="AK29">
        <v>56679</v>
      </c>
      <c r="AL29">
        <v>1040571</v>
      </c>
      <c r="AM29">
        <v>208833</v>
      </c>
      <c r="AN29" s="44">
        <f t="shared" si="0"/>
        <v>40683.300000000003</v>
      </c>
      <c r="AO29" s="44">
        <f t="shared" si="0"/>
        <v>2380.518</v>
      </c>
      <c r="AP29" s="44">
        <f t="shared" si="0"/>
        <v>43703.982000000004</v>
      </c>
      <c r="AQ29" s="41">
        <f t="shared" si="0"/>
        <v>8770.9860000000008</v>
      </c>
    </row>
    <row r="30" spans="1:43" x14ac:dyDescent="0.25">
      <c r="A30" s="39">
        <v>1976</v>
      </c>
      <c r="AJ30">
        <v>1070032</v>
      </c>
      <c r="AK30">
        <v>53520</v>
      </c>
      <c r="AL30">
        <v>1146695</v>
      </c>
      <c r="AM30">
        <v>185986</v>
      </c>
      <c r="AN30" s="44">
        <f t="shared" si="0"/>
        <v>44941.343999999997</v>
      </c>
      <c r="AO30" s="44">
        <f t="shared" si="0"/>
        <v>2247.84</v>
      </c>
      <c r="AP30" s="44">
        <f t="shared" si="0"/>
        <v>48161.19</v>
      </c>
      <c r="AQ30" s="41">
        <f t="shared" si="0"/>
        <v>7811.4120000000003</v>
      </c>
    </row>
    <row r="31" spans="1:43" x14ac:dyDescent="0.25">
      <c r="A31" s="39">
        <v>1977</v>
      </c>
      <c r="AJ31">
        <v>1196143</v>
      </c>
      <c r="AK31">
        <v>91318</v>
      </c>
      <c r="AL31">
        <v>1223328</v>
      </c>
      <c r="AM31">
        <v>250295</v>
      </c>
      <c r="AN31" s="44">
        <f t="shared" si="0"/>
        <v>50238.006000000001</v>
      </c>
      <c r="AO31" s="44">
        <f t="shared" si="0"/>
        <v>3835.3560000000002</v>
      </c>
      <c r="AP31" s="44">
        <f t="shared" si="0"/>
        <v>51379.775999999998</v>
      </c>
      <c r="AQ31" s="41">
        <f t="shared" si="0"/>
        <v>10512.39</v>
      </c>
    </row>
    <row r="32" spans="1:43" x14ac:dyDescent="0.25">
      <c r="A32" s="39">
        <v>1978</v>
      </c>
      <c r="AJ32">
        <v>1155969</v>
      </c>
      <c r="AK32">
        <v>63288</v>
      </c>
      <c r="AL32">
        <v>1252556</v>
      </c>
      <c r="AM32">
        <v>216463</v>
      </c>
      <c r="AN32" s="44">
        <f t="shared" si="0"/>
        <v>48550.697999999997</v>
      </c>
      <c r="AO32" s="44">
        <f t="shared" si="0"/>
        <v>2658.096</v>
      </c>
      <c r="AP32" s="44">
        <f t="shared" si="0"/>
        <v>52607.351999999999</v>
      </c>
      <c r="AQ32" s="41">
        <f t="shared" si="0"/>
        <v>9091.4459999999999</v>
      </c>
    </row>
    <row r="33" spans="1:43" x14ac:dyDescent="0.25">
      <c r="A33" s="39">
        <v>1979</v>
      </c>
      <c r="AJ33">
        <v>1150594</v>
      </c>
      <c r="AK33">
        <v>70489</v>
      </c>
      <c r="AL33">
        <v>1208456</v>
      </c>
      <c r="AM33">
        <v>228729</v>
      </c>
      <c r="AN33" s="44">
        <f t="shared" si="0"/>
        <v>48324.947999999997</v>
      </c>
      <c r="AO33" s="44">
        <f t="shared" si="0"/>
        <v>2960.538</v>
      </c>
      <c r="AP33" s="44">
        <f t="shared" si="0"/>
        <v>50755.152000000002</v>
      </c>
      <c r="AQ33" s="41">
        <f t="shared" si="0"/>
        <v>9606.6180000000004</v>
      </c>
    </row>
    <row r="34" spans="1:43" x14ac:dyDescent="0.25">
      <c r="A34" s="39">
        <v>1980</v>
      </c>
      <c r="AJ34">
        <v>973981</v>
      </c>
      <c r="AK34">
        <v>51908</v>
      </c>
      <c r="AL34">
        <v>1048975</v>
      </c>
      <c r="AM34">
        <v>205113</v>
      </c>
      <c r="AN34" s="44">
        <f t="shared" si="0"/>
        <v>40907.201999999997</v>
      </c>
      <c r="AO34" s="44">
        <f t="shared" si="0"/>
        <v>2180.136</v>
      </c>
      <c r="AP34" s="44">
        <f t="shared" si="0"/>
        <v>44056.95</v>
      </c>
      <c r="AQ34" s="41">
        <f t="shared" si="0"/>
        <v>8614.7459999999992</v>
      </c>
    </row>
    <row r="35" spans="1:43" x14ac:dyDescent="0.25">
      <c r="A35" s="39">
        <v>1981</v>
      </c>
      <c r="AJ35">
        <v>953732</v>
      </c>
      <c r="AK35">
        <v>63071</v>
      </c>
      <c r="AL35">
        <v>1032476</v>
      </c>
      <c r="AM35">
        <v>191541</v>
      </c>
      <c r="AN35" s="44">
        <f t="shared" si="0"/>
        <v>40056.743999999999</v>
      </c>
      <c r="AO35" s="44">
        <f t="shared" si="0"/>
        <v>2648.982</v>
      </c>
      <c r="AP35" s="44">
        <f t="shared" si="0"/>
        <v>43363.991999999998</v>
      </c>
      <c r="AQ35" s="41">
        <f t="shared" si="0"/>
        <v>8044.7219999999998</v>
      </c>
    </row>
    <row r="36" spans="1:43" x14ac:dyDescent="0.25">
      <c r="A36" s="39">
        <v>1982</v>
      </c>
      <c r="AJ36">
        <v>951242</v>
      </c>
      <c r="AK36">
        <v>34040</v>
      </c>
      <c r="AL36">
        <v>974864</v>
      </c>
      <c r="AM36">
        <v>178592</v>
      </c>
      <c r="AN36" s="44">
        <f t="shared" si="0"/>
        <v>39952.163999999997</v>
      </c>
      <c r="AO36" s="44">
        <f t="shared" si="0"/>
        <v>1429.68</v>
      </c>
      <c r="AP36" s="44">
        <f t="shared" si="0"/>
        <v>40944.288</v>
      </c>
      <c r="AQ36" s="41">
        <f t="shared" si="0"/>
        <v>7500.8639999999996</v>
      </c>
    </row>
    <row r="37" spans="1:43" x14ac:dyDescent="0.25">
      <c r="A37" s="39">
        <v>1983</v>
      </c>
      <c r="AJ37">
        <v>896504</v>
      </c>
      <c r="AK37">
        <v>63542</v>
      </c>
      <c r="AL37">
        <v>981927</v>
      </c>
      <c r="AM37">
        <v>140263</v>
      </c>
      <c r="AN37" s="44">
        <f t="shared" si="0"/>
        <v>37653.167999999998</v>
      </c>
      <c r="AO37" s="44">
        <f t="shared" si="0"/>
        <v>2668.7640000000001</v>
      </c>
      <c r="AP37" s="44">
        <f t="shared" si="0"/>
        <v>41240.934000000001</v>
      </c>
      <c r="AQ37" s="41">
        <f t="shared" si="0"/>
        <v>5891.0460000000003</v>
      </c>
    </row>
    <row r="38" spans="1:43" x14ac:dyDescent="0.25">
      <c r="A38" s="39">
        <v>1984</v>
      </c>
      <c r="AJ38">
        <v>980727</v>
      </c>
      <c r="AK38">
        <v>99439</v>
      </c>
      <c r="AL38">
        <v>1041218</v>
      </c>
      <c r="AM38">
        <v>161072</v>
      </c>
      <c r="AN38" s="44">
        <f t="shared" si="0"/>
        <v>41190.534</v>
      </c>
      <c r="AO38" s="44">
        <f t="shared" si="0"/>
        <v>4176.4380000000001</v>
      </c>
      <c r="AP38" s="44">
        <f t="shared" si="0"/>
        <v>43731.156000000003</v>
      </c>
      <c r="AQ38" s="41">
        <f t="shared" si="0"/>
        <v>6765.0240000000003</v>
      </c>
    </row>
    <row r="39" spans="1:43" x14ac:dyDescent="0.25">
      <c r="A39" s="39">
        <v>1985</v>
      </c>
      <c r="AJ39">
        <v>980351</v>
      </c>
      <c r="AK39">
        <v>73089</v>
      </c>
      <c r="AL39">
        <v>1046827</v>
      </c>
      <c r="AM39">
        <v>143673</v>
      </c>
      <c r="AN39" s="44">
        <f t="shared" si="0"/>
        <v>41174.741999999998</v>
      </c>
      <c r="AO39" s="44">
        <f t="shared" si="0"/>
        <v>3069.7379999999998</v>
      </c>
      <c r="AP39" s="44">
        <f t="shared" si="0"/>
        <v>43966.733999999997</v>
      </c>
      <c r="AQ39" s="41">
        <f t="shared" si="0"/>
        <v>6034.2659999999996</v>
      </c>
    </row>
    <row r="40" spans="1:43" x14ac:dyDescent="0.25">
      <c r="A40" s="39">
        <v>1986</v>
      </c>
      <c r="AJ40">
        <v>1020716</v>
      </c>
      <c r="AK40">
        <v>90296</v>
      </c>
      <c r="AL40">
        <v>1063741</v>
      </c>
      <c r="AM40">
        <v>155097</v>
      </c>
      <c r="AN40" s="44">
        <f t="shared" si="0"/>
        <v>42870.072</v>
      </c>
      <c r="AO40" s="44">
        <f t="shared" si="0"/>
        <v>3792.4319999999998</v>
      </c>
      <c r="AP40" s="44">
        <f t="shared" si="0"/>
        <v>44677.122000000003</v>
      </c>
      <c r="AQ40" s="41">
        <f t="shared" si="0"/>
        <v>6514.0739999999996</v>
      </c>
    </row>
    <row r="41" spans="1:43" x14ac:dyDescent="0.25">
      <c r="A41" s="39">
        <v>1987</v>
      </c>
      <c r="AJ41">
        <v>996119</v>
      </c>
      <c r="AK41">
        <v>93176</v>
      </c>
      <c r="AL41">
        <v>1086413</v>
      </c>
      <c r="AM41">
        <v>134485</v>
      </c>
      <c r="AN41" s="44">
        <f t="shared" si="0"/>
        <v>41836.998</v>
      </c>
      <c r="AO41" s="44">
        <f t="shared" si="0"/>
        <v>3913.3919999999998</v>
      </c>
      <c r="AP41" s="44">
        <f t="shared" si="0"/>
        <v>45629.345999999998</v>
      </c>
      <c r="AQ41" s="41">
        <f t="shared" si="0"/>
        <v>5648.37</v>
      </c>
    </row>
    <row r="42" spans="1:43" x14ac:dyDescent="0.25">
      <c r="A42" s="39">
        <v>1988</v>
      </c>
      <c r="AJ42">
        <v>1045786</v>
      </c>
      <c r="AK42">
        <v>110354</v>
      </c>
      <c r="AL42">
        <v>1142510</v>
      </c>
      <c r="AM42">
        <v>123517</v>
      </c>
      <c r="AN42" s="44">
        <f t="shared" si="0"/>
        <v>43923.012000000002</v>
      </c>
      <c r="AO42" s="44">
        <f t="shared" si="0"/>
        <v>4634.8680000000004</v>
      </c>
      <c r="AP42" s="44">
        <f t="shared" si="0"/>
        <v>47985.42</v>
      </c>
      <c r="AQ42" s="41">
        <f t="shared" si="0"/>
        <v>5187.7139999999999</v>
      </c>
    </row>
    <row r="43" spans="1:43" x14ac:dyDescent="0.25">
      <c r="A43" s="39">
        <v>1989</v>
      </c>
      <c r="AJ43">
        <v>1057975</v>
      </c>
      <c r="AK43">
        <v>111674</v>
      </c>
      <c r="AL43">
        <v>1152224</v>
      </c>
      <c r="AM43">
        <v>105700</v>
      </c>
      <c r="AN43" s="44">
        <f t="shared" si="0"/>
        <v>44434.95</v>
      </c>
      <c r="AO43" s="44">
        <f t="shared" si="0"/>
        <v>4690.308</v>
      </c>
      <c r="AP43" s="44">
        <f t="shared" si="0"/>
        <v>48393.408000000003</v>
      </c>
      <c r="AQ43" s="41">
        <f t="shared" si="0"/>
        <v>4439.3999999999996</v>
      </c>
    </row>
    <row r="44" spans="1:43" x14ac:dyDescent="0.25">
      <c r="A44" s="39">
        <v>1990</v>
      </c>
      <c r="AJ44">
        <v>1067485</v>
      </c>
      <c r="AK44">
        <v>101455</v>
      </c>
      <c r="AL44">
        <v>1102503</v>
      </c>
      <c r="AM44">
        <v>132204</v>
      </c>
      <c r="AN44" s="44">
        <f t="shared" si="0"/>
        <v>44834.37</v>
      </c>
      <c r="AO44" s="44">
        <f t="shared" si="0"/>
        <v>4261.1099999999997</v>
      </c>
      <c r="AP44" s="44">
        <f t="shared" si="0"/>
        <v>46305.125999999997</v>
      </c>
      <c r="AQ44" s="41">
        <f t="shared" si="0"/>
        <v>5552.5680000000002</v>
      </c>
    </row>
    <row r="45" spans="1:43" x14ac:dyDescent="0.25">
      <c r="A45" s="39">
        <v>1991</v>
      </c>
      <c r="AJ45">
        <v>1081018</v>
      </c>
      <c r="AK45">
        <v>74778</v>
      </c>
      <c r="AL45">
        <v>1066081</v>
      </c>
      <c r="AM45">
        <v>143515</v>
      </c>
      <c r="AN45" s="44">
        <f t="shared" si="0"/>
        <v>45402.756000000001</v>
      </c>
      <c r="AO45" s="44">
        <f t="shared" si="0"/>
        <v>3140.6759999999999</v>
      </c>
      <c r="AP45" s="44">
        <f t="shared" si="0"/>
        <v>44775.402000000002</v>
      </c>
      <c r="AQ45" s="41">
        <f t="shared" si="0"/>
        <v>6027.63</v>
      </c>
    </row>
    <row r="46" spans="1:43" x14ac:dyDescent="0.25">
      <c r="A46" s="39">
        <v>1992</v>
      </c>
      <c r="AJ46">
        <v>1088324</v>
      </c>
      <c r="AK46">
        <v>79076</v>
      </c>
      <c r="AL46">
        <v>1090273</v>
      </c>
      <c r="AM46">
        <v>140607</v>
      </c>
      <c r="AN46" s="44">
        <f t="shared" si="0"/>
        <v>45709.608</v>
      </c>
      <c r="AO46" s="44">
        <f t="shared" si="0"/>
        <v>3321.192</v>
      </c>
      <c r="AP46" s="44">
        <f t="shared" si="0"/>
        <v>45791.466</v>
      </c>
      <c r="AQ46" s="41">
        <f t="shared" si="0"/>
        <v>5905.4939999999997</v>
      </c>
    </row>
    <row r="47" spans="1:43" x14ac:dyDescent="0.25">
      <c r="A47" s="39">
        <v>1993</v>
      </c>
      <c r="AJ47">
        <v>1143075</v>
      </c>
      <c r="AK47">
        <v>67184</v>
      </c>
      <c r="AL47">
        <v>1110043</v>
      </c>
      <c r="AM47">
        <v>140867</v>
      </c>
      <c r="AN47" s="44">
        <f t="shared" si="0"/>
        <v>48009.15</v>
      </c>
      <c r="AO47" s="44">
        <f t="shared" si="0"/>
        <v>2821.7280000000001</v>
      </c>
      <c r="AP47" s="44">
        <f t="shared" si="0"/>
        <v>46621.805999999997</v>
      </c>
      <c r="AQ47" s="41">
        <f t="shared" si="0"/>
        <v>5916.4139999999998</v>
      </c>
    </row>
    <row r="48" spans="1:43" x14ac:dyDescent="0.25">
      <c r="A48" s="39">
        <v>1994</v>
      </c>
      <c r="AJ48">
        <v>1169688</v>
      </c>
      <c r="AK48">
        <v>74193</v>
      </c>
      <c r="AL48">
        <v>1154217</v>
      </c>
      <c r="AM48">
        <v>145220</v>
      </c>
      <c r="AN48" s="44">
        <f t="shared" si="0"/>
        <v>49126.896000000001</v>
      </c>
      <c r="AO48" s="44">
        <f t="shared" si="0"/>
        <v>3116.1060000000002</v>
      </c>
      <c r="AP48" s="44">
        <f t="shared" si="0"/>
        <v>48477.114000000001</v>
      </c>
      <c r="AQ48" s="41">
        <f t="shared" si="0"/>
        <v>6099.24</v>
      </c>
    </row>
    <row r="49" spans="1:45" x14ac:dyDescent="0.25">
      <c r="A49" s="39">
        <v>1995</v>
      </c>
      <c r="AJ49">
        <v>1151735</v>
      </c>
      <c r="AK49">
        <v>70601</v>
      </c>
      <c r="AL49">
        <v>1170419</v>
      </c>
      <c r="AM49">
        <v>130214</v>
      </c>
      <c r="AN49" s="44">
        <f t="shared" si="0"/>
        <v>48372.87</v>
      </c>
      <c r="AO49" s="44">
        <f t="shared" si="0"/>
        <v>2965.2420000000002</v>
      </c>
      <c r="AP49" s="44">
        <f t="shared" si="0"/>
        <v>49157.597999999998</v>
      </c>
      <c r="AQ49" s="41">
        <f t="shared" si="0"/>
        <v>5468.9880000000003</v>
      </c>
    </row>
    <row r="50" spans="1:45" x14ac:dyDescent="0.25">
      <c r="A50" s="39">
        <v>1996</v>
      </c>
      <c r="AJ50">
        <v>1213563</v>
      </c>
      <c r="AK50">
        <v>84234</v>
      </c>
      <c r="AL50">
        <v>1231679</v>
      </c>
      <c r="AM50">
        <v>126729</v>
      </c>
      <c r="AN50" s="44">
        <f t="shared" si="0"/>
        <v>50969.646000000001</v>
      </c>
      <c r="AO50" s="44">
        <f t="shared" si="0"/>
        <v>3537.828</v>
      </c>
      <c r="AP50" s="44">
        <f t="shared" si="0"/>
        <v>51730.517999999996</v>
      </c>
      <c r="AQ50" s="41">
        <f t="shared" si="0"/>
        <v>5322.6180000000004</v>
      </c>
    </row>
    <row r="51" spans="1:45" x14ac:dyDescent="0.25">
      <c r="A51" s="39">
        <v>1997</v>
      </c>
      <c r="AJ51">
        <v>1238041</v>
      </c>
      <c r="AK51">
        <v>83102</v>
      </c>
      <c r="AL51">
        <v>1253938</v>
      </c>
      <c r="AM51">
        <v>138427</v>
      </c>
      <c r="AN51" s="44">
        <f t="shared" si="0"/>
        <v>51997.722000000002</v>
      </c>
      <c r="AO51" s="44">
        <f t="shared" si="0"/>
        <v>3490.2840000000001</v>
      </c>
      <c r="AP51" s="44">
        <f t="shared" si="0"/>
        <v>52665.396000000001</v>
      </c>
      <c r="AQ51" s="41">
        <f t="shared" si="0"/>
        <v>5813.9340000000002</v>
      </c>
    </row>
    <row r="52" spans="1:45" x14ac:dyDescent="0.25">
      <c r="A52" s="39">
        <v>1998</v>
      </c>
      <c r="AJ52">
        <v>1249881</v>
      </c>
      <c r="AK52">
        <v>76618</v>
      </c>
      <c r="AL52">
        <v>1263427</v>
      </c>
      <c r="AM52">
        <v>156075</v>
      </c>
      <c r="AN52" s="44">
        <f t="shared" si="0"/>
        <v>52495.002</v>
      </c>
      <c r="AO52" s="44">
        <f t="shared" si="0"/>
        <v>3217.9560000000001</v>
      </c>
      <c r="AP52" s="44">
        <f t="shared" si="0"/>
        <v>53063.934000000001</v>
      </c>
      <c r="AQ52" s="41">
        <f t="shared" si="0"/>
        <v>6555.15</v>
      </c>
    </row>
    <row r="53" spans="1:45" x14ac:dyDescent="0.25">
      <c r="A53" s="39">
        <v>1999</v>
      </c>
      <c r="AJ53">
        <v>1240783</v>
      </c>
      <c r="AK53">
        <v>91428</v>
      </c>
      <c r="AL53">
        <v>1303779</v>
      </c>
      <c r="AM53">
        <v>125463</v>
      </c>
      <c r="AN53" s="44">
        <f t="shared" si="0"/>
        <v>52112.885999999999</v>
      </c>
      <c r="AO53" s="44">
        <f t="shared" si="0"/>
        <v>3839.9760000000001</v>
      </c>
      <c r="AP53" s="44">
        <f t="shared" si="0"/>
        <v>54758.718000000001</v>
      </c>
      <c r="AQ53" s="41">
        <f t="shared" si="0"/>
        <v>5269.4459999999999</v>
      </c>
    </row>
    <row r="54" spans="1:45" x14ac:dyDescent="0.25">
      <c r="A54" s="39">
        <v>2000</v>
      </c>
      <c r="AJ54">
        <v>1310158</v>
      </c>
      <c r="AK54">
        <v>107919</v>
      </c>
      <c r="AL54">
        <v>1362315</v>
      </c>
      <c r="AM54">
        <v>118027</v>
      </c>
      <c r="AN54" s="44">
        <f t="shared" si="0"/>
        <v>55026.635999999999</v>
      </c>
      <c r="AO54" s="44">
        <f t="shared" si="0"/>
        <v>4532.598</v>
      </c>
      <c r="AP54" s="44">
        <f t="shared" si="0"/>
        <v>57217.23</v>
      </c>
      <c r="AQ54" s="41">
        <f t="shared" si="0"/>
        <v>4957.134</v>
      </c>
    </row>
    <row r="55" spans="1:45" x14ac:dyDescent="0.25">
      <c r="A55" s="39">
        <v>2001</v>
      </c>
      <c r="B55" s="40">
        <v>1.109</v>
      </c>
      <c r="C55">
        <v>1.4999999999999999E-2</v>
      </c>
      <c r="D55" s="41">
        <f t="shared" ref="D55:D75" si="1">(G55/F55)*C55/1000</f>
        <v>1.9132563833508218E-6</v>
      </c>
      <c r="E55">
        <v>204.203</v>
      </c>
      <c r="F55">
        <v>8.577</v>
      </c>
      <c r="G55">
        <v>1.0940000000000001</v>
      </c>
      <c r="H55">
        <v>80.921999999999997</v>
      </c>
      <c r="I55">
        <v>40.646000000000001</v>
      </c>
      <c r="J55">
        <v>40.276000000000003</v>
      </c>
      <c r="K55" t="s">
        <v>116</v>
      </c>
      <c r="L55" t="s">
        <v>116</v>
      </c>
      <c r="M55">
        <v>244.47900000000001</v>
      </c>
      <c r="N55">
        <v>10.268000000000001</v>
      </c>
      <c r="O55" s="40">
        <v>1.31</v>
      </c>
      <c r="AJ55">
        <v>1348525</v>
      </c>
      <c r="AK55">
        <v>125586</v>
      </c>
      <c r="AL55">
        <v>1404082</v>
      </c>
      <c r="AM55">
        <v>144513</v>
      </c>
      <c r="AN55" s="44">
        <f t="shared" si="0"/>
        <v>56638.05</v>
      </c>
      <c r="AO55" s="44">
        <f t="shared" si="0"/>
        <v>5274.6120000000001</v>
      </c>
      <c r="AP55" s="44">
        <f t="shared" si="0"/>
        <v>58971.444000000003</v>
      </c>
      <c r="AQ55" s="41">
        <f t="shared" si="0"/>
        <v>6069.5460000000003</v>
      </c>
      <c r="AS55">
        <v>42</v>
      </c>
    </row>
    <row r="56" spans="1:45" x14ac:dyDescent="0.25">
      <c r="A56" s="39">
        <v>2002</v>
      </c>
      <c r="B56" s="40">
        <v>1.3560000000000001</v>
      </c>
      <c r="C56">
        <v>1.7999999999999999E-2</v>
      </c>
      <c r="D56" s="41">
        <f t="shared" si="1"/>
        <v>2.2972148035101106E-6</v>
      </c>
      <c r="E56">
        <v>249.62</v>
      </c>
      <c r="F56">
        <v>10.484</v>
      </c>
      <c r="G56">
        <v>1.3380000000000001</v>
      </c>
      <c r="H56">
        <v>197.34200000000001</v>
      </c>
      <c r="I56">
        <v>57.426000000000002</v>
      </c>
      <c r="J56">
        <v>139.916</v>
      </c>
      <c r="K56" t="s">
        <v>116</v>
      </c>
      <c r="L56" t="s">
        <v>116</v>
      </c>
      <c r="M56">
        <v>389.536</v>
      </c>
      <c r="N56">
        <v>16.361000000000001</v>
      </c>
      <c r="O56" s="40">
        <v>2.0880000000000001</v>
      </c>
      <c r="AJ56">
        <v>1311151</v>
      </c>
      <c r="AK56">
        <v>97603</v>
      </c>
      <c r="AL56">
        <v>1378206</v>
      </c>
      <c r="AM56">
        <v>134085</v>
      </c>
      <c r="AN56" s="44">
        <f t="shared" si="0"/>
        <v>55068.341999999997</v>
      </c>
      <c r="AO56" s="44">
        <f t="shared" si="0"/>
        <v>4099.326</v>
      </c>
      <c r="AP56" s="44">
        <f t="shared" si="0"/>
        <v>57884.652000000002</v>
      </c>
      <c r="AQ56" s="41">
        <f t="shared" si="0"/>
        <v>5631.57</v>
      </c>
    </row>
    <row r="57" spans="1:45" x14ac:dyDescent="0.25">
      <c r="A57" s="39">
        <v>2003</v>
      </c>
      <c r="B57" s="40">
        <v>1.8380000000000001</v>
      </c>
      <c r="C57">
        <v>2.5000000000000001E-2</v>
      </c>
      <c r="D57" s="41">
        <f t="shared" si="1"/>
        <v>3.1896551724137927E-6</v>
      </c>
      <c r="E57">
        <v>338.322</v>
      </c>
      <c r="F57">
        <v>14.21</v>
      </c>
      <c r="G57">
        <v>1.8129999999999999</v>
      </c>
      <c r="H57">
        <v>96.804000000000002</v>
      </c>
      <c r="I57">
        <v>113.467</v>
      </c>
      <c r="J57">
        <v>-16.661999999999999</v>
      </c>
      <c r="K57" t="s">
        <v>116</v>
      </c>
      <c r="L57" t="s">
        <v>116</v>
      </c>
      <c r="M57">
        <v>321.66000000000003</v>
      </c>
      <c r="N57">
        <v>13.51</v>
      </c>
      <c r="O57" s="40">
        <v>1.724</v>
      </c>
      <c r="AJ57">
        <v>1353138</v>
      </c>
      <c r="AK57">
        <v>121672</v>
      </c>
      <c r="AL57">
        <v>1433373</v>
      </c>
      <c r="AM57">
        <v>136542</v>
      </c>
      <c r="AN57" s="44">
        <f t="shared" si="0"/>
        <v>56831.796000000002</v>
      </c>
      <c r="AO57" s="44">
        <f t="shared" si="0"/>
        <v>5110.2240000000002</v>
      </c>
      <c r="AP57" s="44">
        <f t="shared" si="0"/>
        <v>60201.665999999997</v>
      </c>
      <c r="AQ57" s="41">
        <f t="shared" si="0"/>
        <v>5734.7640000000001</v>
      </c>
    </row>
    <row r="58" spans="1:45" x14ac:dyDescent="0.25">
      <c r="A58" s="39">
        <v>2004</v>
      </c>
      <c r="B58" s="40">
        <v>3.62</v>
      </c>
      <c r="C58">
        <v>4.9000000000000002E-2</v>
      </c>
      <c r="D58" s="41">
        <f t="shared" si="1"/>
        <v>6.2515188335358443E-6</v>
      </c>
      <c r="E58">
        <v>666.23699999999997</v>
      </c>
      <c r="F58">
        <v>27.981999999999999</v>
      </c>
      <c r="G58">
        <v>3.57</v>
      </c>
      <c r="H58">
        <v>100.541</v>
      </c>
      <c r="I58">
        <v>127.71599999999999</v>
      </c>
      <c r="J58">
        <v>-27.175000000000001</v>
      </c>
      <c r="K58" t="s">
        <v>116</v>
      </c>
      <c r="L58" t="s">
        <v>116</v>
      </c>
      <c r="M58">
        <v>639.06200000000001</v>
      </c>
      <c r="N58">
        <v>26.841000000000001</v>
      </c>
      <c r="O58" s="40">
        <v>3.4249999999999998</v>
      </c>
      <c r="AJ58">
        <v>1396037</v>
      </c>
      <c r="AK58">
        <v>119118</v>
      </c>
      <c r="AL58">
        <v>1485324</v>
      </c>
      <c r="AM58">
        <v>126272</v>
      </c>
      <c r="AN58" s="44">
        <f t="shared" si="0"/>
        <v>58633.553999999996</v>
      </c>
      <c r="AO58" s="44">
        <f t="shared" si="0"/>
        <v>5002.9560000000001</v>
      </c>
      <c r="AP58" s="44">
        <f t="shared" si="0"/>
        <v>62383.608</v>
      </c>
      <c r="AQ58" s="41">
        <f t="shared" si="0"/>
        <v>5303.424</v>
      </c>
    </row>
    <row r="59" spans="1:45" x14ac:dyDescent="0.25">
      <c r="A59" s="39">
        <v>2005</v>
      </c>
      <c r="B59" s="40">
        <v>11.744</v>
      </c>
      <c r="C59">
        <v>0.16</v>
      </c>
      <c r="D59" s="41">
        <f t="shared" si="1"/>
        <v>2.0415257691079118E-5</v>
      </c>
      <c r="E59">
        <v>2161.5859999999998</v>
      </c>
      <c r="F59">
        <v>90.787000000000006</v>
      </c>
      <c r="G59">
        <v>11.584</v>
      </c>
      <c r="H59">
        <v>213.69</v>
      </c>
      <c r="I59">
        <v>212.708</v>
      </c>
      <c r="J59">
        <v>0.98199999999999998</v>
      </c>
      <c r="K59" t="s">
        <v>116</v>
      </c>
      <c r="L59" t="s">
        <v>116</v>
      </c>
      <c r="M59">
        <v>2162.5680000000002</v>
      </c>
      <c r="N59">
        <v>90.828000000000003</v>
      </c>
      <c r="O59" s="40">
        <v>11.589</v>
      </c>
      <c r="AJ59">
        <v>1443348</v>
      </c>
      <c r="AK59">
        <v>120009</v>
      </c>
      <c r="AL59">
        <v>1503074</v>
      </c>
      <c r="AM59">
        <v>136022</v>
      </c>
      <c r="AN59" s="44">
        <f t="shared" si="0"/>
        <v>60620.616000000002</v>
      </c>
      <c r="AO59" s="44">
        <f t="shared" si="0"/>
        <v>5040.3779999999997</v>
      </c>
      <c r="AP59" s="44">
        <f t="shared" si="0"/>
        <v>63129.108</v>
      </c>
      <c r="AQ59" s="41">
        <f t="shared" si="0"/>
        <v>5712.924</v>
      </c>
    </row>
    <row r="60" spans="1:45" x14ac:dyDescent="0.25">
      <c r="A60" s="39">
        <v>2006</v>
      </c>
      <c r="B60" s="40">
        <v>32.396000000000001</v>
      </c>
      <c r="C60">
        <v>0.441</v>
      </c>
      <c r="D60" s="41">
        <f t="shared" si="1"/>
        <v>5.6269810213265497E-5</v>
      </c>
      <c r="E60">
        <v>5962.8379999999997</v>
      </c>
      <c r="F60">
        <v>250.43899999999999</v>
      </c>
      <c r="G60">
        <v>31.954999999999998</v>
      </c>
      <c r="H60">
        <v>1105.3150000000001</v>
      </c>
      <c r="I60">
        <v>855.62</v>
      </c>
      <c r="J60">
        <v>249.69499999999999</v>
      </c>
      <c r="K60" t="s">
        <v>116</v>
      </c>
      <c r="L60" t="s">
        <v>116</v>
      </c>
      <c r="M60">
        <v>6212.5339999999997</v>
      </c>
      <c r="N60">
        <v>260.92599999999999</v>
      </c>
      <c r="O60" s="40">
        <v>33.292999999999999</v>
      </c>
      <c r="AJ60">
        <v>1474741</v>
      </c>
      <c r="AK60">
        <v>133126</v>
      </c>
      <c r="AL60">
        <v>1521731</v>
      </c>
      <c r="AM60">
        <v>143651</v>
      </c>
      <c r="AN60" s="44">
        <f t="shared" si="0"/>
        <v>61939.122000000003</v>
      </c>
      <c r="AO60" s="44">
        <f t="shared" si="0"/>
        <v>5591.2920000000004</v>
      </c>
      <c r="AP60" s="44">
        <f t="shared" si="0"/>
        <v>63912.701999999997</v>
      </c>
      <c r="AQ60" s="41">
        <f t="shared" si="0"/>
        <v>6033.3419999999996</v>
      </c>
    </row>
    <row r="61" spans="1:45" x14ac:dyDescent="0.25">
      <c r="A61" s="39">
        <v>2007</v>
      </c>
      <c r="B61" s="40">
        <v>63.362000000000002</v>
      </c>
      <c r="C61">
        <v>0.86299999999999999</v>
      </c>
      <c r="D61" s="41">
        <f t="shared" si="1"/>
        <v>1.1011409585055886E-4</v>
      </c>
      <c r="E61">
        <v>11662.499</v>
      </c>
      <c r="F61">
        <v>489.82499999999999</v>
      </c>
      <c r="G61">
        <v>62.499000000000002</v>
      </c>
      <c r="H61">
        <v>3454.9639999999999</v>
      </c>
      <c r="I61">
        <v>6695.8429999999998</v>
      </c>
      <c r="J61">
        <v>-3240.8789999999999</v>
      </c>
      <c r="K61" t="s">
        <v>116</v>
      </c>
      <c r="L61" t="s">
        <v>116</v>
      </c>
      <c r="M61">
        <v>8421.6200000000008</v>
      </c>
      <c r="N61">
        <v>353.70800000000003</v>
      </c>
      <c r="O61" s="40">
        <v>45.131</v>
      </c>
      <c r="AJ61">
        <v>1508530</v>
      </c>
      <c r="AK61">
        <v>110997</v>
      </c>
      <c r="AL61">
        <v>1531508</v>
      </c>
      <c r="AM61">
        <v>133944</v>
      </c>
      <c r="AN61" s="44">
        <f t="shared" si="0"/>
        <v>63358.26</v>
      </c>
      <c r="AO61" s="44">
        <f t="shared" si="0"/>
        <v>4661.8739999999998</v>
      </c>
      <c r="AP61" s="44">
        <f t="shared" si="0"/>
        <v>64323.336000000003</v>
      </c>
      <c r="AQ61" s="41">
        <f t="shared" si="0"/>
        <v>5625.6480000000001</v>
      </c>
    </row>
    <row r="62" spans="1:45" x14ac:dyDescent="0.25">
      <c r="A62" s="39">
        <v>2008</v>
      </c>
      <c r="B62" s="40">
        <v>87.718000000000004</v>
      </c>
      <c r="C62">
        <v>1.1950000000000001</v>
      </c>
      <c r="D62" s="41">
        <f t="shared" si="1"/>
        <v>1.5247613942362994E-4</v>
      </c>
      <c r="E62">
        <v>16145.382</v>
      </c>
      <c r="F62">
        <v>678.10599999999999</v>
      </c>
      <c r="G62">
        <v>86.522999999999996</v>
      </c>
      <c r="H62">
        <v>7755.03</v>
      </c>
      <c r="I62">
        <v>16672.900000000001</v>
      </c>
      <c r="J62">
        <v>-8917.8690000000006</v>
      </c>
      <c r="K62" t="s">
        <v>116</v>
      </c>
      <c r="L62" t="s">
        <v>116</v>
      </c>
      <c r="M62">
        <v>7227.5129999999999</v>
      </c>
      <c r="N62">
        <v>303.55599999999998</v>
      </c>
      <c r="O62" s="40">
        <v>38.731999999999999</v>
      </c>
      <c r="AJ62">
        <v>1571539</v>
      </c>
      <c r="AK62">
        <v>77930</v>
      </c>
      <c r="AL62">
        <v>1444024</v>
      </c>
      <c r="AM62">
        <v>146013</v>
      </c>
      <c r="AN62" s="44">
        <f t="shared" si="0"/>
        <v>66004.638000000006</v>
      </c>
      <c r="AO62" s="44">
        <f t="shared" si="0"/>
        <v>3273.06</v>
      </c>
      <c r="AP62" s="44">
        <f t="shared" si="0"/>
        <v>60649.008000000002</v>
      </c>
      <c r="AQ62" s="41">
        <f t="shared" si="0"/>
        <v>6132.5460000000003</v>
      </c>
    </row>
    <row r="63" spans="1:45" x14ac:dyDescent="0.25">
      <c r="A63" s="39">
        <v>2009</v>
      </c>
      <c r="B63" s="40">
        <v>66.722999999999999</v>
      </c>
      <c r="C63">
        <v>0.90900000000000003</v>
      </c>
      <c r="D63" s="41">
        <f t="shared" si="1"/>
        <v>1.1598361008520663E-4</v>
      </c>
      <c r="E63">
        <v>12281.071</v>
      </c>
      <c r="F63">
        <v>515.80499999999995</v>
      </c>
      <c r="G63">
        <v>65.813999999999993</v>
      </c>
      <c r="H63">
        <v>1905.877</v>
      </c>
      <c r="I63">
        <v>6546.0889999999999</v>
      </c>
      <c r="J63">
        <v>-4640.2120000000004</v>
      </c>
      <c r="K63">
        <v>711</v>
      </c>
      <c r="L63">
        <v>711</v>
      </c>
      <c r="M63">
        <v>7662.6670000000004</v>
      </c>
      <c r="N63">
        <v>321.83199999999999</v>
      </c>
      <c r="O63" s="40">
        <v>41.064</v>
      </c>
      <c r="AJ63">
        <v>1477534</v>
      </c>
      <c r="AK63">
        <v>82172</v>
      </c>
      <c r="AL63">
        <v>1325344</v>
      </c>
      <c r="AM63">
        <v>165964</v>
      </c>
      <c r="AN63" s="44">
        <f t="shared" si="0"/>
        <v>62056.428</v>
      </c>
      <c r="AO63" s="44">
        <f t="shared" si="0"/>
        <v>3451.2240000000002</v>
      </c>
      <c r="AP63" s="44">
        <f t="shared" si="0"/>
        <v>55664.447999999997</v>
      </c>
      <c r="AQ63" s="41">
        <f t="shared" si="0"/>
        <v>6970.4880000000003</v>
      </c>
    </row>
    <row r="64" spans="1:45" x14ac:dyDescent="0.25">
      <c r="A64" s="39">
        <v>2010</v>
      </c>
      <c r="B64" s="40">
        <v>44.427</v>
      </c>
      <c r="C64">
        <v>0.60499999999999998</v>
      </c>
      <c r="D64" s="41">
        <f t="shared" si="1"/>
        <v>7.7195213207354897E-5</v>
      </c>
      <c r="E64">
        <v>8177.2640000000001</v>
      </c>
      <c r="F64">
        <v>343.44499999999999</v>
      </c>
      <c r="G64">
        <v>43.822000000000003</v>
      </c>
      <c r="H64">
        <v>563.95600000000002</v>
      </c>
      <c r="I64">
        <v>2587.9659999999999</v>
      </c>
      <c r="J64">
        <v>-2024.009</v>
      </c>
      <c r="K64">
        <v>672</v>
      </c>
      <c r="L64">
        <v>-39</v>
      </c>
      <c r="M64">
        <v>6192.2550000000001</v>
      </c>
      <c r="N64">
        <v>260.07499999999999</v>
      </c>
      <c r="O64" s="40">
        <v>33.183999999999997</v>
      </c>
      <c r="AJ64">
        <v>1541503</v>
      </c>
      <c r="AK64">
        <v>83379</v>
      </c>
      <c r="AL64">
        <v>1387115</v>
      </c>
      <c r="AM64">
        <v>164306</v>
      </c>
      <c r="AN64" s="44">
        <f t="shared" si="0"/>
        <v>64743.125999999997</v>
      </c>
      <c r="AO64" s="44">
        <f t="shared" si="0"/>
        <v>3501.9180000000001</v>
      </c>
      <c r="AP64" s="44">
        <f t="shared" si="0"/>
        <v>58258.83</v>
      </c>
      <c r="AQ64" s="41">
        <f t="shared" si="0"/>
        <v>6900.8519999999999</v>
      </c>
    </row>
    <row r="65" spans="1:43" x14ac:dyDescent="0.25">
      <c r="A65" s="39">
        <v>2011</v>
      </c>
      <c r="B65" s="40">
        <v>125.151</v>
      </c>
      <c r="C65">
        <v>1.7050000000000001</v>
      </c>
      <c r="D65" s="41">
        <f t="shared" si="1"/>
        <v>2.1754993638117961E-4</v>
      </c>
      <c r="E65">
        <v>23035.269</v>
      </c>
      <c r="F65">
        <v>967.48099999999999</v>
      </c>
      <c r="G65">
        <v>123.446</v>
      </c>
      <c r="H65">
        <v>890.37300000000005</v>
      </c>
      <c r="I65">
        <v>1798.6179999999999</v>
      </c>
      <c r="J65">
        <v>-908.245</v>
      </c>
      <c r="K65">
        <v>2004.6220000000001</v>
      </c>
      <c r="L65">
        <v>1027.721</v>
      </c>
      <c r="M65">
        <v>21099.303</v>
      </c>
      <c r="N65">
        <v>886.17100000000005</v>
      </c>
      <c r="O65" s="40">
        <v>113.071</v>
      </c>
      <c r="P65" s="42">
        <v>1477.174</v>
      </c>
      <c r="Q65">
        <v>62.040999999999997</v>
      </c>
      <c r="R65">
        <v>8.1159999999999997</v>
      </c>
      <c r="T65">
        <v>7</v>
      </c>
      <c r="U65">
        <v>7</v>
      </c>
      <c r="V65">
        <v>1470.174</v>
      </c>
      <c r="W65">
        <v>61.747</v>
      </c>
      <c r="X65" s="42">
        <v>8.077</v>
      </c>
      <c r="AJ65">
        <v>1639606</v>
      </c>
      <c r="AK65">
        <v>65234</v>
      </c>
      <c r="AL65">
        <v>1423082</v>
      </c>
      <c r="AM65">
        <v>149212</v>
      </c>
      <c r="AN65" s="44">
        <f t="shared" si="0"/>
        <v>68863.452000000005</v>
      </c>
      <c r="AO65" s="44">
        <f t="shared" si="0"/>
        <v>2739.828</v>
      </c>
      <c r="AP65" s="44">
        <f t="shared" si="0"/>
        <v>59769.444000000003</v>
      </c>
      <c r="AQ65" s="41">
        <f t="shared" si="0"/>
        <v>6266.9040000000005</v>
      </c>
    </row>
    <row r="66" spans="1:43" x14ac:dyDescent="0.25">
      <c r="A66" s="39">
        <v>2012</v>
      </c>
      <c r="B66" s="40">
        <v>128.15600000000001</v>
      </c>
      <c r="C66">
        <v>1.746</v>
      </c>
      <c r="D66" s="41">
        <f t="shared" si="1"/>
        <v>2.2278127526594534E-4</v>
      </c>
      <c r="E66">
        <v>23588.36</v>
      </c>
      <c r="F66">
        <v>990.71100000000001</v>
      </c>
      <c r="G66">
        <v>126.41</v>
      </c>
      <c r="H66">
        <v>853</v>
      </c>
      <c r="I66">
        <v>3055.7620000000002</v>
      </c>
      <c r="J66">
        <v>-2202.7620000000002</v>
      </c>
      <c r="K66">
        <v>1984.356</v>
      </c>
      <c r="L66">
        <v>-20.265999999999998</v>
      </c>
      <c r="M66">
        <v>21405.864000000001</v>
      </c>
      <c r="N66">
        <v>899.04600000000005</v>
      </c>
      <c r="O66" s="40">
        <v>114.714</v>
      </c>
      <c r="P66" s="42">
        <v>1247.645</v>
      </c>
      <c r="Q66">
        <v>52.401000000000003</v>
      </c>
      <c r="R66">
        <v>6.8550000000000004</v>
      </c>
      <c r="S66">
        <v>605</v>
      </c>
      <c r="T66">
        <v>94</v>
      </c>
      <c r="U66">
        <v>87</v>
      </c>
      <c r="V66">
        <v>1765.645</v>
      </c>
      <c r="W66">
        <v>74.156999999999996</v>
      </c>
      <c r="X66" s="42">
        <v>9.6999999999999993</v>
      </c>
      <c r="AJ66">
        <v>1665256</v>
      </c>
      <c r="AK66">
        <v>46179</v>
      </c>
      <c r="AL66">
        <v>1369358</v>
      </c>
      <c r="AM66">
        <v>134809</v>
      </c>
      <c r="AN66" s="44">
        <f t="shared" si="0"/>
        <v>69940.751999999993</v>
      </c>
      <c r="AO66" s="44">
        <f t="shared" si="0"/>
        <v>1939.518</v>
      </c>
      <c r="AP66" s="44">
        <f t="shared" si="0"/>
        <v>57513.036</v>
      </c>
      <c r="AQ66" s="41">
        <f t="shared" si="0"/>
        <v>5661.9780000000001</v>
      </c>
    </row>
    <row r="67" spans="1:43" x14ac:dyDescent="0.25">
      <c r="A67" s="39">
        <v>2013</v>
      </c>
      <c r="B67" s="40">
        <v>175.85499999999999</v>
      </c>
      <c r="C67">
        <v>2.395</v>
      </c>
      <c r="D67" s="41">
        <f t="shared" si="1"/>
        <v>3.055903979238755E-4</v>
      </c>
      <c r="E67">
        <v>32368.005000000001</v>
      </c>
      <c r="F67">
        <v>1359.4559999999999</v>
      </c>
      <c r="G67">
        <v>173.46</v>
      </c>
      <c r="H67">
        <v>8152</v>
      </c>
      <c r="I67">
        <v>4674.6570000000002</v>
      </c>
      <c r="J67">
        <v>3477.3429999999998</v>
      </c>
      <c r="K67">
        <v>3809.7089999999998</v>
      </c>
      <c r="L67">
        <v>1825.354</v>
      </c>
      <c r="M67">
        <v>34019.993999999999</v>
      </c>
      <c r="N67">
        <v>1428.84</v>
      </c>
      <c r="O67" s="40">
        <v>182.31299999999999</v>
      </c>
      <c r="P67" s="42">
        <v>2697.2820000000002</v>
      </c>
      <c r="Q67">
        <v>113.286</v>
      </c>
      <c r="R67">
        <v>14.819000000000001</v>
      </c>
      <c r="S67">
        <v>4921</v>
      </c>
      <c r="T67">
        <v>691</v>
      </c>
      <c r="U67">
        <v>597</v>
      </c>
      <c r="V67">
        <v>7021.2820000000002</v>
      </c>
      <c r="W67">
        <v>294.89400000000001</v>
      </c>
      <c r="X67" s="42">
        <v>38.575000000000003</v>
      </c>
      <c r="AJ67">
        <v>1727493</v>
      </c>
      <c r="AK67">
        <v>56465</v>
      </c>
      <c r="AL67">
        <v>1397025</v>
      </c>
      <c r="AM67">
        <v>127543</v>
      </c>
      <c r="AN67" s="44">
        <f t="shared" si="0"/>
        <v>72554.706000000006</v>
      </c>
      <c r="AO67" s="44">
        <f t="shared" si="0"/>
        <v>2371.5300000000002</v>
      </c>
      <c r="AP67" s="44">
        <f t="shared" si="0"/>
        <v>58675.05</v>
      </c>
      <c r="AQ67" s="41">
        <f t="shared" ref="AQ67:AQ77" si="2">AM67*42/1000</f>
        <v>5356.8059999999996</v>
      </c>
    </row>
    <row r="68" spans="1:43" x14ac:dyDescent="0.25">
      <c r="A68" s="39">
        <v>2014</v>
      </c>
      <c r="B68" s="40">
        <v>165.44499999999999</v>
      </c>
      <c r="C68">
        <v>2.2530000000000001</v>
      </c>
      <c r="D68" s="41">
        <f t="shared" si="1"/>
        <v>2.8747272316433656E-4</v>
      </c>
      <c r="E68">
        <v>30451.874</v>
      </c>
      <c r="F68">
        <v>1278.979</v>
      </c>
      <c r="G68">
        <v>163.19200000000001</v>
      </c>
      <c r="H68">
        <v>4578</v>
      </c>
      <c r="I68">
        <v>1974.269</v>
      </c>
      <c r="J68">
        <v>2603.7310000000002</v>
      </c>
      <c r="K68">
        <v>3130.6190000000001</v>
      </c>
      <c r="L68">
        <v>-679.09100000000001</v>
      </c>
      <c r="M68">
        <v>33734.696000000004</v>
      </c>
      <c r="N68">
        <v>1416.857</v>
      </c>
      <c r="O68" s="40">
        <v>180.78399999999999</v>
      </c>
      <c r="P68" s="42">
        <v>3789.076</v>
      </c>
      <c r="Q68">
        <v>159.14099999999999</v>
      </c>
      <c r="R68">
        <v>20.817</v>
      </c>
      <c r="S68">
        <v>2873</v>
      </c>
      <c r="T68">
        <v>350</v>
      </c>
      <c r="U68">
        <v>-341</v>
      </c>
      <c r="V68">
        <v>7003.076</v>
      </c>
      <c r="W68">
        <v>294.12900000000002</v>
      </c>
      <c r="X68" s="42">
        <v>38.475000000000001</v>
      </c>
      <c r="AA68">
        <v>290.47000000000003</v>
      </c>
      <c r="AB68">
        <v>12.2</v>
      </c>
      <c r="AC68">
        <v>1.5569999999999999</v>
      </c>
      <c r="AE68">
        <v>7</v>
      </c>
      <c r="AF68">
        <v>2</v>
      </c>
      <c r="AG68">
        <v>288.47000000000003</v>
      </c>
      <c r="AH68">
        <v>12.116</v>
      </c>
      <c r="AI68" s="43">
        <v>1.546</v>
      </c>
      <c r="AJ68">
        <v>1794433</v>
      </c>
      <c r="AK68">
        <v>71050</v>
      </c>
      <c r="AL68">
        <v>1473595</v>
      </c>
      <c r="AM68">
        <v>136286</v>
      </c>
      <c r="AN68" s="44">
        <f t="shared" ref="AN68:AP77" si="3">AJ68*42/1000</f>
        <v>75366.186000000002</v>
      </c>
      <c r="AO68" s="44">
        <f t="shared" si="3"/>
        <v>2984.1</v>
      </c>
      <c r="AP68" s="44">
        <f t="shared" si="3"/>
        <v>61890.99</v>
      </c>
      <c r="AQ68" s="41">
        <f t="shared" si="2"/>
        <v>5724.0119999999997</v>
      </c>
    </row>
    <row r="69" spans="1:43" x14ac:dyDescent="0.25">
      <c r="A69" s="39">
        <v>2015</v>
      </c>
      <c r="B69" s="40">
        <v>163.423</v>
      </c>
      <c r="C69">
        <v>2.226</v>
      </c>
      <c r="D69" s="41">
        <f t="shared" si="1"/>
        <v>2.8402689205736823E-4</v>
      </c>
      <c r="E69">
        <v>30079.687999999998</v>
      </c>
      <c r="F69">
        <v>1263.347</v>
      </c>
      <c r="G69">
        <v>161.197</v>
      </c>
      <c r="H69">
        <v>8399</v>
      </c>
      <c r="I69">
        <v>2090.7570000000001</v>
      </c>
      <c r="J69">
        <v>6308.2430000000004</v>
      </c>
      <c r="K69">
        <v>3943.299</v>
      </c>
      <c r="L69">
        <v>812.68100000000004</v>
      </c>
      <c r="M69">
        <v>35575.25</v>
      </c>
      <c r="N69">
        <v>1494.1610000000001</v>
      </c>
      <c r="O69" s="40">
        <v>190.648</v>
      </c>
      <c r="P69" s="42">
        <v>4210.6580000000004</v>
      </c>
      <c r="Q69">
        <v>176.84800000000001</v>
      </c>
      <c r="R69">
        <v>23.132999999999999</v>
      </c>
      <c r="S69">
        <v>4874</v>
      </c>
      <c r="T69">
        <v>634</v>
      </c>
      <c r="U69">
        <v>284</v>
      </c>
      <c r="V69">
        <v>8800.6579999999994</v>
      </c>
      <c r="W69">
        <v>369.62799999999999</v>
      </c>
      <c r="X69" s="42">
        <v>48.350999999999999</v>
      </c>
      <c r="AA69">
        <v>393.37400000000002</v>
      </c>
      <c r="AB69">
        <v>16.521999999999998</v>
      </c>
      <c r="AC69">
        <v>2.1080000000000001</v>
      </c>
      <c r="AE69">
        <v>4</v>
      </c>
      <c r="AF69">
        <v>-3</v>
      </c>
      <c r="AG69">
        <v>396.37400000000002</v>
      </c>
      <c r="AH69">
        <v>16.648</v>
      </c>
      <c r="AI69" s="43">
        <v>2.1240000000000001</v>
      </c>
      <c r="AJ69">
        <v>1818780</v>
      </c>
      <c r="AK69">
        <v>73178</v>
      </c>
      <c r="AL69">
        <v>1458262</v>
      </c>
      <c r="AM69">
        <v>161326</v>
      </c>
      <c r="AN69" s="44">
        <f t="shared" si="3"/>
        <v>76388.759999999995</v>
      </c>
      <c r="AO69" s="44">
        <f t="shared" si="3"/>
        <v>3073.4760000000001</v>
      </c>
      <c r="AP69" s="44">
        <f t="shared" si="3"/>
        <v>61247.004000000001</v>
      </c>
      <c r="AQ69" s="41">
        <f t="shared" si="2"/>
        <v>6775.692</v>
      </c>
    </row>
    <row r="70" spans="1:43" x14ac:dyDescent="0.25">
      <c r="A70" s="39">
        <v>2016</v>
      </c>
      <c r="B70" s="40">
        <v>202.797</v>
      </c>
      <c r="C70">
        <v>2.762</v>
      </c>
      <c r="D70" s="41">
        <f t="shared" si="1"/>
        <v>3.5241825441880938E-4</v>
      </c>
      <c r="E70">
        <v>37326.894</v>
      </c>
      <c r="F70">
        <v>1567.73</v>
      </c>
      <c r="G70">
        <v>200.035</v>
      </c>
      <c r="H70">
        <v>16879</v>
      </c>
      <c r="I70">
        <v>2098.1869999999999</v>
      </c>
      <c r="J70">
        <v>14780.813</v>
      </c>
      <c r="K70">
        <v>6397.74</v>
      </c>
      <c r="L70">
        <v>2454.44</v>
      </c>
      <c r="M70">
        <v>49653.267</v>
      </c>
      <c r="N70">
        <v>2085.4369999999999</v>
      </c>
      <c r="O70" s="40">
        <v>266.09199999999998</v>
      </c>
      <c r="P70" s="42">
        <v>5749.701</v>
      </c>
      <c r="Q70">
        <v>241.48699999999999</v>
      </c>
      <c r="R70">
        <v>31.588999999999999</v>
      </c>
      <c r="S70">
        <v>5304</v>
      </c>
      <c r="T70">
        <v>1315</v>
      </c>
      <c r="U70">
        <v>681</v>
      </c>
      <c r="V70">
        <v>10372.700999999999</v>
      </c>
      <c r="W70">
        <v>435.65300000000002</v>
      </c>
      <c r="X70" s="42">
        <v>56.988</v>
      </c>
      <c r="AA70">
        <v>503.46899999999999</v>
      </c>
      <c r="AB70">
        <v>21.146000000000001</v>
      </c>
      <c r="AC70">
        <v>2.698</v>
      </c>
      <c r="AE70">
        <v>43</v>
      </c>
      <c r="AF70">
        <v>39</v>
      </c>
      <c r="AG70">
        <v>464.46899999999999</v>
      </c>
      <c r="AH70">
        <v>19.507999999999999</v>
      </c>
      <c r="AI70" s="43">
        <v>2.4889999999999999</v>
      </c>
      <c r="AJ70">
        <v>1769335</v>
      </c>
      <c r="AK70">
        <v>53642</v>
      </c>
      <c r="AL70">
        <v>1419074</v>
      </c>
      <c r="AM70">
        <v>166095</v>
      </c>
      <c r="AN70" s="44">
        <f t="shared" si="3"/>
        <v>74312.070000000007</v>
      </c>
      <c r="AO70" s="44">
        <f t="shared" si="3"/>
        <v>2252.9639999999999</v>
      </c>
      <c r="AP70" s="44">
        <f t="shared" si="3"/>
        <v>59601.108</v>
      </c>
      <c r="AQ70" s="41">
        <f t="shared" si="2"/>
        <v>6975.99</v>
      </c>
    </row>
    <row r="71" spans="1:43" x14ac:dyDescent="0.25">
      <c r="A71" s="39">
        <v>2017</v>
      </c>
      <c r="B71" s="40">
        <v>206.416</v>
      </c>
      <c r="C71">
        <v>2.8109999999999999</v>
      </c>
      <c r="D71" s="41">
        <f t="shared" si="1"/>
        <v>3.5867044367112047E-4</v>
      </c>
      <c r="E71">
        <v>37993.065000000002</v>
      </c>
      <c r="F71">
        <v>1595.7090000000001</v>
      </c>
      <c r="G71">
        <v>203.60499999999999</v>
      </c>
      <c r="H71">
        <v>9374</v>
      </c>
      <c r="I71">
        <v>2228.2489999999998</v>
      </c>
      <c r="J71">
        <v>7145.7510000000002</v>
      </c>
      <c r="K71">
        <v>4267.9489999999996</v>
      </c>
      <c r="L71">
        <v>-2129.7930000000001</v>
      </c>
      <c r="M71">
        <v>47268.608999999997</v>
      </c>
      <c r="N71">
        <v>1985.2819999999999</v>
      </c>
      <c r="O71" s="40">
        <v>253.31200000000001</v>
      </c>
      <c r="P71" s="42">
        <v>6151.0029999999997</v>
      </c>
      <c r="Q71">
        <v>258.34199999999998</v>
      </c>
      <c r="R71">
        <v>33.793999999999997</v>
      </c>
      <c r="S71">
        <v>4509</v>
      </c>
      <c r="T71">
        <v>753</v>
      </c>
      <c r="U71">
        <v>-562</v>
      </c>
      <c r="V71">
        <v>11222.003000000001</v>
      </c>
      <c r="W71">
        <v>471.32400000000001</v>
      </c>
      <c r="X71" s="42">
        <v>61.654000000000003</v>
      </c>
      <c r="AA71">
        <v>570.32399999999996</v>
      </c>
      <c r="AB71">
        <v>23.954000000000001</v>
      </c>
      <c r="AC71">
        <v>3.056</v>
      </c>
      <c r="AE71">
        <v>28</v>
      </c>
      <c r="AF71">
        <v>-15</v>
      </c>
      <c r="AG71">
        <v>585.32399999999996</v>
      </c>
      <c r="AH71">
        <v>24.584</v>
      </c>
      <c r="AI71" s="43">
        <v>3.137</v>
      </c>
      <c r="AJ71">
        <v>1833879</v>
      </c>
      <c r="AK71">
        <v>54975</v>
      </c>
      <c r="AL71">
        <v>1435249</v>
      </c>
      <c r="AM71">
        <v>145638</v>
      </c>
      <c r="AN71" s="44">
        <f t="shared" si="3"/>
        <v>77022.918000000005</v>
      </c>
      <c r="AO71" s="44">
        <f t="shared" si="3"/>
        <v>2308.9499999999998</v>
      </c>
      <c r="AP71" s="44">
        <f t="shared" si="3"/>
        <v>60280.457999999999</v>
      </c>
      <c r="AQ71" s="41">
        <f t="shared" si="2"/>
        <v>6116.7960000000003</v>
      </c>
    </row>
    <row r="72" spans="1:43" x14ac:dyDescent="0.25">
      <c r="A72" s="39">
        <v>2018</v>
      </c>
      <c r="B72" s="40">
        <v>240.25700000000001</v>
      </c>
      <c r="C72">
        <v>3.2719999999999998</v>
      </c>
      <c r="D72" s="41">
        <f t="shared" si="1"/>
        <v>4.1749151330493033E-4</v>
      </c>
      <c r="E72">
        <v>44221.87</v>
      </c>
      <c r="F72">
        <v>1857.319</v>
      </c>
      <c r="G72">
        <v>236.98500000000001</v>
      </c>
      <c r="H72">
        <v>3969</v>
      </c>
      <c r="I72">
        <v>2470.2950000000001</v>
      </c>
      <c r="J72">
        <v>1498.7049999999999</v>
      </c>
      <c r="K72">
        <v>4662.2169999999996</v>
      </c>
      <c r="L72">
        <v>394.26600000000002</v>
      </c>
      <c r="M72">
        <v>45326.309000000001</v>
      </c>
      <c r="N72">
        <v>1903.7049999999999</v>
      </c>
      <c r="O72" s="40">
        <v>242.904</v>
      </c>
      <c r="P72" s="42">
        <v>7273.4390000000003</v>
      </c>
      <c r="Q72">
        <v>305.48399999999998</v>
      </c>
      <c r="R72">
        <v>39.96</v>
      </c>
      <c r="S72">
        <v>4124</v>
      </c>
      <c r="T72">
        <v>1727</v>
      </c>
      <c r="U72">
        <v>974</v>
      </c>
      <c r="V72">
        <v>10423.439</v>
      </c>
      <c r="W72">
        <v>437.78399999999999</v>
      </c>
      <c r="X72" s="42">
        <v>57.265999999999998</v>
      </c>
      <c r="AA72">
        <v>610.95899999999995</v>
      </c>
      <c r="AB72">
        <v>25.66</v>
      </c>
      <c r="AC72">
        <v>3.274</v>
      </c>
      <c r="AE72">
        <v>54</v>
      </c>
      <c r="AF72">
        <v>26</v>
      </c>
      <c r="AG72">
        <v>584.95899999999995</v>
      </c>
      <c r="AH72">
        <v>24.568000000000001</v>
      </c>
      <c r="AI72" s="43">
        <v>3.1349999999999998</v>
      </c>
      <c r="AJ72">
        <v>1886341</v>
      </c>
      <c r="AK72">
        <v>63769</v>
      </c>
      <c r="AL72">
        <v>1513227</v>
      </c>
      <c r="AM72">
        <v>140162</v>
      </c>
      <c r="AN72" s="44">
        <f t="shared" si="3"/>
        <v>79226.322</v>
      </c>
      <c r="AO72" s="44">
        <f t="shared" si="3"/>
        <v>2678.2979999999998</v>
      </c>
      <c r="AP72" s="44">
        <f t="shared" si="3"/>
        <v>63555.534</v>
      </c>
      <c r="AQ72" s="41">
        <f t="shared" si="2"/>
        <v>5886.8040000000001</v>
      </c>
    </row>
    <row r="73" spans="1:43" x14ac:dyDescent="0.25">
      <c r="A73" s="39">
        <v>2019</v>
      </c>
      <c r="B73" s="40">
        <v>223.077</v>
      </c>
      <c r="C73">
        <v>3.0379999999999998</v>
      </c>
      <c r="D73" s="41">
        <f t="shared" si="1"/>
        <v>3.8763454250983034E-4</v>
      </c>
      <c r="E73">
        <v>41059.68</v>
      </c>
      <c r="F73">
        <v>1724.5070000000001</v>
      </c>
      <c r="G73">
        <v>220.03899999999999</v>
      </c>
      <c r="H73">
        <v>4078</v>
      </c>
      <c r="I73">
        <v>2730.357</v>
      </c>
      <c r="J73">
        <v>1347.643</v>
      </c>
      <c r="K73">
        <v>3906.6210000000001</v>
      </c>
      <c r="L73">
        <v>-755.596</v>
      </c>
      <c r="M73">
        <v>43162.919000000002</v>
      </c>
      <c r="N73">
        <v>1812.8430000000001</v>
      </c>
      <c r="O73" s="40">
        <v>231.31</v>
      </c>
      <c r="P73" s="42">
        <v>11714.558999999999</v>
      </c>
      <c r="Q73">
        <v>492.01100000000002</v>
      </c>
      <c r="R73">
        <v>64.36</v>
      </c>
      <c r="S73">
        <v>6143</v>
      </c>
      <c r="T73">
        <v>1491</v>
      </c>
      <c r="U73">
        <v>-236</v>
      </c>
      <c r="V73">
        <v>18093.559000000001</v>
      </c>
      <c r="W73">
        <v>759.92899999999997</v>
      </c>
      <c r="X73" s="42">
        <v>99.406000000000006</v>
      </c>
      <c r="AA73">
        <v>791.15300000000002</v>
      </c>
      <c r="AB73">
        <v>33.228000000000002</v>
      </c>
      <c r="AC73">
        <v>4.24</v>
      </c>
      <c r="AE73">
        <v>50</v>
      </c>
      <c r="AF73">
        <v>-4</v>
      </c>
      <c r="AG73">
        <v>795.15300000000002</v>
      </c>
      <c r="AH73">
        <v>33.396000000000001</v>
      </c>
      <c r="AI73" s="43">
        <v>4.2610000000000001</v>
      </c>
      <c r="AJ73">
        <v>1875015</v>
      </c>
      <c r="AK73">
        <v>73886</v>
      </c>
      <c r="AL73">
        <v>1497761</v>
      </c>
      <c r="AM73">
        <v>140083</v>
      </c>
      <c r="AN73" s="44">
        <f t="shared" si="3"/>
        <v>78750.63</v>
      </c>
      <c r="AO73" s="44">
        <f t="shared" si="3"/>
        <v>3103.212</v>
      </c>
      <c r="AP73" s="44">
        <f t="shared" si="3"/>
        <v>62905.962</v>
      </c>
      <c r="AQ73" s="41">
        <f t="shared" si="2"/>
        <v>5883.4859999999999</v>
      </c>
    </row>
    <row r="74" spans="1:43" x14ac:dyDescent="0.25">
      <c r="A74" s="39">
        <v>2020</v>
      </c>
      <c r="B74" s="40">
        <v>234.744</v>
      </c>
      <c r="C74">
        <v>3.1970000000000001</v>
      </c>
      <c r="D74" s="41">
        <f t="shared" si="1"/>
        <v>4.0792228734478129E-4</v>
      </c>
      <c r="E74">
        <v>43207.097000000002</v>
      </c>
      <c r="F74">
        <v>1814.6980000000001</v>
      </c>
      <c r="G74">
        <v>231.547</v>
      </c>
      <c r="H74">
        <v>4684</v>
      </c>
      <c r="I74">
        <v>3457.5030000000002</v>
      </c>
      <c r="J74">
        <v>1226.4970000000001</v>
      </c>
      <c r="K74">
        <v>3665.3850000000002</v>
      </c>
      <c r="L74">
        <v>-241.23500000000001</v>
      </c>
      <c r="M74">
        <v>44674.828999999998</v>
      </c>
      <c r="N74">
        <v>1876.3430000000001</v>
      </c>
      <c r="O74" s="40">
        <v>239.41200000000001</v>
      </c>
      <c r="P74" s="42">
        <v>12702.251</v>
      </c>
      <c r="Q74">
        <v>533.495</v>
      </c>
      <c r="R74">
        <v>69.786000000000001</v>
      </c>
      <c r="S74">
        <v>6658</v>
      </c>
      <c r="T74">
        <v>1287</v>
      </c>
      <c r="U74">
        <v>-204</v>
      </c>
      <c r="V74">
        <v>19564.251</v>
      </c>
      <c r="W74">
        <v>821.69899999999996</v>
      </c>
      <c r="X74" s="42">
        <v>107.486</v>
      </c>
      <c r="AA74">
        <v>761.17499999999995</v>
      </c>
      <c r="AB74">
        <v>31.969000000000001</v>
      </c>
      <c r="AC74">
        <v>4.0789999999999997</v>
      </c>
      <c r="AE74">
        <v>27</v>
      </c>
      <c r="AF74">
        <v>-23</v>
      </c>
      <c r="AG74">
        <v>784.17499999999995</v>
      </c>
      <c r="AH74">
        <v>32.935000000000002</v>
      </c>
      <c r="AI74" s="43">
        <v>4.202</v>
      </c>
      <c r="AJ74">
        <v>1733958</v>
      </c>
      <c r="AK74">
        <v>79789</v>
      </c>
      <c r="AL74">
        <v>1385590</v>
      </c>
      <c r="AM74">
        <v>161188</v>
      </c>
      <c r="AN74" s="44">
        <f t="shared" si="3"/>
        <v>72826.236000000004</v>
      </c>
      <c r="AO74" s="44">
        <f t="shared" si="3"/>
        <v>3351.1379999999999</v>
      </c>
      <c r="AP74" s="44">
        <f t="shared" si="3"/>
        <v>58194.78</v>
      </c>
      <c r="AQ74" s="41">
        <f t="shared" si="2"/>
        <v>6769.8959999999997</v>
      </c>
    </row>
    <row r="75" spans="1:43" x14ac:dyDescent="0.25">
      <c r="A75" s="39">
        <v>2021</v>
      </c>
      <c r="B75" s="40">
        <v>221.04900000000001</v>
      </c>
      <c r="C75">
        <v>3.0110000000000001</v>
      </c>
      <c r="D75" s="41">
        <f t="shared" si="1"/>
        <v>3.8418915559571313E-4</v>
      </c>
      <c r="E75">
        <v>40686.324999999997</v>
      </c>
      <c r="F75">
        <v>1708.826</v>
      </c>
      <c r="G75">
        <v>218.03800000000001</v>
      </c>
      <c r="H75">
        <v>5005</v>
      </c>
      <c r="I75">
        <v>4452.4560000000001</v>
      </c>
      <c r="J75">
        <v>552.54399999999998</v>
      </c>
      <c r="K75">
        <v>4187.4989999999998</v>
      </c>
      <c r="L75">
        <v>522.11300000000006</v>
      </c>
      <c r="M75">
        <v>40716.756000000001</v>
      </c>
      <c r="N75">
        <v>1710.104</v>
      </c>
      <c r="O75" s="40">
        <v>218.20099999999999</v>
      </c>
      <c r="P75" s="42">
        <v>20502.879000000001</v>
      </c>
      <c r="Q75">
        <v>861.12099999999998</v>
      </c>
      <c r="R75">
        <v>112.643</v>
      </c>
      <c r="S75">
        <v>9340</v>
      </c>
      <c r="T75">
        <v>2352.752</v>
      </c>
      <c r="U75">
        <v>1065.7529999999999</v>
      </c>
      <c r="V75">
        <v>28777.126</v>
      </c>
      <c r="W75">
        <v>1208.6389999999999</v>
      </c>
      <c r="X75" s="42">
        <v>158.102</v>
      </c>
      <c r="AA75">
        <v>1913.9880000000001</v>
      </c>
      <c r="AB75">
        <v>80.387</v>
      </c>
      <c r="AC75">
        <v>10.257</v>
      </c>
      <c r="AD75">
        <v>27</v>
      </c>
      <c r="AE75">
        <v>82.546000000000006</v>
      </c>
      <c r="AF75">
        <v>55.545000000000002</v>
      </c>
      <c r="AG75">
        <v>1885.443</v>
      </c>
      <c r="AH75">
        <v>79.188999999999993</v>
      </c>
      <c r="AI75" s="43">
        <v>10.103999999999999</v>
      </c>
      <c r="AJ75">
        <v>1703688</v>
      </c>
      <c r="AK75">
        <v>105262</v>
      </c>
      <c r="AL75">
        <v>1449807</v>
      </c>
      <c r="AM75">
        <v>130039</v>
      </c>
      <c r="AN75" s="44">
        <f t="shared" si="3"/>
        <v>71554.895999999993</v>
      </c>
      <c r="AO75" s="44">
        <f t="shared" si="3"/>
        <v>4421.0039999999999</v>
      </c>
      <c r="AP75" s="44">
        <f t="shared" si="3"/>
        <v>60891.894</v>
      </c>
      <c r="AQ75" s="41">
        <f t="shared" si="2"/>
        <v>5461.6379999999999</v>
      </c>
    </row>
    <row r="76" spans="1:43" x14ac:dyDescent="0.25">
      <c r="A76" s="39">
        <v>2022</v>
      </c>
      <c r="B76" s="40">
        <v>209.821</v>
      </c>
      <c r="C76">
        <v>2.8580000000000001</v>
      </c>
      <c r="D76" s="41">
        <f>(G76/F76)*C76/1000</f>
        <v>3.6466710439030645E-4</v>
      </c>
      <c r="E76">
        <v>38619.726000000002</v>
      </c>
      <c r="F76">
        <v>1622.028</v>
      </c>
      <c r="G76">
        <v>206.96299999999999</v>
      </c>
      <c r="H76">
        <v>5950</v>
      </c>
      <c r="I76">
        <v>5671.0950000000003</v>
      </c>
      <c r="J76">
        <v>278.90499999999997</v>
      </c>
      <c r="K76">
        <v>3607.8510000000001</v>
      </c>
      <c r="L76">
        <v>-579.64800000000002</v>
      </c>
      <c r="M76">
        <v>39478.279000000002</v>
      </c>
      <c r="N76">
        <v>1658.088</v>
      </c>
      <c r="O76" s="40">
        <v>211.56399999999999</v>
      </c>
      <c r="P76" s="42">
        <v>35691.785000000003</v>
      </c>
      <c r="Q76">
        <v>1499.0550000000001</v>
      </c>
      <c r="R76">
        <v>196.09100000000001</v>
      </c>
      <c r="S76">
        <v>6254</v>
      </c>
      <c r="T76">
        <v>3405.4589999999998</v>
      </c>
      <c r="U76">
        <v>1052.7080000000001</v>
      </c>
      <c r="V76">
        <v>40893.076999999997</v>
      </c>
      <c r="W76">
        <v>1717.509</v>
      </c>
      <c r="X76" s="42">
        <v>224.667</v>
      </c>
      <c r="AA76">
        <v>4841.3069999999998</v>
      </c>
      <c r="AB76">
        <v>203.33500000000001</v>
      </c>
      <c r="AC76">
        <v>25.945</v>
      </c>
      <c r="AD76">
        <v>114</v>
      </c>
      <c r="AE76">
        <v>282.25299999999999</v>
      </c>
      <c r="AF76">
        <v>199.70699999999999</v>
      </c>
      <c r="AG76">
        <v>4755.6000000000004</v>
      </c>
      <c r="AH76">
        <v>199.73500000000001</v>
      </c>
      <c r="AI76" s="43">
        <v>25.484999999999999</v>
      </c>
      <c r="AJ76">
        <v>1828961</v>
      </c>
      <c r="AK76">
        <v>68628</v>
      </c>
      <c r="AL76">
        <v>1469334</v>
      </c>
      <c r="AM76">
        <v>118899</v>
      </c>
      <c r="AN76" s="44">
        <f t="shared" si="3"/>
        <v>76816.361999999994</v>
      </c>
      <c r="AO76" s="44">
        <f t="shared" si="3"/>
        <v>2882.3760000000002</v>
      </c>
      <c r="AP76" s="44">
        <f t="shared" si="3"/>
        <v>61712.027999999998</v>
      </c>
      <c r="AQ76" s="41">
        <f t="shared" si="2"/>
        <v>4993.7579999999998</v>
      </c>
    </row>
    <row r="77" spans="1:43" x14ac:dyDescent="0.25">
      <c r="A77" s="39">
        <v>2023</v>
      </c>
      <c r="B77" s="40">
        <v>219.751</v>
      </c>
      <c r="C77">
        <v>2.9929999999999999</v>
      </c>
      <c r="D77" s="41">
        <f>(G77/F77)*C77/1000</f>
        <v>3.8189272854314801E-4</v>
      </c>
      <c r="E77">
        <v>40447.451999999997</v>
      </c>
      <c r="F77">
        <v>1698.7929999999999</v>
      </c>
      <c r="G77">
        <v>216.75800000000001</v>
      </c>
      <c r="H77">
        <v>11929</v>
      </c>
      <c r="I77">
        <v>5980.3320000000003</v>
      </c>
      <c r="J77">
        <v>5948.6679999999997</v>
      </c>
      <c r="K77">
        <v>3827.4740000000002</v>
      </c>
      <c r="L77">
        <v>228.02500000000001</v>
      </c>
      <c r="M77">
        <v>46168.095000000001</v>
      </c>
      <c r="N77">
        <v>1939.06</v>
      </c>
      <c r="O77" s="40">
        <v>247.41499999999999</v>
      </c>
      <c r="P77" s="42">
        <v>61743.843000000001</v>
      </c>
      <c r="Q77">
        <v>2593.241</v>
      </c>
      <c r="R77">
        <v>339.221</v>
      </c>
      <c r="S77">
        <v>8622</v>
      </c>
      <c r="T77">
        <v>5477.77</v>
      </c>
      <c r="U77">
        <v>2072.3119999999999</v>
      </c>
      <c r="V77">
        <v>68293.531000000003</v>
      </c>
      <c r="W77">
        <v>2868.328</v>
      </c>
      <c r="X77" s="42">
        <v>375.20499999999998</v>
      </c>
      <c r="AA77">
        <v>6888.2629999999999</v>
      </c>
      <c r="AB77">
        <v>289.30700000000002</v>
      </c>
      <c r="AC77">
        <v>36.914000000000001</v>
      </c>
      <c r="AD77">
        <v>112</v>
      </c>
      <c r="AE77">
        <v>304.726</v>
      </c>
      <c r="AF77">
        <v>22.472999999999999</v>
      </c>
      <c r="AG77">
        <v>6977.79</v>
      </c>
      <c r="AH77">
        <v>293.06700000000001</v>
      </c>
      <c r="AI77" s="43">
        <v>37.393999999999998</v>
      </c>
      <c r="AJ77">
        <v>1790989</v>
      </c>
      <c r="AK77">
        <v>61271</v>
      </c>
      <c r="AL77">
        <v>1435530</v>
      </c>
      <c r="AM77">
        <v>130713</v>
      </c>
      <c r="AN77" s="44">
        <f>AJ77*42/1000</f>
        <v>75221.538</v>
      </c>
      <c r="AO77" s="44">
        <f t="shared" si="3"/>
        <v>2573.3820000000001</v>
      </c>
      <c r="AP77" s="44">
        <f t="shared" si="3"/>
        <v>60292.26</v>
      </c>
      <c r="AQ77" s="41">
        <f t="shared" si="2"/>
        <v>5489.9459999999999</v>
      </c>
    </row>
    <row r="78" spans="1:43" x14ac:dyDescent="0.25">
      <c r="AN78" s="44"/>
    </row>
    <row r="79" spans="1:43" x14ac:dyDescent="0.25">
      <c r="AN79" s="44"/>
    </row>
    <row r="80" spans="1:43" x14ac:dyDescent="0.25">
      <c r="AN80" s="44"/>
    </row>
    <row r="81" spans="40:40" x14ac:dyDescent="0.25">
      <c r="AN81" s="4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94C3-C76D-4A09-A7C1-5B023B9ED75D}">
  <sheetPr>
    <tabColor rgb="FFFFFF00"/>
  </sheetPr>
  <dimension ref="A1:DL650"/>
  <sheetViews>
    <sheetView zoomScale="110" zoomScaleNormal="110" zoomScaleSheetLayoutView="84" workbookViewId="0">
      <pane xSplit="1" ySplit="2" topLeftCell="R61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RowHeight="11.25" x14ac:dyDescent="0.2"/>
  <cols>
    <col min="1" max="1" width="8.85546875" style="79" bestFit="1" customWidth="1"/>
    <col min="2" max="2" width="16.42578125" style="19" customWidth="1"/>
    <col min="3" max="3" width="12.7109375" style="74" customWidth="1"/>
    <col min="4" max="4" width="19.7109375" style="19" customWidth="1"/>
    <col min="5" max="7" width="16.85546875" style="19" bestFit="1" customWidth="1"/>
    <col min="8" max="9" width="15.42578125" style="19" bestFit="1" customWidth="1"/>
    <col min="10" max="10" width="17.5703125" style="19" bestFit="1" customWidth="1"/>
    <col min="11" max="11" width="15.42578125" style="19" bestFit="1" customWidth="1"/>
    <col min="12" max="14" width="18.7109375" style="19" bestFit="1" customWidth="1"/>
    <col min="15" max="15" width="18.7109375" style="74" bestFit="1" customWidth="1"/>
    <col min="16" max="16" width="18" style="75" customWidth="1"/>
    <col min="17" max="21" width="18" style="19" customWidth="1"/>
    <col min="22" max="24" width="18.42578125" style="19" customWidth="1"/>
    <col min="25" max="25" width="17.42578125" style="75" customWidth="1"/>
    <col min="26" max="26" width="30.42578125" style="76" customWidth="1"/>
    <col min="27" max="27" width="20.28515625" style="77" bestFit="1" customWidth="1"/>
    <col min="28" max="28" width="30.7109375" style="19" bestFit="1" customWidth="1"/>
    <col min="29" max="31" width="21" style="19" bestFit="1" customWidth="1"/>
    <col min="32" max="32" width="18.5703125" style="19" bestFit="1" customWidth="1"/>
    <col min="33" max="33" width="17.42578125" style="19" bestFit="1" customWidth="1"/>
    <col min="34" max="34" width="22.85546875" style="19" bestFit="1" customWidth="1"/>
    <col min="35" max="36" width="23" style="19" bestFit="1" customWidth="1"/>
    <col min="37" max="37" width="23" style="77" bestFit="1" customWidth="1"/>
    <col min="38" max="42" width="18.7109375" style="19" customWidth="1"/>
    <col min="43" max="43" width="15.7109375" style="19" customWidth="1"/>
    <col min="44" max="45" width="16.140625" style="76" customWidth="1"/>
    <col min="46" max="51" width="15.7109375" style="78" customWidth="1"/>
    <col min="52" max="56" width="15.7109375" style="19" customWidth="1"/>
    <col min="57" max="57" width="11.7109375" style="19" customWidth="1"/>
    <col min="58" max="58" width="12" style="19" bestFit="1" customWidth="1"/>
    <col min="59" max="59" width="15.5703125" style="19" customWidth="1"/>
    <col min="60" max="60" width="13.42578125" style="19" bestFit="1" customWidth="1"/>
    <col min="61" max="62" width="13.85546875" style="19" customWidth="1"/>
    <col min="63" max="64" width="12.7109375" style="19" customWidth="1"/>
    <col min="65" max="16384" width="9.140625" style="19"/>
  </cols>
  <sheetData>
    <row r="1" spans="1:116" s="53" customFormat="1" ht="56.25" x14ac:dyDescent="0.25">
      <c r="A1" s="45"/>
      <c r="B1" s="46"/>
      <c r="C1" s="47" t="s">
        <v>79</v>
      </c>
      <c r="D1" s="46" t="s">
        <v>80</v>
      </c>
      <c r="E1" s="46" t="s">
        <v>81</v>
      </c>
      <c r="F1" s="46" t="s">
        <v>81</v>
      </c>
      <c r="G1" s="46" t="s">
        <v>81</v>
      </c>
      <c r="H1" s="46" t="s">
        <v>82</v>
      </c>
      <c r="I1" s="46" t="s">
        <v>83</v>
      </c>
      <c r="J1" s="46" t="s">
        <v>84</v>
      </c>
      <c r="K1" s="46" t="s">
        <v>85</v>
      </c>
      <c r="L1" s="46" t="s">
        <v>86</v>
      </c>
      <c r="M1" s="46" t="s">
        <v>87</v>
      </c>
      <c r="N1" s="46" t="s">
        <v>87</v>
      </c>
      <c r="O1" s="47" t="s">
        <v>87</v>
      </c>
      <c r="P1" s="48" t="s">
        <v>88</v>
      </c>
      <c r="Q1" s="46" t="s">
        <v>88</v>
      </c>
      <c r="R1" s="46" t="s">
        <v>88</v>
      </c>
      <c r="S1" s="46" t="s">
        <v>89</v>
      </c>
      <c r="T1" s="46" t="s">
        <v>117</v>
      </c>
      <c r="U1" s="46" t="s">
        <v>90</v>
      </c>
      <c r="V1" s="46" t="s">
        <v>91</v>
      </c>
      <c r="W1" s="46" t="s">
        <v>92</v>
      </c>
      <c r="X1" s="46" t="s">
        <v>92</v>
      </c>
      <c r="Y1" s="48" t="s">
        <v>92</v>
      </c>
      <c r="Z1" s="49" t="s">
        <v>92</v>
      </c>
      <c r="AA1" s="50" t="s">
        <v>93</v>
      </c>
      <c r="AB1" s="46" t="s">
        <v>94</v>
      </c>
      <c r="AC1" s="46" t="s">
        <v>95</v>
      </c>
      <c r="AD1" s="46" t="s">
        <v>95</v>
      </c>
      <c r="AE1" s="46" t="s">
        <v>95</v>
      </c>
      <c r="AF1" s="46" t="s">
        <v>96</v>
      </c>
      <c r="AG1" s="46" t="s">
        <v>97</v>
      </c>
      <c r="AH1" s="46" t="s">
        <v>98</v>
      </c>
      <c r="AI1" s="46" t="s">
        <v>99</v>
      </c>
      <c r="AJ1" s="46" t="s">
        <v>99</v>
      </c>
      <c r="AK1" s="50" t="s">
        <v>99</v>
      </c>
      <c r="AL1" s="46" t="s">
        <v>32</v>
      </c>
      <c r="AM1" s="46" t="s">
        <v>35</v>
      </c>
      <c r="AN1" s="46" t="s">
        <v>37</v>
      </c>
      <c r="AO1" s="46" t="s">
        <v>39</v>
      </c>
      <c r="AP1" s="46" t="s">
        <v>41</v>
      </c>
      <c r="AQ1" s="46" t="s">
        <v>43</v>
      </c>
      <c r="AR1" s="49" t="s">
        <v>118</v>
      </c>
      <c r="AS1" s="49" t="s">
        <v>119</v>
      </c>
      <c r="AT1" s="51" t="s">
        <v>107</v>
      </c>
      <c r="AU1" s="52" t="s">
        <v>120</v>
      </c>
      <c r="AV1" s="52" t="s">
        <v>121</v>
      </c>
      <c r="AW1" s="52" t="s">
        <v>122</v>
      </c>
      <c r="AX1" s="51" t="s">
        <v>106</v>
      </c>
      <c r="AY1" s="51" t="s">
        <v>43</v>
      </c>
      <c r="AZ1" s="46" t="s">
        <v>45</v>
      </c>
      <c r="BA1" s="46" t="s">
        <v>47</v>
      </c>
      <c r="BB1" s="46" t="s">
        <v>50</v>
      </c>
      <c r="BC1" s="46" t="s">
        <v>52</v>
      </c>
      <c r="BD1" s="46" t="s">
        <v>54</v>
      </c>
      <c r="BE1" s="46" t="s">
        <v>123</v>
      </c>
      <c r="BF1" s="46" t="s">
        <v>124</v>
      </c>
      <c r="BG1" s="46" t="s">
        <v>125</v>
      </c>
      <c r="BH1" s="46" t="s">
        <v>126</v>
      </c>
      <c r="BI1" s="46" t="s">
        <v>127</v>
      </c>
      <c r="BJ1" s="46" t="s">
        <v>128</v>
      </c>
      <c r="BK1" s="46" t="s">
        <v>129</v>
      </c>
      <c r="BL1" s="46" t="s">
        <v>130</v>
      </c>
    </row>
    <row r="2" spans="1:116" s="53" customFormat="1" ht="56.25" x14ac:dyDescent="0.2">
      <c r="A2" s="45"/>
      <c r="B2" s="46"/>
      <c r="C2" s="47" t="s">
        <v>108</v>
      </c>
      <c r="D2" s="46" t="s">
        <v>108</v>
      </c>
      <c r="E2" s="46" t="s">
        <v>109</v>
      </c>
      <c r="F2" s="46" t="s">
        <v>110</v>
      </c>
      <c r="G2" s="46" t="s">
        <v>108</v>
      </c>
      <c r="H2" s="46" t="s">
        <v>109</v>
      </c>
      <c r="I2" s="46" t="s">
        <v>109</v>
      </c>
      <c r="J2" s="46" t="s">
        <v>109</v>
      </c>
      <c r="K2" s="46" t="s">
        <v>109</v>
      </c>
      <c r="L2" s="46" t="s">
        <v>109</v>
      </c>
      <c r="M2" s="46" t="s">
        <v>109</v>
      </c>
      <c r="N2" s="46" t="s">
        <v>110</v>
      </c>
      <c r="O2" s="47" t="s">
        <v>108</v>
      </c>
      <c r="P2" s="48" t="s">
        <v>109</v>
      </c>
      <c r="Q2" s="46" t="s">
        <v>110</v>
      </c>
      <c r="R2" s="46" t="s">
        <v>108</v>
      </c>
      <c r="S2" s="46" t="s">
        <v>109</v>
      </c>
      <c r="T2" s="46" t="s">
        <v>109</v>
      </c>
      <c r="U2" s="46" t="s">
        <v>109</v>
      </c>
      <c r="V2" s="46" t="s">
        <v>109</v>
      </c>
      <c r="W2" s="46" t="s">
        <v>109</v>
      </c>
      <c r="X2" s="46" t="s">
        <v>110</v>
      </c>
      <c r="Y2" s="48" t="s">
        <v>108</v>
      </c>
      <c r="Z2" s="49" t="s">
        <v>108</v>
      </c>
      <c r="AA2" s="50" t="s">
        <v>108</v>
      </c>
      <c r="AB2" s="46" t="s">
        <v>108</v>
      </c>
      <c r="AC2" s="46" t="s">
        <v>109</v>
      </c>
      <c r="AD2" s="46" t="s">
        <v>110</v>
      </c>
      <c r="AE2" s="46" t="s">
        <v>108</v>
      </c>
      <c r="AF2" s="46" t="s">
        <v>109</v>
      </c>
      <c r="AG2" s="46" t="s">
        <v>109</v>
      </c>
      <c r="AH2" s="46" t="s">
        <v>109</v>
      </c>
      <c r="AI2" s="46" t="s">
        <v>109</v>
      </c>
      <c r="AJ2" s="46" t="s">
        <v>110</v>
      </c>
      <c r="AK2" s="50" t="s">
        <v>108</v>
      </c>
      <c r="AL2" s="54" t="s">
        <v>34</v>
      </c>
      <c r="AM2" s="46" t="s">
        <v>36</v>
      </c>
      <c r="AN2" s="54" t="s">
        <v>38</v>
      </c>
      <c r="AO2" s="54" t="s">
        <v>40</v>
      </c>
      <c r="AP2" s="54" t="s">
        <v>42</v>
      </c>
      <c r="AQ2" s="54" t="s">
        <v>44</v>
      </c>
      <c r="AR2" s="49" t="s">
        <v>131</v>
      </c>
      <c r="AS2" s="49" t="s">
        <v>131</v>
      </c>
      <c r="AT2" s="51" t="s">
        <v>132</v>
      </c>
      <c r="AU2" s="51" t="s">
        <v>131</v>
      </c>
      <c r="AV2" s="51" t="s">
        <v>131</v>
      </c>
      <c r="AW2" s="51" t="s">
        <v>131</v>
      </c>
      <c r="AX2" s="51" t="s">
        <v>110</v>
      </c>
      <c r="AY2" s="51" t="s">
        <v>110</v>
      </c>
      <c r="AZ2" s="55" t="s">
        <v>46</v>
      </c>
      <c r="BA2" s="55" t="s">
        <v>48</v>
      </c>
      <c r="BB2" s="55" t="s">
        <v>51</v>
      </c>
      <c r="BC2" s="55" t="s">
        <v>53</v>
      </c>
      <c r="BD2" s="55" t="s">
        <v>55</v>
      </c>
      <c r="BE2" s="53" t="s">
        <v>133</v>
      </c>
      <c r="BF2" s="53" t="s">
        <v>133</v>
      </c>
      <c r="BG2" s="56" t="s">
        <v>134</v>
      </c>
      <c r="BH2" s="56" t="s">
        <v>135</v>
      </c>
      <c r="BI2" s="56" t="s">
        <v>136</v>
      </c>
      <c r="BJ2" s="56" t="s">
        <v>137</v>
      </c>
      <c r="BK2" s="56" t="s">
        <v>138</v>
      </c>
      <c r="BL2" s="56" t="s">
        <v>139</v>
      </c>
    </row>
    <row r="3" spans="1:116" hidden="1" x14ac:dyDescent="0.2">
      <c r="A3" s="57">
        <v>26665</v>
      </c>
      <c r="B3" s="58"/>
      <c r="C3" s="59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59"/>
      <c r="P3" s="61"/>
      <c r="Q3" s="62"/>
      <c r="R3" s="62"/>
      <c r="S3" s="62"/>
      <c r="T3" s="62"/>
      <c r="U3" s="62"/>
      <c r="V3" s="62"/>
      <c r="W3" s="62"/>
      <c r="X3" s="62"/>
      <c r="Y3" s="61"/>
      <c r="Z3" s="63"/>
      <c r="AA3" s="64" t="e">
        <v>#N/A</v>
      </c>
      <c r="AB3" s="62" t="e">
        <v>#N/A</v>
      </c>
      <c r="AC3" s="62" t="e">
        <v>#N/A</v>
      </c>
      <c r="AD3" s="62" t="e">
        <v>#N/A</v>
      </c>
      <c r="AE3" s="62" t="e">
        <v>#N/A</v>
      </c>
      <c r="AF3" s="62" t="e">
        <v>#N/A</v>
      </c>
      <c r="AG3" s="62" t="e">
        <v>#N/A</v>
      </c>
      <c r="AH3" s="62" t="e">
        <v>#N/A</v>
      </c>
      <c r="AI3" s="62" t="e">
        <v>#N/A</v>
      </c>
      <c r="AJ3" s="62" t="e">
        <v>#N/A</v>
      </c>
      <c r="AK3" s="64" t="e">
        <v>#N/A</v>
      </c>
      <c r="AL3" s="19">
        <v>93862</v>
      </c>
      <c r="AM3" s="19">
        <v>128286</v>
      </c>
      <c r="AN3" s="23">
        <v>11289</v>
      </c>
      <c r="AO3" s="19">
        <v>130993</v>
      </c>
      <c r="AP3" s="19">
        <v>332</v>
      </c>
      <c r="AQ3" s="62"/>
      <c r="AR3" s="63"/>
      <c r="AS3" s="63"/>
      <c r="AT3" s="65">
        <f t="shared" ref="AT3:AT66" si="0">AO3*42/1000</f>
        <v>5501.7060000000001</v>
      </c>
      <c r="AU3" s="65">
        <f t="shared" ref="AU3:AU66" si="1">AN3*42/1000</f>
        <v>474.13799999999998</v>
      </c>
      <c r="AV3" s="65">
        <f t="shared" ref="AV3:AV66" si="2">AP3*42/1000</f>
        <v>13.944000000000001</v>
      </c>
      <c r="AW3" s="65">
        <f>AL3*42/1000</f>
        <v>3942.2040000000002</v>
      </c>
      <c r="AX3" s="65">
        <f t="shared" ref="AX3:AX66" si="3">AM3*42/1000</f>
        <v>5388.0119999999997</v>
      </c>
      <c r="AY3" s="65">
        <f>AP3*42/1000</f>
        <v>13.944000000000001</v>
      </c>
      <c r="AZ3" s="62"/>
      <c r="BA3" s="62"/>
      <c r="BB3" s="19">
        <v>18861</v>
      </c>
      <c r="BC3" s="62"/>
      <c r="BD3" s="62"/>
      <c r="BE3" s="62"/>
      <c r="BF3" s="62"/>
      <c r="BG3" s="62"/>
      <c r="BH3" s="62"/>
      <c r="BI3" s="62"/>
      <c r="BJ3" s="62"/>
      <c r="BK3" s="62"/>
      <c r="BL3" s="62"/>
      <c r="BM3" s="62"/>
      <c r="BN3" s="62"/>
      <c r="BO3" s="62"/>
      <c r="BP3" s="62"/>
      <c r="BQ3" s="62"/>
      <c r="BR3" s="62"/>
      <c r="BS3" s="62"/>
      <c r="BT3" s="62"/>
      <c r="BU3" s="62"/>
      <c r="BV3" s="62"/>
      <c r="BW3" s="62"/>
      <c r="BX3" s="62"/>
      <c r="BY3" s="62"/>
      <c r="BZ3" s="62"/>
      <c r="CA3" s="62"/>
      <c r="CB3" s="62"/>
      <c r="CC3" s="62"/>
      <c r="CD3" s="62"/>
      <c r="CE3" s="62"/>
      <c r="CF3" s="62"/>
      <c r="CG3" s="62"/>
      <c r="CH3" s="62"/>
      <c r="CI3" s="62"/>
      <c r="CJ3" s="62"/>
      <c r="CK3" s="62"/>
      <c r="CL3" s="62"/>
      <c r="CM3" s="62"/>
      <c r="CN3" s="62"/>
      <c r="CO3" s="62"/>
      <c r="CP3" s="62"/>
      <c r="CQ3" s="62"/>
      <c r="CR3" s="62"/>
      <c r="CS3" s="62"/>
      <c r="CT3" s="62"/>
      <c r="CU3" s="62"/>
      <c r="CV3" s="62"/>
      <c r="CW3" s="62"/>
      <c r="CX3" s="62"/>
      <c r="CY3" s="62"/>
      <c r="CZ3" s="62"/>
      <c r="DA3" s="62"/>
      <c r="DB3" s="62"/>
      <c r="DC3" s="62"/>
      <c r="DD3" s="62"/>
      <c r="DE3" s="62"/>
      <c r="DF3" s="62"/>
      <c r="DG3" s="62"/>
      <c r="DH3" s="62"/>
      <c r="DI3" s="62"/>
      <c r="DJ3" s="62"/>
      <c r="DK3" s="62"/>
      <c r="DL3" s="62"/>
    </row>
    <row r="4" spans="1:116" hidden="1" x14ac:dyDescent="0.2">
      <c r="A4" s="57">
        <v>26696</v>
      </c>
      <c r="B4" s="58"/>
      <c r="C4" s="59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59"/>
      <c r="P4" s="61"/>
      <c r="Q4" s="62"/>
      <c r="R4" s="62"/>
      <c r="S4" s="62"/>
      <c r="T4" s="62"/>
      <c r="U4" s="62"/>
      <c r="V4" s="62"/>
      <c r="W4" s="62"/>
      <c r="X4" s="62"/>
      <c r="Y4" s="61"/>
      <c r="Z4" s="63"/>
      <c r="AA4" s="64" t="e">
        <v>#N/A</v>
      </c>
      <c r="AB4" s="62" t="e">
        <v>#N/A</v>
      </c>
      <c r="AC4" s="62" t="e">
        <v>#N/A</v>
      </c>
      <c r="AD4" s="62" t="e">
        <v>#N/A</v>
      </c>
      <c r="AE4" s="62" t="e">
        <v>#N/A</v>
      </c>
      <c r="AF4" s="62" t="e">
        <v>#N/A</v>
      </c>
      <c r="AG4" s="62" t="e">
        <v>#N/A</v>
      </c>
      <c r="AH4" s="62" t="e">
        <v>#N/A</v>
      </c>
      <c r="AI4" s="62" t="e">
        <v>#N/A</v>
      </c>
      <c r="AJ4" s="62" t="e">
        <v>#N/A</v>
      </c>
      <c r="AK4" s="64" t="e">
        <v>#N/A</v>
      </c>
      <c r="AL4" s="19">
        <v>82242</v>
      </c>
      <c r="AM4" s="19">
        <v>120447</v>
      </c>
      <c r="AN4" s="23">
        <v>20474</v>
      </c>
      <c r="AO4" s="19">
        <v>113310</v>
      </c>
      <c r="AP4" s="19">
        <v>67</v>
      </c>
      <c r="AQ4" s="62"/>
      <c r="AR4" s="63"/>
      <c r="AS4" s="63"/>
      <c r="AT4" s="65">
        <f t="shared" si="0"/>
        <v>4759.0200000000004</v>
      </c>
      <c r="AU4" s="65">
        <f t="shared" si="1"/>
        <v>859.90800000000002</v>
      </c>
      <c r="AV4" s="65">
        <f t="shared" si="2"/>
        <v>2.8140000000000001</v>
      </c>
      <c r="AW4" s="65">
        <f t="shared" ref="AW4:AX70" si="4">AL4*42/1000</f>
        <v>3454.1640000000002</v>
      </c>
      <c r="AX4" s="65">
        <f t="shared" si="3"/>
        <v>5058.7740000000003</v>
      </c>
      <c r="AY4" s="65">
        <f t="shared" ref="AY4:AY67" si="5">AP4*42/1000</f>
        <v>2.8140000000000001</v>
      </c>
      <c r="AZ4" s="62"/>
      <c r="BA4" s="62"/>
      <c r="BB4" s="19">
        <v>19951</v>
      </c>
      <c r="BC4" s="62"/>
      <c r="BD4" s="62"/>
      <c r="BE4" s="62"/>
      <c r="BF4" s="62"/>
      <c r="BG4" s="62"/>
      <c r="BH4" s="62"/>
      <c r="BI4" s="62"/>
      <c r="BJ4" s="62"/>
      <c r="BK4" s="62"/>
      <c r="BL4" s="62"/>
      <c r="BM4" s="62"/>
      <c r="BN4" s="62"/>
      <c r="BO4" s="62"/>
      <c r="BP4" s="62"/>
      <c r="BQ4" s="62"/>
      <c r="BR4" s="62"/>
      <c r="BS4" s="62"/>
      <c r="BT4" s="62"/>
      <c r="BU4" s="62"/>
      <c r="BV4" s="62"/>
      <c r="BW4" s="62"/>
      <c r="BX4" s="62"/>
      <c r="BY4" s="62"/>
      <c r="BZ4" s="62"/>
      <c r="CA4" s="62"/>
      <c r="CB4" s="62"/>
      <c r="CC4" s="62"/>
      <c r="CD4" s="62"/>
      <c r="CE4" s="62"/>
      <c r="CF4" s="62"/>
      <c r="CG4" s="62"/>
      <c r="CH4" s="62"/>
      <c r="CI4" s="62"/>
      <c r="CJ4" s="62"/>
      <c r="CK4" s="62"/>
      <c r="CL4" s="62"/>
      <c r="CM4" s="62"/>
      <c r="CN4" s="62"/>
      <c r="CO4" s="62"/>
      <c r="CP4" s="62"/>
      <c r="CQ4" s="62"/>
      <c r="CR4" s="62"/>
      <c r="CS4" s="62"/>
      <c r="CT4" s="62"/>
      <c r="CU4" s="62"/>
      <c r="CV4" s="62"/>
      <c r="CW4" s="62"/>
      <c r="CX4" s="62"/>
      <c r="CY4" s="62"/>
      <c r="CZ4" s="62"/>
      <c r="DA4" s="62"/>
      <c r="DB4" s="62"/>
      <c r="DC4" s="62"/>
      <c r="DD4" s="62"/>
      <c r="DE4" s="62"/>
      <c r="DF4" s="62"/>
      <c r="DG4" s="62"/>
      <c r="DH4" s="62"/>
      <c r="DI4" s="62"/>
      <c r="DJ4" s="62"/>
      <c r="DK4" s="62"/>
      <c r="DL4" s="62"/>
    </row>
    <row r="5" spans="1:116" hidden="1" x14ac:dyDescent="0.2">
      <c r="A5" s="57">
        <v>26724</v>
      </c>
      <c r="B5" s="58"/>
      <c r="C5" s="59"/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59"/>
      <c r="P5" s="61"/>
      <c r="Q5" s="62"/>
      <c r="R5" s="62"/>
      <c r="S5" s="62"/>
      <c r="T5" s="62"/>
      <c r="U5" s="62"/>
      <c r="V5" s="62"/>
      <c r="W5" s="62"/>
      <c r="X5" s="62"/>
      <c r="Y5" s="61"/>
      <c r="Z5" s="63"/>
      <c r="AA5" s="64" t="e">
        <v>#N/A</v>
      </c>
      <c r="AB5" s="62" t="e">
        <v>#N/A</v>
      </c>
      <c r="AC5" s="62" t="e">
        <v>#N/A</v>
      </c>
      <c r="AD5" s="62" t="e">
        <v>#N/A</v>
      </c>
      <c r="AE5" s="62" t="e">
        <v>#N/A</v>
      </c>
      <c r="AF5" s="62" t="e">
        <v>#N/A</v>
      </c>
      <c r="AG5" s="62" t="e">
        <v>#N/A</v>
      </c>
      <c r="AH5" s="62" t="e">
        <v>#N/A</v>
      </c>
      <c r="AI5" s="62" t="e">
        <v>#N/A</v>
      </c>
      <c r="AJ5" s="62" t="e">
        <v>#N/A</v>
      </c>
      <c r="AK5" s="64" t="e">
        <v>#N/A</v>
      </c>
      <c r="AL5" s="19">
        <v>82679</v>
      </c>
      <c r="AM5" s="19">
        <v>103451</v>
      </c>
      <c r="AN5" s="23">
        <v>18672</v>
      </c>
      <c r="AO5" s="19">
        <v>111299</v>
      </c>
      <c r="AP5" s="19">
        <v>72</v>
      </c>
      <c r="AQ5" s="62"/>
      <c r="AR5" s="63"/>
      <c r="AS5" s="63"/>
      <c r="AT5" s="65">
        <f t="shared" si="0"/>
        <v>4674.558</v>
      </c>
      <c r="AU5" s="65">
        <f t="shared" si="1"/>
        <v>784.22400000000005</v>
      </c>
      <c r="AV5" s="65">
        <f t="shared" si="2"/>
        <v>3.024</v>
      </c>
      <c r="AW5" s="65">
        <f t="shared" si="4"/>
        <v>3472.518</v>
      </c>
      <c r="AX5" s="65">
        <f t="shared" si="3"/>
        <v>4344.942</v>
      </c>
      <c r="AY5" s="65">
        <f t="shared" si="5"/>
        <v>3.024</v>
      </c>
      <c r="AZ5" s="62"/>
      <c r="BA5" s="62"/>
      <c r="BB5" s="19">
        <v>21686</v>
      </c>
      <c r="BC5" s="62"/>
      <c r="BD5" s="62"/>
      <c r="BE5" s="62"/>
      <c r="BF5" s="62"/>
      <c r="BG5" s="62"/>
      <c r="BH5" s="62"/>
      <c r="BI5" s="62"/>
      <c r="BJ5" s="62"/>
      <c r="BK5" s="62"/>
      <c r="BL5" s="62"/>
      <c r="BM5" s="62"/>
      <c r="BN5" s="62"/>
      <c r="BO5" s="62"/>
      <c r="BP5" s="62"/>
      <c r="BQ5" s="62"/>
      <c r="BR5" s="62"/>
      <c r="BS5" s="62"/>
      <c r="BT5" s="62"/>
      <c r="BU5" s="62"/>
      <c r="BV5" s="62"/>
      <c r="BW5" s="62"/>
      <c r="BX5" s="62"/>
      <c r="BY5" s="62"/>
      <c r="BZ5" s="62"/>
      <c r="CA5" s="62"/>
      <c r="CB5" s="62"/>
      <c r="CC5" s="62"/>
      <c r="CD5" s="62"/>
      <c r="CE5" s="62"/>
      <c r="CF5" s="62"/>
      <c r="CG5" s="62"/>
      <c r="CH5" s="62"/>
      <c r="CI5" s="62"/>
      <c r="CJ5" s="62"/>
      <c r="CK5" s="62"/>
      <c r="CL5" s="62"/>
      <c r="CM5" s="62"/>
      <c r="CN5" s="62"/>
      <c r="CO5" s="62"/>
      <c r="CP5" s="62"/>
      <c r="CQ5" s="62"/>
      <c r="CR5" s="62"/>
      <c r="CS5" s="62"/>
      <c r="CT5" s="62"/>
      <c r="CU5" s="62"/>
      <c r="CV5" s="62"/>
      <c r="CW5" s="62"/>
      <c r="CX5" s="62"/>
      <c r="CY5" s="62"/>
      <c r="CZ5" s="62"/>
      <c r="DA5" s="62"/>
      <c r="DB5" s="62"/>
      <c r="DC5" s="62"/>
      <c r="DD5" s="62"/>
      <c r="DE5" s="62"/>
      <c r="DF5" s="62"/>
      <c r="DG5" s="62"/>
      <c r="DH5" s="62"/>
      <c r="DI5" s="62"/>
      <c r="DJ5" s="62"/>
      <c r="DK5" s="62"/>
      <c r="DL5" s="62"/>
    </row>
    <row r="6" spans="1:116" hidden="1" x14ac:dyDescent="0.2">
      <c r="A6" s="57">
        <v>26755</v>
      </c>
      <c r="B6" s="58"/>
      <c r="C6" s="59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59"/>
      <c r="P6" s="61"/>
      <c r="Q6" s="62"/>
      <c r="R6" s="62"/>
      <c r="S6" s="62"/>
      <c r="T6" s="62"/>
      <c r="U6" s="62"/>
      <c r="V6" s="62"/>
      <c r="W6" s="62"/>
      <c r="X6" s="62"/>
      <c r="Y6" s="61"/>
      <c r="Z6" s="63"/>
      <c r="AA6" s="64" t="e">
        <v>#N/A</v>
      </c>
      <c r="AB6" s="62" t="e">
        <v>#N/A</v>
      </c>
      <c r="AC6" s="62" t="e">
        <v>#N/A</v>
      </c>
      <c r="AD6" s="62" t="e">
        <v>#N/A</v>
      </c>
      <c r="AE6" s="62" t="e">
        <v>#N/A</v>
      </c>
      <c r="AF6" s="62" t="e">
        <v>#N/A</v>
      </c>
      <c r="AG6" s="62" t="e">
        <v>#N/A</v>
      </c>
      <c r="AH6" s="62" t="e">
        <v>#N/A</v>
      </c>
      <c r="AI6" s="62" t="e">
        <v>#N/A</v>
      </c>
      <c r="AJ6" s="62" t="e">
        <v>#N/A</v>
      </c>
      <c r="AK6" s="64" t="e">
        <v>#N/A</v>
      </c>
      <c r="AL6" s="19">
        <v>75306</v>
      </c>
      <c r="AM6" s="19">
        <v>79037</v>
      </c>
      <c r="AN6" s="23">
        <v>7207</v>
      </c>
      <c r="AO6" s="19">
        <v>114723</v>
      </c>
      <c r="AP6" s="19">
        <v>197</v>
      </c>
      <c r="AQ6" s="62"/>
      <c r="AR6" s="63"/>
      <c r="AS6" s="63"/>
      <c r="AT6" s="65">
        <f t="shared" si="0"/>
        <v>4818.366</v>
      </c>
      <c r="AU6" s="65">
        <f t="shared" si="1"/>
        <v>302.69400000000002</v>
      </c>
      <c r="AV6" s="65">
        <f t="shared" si="2"/>
        <v>8.2739999999999991</v>
      </c>
      <c r="AW6" s="65">
        <f t="shared" si="4"/>
        <v>3162.8519999999999</v>
      </c>
      <c r="AX6" s="65">
        <f t="shared" si="3"/>
        <v>3319.5540000000001</v>
      </c>
      <c r="AY6" s="65">
        <f t="shared" si="5"/>
        <v>8.2739999999999991</v>
      </c>
      <c r="AZ6" s="62"/>
      <c r="BA6" s="62"/>
      <c r="BB6" s="19">
        <v>22672</v>
      </c>
      <c r="BC6" s="62"/>
      <c r="BD6" s="62"/>
      <c r="BE6" s="62"/>
      <c r="BF6" s="62"/>
      <c r="BG6" s="62"/>
      <c r="BH6" s="62"/>
      <c r="BI6" s="62"/>
      <c r="BJ6" s="62"/>
      <c r="BK6" s="62"/>
      <c r="BL6" s="62"/>
      <c r="BM6" s="62"/>
      <c r="BN6" s="62"/>
      <c r="BO6" s="62"/>
      <c r="BP6" s="62"/>
      <c r="BQ6" s="62"/>
      <c r="BR6" s="62"/>
      <c r="BS6" s="62"/>
      <c r="BT6" s="62"/>
      <c r="BU6" s="62"/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/>
      <c r="CP6" s="62"/>
      <c r="CQ6" s="62"/>
      <c r="CR6" s="62"/>
      <c r="CS6" s="62"/>
      <c r="CT6" s="62"/>
      <c r="CU6" s="62"/>
      <c r="CV6" s="62"/>
      <c r="CW6" s="62"/>
      <c r="CX6" s="62"/>
      <c r="CY6" s="62"/>
      <c r="CZ6" s="62"/>
      <c r="DA6" s="62"/>
      <c r="DB6" s="62"/>
      <c r="DC6" s="62"/>
      <c r="DD6" s="62"/>
      <c r="DE6" s="62"/>
      <c r="DF6" s="62"/>
      <c r="DG6" s="62"/>
      <c r="DH6" s="62"/>
      <c r="DI6" s="62"/>
      <c r="DJ6" s="62"/>
      <c r="DK6" s="62"/>
      <c r="DL6" s="62"/>
    </row>
    <row r="7" spans="1:116" hidden="1" x14ac:dyDescent="0.2">
      <c r="A7" s="57">
        <v>26785</v>
      </c>
      <c r="B7" s="58"/>
      <c r="C7" s="59"/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59"/>
      <c r="P7" s="61"/>
      <c r="Q7" s="62"/>
      <c r="R7" s="62"/>
      <c r="S7" s="62"/>
      <c r="T7" s="62"/>
      <c r="U7" s="62"/>
      <c r="V7" s="62"/>
      <c r="W7" s="62"/>
      <c r="X7" s="62"/>
      <c r="Y7" s="61"/>
      <c r="Z7" s="63"/>
      <c r="AA7" s="64" t="e">
        <v>#N/A</v>
      </c>
      <c r="AB7" s="62" t="e">
        <v>#N/A</v>
      </c>
      <c r="AC7" s="62" t="e">
        <v>#N/A</v>
      </c>
      <c r="AD7" s="62" t="e">
        <v>#N/A</v>
      </c>
      <c r="AE7" s="62" t="e">
        <v>#N/A</v>
      </c>
      <c r="AF7" s="62" t="e">
        <v>#N/A</v>
      </c>
      <c r="AG7" s="62" t="e">
        <v>#N/A</v>
      </c>
      <c r="AH7" s="62" t="e">
        <v>#N/A</v>
      </c>
      <c r="AI7" s="62" t="e">
        <v>#N/A</v>
      </c>
      <c r="AJ7" s="62" t="e">
        <v>#N/A</v>
      </c>
      <c r="AK7" s="64" t="e">
        <v>#N/A</v>
      </c>
      <c r="AL7" s="19">
        <v>78860</v>
      </c>
      <c r="AM7" s="19">
        <v>82851</v>
      </c>
      <c r="AN7" s="23">
        <v>8301</v>
      </c>
      <c r="AO7" s="19">
        <v>119131</v>
      </c>
      <c r="AP7" s="19">
        <v>54</v>
      </c>
      <c r="AQ7" s="62"/>
      <c r="AR7" s="63"/>
      <c r="AS7" s="63"/>
      <c r="AT7" s="65">
        <f t="shared" si="0"/>
        <v>5003.5020000000004</v>
      </c>
      <c r="AU7" s="65">
        <f t="shared" si="1"/>
        <v>348.642</v>
      </c>
      <c r="AV7" s="65">
        <f t="shared" si="2"/>
        <v>2.2679999999999998</v>
      </c>
      <c r="AW7" s="65">
        <f t="shared" si="4"/>
        <v>3312.12</v>
      </c>
      <c r="AX7" s="65">
        <f t="shared" si="3"/>
        <v>3479.7420000000002</v>
      </c>
      <c r="AY7" s="65">
        <f t="shared" si="5"/>
        <v>2.2679999999999998</v>
      </c>
      <c r="AZ7" s="62"/>
      <c r="BA7" s="62"/>
      <c r="BB7" s="19">
        <v>20770</v>
      </c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</row>
    <row r="8" spans="1:116" hidden="1" x14ac:dyDescent="0.2">
      <c r="A8" s="57">
        <v>26816</v>
      </c>
      <c r="B8" s="58"/>
      <c r="C8" s="59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59"/>
      <c r="P8" s="61"/>
      <c r="Q8" s="62"/>
      <c r="R8" s="62"/>
      <c r="S8" s="62"/>
      <c r="T8" s="62"/>
      <c r="U8" s="62"/>
      <c r="V8" s="62"/>
      <c r="W8" s="62"/>
      <c r="X8" s="62"/>
      <c r="Y8" s="61"/>
      <c r="Z8" s="63"/>
      <c r="AA8" s="64" t="e">
        <v>#N/A</v>
      </c>
      <c r="AB8" s="62" t="e">
        <v>#N/A</v>
      </c>
      <c r="AC8" s="62" t="e">
        <v>#N/A</v>
      </c>
      <c r="AD8" s="62" t="e">
        <v>#N/A</v>
      </c>
      <c r="AE8" s="62" t="e">
        <v>#N/A</v>
      </c>
      <c r="AF8" s="62" t="e">
        <v>#N/A</v>
      </c>
      <c r="AG8" s="62" t="e">
        <v>#N/A</v>
      </c>
      <c r="AH8" s="62" t="e">
        <v>#N/A</v>
      </c>
      <c r="AI8" s="62" t="e">
        <v>#N/A</v>
      </c>
      <c r="AJ8" s="62" t="e">
        <v>#N/A</v>
      </c>
      <c r="AK8" s="64" t="e">
        <v>#N/A</v>
      </c>
      <c r="AL8" s="19">
        <v>84759</v>
      </c>
      <c r="AM8" s="19">
        <v>72560</v>
      </c>
      <c r="AN8" s="23">
        <v>6660</v>
      </c>
      <c r="AO8" s="19">
        <v>137869</v>
      </c>
      <c r="AP8" s="19">
        <v>253</v>
      </c>
      <c r="AQ8" s="62"/>
      <c r="AR8" s="63"/>
      <c r="AS8" s="63"/>
      <c r="AT8" s="65">
        <f t="shared" si="0"/>
        <v>5790.4979999999996</v>
      </c>
      <c r="AU8" s="65">
        <f t="shared" si="1"/>
        <v>279.72000000000003</v>
      </c>
      <c r="AV8" s="65">
        <f t="shared" si="2"/>
        <v>10.625999999999999</v>
      </c>
      <c r="AW8" s="65">
        <f t="shared" si="4"/>
        <v>3559.8780000000002</v>
      </c>
      <c r="AX8" s="65">
        <f t="shared" si="3"/>
        <v>3047.52</v>
      </c>
      <c r="AY8" s="65">
        <f t="shared" si="5"/>
        <v>10.625999999999999</v>
      </c>
      <c r="AZ8" s="62"/>
      <c r="BA8" s="62"/>
      <c r="BB8" s="19">
        <v>20844</v>
      </c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</row>
    <row r="9" spans="1:116" hidden="1" x14ac:dyDescent="0.2">
      <c r="A9" s="57">
        <v>26846</v>
      </c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59"/>
      <c r="P9" s="61"/>
      <c r="Q9" s="62"/>
      <c r="R9" s="62"/>
      <c r="S9" s="62"/>
      <c r="T9" s="62"/>
      <c r="U9" s="62"/>
      <c r="V9" s="62"/>
      <c r="W9" s="62"/>
      <c r="X9" s="62"/>
      <c r="Y9" s="61"/>
      <c r="Z9" s="63"/>
      <c r="AA9" s="64" t="e">
        <v>#N/A</v>
      </c>
      <c r="AB9" s="62" t="e">
        <v>#N/A</v>
      </c>
      <c r="AC9" s="62" t="e">
        <v>#N/A</v>
      </c>
      <c r="AD9" s="62" t="e">
        <v>#N/A</v>
      </c>
      <c r="AE9" s="62" t="e">
        <v>#N/A</v>
      </c>
      <c r="AF9" s="62" t="e">
        <v>#N/A</v>
      </c>
      <c r="AG9" s="62" t="e">
        <v>#N/A</v>
      </c>
      <c r="AH9" s="62" t="e">
        <v>#N/A</v>
      </c>
      <c r="AI9" s="62" t="e">
        <v>#N/A</v>
      </c>
      <c r="AJ9" s="62" t="e">
        <v>#N/A</v>
      </c>
      <c r="AK9" s="64" t="e">
        <v>#N/A</v>
      </c>
      <c r="AL9" s="19">
        <v>85299</v>
      </c>
      <c r="AM9" s="19">
        <v>72175</v>
      </c>
      <c r="AN9" s="23">
        <v>9870</v>
      </c>
      <c r="AO9" s="19">
        <v>160901</v>
      </c>
      <c r="AP9" s="19">
        <v>105</v>
      </c>
      <c r="AQ9" s="62"/>
      <c r="AR9" s="63"/>
      <c r="AS9" s="63"/>
      <c r="AT9" s="65">
        <f t="shared" si="0"/>
        <v>6757.8419999999996</v>
      </c>
      <c r="AU9" s="65">
        <f t="shared" si="1"/>
        <v>414.54</v>
      </c>
      <c r="AV9" s="65">
        <f t="shared" si="2"/>
        <v>4.41</v>
      </c>
      <c r="AW9" s="65">
        <f t="shared" si="4"/>
        <v>3582.558</v>
      </c>
      <c r="AX9" s="65">
        <f t="shared" si="3"/>
        <v>3031.35</v>
      </c>
      <c r="AY9" s="65">
        <f t="shared" si="5"/>
        <v>4.41</v>
      </c>
      <c r="AZ9" s="62"/>
      <c r="BA9" s="62"/>
      <c r="BB9" s="19">
        <v>21381</v>
      </c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</row>
    <row r="10" spans="1:116" hidden="1" x14ac:dyDescent="0.2">
      <c r="A10" s="57">
        <v>26877</v>
      </c>
      <c r="B10" s="58"/>
      <c r="C10" s="59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59"/>
      <c r="P10" s="61"/>
      <c r="Q10" s="62"/>
      <c r="R10" s="62"/>
      <c r="S10" s="62"/>
      <c r="T10" s="62"/>
      <c r="U10" s="62"/>
      <c r="V10" s="62"/>
      <c r="W10" s="62"/>
      <c r="X10" s="62"/>
      <c r="Y10" s="61"/>
      <c r="Z10" s="63"/>
      <c r="AA10" s="64" t="e">
        <v>#N/A</v>
      </c>
      <c r="AB10" s="62" t="e">
        <v>#N/A</v>
      </c>
      <c r="AC10" s="62" t="e">
        <v>#N/A</v>
      </c>
      <c r="AD10" s="62" t="e">
        <v>#N/A</v>
      </c>
      <c r="AE10" s="62" t="e">
        <v>#N/A</v>
      </c>
      <c r="AF10" s="62" t="e">
        <v>#N/A</v>
      </c>
      <c r="AG10" s="62" t="e">
        <v>#N/A</v>
      </c>
      <c r="AH10" s="62" t="e">
        <v>#N/A</v>
      </c>
      <c r="AI10" s="62" t="e">
        <v>#N/A</v>
      </c>
      <c r="AJ10" s="62" t="e">
        <v>#N/A</v>
      </c>
      <c r="AK10" s="64" t="e">
        <v>#N/A</v>
      </c>
      <c r="AL10" s="19">
        <v>86840</v>
      </c>
      <c r="AM10" s="19">
        <v>79208</v>
      </c>
      <c r="AN10" s="23">
        <v>8915</v>
      </c>
      <c r="AO10" s="19">
        <v>177304</v>
      </c>
      <c r="AP10" s="19">
        <v>264</v>
      </c>
      <c r="AQ10" s="62"/>
      <c r="AR10" s="63"/>
      <c r="AS10" s="63"/>
      <c r="AT10" s="65">
        <f t="shared" si="0"/>
        <v>7446.768</v>
      </c>
      <c r="AU10" s="65">
        <f t="shared" si="1"/>
        <v>374.43</v>
      </c>
      <c r="AV10" s="65">
        <f t="shared" si="2"/>
        <v>11.087999999999999</v>
      </c>
      <c r="AW10" s="65">
        <f t="shared" si="4"/>
        <v>3647.28</v>
      </c>
      <c r="AX10" s="65">
        <f t="shared" si="3"/>
        <v>3326.7359999999999</v>
      </c>
      <c r="AY10" s="65">
        <f t="shared" si="5"/>
        <v>11.087999999999999</v>
      </c>
      <c r="AZ10" s="62"/>
      <c r="BA10" s="62"/>
      <c r="BB10" s="19">
        <v>20583</v>
      </c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</row>
    <row r="11" spans="1:116" hidden="1" x14ac:dyDescent="0.2">
      <c r="A11" s="57">
        <v>26908</v>
      </c>
      <c r="B11" s="58"/>
      <c r="C11" s="59"/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59"/>
      <c r="P11" s="61"/>
      <c r="Q11" s="62"/>
      <c r="R11" s="62"/>
      <c r="S11" s="62"/>
      <c r="T11" s="62"/>
      <c r="U11" s="62"/>
      <c r="V11" s="62"/>
      <c r="W11" s="62"/>
      <c r="X11" s="62"/>
      <c r="Y11" s="61"/>
      <c r="Z11" s="63"/>
      <c r="AA11" s="64" t="e">
        <v>#N/A</v>
      </c>
      <c r="AB11" s="62" t="e">
        <v>#N/A</v>
      </c>
      <c r="AC11" s="62" t="e">
        <v>#N/A</v>
      </c>
      <c r="AD11" s="62" t="e">
        <v>#N/A</v>
      </c>
      <c r="AE11" s="62" t="e">
        <v>#N/A</v>
      </c>
      <c r="AF11" s="62" t="e">
        <v>#N/A</v>
      </c>
      <c r="AG11" s="62" t="e">
        <v>#N/A</v>
      </c>
      <c r="AH11" s="62" t="e">
        <v>#N/A</v>
      </c>
      <c r="AI11" s="62" t="e">
        <v>#N/A</v>
      </c>
      <c r="AJ11" s="62" t="e">
        <v>#N/A</v>
      </c>
      <c r="AK11" s="64" t="e">
        <v>#N/A</v>
      </c>
      <c r="AL11" s="19">
        <v>84379</v>
      </c>
      <c r="AM11" s="19">
        <v>80241</v>
      </c>
      <c r="AN11" s="23">
        <v>9399</v>
      </c>
      <c r="AO11" s="19">
        <v>190209</v>
      </c>
      <c r="AP11" s="19">
        <v>761</v>
      </c>
      <c r="AQ11" s="62"/>
      <c r="AR11" s="63"/>
      <c r="AS11" s="63"/>
      <c r="AT11" s="65">
        <f t="shared" si="0"/>
        <v>7988.7780000000002</v>
      </c>
      <c r="AU11" s="65">
        <f t="shared" si="1"/>
        <v>394.75799999999998</v>
      </c>
      <c r="AV11" s="65">
        <f t="shared" si="2"/>
        <v>31.962</v>
      </c>
      <c r="AW11" s="65">
        <f t="shared" si="4"/>
        <v>3543.9180000000001</v>
      </c>
      <c r="AX11" s="65">
        <f t="shared" si="3"/>
        <v>3370.1219999999998</v>
      </c>
      <c r="AY11" s="65">
        <f t="shared" si="5"/>
        <v>31.962</v>
      </c>
      <c r="AZ11" s="62"/>
      <c r="BA11" s="62"/>
      <c r="BB11" s="19">
        <v>20497</v>
      </c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</row>
    <row r="12" spans="1:116" hidden="1" x14ac:dyDescent="0.2">
      <c r="A12" s="57">
        <v>26938</v>
      </c>
      <c r="B12" s="58"/>
      <c r="C12" s="59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59"/>
      <c r="P12" s="61"/>
      <c r="Q12" s="62"/>
      <c r="R12" s="62"/>
      <c r="S12" s="62"/>
      <c r="T12" s="62"/>
      <c r="U12" s="62"/>
      <c r="V12" s="62"/>
      <c r="W12" s="62"/>
      <c r="X12" s="62"/>
      <c r="Y12" s="61"/>
      <c r="Z12" s="63"/>
      <c r="AA12" s="64" t="e">
        <v>#N/A</v>
      </c>
      <c r="AB12" s="62" t="e">
        <v>#N/A</v>
      </c>
      <c r="AC12" s="62" t="e">
        <v>#N/A</v>
      </c>
      <c r="AD12" s="62" t="e">
        <v>#N/A</v>
      </c>
      <c r="AE12" s="62" t="e">
        <v>#N/A</v>
      </c>
      <c r="AF12" s="62" t="e">
        <v>#N/A</v>
      </c>
      <c r="AG12" s="62" t="e">
        <v>#N/A</v>
      </c>
      <c r="AH12" s="62" t="e">
        <v>#N/A</v>
      </c>
      <c r="AI12" s="62" t="e">
        <v>#N/A</v>
      </c>
      <c r="AJ12" s="62" t="e">
        <v>#N/A</v>
      </c>
      <c r="AK12" s="64" t="e">
        <v>#N/A</v>
      </c>
      <c r="AL12" s="19">
        <v>90230</v>
      </c>
      <c r="AM12" s="19">
        <v>90834</v>
      </c>
      <c r="AN12" s="23">
        <v>13978</v>
      </c>
      <c r="AO12" s="19">
        <v>203000</v>
      </c>
      <c r="AP12" s="19">
        <v>721</v>
      </c>
      <c r="AQ12" s="62"/>
      <c r="AR12" s="63"/>
      <c r="AS12" s="63"/>
      <c r="AT12" s="65">
        <f t="shared" si="0"/>
        <v>8526</v>
      </c>
      <c r="AU12" s="65">
        <f t="shared" si="1"/>
        <v>587.07600000000002</v>
      </c>
      <c r="AV12" s="65">
        <f t="shared" si="2"/>
        <v>30.282</v>
      </c>
      <c r="AW12" s="65">
        <f t="shared" si="4"/>
        <v>3789.66</v>
      </c>
      <c r="AX12" s="65">
        <f t="shared" si="3"/>
        <v>3815.0279999999998</v>
      </c>
      <c r="AY12" s="65">
        <f t="shared" si="5"/>
        <v>30.282</v>
      </c>
      <c r="AZ12" s="62"/>
      <c r="BA12" s="62"/>
      <c r="BB12" s="19">
        <v>21335</v>
      </c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</row>
    <row r="13" spans="1:116" hidden="1" x14ac:dyDescent="0.2">
      <c r="A13" s="57">
        <v>26969</v>
      </c>
      <c r="B13" s="58"/>
      <c r="C13" s="59"/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59"/>
      <c r="P13" s="61"/>
      <c r="Q13" s="62"/>
      <c r="R13" s="62"/>
      <c r="S13" s="62"/>
      <c r="T13" s="62"/>
      <c r="U13" s="62"/>
      <c r="V13" s="62"/>
      <c r="W13" s="62"/>
      <c r="X13" s="62"/>
      <c r="Y13" s="61"/>
      <c r="Z13" s="63"/>
      <c r="AA13" s="64" t="e">
        <v>#N/A</v>
      </c>
      <c r="AB13" s="62" t="e">
        <v>#N/A</v>
      </c>
      <c r="AC13" s="62" t="e">
        <v>#N/A</v>
      </c>
      <c r="AD13" s="62" t="e">
        <v>#N/A</v>
      </c>
      <c r="AE13" s="62" t="e">
        <v>#N/A</v>
      </c>
      <c r="AF13" s="62" t="e">
        <v>#N/A</v>
      </c>
      <c r="AG13" s="62" t="e">
        <v>#N/A</v>
      </c>
      <c r="AH13" s="62" t="e">
        <v>#N/A</v>
      </c>
      <c r="AI13" s="62" t="e">
        <v>#N/A</v>
      </c>
      <c r="AJ13" s="62" t="e">
        <v>#N/A</v>
      </c>
      <c r="AK13" s="64" t="e">
        <v>#N/A</v>
      </c>
      <c r="AL13" s="19">
        <v>87672</v>
      </c>
      <c r="AM13" s="19">
        <v>105230</v>
      </c>
      <c r="AN13" s="23">
        <v>14769</v>
      </c>
      <c r="AO13" s="19">
        <v>200218</v>
      </c>
      <c r="AP13" s="19">
        <v>97</v>
      </c>
      <c r="AQ13" s="62"/>
      <c r="AR13" s="63"/>
      <c r="AS13" s="63"/>
      <c r="AT13" s="65">
        <f t="shared" si="0"/>
        <v>8409.1560000000009</v>
      </c>
      <c r="AU13" s="65">
        <f t="shared" si="1"/>
        <v>620.298</v>
      </c>
      <c r="AV13" s="65">
        <f t="shared" si="2"/>
        <v>4.0739999999999998</v>
      </c>
      <c r="AW13" s="65">
        <f t="shared" si="4"/>
        <v>3682.2240000000002</v>
      </c>
      <c r="AX13" s="65">
        <f t="shared" si="3"/>
        <v>4419.66</v>
      </c>
      <c r="AY13" s="65">
        <f t="shared" si="5"/>
        <v>4.0739999999999998</v>
      </c>
      <c r="AZ13" s="62"/>
      <c r="BA13" s="62"/>
      <c r="BB13" s="19">
        <v>23600</v>
      </c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</row>
    <row r="14" spans="1:116" hidden="1" x14ac:dyDescent="0.2">
      <c r="A14" s="57">
        <v>26999</v>
      </c>
      <c r="B14" s="58"/>
      <c r="C14" s="59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59"/>
      <c r="P14" s="61"/>
      <c r="Q14" s="62"/>
      <c r="R14" s="62"/>
      <c r="S14" s="62"/>
      <c r="T14" s="62"/>
      <c r="U14" s="62"/>
      <c r="V14" s="62"/>
      <c r="W14" s="62"/>
      <c r="X14" s="62"/>
      <c r="Y14" s="61"/>
      <c r="Z14" s="63"/>
      <c r="AA14" s="64" t="e">
        <v>#N/A</v>
      </c>
      <c r="AB14" s="62" t="e">
        <v>#N/A</v>
      </c>
      <c r="AC14" s="62" t="e">
        <v>#N/A</v>
      </c>
      <c r="AD14" s="62" t="e">
        <v>#N/A</v>
      </c>
      <c r="AE14" s="62" t="e">
        <v>#N/A</v>
      </c>
      <c r="AF14" s="62" t="e">
        <v>#N/A</v>
      </c>
      <c r="AG14" s="62" t="e">
        <v>#N/A</v>
      </c>
      <c r="AH14" s="62" t="e">
        <v>#N/A</v>
      </c>
      <c r="AI14" s="62" t="e">
        <v>#N/A</v>
      </c>
      <c r="AJ14" s="62" t="e">
        <v>#N/A</v>
      </c>
      <c r="AK14" s="64" t="e">
        <v>#N/A</v>
      </c>
      <c r="AL14" s="19">
        <v>97215</v>
      </c>
      <c r="AM14" s="19">
        <v>114394</v>
      </c>
      <c r="AN14" s="23">
        <v>13615</v>
      </c>
      <c r="AO14" s="19">
        <v>196461</v>
      </c>
      <c r="AP14" s="19">
        <v>308</v>
      </c>
      <c r="AQ14" s="62"/>
      <c r="AR14" s="63"/>
      <c r="AS14" s="63"/>
      <c r="AT14" s="65">
        <f t="shared" si="0"/>
        <v>8251.3619999999992</v>
      </c>
      <c r="AU14" s="65">
        <f t="shared" si="1"/>
        <v>571.83000000000004</v>
      </c>
      <c r="AV14" s="65">
        <f t="shared" si="2"/>
        <v>12.936</v>
      </c>
      <c r="AW14" s="65">
        <f t="shared" si="4"/>
        <v>4083.03</v>
      </c>
      <c r="AX14" s="65">
        <f t="shared" si="3"/>
        <v>4804.5479999999998</v>
      </c>
      <c r="AY14" s="65">
        <f t="shared" si="5"/>
        <v>12.936</v>
      </c>
      <c r="AZ14" s="62"/>
      <c r="BA14" s="62"/>
      <c r="BB14" s="19">
        <v>22945</v>
      </c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</row>
    <row r="15" spans="1:116" hidden="1" x14ac:dyDescent="0.2">
      <c r="A15" s="57">
        <v>27030</v>
      </c>
      <c r="B15" s="58"/>
      <c r="C15" s="59"/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59"/>
      <c r="P15" s="61"/>
      <c r="Q15" s="62"/>
      <c r="R15" s="62"/>
      <c r="S15" s="62"/>
      <c r="T15" s="62"/>
      <c r="U15" s="62"/>
      <c r="V15" s="62"/>
      <c r="W15" s="62"/>
      <c r="X15" s="62"/>
      <c r="Y15" s="61"/>
      <c r="Z15" s="63"/>
      <c r="AA15" s="64" t="e">
        <v>#N/A</v>
      </c>
      <c r="AB15" s="62" t="e">
        <v>#N/A</v>
      </c>
      <c r="AC15" s="62" t="e">
        <v>#N/A</v>
      </c>
      <c r="AD15" s="62" t="e">
        <v>#N/A</v>
      </c>
      <c r="AE15" s="62" t="e">
        <v>#N/A</v>
      </c>
      <c r="AF15" s="62" t="e">
        <v>#N/A</v>
      </c>
      <c r="AG15" s="62" t="e">
        <v>#N/A</v>
      </c>
      <c r="AH15" s="62" t="e">
        <v>#N/A</v>
      </c>
      <c r="AI15" s="62" t="e">
        <v>#N/A</v>
      </c>
      <c r="AJ15" s="62" t="e">
        <v>#N/A</v>
      </c>
      <c r="AK15" s="64" t="e">
        <v>#N/A</v>
      </c>
      <c r="AL15" s="19">
        <v>89341</v>
      </c>
      <c r="AM15" s="19">
        <v>118898</v>
      </c>
      <c r="AN15" s="23">
        <v>14377</v>
      </c>
      <c r="AO15" s="19">
        <v>181217</v>
      </c>
      <c r="AP15" s="19">
        <v>125</v>
      </c>
      <c r="AQ15" s="62"/>
      <c r="AR15" s="63"/>
      <c r="AS15" s="63"/>
      <c r="AT15" s="65">
        <f t="shared" si="0"/>
        <v>7611.1139999999996</v>
      </c>
      <c r="AU15" s="65">
        <f t="shared" si="1"/>
        <v>603.83399999999995</v>
      </c>
      <c r="AV15" s="65">
        <f t="shared" si="2"/>
        <v>5.25</v>
      </c>
      <c r="AW15" s="65">
        <f t="shared" si="4"/>
        <v>3752.3220000000001</v>
      </c>
      <c r="AX15" s="65">
        <f t="shared" si="3"/>
        <v>4993.7160000000003</v>
      </c>
      <c r="AY15" s="65">
        <f t="shared" si="5"/>
        <v>5.25</v>
      </c>
      <c r="AZ15" s="62"/>
      <c r="BA15" s="62"/>
      <c r="BB15" s="19">
        <v>23904</v>
      </c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</row>
    <row r="16" spans="1:116" hidden="1" x14ac:dyDescent="0.2">
      <c r="A16" s="57">
        <v>27061</v>
      </c>
      <c r="B16" s="58"/>
      <c r="C16" s="59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59"/>
      <c r="P16" s="61"/>
      <c r="Q16" s="62"/>
      <c r="R16" s="62"/>
      <c r="S16" s="62"/>
      <c r="T16" s="62"/>
      <c r="U16" s="62"/>
      <c r="V16" s="62"/>
      <c r="W16" s="62"/>
      <c r="X16" s="62"/>
      <c r="Y16" s="61"/>
      <c r="Z16" s="63"/>
      <c r="AA16" s="64" t="e">
        <v>#N/A</v>
      </c>
      <c r="AB16" s="62" t="e">
        <v>#N/A</v>
      </c>
      <c r="AC16" s="62" t="e">
        <v>#N/A</v>
      </c>
      <c r="AD16" s="62" t="e">
        <v>#N/A</v>
      </c>
      <c r="AE16" s="62" t="e">
        <v>#N/A</v>
      </c>
      <c r="AF16" s="62" t="e">
        <v>#N/A</v>
      </c>
      <c r="AG16" s="62" t="e">
        <v>#N/A</v>
      </c>
      <c r="AH16" s="62" t="e">
        <v>#N/A</v>
      </c>
      <c r="AI16" s="62" t="e">
        <v>#N/A</v>
      </c>
      <c r="AJ16" s="62" t="e">
        <v>#N/A</v>
      </c>
      <c r="AK16" s="64" t="e">
        <v>#N/A</v>
      </c>
      <c r="AL16" s="19">
        <v>67185</v>
      </c>
      <c r="AM16" s="19">
        <v>107765</v>
      </c>
      <c r="AN16" s="23">
        <v>8577</v>
      </c>
      <c r="AO16" s="19">
        <v>149162</v>
      </c>
      <c r="AP16" s="19">
        <v>108</v>
      </c>
      <c r="AQ16" s="62"/>
      <c r="AR16" s="63"/>
      <c r="AS16" s="63"/>
      <c r="AT16" s="65">
        <f t="shared" si="0"/>
        <v>6264.8040000000001</v>
      </c>
      <c r="AU16" s="65">
        <f t="shared" si="1"/>
        <v>360.23399999999998</v>
      </c>
      <c r="AV16" s="65">
        <f t="shared" si="2"/>
        <v>4.5359999999999996</v>
      </c>
      <c r="AW16" s="65">
        <f t="shared" si="4"/>
        <v>2821.77</v>
      </c>
      <c r="AX16" s="65">
        <f t="shared" si="3"/>
        <v>4526.13</v>
      </c>
      <c r="AY16" s="65">
        <f t="shared" si="5"/>
        <v>4.5359999999999996</v>
      </c>
      <c r="AZ16" s="62"/>
      <c r="BA16" s="62"/>
      <c r="BB16" s="19">
        <v>23548</v>
      </c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</row>
    <row r="17" spans="1:116" hidden="1" x14ac:dyDescent="0.2">
      <c r="A17" s="57">
        <v>27089</v>
      </c>
      <c r="B17" s="58"/>
      <c r="C17" s="59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59"/>
      <c r="P17" s="61"/>
      <c r="Q17" s="62"/>
      <c r="R17" s="62"/>
      <c r="S17" s="62"/>
      <c r="T17" s="62"/>
      <c r="U17" s="62"/>
      <c r="V17" s="62"/>
      <c r="W17" s="62"/>
      <c r="X17" s="62"/>
      <c r="Y17" s="61"/>
      <c r="Z17" s="63"/>
      <c r="AA17" s="64" t="e">
        <v>#N/A</v>
      </c>
      <c r="AB17" s="62" t="e">
        <v>#N/A</v>
      </c>
      <c r="AC17" s="62" t="e">
        <v>#N/A</v>
      </c>
      <c r="AD17" s="62" t="e">
        <v>#N/A</v>
      </c>
      <c r="AE17" s="62" t="e">
        <v>#N/A</v>
      </c>
      <c r="AF17" s="62" t="e">
        <v>#N/A</v>
      </c>
      <c r="AG17" s="62" t="e">
        <v>#N/A</v>
      </c>
      <c r="AH17" s="62" t="e">
        <v>#N/A</v>
      </c>
      <c r="AI17" s="62" t="e">
        <v>#N/A</v>
      </c>
      <c r="AJ17" s="62" t="e">
        <v>#N/A</v>
      </c>
      <c r="AK17" s="64" t="e">
        <v>#N/A</v>
      </c>
      <c r="AL17" s="19">
        <v>69037</v>
      </c>
      <c r="AM17" s="19">
        <v>98088</v>
      </c>
      <c r="AN17" s="23">
        <v>8893</v>
      </c>
      <c r="AO17" s="19">
        <v>128852</v>
      </c>
      <c r="AP17" s="19">
        <v>204</v>
      </c>
      <c r="AQ17" s="62"/>
      <c r="AR17" s="63"/>
      <c r="AS17" s="63"/>
      <c r="AT17" s="65">
        <f t="shared" si="0"/>
        <v>5411.7839999999997</v>
      </c>
      <c r="AU17" s="65">
        <f t="shared" si="1"/>
        <v>373.50599999999997</v>
      </c>
      <c r="AV17" s="65">
        <f t="shared" si="2"/>
        <v>8.5679999999999996</v>
      </c>
      <c r="AW17" s="65">
        <f t="shared" si="4"/>
        <v>2899.5540000000001</v>
      </c>
      <c r="AX17" s="65">
        <f t="shared" si="3"/>
        <v>4119.6959999999999</v>
      </c>
      <c r="AY17" s="65">
        <f t="shared" si="5"/>
        <v>8.5679999999999996</v>
      </c>
      <c r="AZ17" s="62"/>
      <c r="BA17" s="62"/>
      <c r="BB17" s="19">
        <v>23285</v>
      </c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</row>
    <row r="18" spans="1:116" hidden="1" x14ac:dyDescent="0.2">
      <c r="A18" s="57">
        <v>27120</v>
      </c>
      <c r="B18" s="58"/>
      <c r="C18" s="59"/>
      <c r="D18" s="60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59"/>
      <c r="P18" s="61"/>
      <c r="Q18" s="62"/>
      <c r="R18" s="62"/>
      <c r="S18" s="62"/>
      <c r="T18" s="62"/>
      <c r="U18" s="62"/>
      <c r="V18" s="62"/>
      <c r="W18" s="62"/>
      <c r="X18" s="62"/>
      <c r="Y18" s="61"/>
      <c r="Z18" s="63"/>
      <c r="AA18" s="64" t="e">
        <v>#N/A</v>
      </c>
      <c r="AB18" s="62" t="e">
        <v>#N/A</v>
      </c>
      <c r="AC18" s="62" t="e">
        <v>#N/A</v>
      </c>
      <c r="AD18" s="62" t="e">
        <v>#N/A</v>
      </c>
      <c r="AE18" s="62" t="e">
        <v>#N/A</v>
      </c>
      <c r="AF18" s="62" t="e">
        <v>#N/A</v>
      </c>
      <c r="AG18" s="62" t="e">
        <v>#N/A</v>
      </c>
      <c r="AH18" s="62" t="e">
        <v>#N/A</v>
      </c>
      <c r="AI18" s="62" t="e">
        <v>#N/A</v>
      </c>
      <c r="AJ18" s="62" t="e">
        <v>#N/A</v>
      </c>
      <c r="AK18" s="64" t="e">
        <v>#N/A</v>
      </c>
      <c r="AL18" s="19">
        <v>75675</v>
      </c>
      <c r="AM18" s="19">
        <v>85566</v>
      </c>
      <c r="AN18" s="23">
        <v>6612</v>
      </c>
      <c r="AO18" s="19">
        <v>125587</v>
      </c>
      <c r="AP18" s="19">
        <v>41</v>
      </c>
      <c r="AQ18" s="62"/>
      <c r="AR18" s="63"/>
      <c r="AS18" s="63"/>
      <c r="AT18" s="65">
        <f t="shared" si="0"/>
        <v>5274.6540000000005</v>
      </c>
      <c r="AU18" s="65">
        <f t="shared" si="1"/>
        <v>277.70400000000001</v>
      </c>
      <c r="AV18" s="65">
        <f t="shared" si="2"/>
        <v>1.722</v>
      </c>
      <c r="AW18" s="65">
        <f t="shared" si="4"/>
        <v>3178.35</v>
      </c>
      <c r="AX18" s="65">
        <f t="shared" si="3"/>
        <v>3593.7719999999999</v>
      </c>
      <c r="AY18" s="65">
        <f t="shared" si="5"/>
        <v>1.722</v>
      </c>
      <c r="AZ18" s="62"/>
      <c r="BA18" s="62"/>
      <c r="BB18" s="19">
        <v>24888</v>
      </c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</row>
    <row r="19" spans="1:116" hidden="1" x14ac:dyDescent="0.2">
      <c r="A19" s="57">
        <v>27150</v>
      </c>
      <c r="B19" s="58"/>
      <c r="C19" s="59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59"/>
      <c r="P19" s="61"/>
      <c r="Q19" s="62"/>
      <c r="R19" s="62"/>
      <c r="S19" s="62"/>
      <c r="T19" s="62"/>
      <c r="U19" s="62"/>
      <c r="V19" s="62"/>
      <c r="W19" s="62"/>
      <c r="X19" s="62"/>
      <c r="Y19" s="61"/>
      <c r="Z19" s="63"/>
      <c r="AA19" s="64" t="e">
        <v>#N/A</v>
      </c>
      <c r="AB19" s="62" t="e">
        <v>#N/A</v>
      </c>
      <c r="AC19" s="62" t="e">
        <v>#N/A</v>
      </c>
      <c r="AD19" s="62" t="e">
        <v>#N/A</v>
      </c>
      <c r="AE19" s="62" t="e">
        <v>#N/A</v>
      </c>
      <c r="AF19" s="62" t="e">
        <v>#N/A</v>
      </c>
      <c r="AG19" s="62" t="e">
        <v>#N/A</v>
      </c>
      <c r="AH19" s="62" t="e">
        <v>#N/A</v>
      </c>
      <c r="AI19" s="62" t="e">
        <v>#N/A</v>
      </c>
      <c r="AJ19" s="62" t="e">
        <v>#N/A</v>
      </c>
      <c r="AK19" s="64" t="e">
        <v>#N/A</v>
      </c>
      <c r="AL19" s="19">
        <v>83855</v>
      </c>
      <c r="AM19" s="19">
        <v>75949</v>
      </c>
      <c r="AN19" s="23">
        <v>8305</v>
      </c>
      <c r="AO19" s="19">
        <v>141843</v>
      </c>
      <c r="AP19" s="19">
        <v>27</v>
      </c>
      <c r="AQ19" s="62"/>
      <c r="AR19" s="63"/>
      <c r="AS19" s="63"/>
      <c r="AT19" s="65">
        <f t="shared" si="0"/>
        <v>5957.4059999999999</v>
      </c>
      <c r="AU19" s="65">
        <f t="shared" si="1"/>
        <v>348.81</v>
      </c>
      <c r="AV19" s="65">
        <f t="shared" si="2"/>
        <v>1.1339999999999999</v>
      </c>
      <c r="AW19" s="65">
        <f t="shared" si="4"/>
        <v>3521.91</v>
      </c>
      <c r="AX19" s="65">
        <f t="shared" si="3"/>
        <v>3189.8580000000002</v>
      </c>
      <c r="AY19" s="65">
        <f t="shared" si="5"/>
        <v>1.1339999999999999</v>
      </c>
      <c r="AZ19" s="62"/>
      <c r="BA19" s="62"/>
      <c r="BB19" s="19">
        <v>25623</v>
      </c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</row>
    <row r="20" spans="1:116" hidden="1" x14ac:dyDescent="0.2">
      <c r="A20" s="57">
        <v>27181</v>
      </c>
      <c r="B20" s="58"/>
      <c r="C20" s="59"/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59"/>
      <c r="P20" s="61"/>
      <c r="Q20" s="62"/>
      <c r="R20" s="62"/>
      <c r="S20" s="62"/>
      <c r="T20" s="62"/>
      <c r="U20" s="62"/>
      <c r="V20" s="62"/>
      <c r="W20" s="62"/>
      <c r="X20" s="62"/>
      <c r="Y20" s="61"/>
      <c r="Z20" s="63"/>
      <c r="AA20" s="64" t="e">
        <v>#N/A</v>
      </c>
      <c r="AB20" s="62" t="e">
        <v>#N/A</v>
      </c>
      <c r="AC20" s="62" t="e">
        <v>#N/A</v>
      </c>
      <c r="AD20" s="62" t="e">
        <v>#N/A</v>
      </c>
      <c r="AE20" s="62" t="e">
        <v>#N/A</v>
      </c>
      <c r="AF20" s="62" t="e">
        <v>#N/A</v>
      </c>
      <c r="AG20" s="62" t="e">
        <v>#N/A</v>
      </c>
      <c r="AH20" s="62" t="e">
        <v>#N/A</v>
      </c>
      <c r="AI20" s="62" t="e">
        <v>#N/A</v>
      </c>
      <c r="AJ20" s="62" t="e">
        <v>#N/A</v>
      </c>
      <c r="AK20" s="64" t="e">
        <v>#N/A</v>
      </c>
      <c r="AL20" s="19">
        <v>83504</v>
      </c>
      <c r="AM20" s="19">
        <v>71311</v>
      </c>
      <c r="AN20" s="23">
        <v>6589</v>
      </c>
      <c r="AO20" s="19">
        <v>160680</v>
      </c>
      <c r="AP20" s="19">
        <v>34</v>
      </c>
      <c r="AQ20" s="62"/>
      <c r="AR20" s="63"/>
      <c r="AS20" s="63"/>
      <c r="AT20" s="65">
        <f t="shared" si="0"/>
        <v>6748.56</v>
      </c>
      <c r="AU20" s="65">
        <f t="shared" si="1"/>
        <v>276.738</v>
      </c>
      <c r="AV20" s="65">
        <f t="shared" si="2"/>
        <v>1.4279999999999999</v>
      </c>
      <c r="AW20" s="65">
        <f t="shared" si="4"/>
        <v>3507.1680000000001</v>
      </c>
      <c r="AX20" s="65">
        <f t="shared" si="3"/>
        <v>2995.0619999999999</v>
      </c>
      <c r="AY20" s="65">
        <f t="shared" si="5"/>
        <v>1.4279999999999999</v>
      </c>
      <c r="AZ20" s="62"/>
      <c r="BA20" s="62"/>
      <c r="BB20" s="19">
        <v>25523</v>
      </c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</row>
    <row r="21" spans="1:116" hidden="1" x14ac:dyDescent="0.2">
      <c r="A21" s="57">
        <v>27211</v>
      </c>
      <c r="B21" s="58"/>
      <c r="C21" s="59"/>
      <c r="D21" s="60"/>
      <c r="E21" s="60"/>
      <c r="F21" s="60"/>
      <c r="G21" s="60"/>
      <c r="H21" s="60"/>
      <c r="I21" s="60"/>
      <c r="J21" s="60"/>
      <c r="K21" s="60"/>
      <c r="L21" s="60"/>
      <c r="M21" s="60"/>
      <c r="N21" s="60"/>
      <c r="O21" s="59"/>
      <c r="P21" s="61"/>
      <c r="Q21" s="62"/>
      <c r="R21" s="62"/>
      <c r="S21" s="62"/>
      <c r="T21" s="62"/>
      <c r="U21" s="62"/>
      <c r="V21" s="62"/>
      <c r="W21" s="62"/>
      <c r="X21" s="62"/>
      <c r="Y21" s="61"/>
      <c r="Z21" s="63"/>
      <c r="AA21" s="64" t="e">
        <v>#N/A</v>
      </c>
      <c r="AB21" s="62" t="e">
        <v>#N/A</v>
      </c>
      <c r="AC21" s="62" t="e">
        <v>#N/A</v>
      </c>
      <c r="AD21" s="62" t="e">
        <v>#N/A</v>
      </c>
      <c r="AE21" s="62" t="e">
        <v>#N/A</v>
      </c>
      <c r="AF21" s="62" t="e">
        <v>#N/A</v>
      </c>
      <c r="AG21" s="62" t="e">
        <v>#N/A</v>
      </c>
      <c r="AH21" s="62" t="e">
        <v>#N/A</v>
      </c>
      <c r="AI21" s="62" t="e">
        <v>#N/A</v>
      </c>
      <c r="AJ21" s="62" t="e">
        <v>#N/A</v>
      </c>
      <c r="AK21" s="64" t="e">
        <v>#N/A</v>
      </c>
      <c r="AL21" s="19">
        <v>86565</v>
      </c>
      <c r="AM21" s="19">
        <v>71566</v>
      </c>
      <c r="AN21" s="23">
        <v>6838</v>
      </c>
      <c r="AO21" s="19">
        <v>182495</v>
      </c>
      <c r="AP21" s="19">
        <v>84</v>
      </c>
      <c r="AQ21" s="62"/>
      <c r="AR21" s="63"/>
      <c r="AS21" s="63"/>
      <c r="AT21" s="65">
        <f t="shared" si="0"/>
        <v>7664.79</v>
      </c>
      <c r="AU21" s="65">
        <f t="shared" si="1"/>
        <v>287.19600000000003</v>
      </c>
      <c r="AV21" s="65">
        <f t="shared" si="2"/>
        <v>3.528</v>
      </c>
      <c r="AW21" s="65">
        <f t="shared" si="4"/>
        <v>3635.73</v>
      </c>
      <c r="AX21" s="65">
        <f t="shared" si="3"/>
        <v>3005.7719999999999</v>
      </c>
      <c r="AY21" s="65">
        <f t="shared" si="5"/>
        <v>3.528</v>
      </c>
      <c r="AZ21" s="62"/>
      <c r="BA21" s="62"/>
      <c r="BB21" s="19">
        <v>25235</v>
      </c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</row>
    <row r="22" spans="1:116" hidden="1" x14ac:dyDescent="0.2">
      <c r="A22" s="57">
        <v>27242</v>
      </c>
      <c r="B22" s="58"/>
      <c r="C22" s="59"/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59"/>
      <c r="P22" s="61"/>
      <c r="Q22" s="62"/>
      <c r="R22" s="62"/>
      <c r="S22" s="62"/>
      <c r="T22" s="62"/>
      <c r="U22" s="62"/>
      <c r="V22" s="62"/>
      <c r="W22" s="62"/>
      <c r="X22" s="62"/>
      <c r="Y22" s="61"/>
      <c r="Z22" s="63"/>
      <c r="AA22" s="64" t="e">
        <v>#N/A</v>
      </c>
      <c r="AB22" s="62" t="e">
        <v>#N/A</v>
      </c>
      <c r="AC22" s="62" t="e">
        <v>#N/A</v>
      </c>
      <c r="AD22" s="62" t="e">
        <v>#N/A</v>
      </c>
      <c r="AE22" s="62" t="e">
        <v>#N/A</v>
      </c>
      <c r="AF22" s="62" t="e">
        <v>#N/A</v>
      </c>
      <c r="AG22" s="62" t="e">
        <v>#N/A</v>
      </c>
      <c r="AH22" s="62" t="e">
        <v>#N/A</v>
      </c>
      <c r="AI22" s="62" t="e">
        <v>#N/A</v>
      </c>
      <c r="AJ22" s="62" t="e">
        <v>#N/A</v>
      </c>
      <c r="AK22" s="64" t="e">
        <v>#N/A</v>
      </c>
      <c r="AL22" s="19">
        <v>83868</v>
      </c>
      <c r="AM22" s="19">
        <v>71575</v>
      </c>
      <c r="AN22" s="23">
        <v>3869</v>
      </c>
      <c r="AO22" s="19">
        <v>198710</v>
      </c>
      <c r="AP22" s="19">
        <v>17</v>
      </c>
      <c r="AQ22" s="62"/>
      <c r="AR22" s="63"/>
      <c r="AS22" s="63"/>
      <c r="AT22" s="65">
        <f t="shared" si="0"/>
        <v>8345.82</v>
      </c>
      <c r="AU22" s="65">
        <f t="shared" si="1"/>
        <v>162.49799999999999</v>
      </c>
      <c r="AV22" s="65">
        <f t="shared" si="2"/>
        <v>0.71399999999999997</v>
      </c>
      <c r="AW22" s="65">
        <f t="shared" si="4"/>
        <v>3522.4560000000001</v>
      </c>
      <c r="AX22" s="65">
        <f t="shared" si="3"/>
        <v>3006.15</v>
      </c>
      <c r="AY22" s="65">
        <f t="shared" si="5"/>
        <v>0.71399999999999997</v>
      </c>
      <c r="AZ22" s="62"/>
      <c r="BA22" s="62"/>
      <c r="BB22" s="19">
        <v>25247</v>
      </c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</row>
    <row r="23" spans="1:116" hidden="1" x14ac:dyDescent="0.2">
      <c r="A23" s="57">
        <v>27273</v>
      </c>
      <c r="B23" s="58"/>
      <c r="C23" s="59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59"/>
      <c r="P23" s="61"/>
      <c r="Q23" s="62"/>
      <c r="R23" s="62"/>
      <c r="S23" s="62"/>
      <c r="T23" s="62"/>
      <c r="U23" s="62"/>
      <c r="V23" s="62"/>
      <c r="W23" s="62"/>
      <c r="X23" s="62"/>
      <c r="Y23" s="61"/>
      <c r="Z23" s="63"/>
      <c r="AA23" s="64" t="e">
        <v>#N/A</v>
      </c>
      <c r="AB23" s="62" t="e">
        <v>#N/A</v>
      </c>
      <c r="AC23" s="62" t="e">
        <v>#N/A</v>
      </c>
      <c r="AD23" s="62" t="e">
        <v>#N/A</v>
      </c>
      <c r="AE23" s="62" t="e">
        <v>#N/A</v>
      </c>
      <c r="AF23" s="62" t="e">
        <v>#N/A</v>
      </c>
      <c r="AG23" s="62" t="e">
        <v>#N/A</v>
      </c>
      <c r="AH23" s="62" t="e">
        <v>#N/A</v>
      </c>
      <c r="AI23" s="62" t="e">
        <v>#N/A</v>
      </c>
      <c r="AJ23" s="62" t="e">
        <v>#N/A</v>
      </c>
      <c r="AK23" s="64" t="e">
        <v>#N/A</v>
      </c>
      <c r="AL23" s="19">
        <v>76566</v>
      </c>
      <c r="AM23" s="19">
        <v>71561</v>
      </c>
      <c r="AN23" s="23">
        <v>4571</v>
      </c>
      <c r="AO23" s="19">
        <v>208308</v>
      </c>
      <c r="AP23" s="19">
        <v>41</v>
      </c>
      <c r="AQ23" s="62"/>
      <c r="AR23" s="63"/>
      <c r="AS23" s="63"/>
      <c r="AT23" s="65">
        <f t="shared" si="0"/>
        <v>8748.9359999999997</v>
      </c>
      <c r="AU23" s="65">
        <f t="shared" si="1"/>
        <v>191.982</v>
      </c>
      <c r="AV23" s="65">
        <f t="shared" si="2"/>
        <v>1.722</v>
      </c>
      <c r="AW23" s="65">
        <f t="shared" si="4"/>
        <v>3215.7719999999999</v>
      </c>
      <c r="AX23" s="65">
        <f t="shared" si="3"/>
        <v>3005.5619999999999</v>
      </c>
      <c r="AY23" s="65">
        <f t="shared" si="5"/>
        <v>1.722</v>
      </c>
      <c r="AZ23" s="62"/>
      <c r="BA23" s="62"/>
      <c r="BB23" s="19">
        <v>24407</v>
      </c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</row>
    <row r="24" spans="1:116" hidden="1" x14ac:dyDescent="0.2">
      <c r="A24" s="57">
        <v>27303</v>
      </c>
      <c r="B24" s="58"/>
      <c r="C24" s="59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59"/>
      <c r="P24" s="61"/>
      <c r="Q24" s="62"/>
      <c r="R24" s="62"/>
      <c r="S24" s="62"/>
      <c r="T24" s="62"/>
      <c r="U24" s="62"/>
      <c r="V24" s="62"/>
      <c r="W24" s="62"/>
      <c r="X24" s="62"/>
      <c r="Y24" s="61"/>
      <c r="Z24" s="63"/>
      <c r="AA24" s="64" t="e">
        <v>#N/A</v>
      </c>
      <c r="AB24" s="62" t="e">
        <v>#N/A</v>
      </c>
      <c r="AC24" s="62" t="e">
        <v>#N/A</v>
      </c>
      <c r="AD24" s="62" t="e">
        <v>#N/A</v>
      </c>
      <c r="AE24" s="62" t="e">
        <v>#N/A</v>
      </c>
      <c r="AF24" s="62" t="e">
        <v>#N/A</v>
      </c>
      <c r="AG24" s="62" t="e">
        <v>#N/A</v>
      </c>
      <c r="AH24" s="62" t="e">
        <v>#N/A</v>
      </c>
      <c r="AI24" s="62" t="e">
        <v>#N/A</v>
      </c>
      <c r="AJ24" s="62" t="e">
        <v>#N/A</v>
      </c>
      <c r="AK24" s="64" t="e">
        <v>#N/A</v>
      </c>
      <c r="AL24" s="19">
        <v>83713</v>
      </c>
      <c r="AM24" s="19">
        <v>89496</v>
      </c>
      <c r="AN24" s="23">
        <v>7361</v>
      </c>
      <c r="AO24" s="19">
        <v>209945</v>
      </c>
      <c r="AP24" s="19">
        <v>15</v>
      </c>
      <c r="AQ24" s="62"/>
      <c r="AR24" s="63"/>
      <c r="AS24" s="63"/>
      <c r="AT24" s="65">
        <f t="shared" si="0"/>
        <v>8817.69</v>
      </c>
      <c r="AU24" s="65">
        <f t="shared" si="1"/>
        <v>309.16199999999998</v>
      </c>
      <c r="AV24" s="65">
        <f t="shared" si="2"/>
        <v>0.63</v>
      </c>
      <c r="AW24" s="65">
        <f t="shared" si="4"/>
        <v>3515.9459999999999</v>
      </c>
      <c r="AX24" s="65">
        <f t="shared" si="3"/>
        <v>3758.8319999999999</v>
      </c>
      <c r="AY24" s="65">
        <f t="shared" si="5"/>
        <v>0.63</v>
      </c>
      <c r="AZ24" s="62"/>
      <c r="BA24" s="62"/>
      <c r="BB24" s="19">
        <v>24958</v>
      </c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</row>
    <row r="25" spans="1:116" hidden="1" x14ac:dyDescent="0.2">
      <c r="A25" s="57">
        <v>27334</v>
      </c>
      <c r="B25" s="58"/>
      <c r="C25" s="59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59"/>
      <c r="P25" s="61"/>
      <c r="Q25" s="62"/>
      <c r="R25" s="62"/>
      <c r="S25" s="62"/>
      <c r="T25" s="62"/>
      <c r="U25" s="62"/>
      <c r="V25" s="62"/>
      <c r="W25" s="62"/>
      <c r="X25" s="62"/>
      <c r="Y25" s="61"/>
      <c r="Z25" s="63"/>
      <c r="AA25" s="64" t="e">
        <v>#N/A</v>
      </c>
      <c r="AB25" s="62" t="e">
        <v>#N/A</v>
      </c>
      <c r="AC25" s="62" t="e">
        <v>#N/A</v>
      </c>
      <c r="AD25" s="62" t="e">
        <v>#N/A</v>
      </c>
      <c r="AE25" s="62" t="e">
        <v>#N/A</v>
      </c>
      <c r="AF25" s="62" t="e">
        <v>#N/A</v>
      </c>
      <c r="AG25" s="62" t="e">
        <v>#N/A</v>
      </c>
      <c r="AH25" s="62" t="e">
        <v>#N/A</v>
      </c>
      <c r="AI25" s="62" t="e">
        <v>#N/A</v>
      </c>
      <c r="AJ25" s="62" t="e">
        <v>#N/A</v>
      </c>
      <c r="AK25" s="64" t="e">
        <v>#N/A</v>
      </c>
      <c r="AL25" s="19">
        <v>84038</v>
      </c>
      <c r="AM25" s="19">
        <v>94699</v>
      </c>
      <c r="AN25" s="23">
        <v>13629</v>
      </c>
      <c r="AO25" s="19">
        <v>212913</v>
      </c>
      <c r="AP25" s="19">
        <v>55</v>
      </c>
      <c r="AQ25" s="62"/>
      <c r="AR25" s="63"/>
      <c r="AS25" s="63"/>
      <c r="AT25" s="65">
        <f t="shared" si="0"/>
        <v>8942.3459999999995</v>
      </c>
      <c r="AU25" s="65">
        <f t="shared" si="1"/>
        <v>572.41800000000001</v>
      </c>
      <c r="AV25" s="65">
        <f t="shared" si="2"/>
        <v>2.31</v>
      </c>
      <c r="AW25" s="65">
        <f t="shared" si="4"/>
        <v>3529.596</v>
      </c>
      <c r="AX25" s="65">
        <f t="shared" si="3"/>
        <v>3977.3580000000002</v>
      </c>
      <c r="AY25" s="65">
        <f t="shared" si="5"/>
        <v>2.31</v>
      </c>
      <c r="AZ25" s="62"/>
      <c r="BA25" s="62"/>
      <c r="BB25" s="19">
        <v>23733</v>
      </c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</row>
    <row r="26" spans="1:116" hidden="1" x14ac:dyDescent="0.2">
      <c r="A26" s="57">
        <v>27364</v>
      </c>
      <c r="B26" s="58"/>
      <c r="C26" s="59"/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59"/>
      <c r="P26" s="61"/>
      <c r="Q26" s="62"/>
      <c r="R26" s="62"/>
      <c r="S26" s="62"/>
      <c r="T26" s="62"/>
      <c r="U26" s="62"/>
      <c r="V26" s="62"/>
      <c r="W26" s="62"/>
      <c r="X26" s="62"/>
      <c r="Y26" s="61"/>
      <c r="Z26" s="63"/>
      <c r="AA26" s="64" t="e">
        <v>#N/A</v>
      </c>
      <c r="AB26" s="62" t="e">
        <v>#N/A</v>
      </c>
      <c r="AC26" s="62" t="e">
        <v>#N/A</v>
      </c>
      <c r="AD26" s="62" t="e">
        <v>#N/A</v>
      </c>
      <c r="AE26" s="62" t="e">
        <v>#N/A</v>
      </c>
      <c r="AF26" s="62" t="e">
        <v>#N/A</v>
      </c>
      <c r="AG26" s="62" t="e">
        <v>#N/A</v>
      </c>
      <c r="AH26" s="62" t="e">
        <v>#N/A</v>
      </c>
      <c r="AI26" s="62" t="e">
        <v>#N/A</v>
      </c>
      <c r="AJ26" s="62" t="e">
        <v>#N/A</v>
      </c>
      <c r="AK26" s="64" t="e">
        <v>#N/A</v>
      </c>
      <c r="AL26" s="19">
        <v>90678</v>
      </c>
      <c r="AM26" s="19">
        <v>119442</v>
      </c>
      <c r="AN26" s="23">
        <v>15958</v>
      </c>
      <c r="AO26" s="19">
        <v>200068</v>
      </c>
      <c r="AP26" s="19">
        <v>104</v>
      </c>
      <c r="AQ26" s="62"/>
      <c r="AR26" s="63"/>
      <c r="AS26" s="63"/>
      <c r="AT26" s="65">
        <f t="shared" si="0"/>
        <v>8402.8559999999998</v>
      </c>
      <c r="AU26" s="65">
        <f t="shared" si="1"/>
        <v>670.23599999999999</v>
      </c>
      <c r="AV26" s="65">
        <f t="shared" si="2"/>
        <v>4.3680000000000003</v>
      </c>
      <c r="AW26" s="65">
        <f t="shared" si="4"/>
        <v>3808.4760000000001</v>
      </c>
      <c r="AX26" s="65">
        <f t="shared" si="3"/>
        <v>5016.5640000000003</v>
      </c>
      <c r="AY26" s="65">
        <f t="shared" si="5"/>
        <v>4.3680000000000003</v>
      </c>
      <c r="AZ26" s="62"/>
      <c r="BA26" s="62"/>
      <c r="BB26" s="19">
        <v>23906</v>
      </c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</row>
    <row r="27" spans="1:116" hidden="1" x14ac:dyDescent="0.2">
      <c r="A27" s="57">
        <v>27395</v>
      </c>
      <c r="B27" s="58"/>
      <c r="C27" s="59"/>
      <c r="D27" s="60"/>
      <c r="E27" s="60"/>
      <c r="F27" s="60"/>
      <c r="G27" s="60"/>
      <c r="H27" s="60"/>
      <c r="I27" s="60"/>
      <c r="J27" s="60"/>
      <c r="K27" s="60"/>
      <c r="L27" s="60"/>
      <c r="M27" s="60"/>
      <c r="N27" s="60"/>
      <c r="O27" s="59"/>
      <c r="P27" s="61"/>
      <c r="Q27" s="62"/>
      <c r="R27" s="62"/>
      <c r="S27" s="62"/>
      <c r="T27" s="62"/>
      <c r="U27" s="62"/>
      <c r="V27" s="62"/>
      <c r="W27" s="62"/>
      <c r="X27" s="62"/>
      <c r="Y27" s="61"/>
      <c r="Z27" s="63"/>
      <c r="AA27" s="64" t="e">
        <v>#N/A</v>
      </c>
      <c r="AB27" s="62" t="e">
        <v>#N/A</v>
      </c>
      <c r="AC27" s="62" t="e">
        <v>#N/A</v>
      </c>
      <c r="AD27" s="62" t="e">
        <v>#N/A</v>
      </c>
      <c r="AE27" s="62" t="e">
        <v>#N/A</v>
      </c>
      <c r="AF27" s="62" t="e">
        <v>#N/A</v>
      </c>
      <c r="AG27" s="62" t="e">
        <v>#N/A</v>
      </c>
      <c r="AH27" s="62" t="e">
        <v>#N/A</v>
      </c>
      <c r="AI27" s="62" t="e">
        <v>#N/A</v>
      </c>
      <c r="AJ27" s="62" t="e">
        <v>#N/A</v>
      </c>
      <c r="AK27" s="64" t="e">
        <v>#N/A</v>
      </c>
      <c r="AL27" s="19">
        <v>88438</v>
      </c>
      <c r="AM27" s="19">
        <v>122848</v>
      </c>
      <c r="AN27" s="23">
        <v>10355</v>
      </c>
      <c r="AO27" s="19">
        <v>199752</v>
      </c>
      <c r="AP27" s="19">
        <v>2</v>
      </c>
      <c r="AQ27" s="62"/>
      <c r="AR27" s="63"/>
      <c r="AS27" s="63"/>
      <c r="AT27" s="65">
        <f t="shared" si="0"/>
        <v>8389.5840000000007</v>
      </c>
      <c r="AU27" s="65">
        <f t="shared" si="1"/>
        <v>434.91</v>
      </c>
      <c r="AV27" s="65">
        <f t="shared" si="2"/>
        <v>8.4000000000000005E-2</v>
      </c>
      <c r="AW27" s="65">
        <f t="shared" si="4"/>
        <v>3714.3960000000002</v>
      </c>
      <c r="AX27" s="65">
        <f t="shared" si="3"/>
        <v>5159.616</v>
      </c>
      <c r="AY27" s="65">
        <f t="shared" si="5"/>
        <v>8.4000000000000005E-2</v>
      </c>
      <c r="AZ27" s="62"/>
      <c r="BA27" s="62"/>
      <c r="BB27" s="19">
        <v>24773</v>
      </c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</row>
    <row r="28" spans="1:116" hidden="1" x14ac:dyDescent="0.2">
      <c r="A28" s="57">
        <v>27426</v>
      </c>
      <c r="B28" s="58"/>
      <c r="C28" s="59"/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59"/>
      <c r="P28" s="61"/>
      <c r="Q28" s="62"/>
      <c r="R28" s="62"/>
      <c r="S28" s="62"/>
      <c r="T28" s="62"/>
      <c r="U28" s="62"/>
      <c r="V28" s="62"/>
      <c r="W28" s="62"/>
      <c r="X28" s="62"/>
      <c r="Y28" s="61"/>
      <c r="Z28" s="63"/>
      <c r="AA28" s="64" t="e">
        <v>#N/A</v>
      </c>
      <c r="AB28" s="62" t="e">
        <v>#N/A</v>
      </c>
      <c r="AC28" s="62" t="e">
        <v>#N/A</v>
      </c>
      <c r="AD28" s="62" t="e">
        <v>#N/A</v>
      </c>
      <c r="AE28" s="62" t="e">
        <v>#N/A</v>
      </c>
      <c r="AF28" s="62" t="e">
        <v>#N/A</v>
      </c>
      <c r="AG28" s="62" t="e">
        <v>#N/A</v>
      </c>
      <c r="AH28" s="62" t="e">
        <v>#N/A</v>
      </c>
      <c r="AI28" s="62" t="e">
        <v>#N/A</v>
      </c>
      <c r="AJ28" s="62" t="e">
        <v>#N/A</v>
      </c>
      <c r="AK28" s="64" t="e">
        <v>#N/A</v>
      </c>
      <c r="AL28" s="19">
        <v>75021</v>
      </c>
      <c r="AM28" s="19">
        <v>106490</v>
      </c>
      <c r="AN28" s="23">
        <v>8453</v>
      </c>
      <c r="AO28" s="19">
        <v>176734</v>
      </c>
      <c r="AP28" s="19">
        <v>50</v>
      </c>
      <c r="AQ28" s="62"/>
      <c r="AR28" s="63"/>
      <c r="AS28" s="63"/>
      <c r="AT28" s="65">
        <f t="shared" si="0"/>
        <v>7422.8280000000004</v>
      </c>
      <c r="AU28" s="65">
        <f t="shared" si="1"/>
        <v>355.02600000000001</v>
      </c>
      <c r="AV28" s="65">
        <f t="shared" si="2"/>
        <v>2.1</v>
      </c>
      <c r="AW28" s="65">
        <f t="shared" si="4"/>
        <v>3150.8820000000001</v>
      </c>
      <c r="AX28" s="65">
        <f t="shared" si="3"/>
        <v>4472.58</v>
      </c>
      <c r="AY28" s="65">
        <f t="shared" si="5"/>
        <v>2.1</v>
      </c>
      <c r="AZ28" s="62"/>
      <c r="BA28" s="62"/>
      <c r="BB28" s="19">
        <v>23718</v>
      </c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</row>
    <row r="29" spans="1:116" hidden="1" x14ac:dyDescent="0.2">
      <c r="A29" s="57">
        <v>27454</v>
      </c>
      <c r="B29" s="58"/>
      <c r="C29" s="59"/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59"/>
      <c r="P29" s="61"/>
      <c r="Q29" s="62"/>
      <c r="R29" s="62"/>
      <c r="S29" s="62"/>
      <c r="T29" s="62"/>
      <c r="U29" s="62"/>
      <c r="V29" s="62"/>
      <c r="W29" s="62"/>
      <c r="X29" s="62"/>
      <c r="Y29" s="61"/>
      <c r="Z29" s="63"/>
      <c r="AA29" s="64" t="e">
        <v>#N/A</v>
      </c>
      <c r="AB29" s="62" t="e">
        <v>#N/A</v>
      </c>
      <c r="AC29" s="62" t="e">
        <v>#N/A</v>
      </c>
      <c r="AD29" s="62" t="e">
        <v>#N/A</v>
      </c>
      <c r="AE29" s="62" t="e">
        <v>#N/A</v>
      </c>
      <c r="AF29" s="62" t="e">
        <v>#N/A</v>
      </c>
      <c r="AG29" s="62" t="e">
        <v>#N/A</v>
      </c>
      <c r="AH29" s="62" t="e">
        <v>#N/A</v>
      </c>
      <c r="AI29" s="62" t="e">
        <v>#N/A</v>
      </c>
      <c r="AJ29" s="62" t="e">
        <v>#N/A</v>
      </c>
      <c r="AK29" s="64" t="e">
        <v>#N/A</v>
      </c>
      <c r="AL29" s="19">
        <v>78499</v>
      </c>
      <c r="AM29" s="19">
        <v>102043</v>
      </c>
      <c r="AN29" s="23">
        <v>7911</v>
      </c>
      <c r="AO29" s="19">
        <v>161149</v>
      </c>
      <c r="AP29" s="19">
        <v>1</v>
      </c>
      <c r="AQ29" s="62"/>
      <c r="AR29" s="63"/>
      <c r="AS29" s="63"/>
      <c r="AT29" s="65">
        <f t="shared" si="0"/>
        <v>6768.2579999999998</v>
      </c>
      <c r="AU29" s="65">
        <f t="shared" si="1"/>
        <v>332.262</v>
      </c>
      <c r="AV29" s="65">
        <f t="shared" si="2"/>
        <v>4.2000000000000003E-2</v>
      </c>
      <c r="AW29" s="65">
        <f t="shared" si="4"/>
        <v>3296.9580000000001</v>
      </c>
      <c r="AX29" s="65">
        <f t="shared" si="3"/>
        <v>4285.8059999999996</v>
      </c>
      <c r="AY29" s="65">
        <f t="shared" si="5"/>
        <v>4.2000000000000003E-2</v>
      </c>
      <c r="AZ29" s="62"/>
      <c r="BA29" s="62"/>
      <c r="BB29" s="19">
        <v>24301</v>
      </c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</row>
    <row r="30" spans="1:116" hidden="1" x14ac:dyDescent="0.2">
      <c r="A30" s="57">
        <v>27485</v>
      </c>
      <c r="B30" s="58"/>
      <c r="C30" s="59"/>
      <c r="D30" s="60"/>
      <c r="E30" s="60"/>
      <c r="F30" s="60"/>
      <c r="G30" s="60"/>
      <c r="H30" s="60"/>
      <c r="I30" s="60"/>
      <c r="J30" s="60"/>
      <c r="K30" s="60"/>
      <c r="L30" s="60"/>
      <c r="M30" s="60"/>
      <c r="N30" s="60"/>
      <c r="O30" s="59"/>
      <c r="P30" s="61"/>
      <c r="Q30" s="62"/>
      <c r="R30" s="62"/>
      <c r="S30" s="62"/>
      <c r="T30" s="62"/>
      <c r="U30" s="62"/>
      <c r="V30" s="62"/>
      <c r="W30" s="62"/>
      <c r="X30" s="62"/>
      <c r="Y30" s="61"/>
      <c r="Z30" s="63"/>
      <c r="AA30" s="64" t="e">
        <v>#N/A</v>
      </c>
      <c r="AB30" s="62" t="e">
        <v>#N/A</v>
      </c>
      <c r="AC30" s="62" t="e">
        <v>#N/A</v>
      </c>
      <c r="AD30" s="62" t="e">
        <v>#N/A</v>
      </c>
      <c r="AE30" s="62" t="e">
        <v>#N/A</v>
      </c>
      <c r="AF30" s="62" t="e">
        <v>#N/A</v>
      </c>
      <c r="AG30" s="62" t="e">
        <v>#N/A</v>
      </c>
      <c r="AH30" s="62" t="e">
        <v>#N/A</v>
      </c>
      <c r="AI30" s="62" t="e">
        <v>#N/A</v>
      </c>
      <c r="AJ30" s="62" t="e">
        <v>#N/A</v>
      </c>
      <c r="AK30" s="64" t="e">
        <v>#N/A</v>
      </c>
      <c r="AL30" s="19">
        <v>74615</v>
      </c>
      <c r="AM30" s="19">
        <v>92812</v>
      </c>
      <c r="AN30" s="23">
        <v>3297</v>
      </c>
      <c r="AO30" s="19">
        <v>146257</v>
      </c>
      <c r="AP30" s="19">
        <v>51</v>
      </c>
      <c r="AQ30" s="62"/>
      <c r="AR30" s="63"/>
      <c r="AS30" s="63"/>
      <c r="AT30" s="65">
        <f t="shared" si="0"/>
        <v>6142.7939999999999</v>
      </c>
      <c r="AU30" s="65">
        <f t="shared" si="1"/>
        <v>138.47399999999999</v>
      </c>
      <c r="AV30" s="65">
        <f t="shared" si="2"/>
        <v>2.1419999999999999</v>
      </c>
      <c r="AW30" s="65">
        <f t="shared" si="4"/>
        <v>3133.83</v>
      </c>
      <c r="AX30" s="65">
        <f t="shared" si="3"/>
        <v>3898.1039999999998</v>
      </c>
      <c r="AY30" s="65">
        <f t="shared" si="5"/>
        <v>2.1419999999999999</v>
      </c>
      <c r="AZ30" s="62"/>
      <c r="BA30" s="62"/>
      <c r="BB30" s="19">
        <v>24486</v>
      </c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</row>
    <row r="31" spans="1:116" hidden="1" x14ac:dyDescent="0.2">
      <c r="A31" s="57">
        <v>27515</v>
      </c>
      <c r="B31" s="58"/>
      <c r="C31" s="59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59"/>
      <c r="P31" s="61"/>
      <c r="Q31" s="62"/>
      <c r="R31" s="62"/>
      <c r="S31" s="62"/>
      <c r="T31" s="62"/>
      <c r="U31" s="62"/>
      <c r="V31" s="62"/>
      <c r="W31" s="62"/>
      <c r="X31" s="62"/>
      <c r="Y31" s="61"/>
      <c r="Z31" s="63"/>
      <c r="AA31" s="64" t="e">
        <v>#N/A</v>
      </c>
      <c r="AB31" s="62" t="e">
        <v>#N/A</v>
      </c>
      <c r="AC31" s="62" t="e">
        <v>#N/A</v>
      </c>
      <c r="AD31" s="62" t="e">
        <v>#N/A</v>
      </c>
      <c r="AE31" s="62" t="e">
        <v>#N/A</v>
      </c>
      <c r="AF31" s="62" t="e">
        <v>#N/A</v>
      </c>
      <c r="AG31" s="62" t="e">
        <v>#N/A</v>
      </c>
      <c r="AH31" s="62" t="e">
        <v>#N/A</v>
      </c>
      <c r="AI31" s="62" t="e">
        <v>#N/A</v>
      </c>
      <c r="AJ31" s="62" t="e">
        <v>#N/A</v>
      </c>
      <c r="AK31" s="64" t="e">
        <v>#N/A</v>
      </c>
      <c r="AL31" s="19">
        <v>75386</v>
      </c>
      <c r="AM31" s="19">
        <v>73852</v>
      </c>
      <c r="AN31" s="23">
        <v>4225</v>
      </c>
      <c r="AO31" s="19">
        <v>152070</v>
      </c>
      <c r="AP31" s="19">
        <v>7</v>
      </c>
      <c r="AQ31" s="62"/>
      <c r="AR31" s="63"/>
      <c r="AS31" s="63"/>
      <c r="AT31" s="65">
        <f t="shared" si="0"/>
        <v>6386.94</v>
      </c>
      <c r="AU31" s="65">
        <f t="shared" si="1"/>
        <v>177.45</v>
      </c>
      <c r="AV31" s="65">
        <f t="shared" si="2"/>
        <v>0.29399999999999998</v>
      </c>
      <c r="AW31" s="65">
        <f t="shared" si="4"/>
        <v>3166.212</v>
      </c>
      <c r="AX31" s="65">
        <f t="shared" si="3"/>
        <v>3101.7840000000001</v>
      </c>
      <c r="AY31" s="65">
        <f t="shared" si="5"/>
        <v>0.29399999999999998</v>
      </c>
      <c r="AZ31" s="62"/>
      <c r="BA31" s="62"/>
      <c r="BB31" s="19">
        <v>25235</v>
      </c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</row>
    <row r="32" spans="1:116" hidden="1" x14ac:dyDescent="0.2">
      <c r="A32" s="57">
        <v>27546</v>
      </c>
      <c r="B32" s="58"/>
      <c r="C32" s="59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59"/>
      <c r="P32" s="61"/>
      <c r="Q32" s="62"/>
      <c r="R32" s="62"/>
      <c r="S32" s="62"/>
      <c r="T32" s="62"/>
      <c r="U32" s="62"/>
      <c r="V32" s="62"/>
      <c r="W32" s="62"/>
      <c r="X32" s="62"/>
      <c r="Y32" s="61"/>
      <c r="Z32" s="63"/>
      <c r="AA32" s="64" t="e">
        <v>#N/A</v>
      </c>
      <c r="AB32" s="62" t="e">
        <v>#N/A</v>
      </c>
      <c r="AC32" s="62" t="e">
        <v>#N/A</v>
      </c>
      <c r="AD32" s="62" t="e">
        <v>#N/A</v>
      </c>
      <c r="AE32" s="62" t="e">
        <v>#N/A</v>
      </c>
      <c r="AF32" s="62" t="e">
        <v>#N/A</v>
      </c>
      <c r="AG32" s="62" t="e">
        <v>#N/A</v>
      </c>
      <c r="AH32" s="62" t="e">
        <v>#N/A</v>
      </c>
      <c r="AI32" s="62" t="e">
        <v>#N/A</v>
      </c>
      <c r="AJ32" s="62" t="e">
        <v>#N/A</v>
      </c>
      <c r="AK32" s="64" t="e">
        <v>#N/A</v>
      </c>
      <c r="AL32" s="19">
        <v>77234</v>
      </c>
      <c r="AM32" s="19">
        <v>68023</v>
      </c>
      <c r="AN32" s="23">
        <v>2072</v>
      </c>
      <c r="AO32" s="19">
        <v>163348</v>
      </c>
      <c r="AP32" s="19">
        <v>48</v>
      </c>
      <c r="AQ32" s="62"/>
      <c r="AR32" s="63"/>
      <c r="AS32" s="63"/>
      <c r="AT32" s="65">
        <f t="shared" si="0"/>
        <v>6860.616</v>
      </c>
      <c r="AU32" s="65">
        <f t="shared" si="1"/>
        <v>87.024000000000001</v>
      </c>
      <c r="AV32" s="65">
        <f t="shared" si="2"/>
        <v>2.016</v>
      </c>
      <c r="AW32" s="65">
        <f t="shared" si="4"/>
        <v>3243.828</v>
      </c>
      <c r="AX32" s="65">
        <f t="shared" si="3"/>
        <v>2856.9659999999999</v>
      </c>
      <c r="AY32" s="65">
        <f t="shared" si="5"/>
        <v>2.016</v>
      </c>
      <c r="AZ32" s="62"/>
      <c r="BA32" s="62"/>
      <c r="BB32" s="19">
        <v>24084</v>
      </c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</row>
    <row r="33" spans="1:116" hidden="1" x14ac:dyDescent="0.2">
      <c r="A33" s="57">
        <v>27576</v>
      </c>
      <c r="B33" s="58"/>
      <c r="C33" s="59"/>
      <c r="D33" s="60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59"/>
      <c r="P33" s="61"/>
      <c r="Q33" s="62"/>
      <c r="R33" s="62"/>
      <c r="S33" s="62"/>
      <c r="T33" s="62"/>
      <c r="U33" s="62"/>
      <c r="V33" s="62"/>
      <c r="W33" s="62"/>
      <c r="X33" s="62"/>
      <c r="Y33" s="61"/>
      <c r="Z33" s="63"/>
      <c r="AA33" s="64" t="e">
        <v>#N/A</v>
      </c>
      <c r="AB33" s="62" t="e">
        <v>#N/A</v>
      </c>
      <c r="AC33" s="62" t="e">
        <v>#N/A</v>
      </c>
      <c r="AD33" s="62" t="e">
        <v>#N/A</v>
      </c>
      <c r="AE33" s="62" t="e">
        <v>#N/A</v>
      </c>
      <c r="AF33" s="62" t="e">
        <v>#N/A</v>
      </c>
      <c r="AG33" s="62" t="e">
        <v>#N/A</v>
      </c>
      <c r="AH33" s="62" t="e">
        <v>#N/A</v>
      </c>
      <c r="AI33" s="62" t="e">
        <v>#N/A</v>
      </c>
      <c r="AJ33" s="62" t="e">
        <v>#N/A</v>
      </c>
      <c r="AK33" s="64" t="e">
        <v>#N/A</v>
      </c>
      <c r="AL33" s="19">
        <v>80301</v>
      </c>
      <c r="AM33" s="19">
        <v>65390</v>
      </c>
      <c r="AN33" s="23">
        <v>3219</v>
      </c>
      <c r="AO33" s="19">
        <v>181514</v>
      </c>
      <c r="AP33" s="19">
        <v>11</v>
      </c>
      <c r="AQ33" s="62"/>
      <c r="AR33" s="63"/>
      <c r="AS33" s="63"/>
      <c r="AT33" s="65">
        <f t="shared" si="0"/>
        <v>7623.5879999999997</v>
      </c>
      <c r="AU33" s="65">
        <f t="shared" si="1"/>
        <v>135.19800000000001</v>
      </c>
      <c r="AV33" s="65">
        <f t="shared" si="2"/>
        <v>0.46200000000000002</v>
      </c>
      <c r="AW33" s="65">
        <f t="shared" si="4"/>
        <v>3372.6419999999998</v>
      </c>
      <c r="AX33" s="65">
        <f t="shared" si="3"/>
        <v>2746.38</v>
      </c>
      <c r="AY33" s="65">
        <f t="shared" si="5"/>
        <v>0.46200000000000002</v>
      </c>
      <c r="AZ33" s="62"/>
      <c r="BA33" s="62"/>
      <c r="BB33" s="19">
        <v>24220</v>
      </c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</row>
    <row r="34" spans="1:116" hidden="1" x14ac:dyDescent="0.2">
      <c r="A34" s="57">
        <v>27607</v>
      </c>
      <c r="B34" s="58"/>
      <c r="C34" s="59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59"/>
      <c r="P34" s="61"/>
      <c r="Q34" s="62"/>
      <c r="R34" s="62"/>
      <c r="S34" s="62"/>
      <c r="T34" s="62"/>
      <c r="U34" s="62"/>
      <c r="V34" s="62"/>
      <c r="W34" s="62"/>
      <c r="X34" s="62"/>
      <c r="Y34" s="61"/>
      <c r="Z34" s="63"/>
      <c r="AA34" s="64" t="e">
        <v>#N/A</v>
      </c>
      <c r="AB34" s="62" t="e">
        <v>#N/A</v>
      </c>
      <c r="AC34" s="62" t="e">
        <v>#N/A</v>
      </c>
      <c r="AD34" s="62" t="e">
        <v>#N/A</v>
      </c>
      <c r="AE34" s="62" t="e">
        <v>#N/A</v>
      </c>
      <c r="AF34" s="62" t="e">
        <v>#N/A</v>
      </c>
      <c r="AG34" s="62" t="e">
        <v>#N/A</v>
      </c>
      <c r="AH34" s="62" t="e">
        <v>#N/A</v>
      </c>
      <c r="AI34" s="62" t="e">
        <v>#N/A</v>
      </c>
      <c r="AJ34" s="62" t="e">
        <v>#N/A</v>
      </c>
      <c r="AK34" s="64" t="e">
        <v>#N/A</v>
      </c>
      <c r="AL34" s="19">
        <v>80363</v>
      </c>
      <c r="AM34" s="19">
        <v>67365</v>
      </c>
      <c r="AN34" s="23">
        <v>2854</v>
      </c>
      <c r="AO34" s="19">
        <v>197364</v>
      </c>
      <c r="AP34" s="19">
        <v>49</v>
      </c>
      <c r="AQ34" s="62"/>
      <c r="AR34" s="63"/>
      <c r="AS34" s="63"/>
      <c r="AT34" s="65">
        <f t="shared" si="0"/>
        <v>8289.2880000000005</v>
      </c>
      <c r="AU34" s="65">
        <f t="shared" si="1"/>
        <v>119.86799999999999</v>
      </c>
      <c r="AV34" s="65">
        <f t="shared" si="2"/>
        <v>2.0579999999999998</v>
      </c>
      <c r="AW34" s="65">
        <f t="shared" si="4"/>
        <v>3375.2460000000001</v>
      </c>
      <c r="AX34" s="65">
        <f t="shared" si="3"/>
        <v>2829.33</v>
      </c>
      <c r="AY34" s="65">
        <f t="shared" si="5"/>
        <v>2.0579999999999998</v>
      </c>
      <c r="AZ34" s="62"/>
      <c r="BA34" s="62"/>
      <c r="BB34" s="19">
        <v>25449</v>
      </c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</row>
    <row r="35" spans="1:116" hidden="1" x14ac:dyDescent="0.2">
      <c r="A35" s="57">
        <v>27638</v>
      </c>
      <c r="B35" s="58"/>
      <c r="C35" s="59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59"/>
      <c r="P35" s="61"/>
      <c r="Q35" s="62"/>
      <c r="R35" s="62"/>
      <c r="S35" s="62"/>
      <c r="T35" s="62"/>
      <c r="U35" s="62"/>
      <c r="V35" s="62"/>
      <c r="W35" s="62"/>
      <c r="X35" s="62"/>
      <c r="Y35" s="61"/>
      <c r="Z35" s="63"/>
      <c r="AA35" s="64" t="e">
        <v>#N/A</v>
      </c>
      <c r="AB35" s="62" t="e">
        <v>#N/A</v>
      </c>
      <c r="AC35" s="62" t="e">
        <v>#N/A</v>
      </c>
      <c r="AD35" s="62" t="e">
        <v>#N/A</v>
      </c>
      <c r="AE35" s="62" t="e">
        <v>#N/A</v>
      </c>
      <c r="AF35" s="62" t="e">
        <v>#N/A</v>
      </c>
      <c r="AG35" s="62" t="e">
        <v>#N/A</v>
      </c>
      <c r="AH35" s="62" t="e">
        <v>#N/A</v>
      </c>
      <c r="AI35" s="62" t="e">
        <v>#N/A</v>
      </c>
      <c r="AJ35" s="62" t="e">
        <v>#N/A</v>
      </c>
      <c r="AK35" s="64" t="e">
        <v>#N/A</v>
      </c>
      <c r="AL35" s="19">
        <v>84374</v>
      </c>
      <c r="AM35" s="19">
        <v>64895</v>
      </c>
      <c r="AN35" s="23">
        <v>3885</v>
      </c>
      <c r="AO35" s="19">
        <v>220776</v>
      </c>
      <c r="AP35" s="19">
        <v>1</v>
      </c>
      <c r="AQ35" s="62"/>
      <c r="AR35" s="63"/>
      <c r="AS35" s="63"/>
      <c r="AT35" s="65">
        <f t="shared" si="0"/>
        <v>9272.5920000000006</v>
      </c>
      <c r="AU35" s="65">
        <f t="shared" si="1"/>
        <v>163.16999999999999</v>
      </c>
      <c r="AV35" s="65">
        <f t="shared" si="2"/>
        <v>4.2000000000000003E-2</v>
      </c>
      <c r="AW35" s="65">
        <f t="shared" si="4"/>
        <v>3543.7080000000001</v>
      </c>
      <c r="AX35" s="65">
        <f t="shared" si="3"/>
        <v>2725.59</v>
      </c>
      <c r="AY35" s="65">
        <f t="shared" si="5"/>
        <v>4.2000000000000003E-2</v>
      </c>
      <c r="AZ35" s="62"/>
      <c r="BA35" s="62"/>
      <c r="BB35" s="19">
        <v>25494</v>
      </c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</row>
    <row r="36" spans="1:116" hidden="1" x14ac:dyDescent="0.2">
      <c r="A36" s="57">
        <v>27668</v>
      </c>
      <c r="B36" s="58"/>
      <c r="C36" s="59"/>
      <c r="D36" s="60"/>
      <c r="E36" s="60"/>
      <c r="F36" s="60"/>
      <c r="G36" s="60"/>
      <c r="H36" s="60"/>
      <c r="I36" s="60"/>
      <c r="J36" s="60"/>
      <c r="K36" s="60"/>
      <c r="L36" s="60"/>
      <c r="M36" s="60"/>
      <c r="N36" s="60"/>
      <c r="O36" s="59"/>
      <c r="P36" s="61"/>
      <c r="Q36" s="62"/>
      <c r="R36" s="62"/>
      <c r="S36" s="62"/>
      <c r="T36" s="62"/>
      <c r="U36" s="62"/>
      <c r="V36" s="62"/>
      <c r="W36" s="62"/>
      <c r="X36" s="62"/>
      <c r="Y36" s="61"/>
      <c r="Z36" s="63"/>
      <c r="AA36" s="64" t="e">
        <v>#N/A</v>
      </c>
      <c r="AB36" s="62" t="e">
        <v>#N/A</v>
      </c>
      <c r="AC36" s="62" t="e">
        <v>#N/A</v>
      </c>
      <c r="AD36" s="62" t="e">
        <v>#N/A</v>
      </c>
      <c r="AE36" s="62" t="e">
        <v>#N/A</v>
      </c>
      <c r="AF36" s="62" t="e">
        <v>#N/A</v>
      </c>
      <c r="AG36" s="62" t="e">
        <v>#N/A</v>
      </c>
      <c r="AH36" s="62" t="e">
        <v>#N/A</v>
      </c>
      <c r="AI36" s="62" t="e">
        <v>#N/A</v>
      </c>
      <c r="AJ36" s="62" t="e">
        <v>#N/A</v>
      </c>
      <c r="AK36" s="64" t="e">
        <v>#N/A</v>
      </c>
      <c r="AL36" s="19">
        <v>85100</v>
      </c>
      <c r="AM36" s="19">
        <v>82990</v>
      </c>
      <c r="AN36" s="23">
        <v>3232</v>
      </c>
      <c r="AO36" s="19">
        <v>226160</v>
      </c>
      <c r="AP36" s="19">
        <v>1</v>
      </c>
      <c r="AQ36" s="62"/>
      <c r="AR36" s="63"/>
      <c r="AS36" s="63"/>
      <c r="AT36" s="65">
        <f t="shared" si="0"/>
        <v>9498.7199999999993</v>
      </c>
      <c r="AU36" s="65">
        <f t="shared" si="1"/>
        <v>135.744</v>
      </c>
      <c r="AV36" s="65">
        <f t="shared" si="2"/>
        <v>4.2000000000000003E-2</v>
      </c>
      <c r="AW36" s="65">
        <f t="shared" si="4"/>
        <v>3574.2</v>
      </c>
      <c r="AX36" s="65">
        <f t="shared" si="3"/>
        <v>3485.58</v>
      </c>
      <c r="AY36" s="65">
        <f t="shared" si="5"/>
        <v>4.2000000000000003E-2</v>
      </c>
      <c r="AZ36" s="62"/>
      <c r="BA36" s="62"/>
      <c r="BB36" s="19">
        <v>24546</v>
      </c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</row>
    <row r="37" spans="1:116" hidden="1" x14ac:dyDescent="0.2">
      <c r="A37" s="57">
        <v>27699</v>
      </c>
      <c r="B37" s="58"/>
      <c r="C37" s="59"/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59"/>
      <c r="P37" s="61"/>
      <c r="Q37" s="62"/>
      <c r="R37" s="62"/>
      <c r="S37" s="62"/>
      <c r="T37" s="62"/>
      <c r="U37" s="62"/>
      <c r="V37" s="62"/>
      <c r="W37" s="62"/>
      <c r="X37" s="62"/>
      <c r="Y37" s="61"/>
      <c r="Z37" s="63"/>
      <c r="AA37" s="64" t="e">
        <v>#N/A</v>
      </c>
      <c r="AB37" s="62" t="e">
        <v>#N/A</v>
      </c>
      <c r="AC37" s="62" t="e">
        <v>#N/A</v>
      </c>
      <c r="AD37" s="62" t="e">
        <v>#N/A</v>
      </c>
      <c r="AE37" s="62" t="e">
        <v>#N/A</v>
      </c>
      <c r="AF37" s="62" t="e">
        <v>#N/A</v>
      </c>
      <c r="AG37" s="62" t="e">
        <v>#N/A</v>
      </c>
      <c r="AH37" s="62" t="e">
        <v>#N/A</v>
      </c>
      <c r="AI37" s="62" t="e">
        <v>#N/A</v>
      </c>
      <c r="AJ37" s="62" t="e">
        <v>#N/A</v>
      </c>
      <c r="AK37" s="64" t="e">
        <v>#N/A</v>
      </c>
      <c r="AL37" s="19">
        <v>83019</v>
      </c>
      <c r="AM37" s="19">
        <v>76309</v>
      </c>
      <c r="AN37" s="23">
        <v>2894</v>
      </c>
      <c r="AO37" s="19">
        <v>235798</v>
      </c>
      <c r="AP37" s="19">
        <v>10</v>
      </c>
      <c r="AQ37" s="62"/>
      <c r="AR37" s="63"/>
      <c r="AS37" s="63"/>
      <c r="AT37" s="65">
        <f t="shared" si="0"/>
        <v>9903.5159999999996</v>
      </c>
      <c r="AU37" s="65">
        <f t="shared" si="1"/>
        <v>121.548</v>
      </c>
      <c r="AV37" s="65">
        <f t="shared" si="2"/>
        <v>0.42</v>
      </c>
      <c r="AW37" s="65">
        <f t="shared" si="4"/>
        <v>3486.7979999999998</v>
      </c>
      <c r="AX37" s="65">
        <f t="shared" si="3"/>
        <v>3204.9780000000001</v>
      </c>
      <c r="AY37" s="65">
        <f t="shared" si="5"/>
        <v>0.42</v>
      </c>
      <c r="AZ37" s="62"/>
      <c r="BA37" s="62"/>
      <c r="BB37" s="19">
        <v>23165</v>
      </c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</row>
    <row r="38" spans="1:116" hidden="1" x14ac:dyDescent="0.2">
      <c r="A38" s="57">
        <v>27729</v>
      </c>
      <c r="B38" s="58"/>
      <c r="C38" s="59"/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59"/>
      <c r="P38" s="61"/>
      <c r="Q38" s="62"/>
      <c r="R38" s="62"/>
      <c r="S38" s="62"/>
      <c r="T38" s="62"/>
      <c r="U38" s="62"/>
      <c r="V38" s="62"/>
      <c r="W38" s="62"/>
      <c r="X38" s="62"/>
      <c r="Y38" s="61"/>
      <c r="Z38" s="63"/>
      <c r="AA38" s="64" t="e">
        <v>#N/A</v>
      </c>
      <c r="AB38" s="62" t="e">
        <v>#N/A</v>
      </c>
      <c r="AC38" s="62" t="e">
        <v>#N/A</v>
      </c>
      <c r="AD38" s="62" t="e">
        <v>#N/A</v>
      </c>
      <c r="AE38" s="62" t="e">
        <v>#N/A</v>
      </c>
      <c r="AF38" s="62" t="e">
        <v>#N/A</v>
      </c>
      <c r="AG38" s="62" t="e">
        <v>#N/A</v>
      </c>
      <c r="AH38" s="62" t="e">
        <v>#N/A</v>
      </c>
      <c r="AI38" s="62" t="e">
        <v>#N/A</v>
      </c>
      <c r="AJ38" s="62" t="e">
        <v>#N/A</v>
      </c>
      <c r="AK38" s="64" t="e">
        <v>#N/A</v>
      </c>
      <c r="AL38" s="19">
        <v>86300</v>
      </c>
      <c r="AM38" s="19">
        <v>117555</v>
      </c>
      <c r="AN38" s="23">
        <v>4281</v>
      </c>
      <c r="AO38" s="19">
        <v>208833</v>
      </c>
      <c r="AP38" s="19">
        <v>36</v>
      </c>
      <c r="AQ38" s="62"/>
      <c r="AR38" s="63"/>
      <c r="AS38" s="63"/>
      <c r="AT38" s="65">
        <f t="shared" si="0"/>
        <v>8770.9860000000008</v>
      </c>
      <c r="AU38" s="65">
        <f t="shared" si="1"/>
        <v>179.80199999999999</v>
      </c>
      <c r="AV38" s="65">
        <f t="shared" si="2"/>
        <v>1.512</v>
      </c>
      <c r="AW38" s="65">
        <f t="shared" si="4"/>
        <v>3624.6</v>
      </c>
      <c r="AX38" s="65">
        <f t="shared" si="3"/>
        <v>4937.3100000000004</v>
      </c>
      <c r="AY38" s="65">
        <f t="shared" si="5"/>
        <v>1.512</v>
      </c>
      <c r="AZ38" s="62"/>
      <c r="BA38" s="62"/>
      <c r="BB38" s="19">
        <v>25158</v>
      </c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</row>
    <row r="39" spans="1:116" hidden="1" x14ac:dyDescent="0.2">
      <c r="A39" s="57">
        <v>27760</v>
      </c>
      <c r="B39" s="58"/>
      <c r="C39" s="59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59"/>
      <c r="P39" s="61"/>
      <c r="Q39" s="62"/>
      <c r="R39" s="62"/>
      <c r="S39" s="62"/>
      <c r="T39" s="62"/>
      <c r="U39" s="62"/>
      <c r="V39" s="62"/>
      <c r="W39" s="62"/>
      <c r="X39" s="62"/>
      <c r="Y39" s="61"/>
      <c r="Z39" s="63"/>
      <c r="AA39" s="64" t="e">
        <v>#N/A</v>
      </c>
      <c r="AB39" s="62" t="e">
        <v>#N/A</v>
      </c>
      <c r="AC39" s="62" t="e">
        <v>#N/A</v>
      </c>
      <c r="AD39" s="62" t="e">
        <v>#N/A</v>
      </c>
      <c r="AE39" s="62" t="e">
        <v>#N/A</v>
      </c>
      <c r="AF39" s="62" t="e">
        <v>#N/A</v>
      </c>
      <c r="AG39" s="62" t="e">
        <v>#N/A</v>
      </c>
      <c r="AH39" s="62" t="e">
        <v>#N/A</v>
      </c>
      <c r="AI39" s="62" t="e">
        <v>#N/A</v>
      </c>
      <c r="AJ39" s="62" t="e">
        <v>#N/A</v>
      </c>
      <c r="AK39" s="64" t="e">
        <v>#N/A</v>
      </c>
      <c r="AL39" s="19">
        <v>84750</v>
      </c>
      <c r="AM39" s="19">
        <v>133220</v>
      </c>
      <c r="AN39" s="23">
        <v>5061</v>
      </c>
      <c r="AO39" s="19">
        <v>165477</v>
      </c>
      <c r="AP39" s="19">
        <v>7</v>
      </c>
      <c r="AQ39" s="62"/>
      <c r="AR39" s="63"/>
      <c r="AS39" s="63"/>
      <c r="AT39" s="65">
        <f t="shared" si="0"/>
        <v>6950.0339999999997</v>
      </c>
      <c r="AU39" s="65">
        <f t="shared" si="1"/>
        <v>212.56200000000001</v>
      </c>
      <c r="AV39" s="65">
        <f t="shared" si="2"/>
        <v>0.29399999999999998</v>
      </c>
      <c r="AW39" s="65">
        <f t="shared" si="4"/>
        <v>3559.5</v>
      </c>
      <c r="AX39" s="65">
        <f t="shared" si="3"/>
        <v>5595.24</v>
      </c>
      <c r="AY39" s="65">
        <f t="shared" si="5"/>
        <v>0.29399999999999998</v>
      </c>
      <c r="AZ39" s="62"/>
      <c r="BA39" s="62"/>
      <c r="BB39" s="19">
        <v>24475</v>
      </c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</row>
    <row r="40" spans="1:116" hidden="1" x14ac:dyDescent="0.2">
      <c r="A40" s="57">
        <v>27791</v>
      </c>
      <c r="B40" s="58"/>
      <c r="C40" s="59"/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59"/>
      <c r="P40" s="61"/>
      <c r="Q40" s="62"/>
      <c r="R40" s="62"/>
      <c r="S40" s="62"/>
      <c r="T40" s="62"/>
      <c r="U40" s="62"/>
      <c r="V40" s="62"/>
      <c r="W40" s="62"/>
      <c r="X40" s="62"/>
      <c r="Y40" s="61"/>
      <c r="Z40" s="63"/>
      <c r="AA40" s="64" t="e">
        <v>#N/A</v>
      </c>
      <c r="AB40" s="62" t="e">
        <v>#N/A</v>
      </c>
      <c r="AC40" s="62" t="e">
        <v>#N/A</v>
      </c>
      <c r="AD40" s="62" t="e">
        <v>#N/A</v>
      </c>
      <c r="AE40" s="62" t="e">
        <v>#N/A</v>
      </c>
      <c r="AF40" s="62" t="e">
        <v>#N/A</v>
      </c>
      <c r="AG40" s="62" t="e">
        <v>#N/A</v>
      </c>
      <c r="AH40" s="62" t="e">
        <v>#N/A</v>
      </c>
      <c r="AI40" s="62" t="e">
        <v>#N/A</v>
      </c>
      <c r="AJ40" s="62" t="e">
        <v>#N/A</v>
      </c>
      <c r="AK40" s="64" t="e">
        <v>#N/A</v>
      </c>
      <c r="AL40" s="19">
        <v>85870</v>
      </c>
      <c r="AM40" s="19">
        <v>107215</v>
      </c>
      <c r="AN40" s="23">
        <v>6308</v>
      </c>
      <c r="AO40" s="19">
        <v>150472</v>
      </c>
      <c r="AP40" s="19">
        <v>24</v>
      </c>
      <c r="AQ40" s="62"/>
      <c r="AR40" s="63"/>
      <c r="AS40" s="63"/>
      <c r="AT40" s="65">
        <f t="shared" si="0"/>
        <v>6319.8239999999996</v>
      </c>
      <c r="AU40" s="65">
        <f t="shared" si="1"/>
        <v>264.93599999999998</v>
      </c>
      <c r="AV40" s="65">
        <f t="shared" si="2"/>
        <v>1.008</v>
      </c>
      <c r="AW40" s="65">
        <f t="shared" si="4"/>
        <v>3606.54</v>
      </c>
      <c r="AX40" s="65">
        <f t="shared" si="3"/>
        <v>4503.03</v>
      </c>
      <c r="AY40" s="65">
        <f t="shared" si="5"/>
        <v>1.008</v>
      </c>
      <c r="AZ40" s="62"/>
      <c r="BA40" s="62"/>
      <c r="BB40" s="19">
        <v>25029</v>
      </c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</row>
    <row r="41" spans="1:116" hidden="1" x14ac:dyDescent="0.2">
      <c r="A41" s="57">
        <v>27820</v>
      </c>
      <c r="B41" s="58"/>
      <c r="C41" s="59"/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59"/>
      <c r="P41" s="61"/>
      <c r="Q41" s="62"/>
      <c r="R41" s="62"/>
      <c r="S41" s="62"/>
      <c r="T41" s="62"/>
      <c r="U41" s="62"/>
      <c r="V41" s="62"/>
      <c r="W41" s="62"/>
      <c r="X41" s="62"/>
      <c r="Y41" s="61"/>
      <c r="Z41" s="63"/>
      <c r="AA41" s="64" t="e">
        <v>#N/A</v>
      </c>
      <c r="AB41" s="62" t="e">
        <v>#N/A</v>
      </c>
      <c r="AC41" s="62" t="e">
        <v>#N/A</v>
      </c>
      <c r="AD41" s="62" t="e">
        <v>#N/A</v>
      </c>
      <c r="AE41" s="62" t="e">
        <v>#N/A</v>
      </c>
      <c r="AF41" s="62" t="e">
        <v>#N/A</v>
      </c>
      <c r="AG41" s="62" t="e">
        <v>#N/A</v>
      </c>
      <c r="AH41" s="62" t="e">
        <v>#N/A</v>
      </c>
      <c r="AI41" s="62" t="e">
        <v>#N/A</v>
      </c>
      <c r="AJ41" s="62" t="e">
        <v>#N/A</v>
      </c>
      <c r="AK41" s="64" t="e">
        <v>#N/A</v>
      </c>
      <c r="AL41" s="19">
        <v>86596</v>
      </c>
      <c r="AM41" s="19">
        <v>103515</v>
      </c>
      <c r="AN41" s="23">
        <v>4758</v>
      </c>
      <c r="AO41" s="19">
        <v>138340</v>
      </c>
      <c r="AP41" s="19">
        <v>35</v>
      </c>
      <c r="AQ41" s="62"/>
      <c r="AR41" s="63"/>
      <c r="AS41" s="63"/>
      <c r="AT41" s="65">
        <f t="shared" si="0"/>
        <v>5810.28</v>
      </c>
      <c r="AU41" s="65">
        <f t="shared" si="1"/>
        <v>199.83600000000001</v>
      </c>
      <c r="AV41" s="65">
        <f t="shared" si="2"/>
        <v>1.47</v>
      </c>
      <c r="AW41" s="65">
        <f t="shared" si="4"/>
        <v>3637.0320000000002</v>
      </c>
      <c r="AX41" s="65">
        <f t="shared" si="3"/>
        <v>4347.63</v>
      </c>
      <c r="AY41" s="65">
        <f t="shared" si="5"/>
        <v>1.47</v>
      </c>
      <c r="AZ41" s="62"/>
      <c r="BA41" s="62"/>
      <c r="BB41" s="19">
        <v>26895</v>
      </c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</row>
    <row r="42" spans="1:116" hidden="1" x14ac:dyDescent="0.2">
      <c r="A42" s="57">
        <v>27851</v>
      </c>
      <c r="B42" s="58"/>
      <c r="C42" s="59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59"/>
      <c r="P42" s="61"/>
      <c r="Q42" s="62"/>
      <c r="R42" s="62"/>
      <c r="S42" s="62"/>
      <c r="T42" s="62"/>
      <c r="U42" s="62"/>
      <c r="V42" s="62"/>
      <c r="W42" s="62"/>
      <c r="X42" s="62"/>
      <c r="Y42" s="61"/>
      <c r="Z42" s="63"/>
      <c r="AA42" s="64" t="e">
        <v>#N/A</v>
      </c>
      <c r="AB42" s="62" t="e">
        <v>#N/A</v>
      </c>
      <c r="AC42" s="62" t="e">
        <v>#N/A</v>
      </c>
      <c r="AD42" s="62" t="e">
        <v>#N/A</v>
      </c>
      <c r="AE42" s="62" t="e">
        <v>#N/A</v>
      </c>
      <c r="AF42" s="62" t="e">
        <v>#N/A</v>
      </c>
      <c r="AG42" s="62" t="e">
        <v>#N/A</v>
      </c>
      <c r="AH42" s="62" t="e">
        <v>#N/A</v>
      </c>
      <c r="AI42" s="62" t="e">
        <v>#N/A</v>
      </c>
      <c r="AJ42" s="62" t="e">
        <v>#N/A</v>
      </c>
      <c r="AK42" s="64" t="e">
        <v>#N/A</v>
      </c>
      <c r="AL42" s="19">
        <v>79652</v>
      </c>
      <c r="AM42" s="19">
        <v>83629</v>
      </c>
      <c r="AN42" s="23">
        <v>2875</v>
      </c>
      <c r="AO42" s="19">
        <v>137285</v>
      </c>
      <c r="AP42" s="19">
        <v>15</v>
      </c>
      <c r="AQ42" s="62"/>
      <c r="AR42" s="63"/>
      <c r="AS42" s="63"/>
      <c r="AT42" s="65">
        <f t="shared" si="0"/>
        <v>5765.97</v>
      </c>
      <c r="AU42" s="65">
        <f t="shared" si="1"/>
        <v>120.75</v>
      </c>
      <c r="AV42" s="65">
        <f t="shared" si="2"/>
        <v>0.63</v>
      </c>
      <c r="AW42" s="65">
        <f t="shared" si="4"/>
        <v>3345.384</v>
      </c>
      <c r="AX42" s="65">
        <f t="shared" si="3"/>
        <v>3512.4180000000001</v>
      </c>
      <c r="AY42" s="65">
        <f t="shared" si="5"/>
        <v>0.63</v>
      </c>
      <c r="AZ42" s="62"/>
      <c r="BA42" s="62"/>
      <c r="BB42" s="19">
        <v>27567</v>
      </c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</row>
    <row r="43" spans="1:116" hidden="1" x14ac:dyDescent="0.2">
      <c r="A43" s="57">
        <v>27881</v>
      </c>
      <c r="B43" s="58"/>
      <c r="C43" s="59"/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59"/>
      <c r="P43" s="61"/>
      <c r="Q43" s="62"/>
      <c r="R43" s="62"/>
      <c r="S43" s="62"/>
      <c r="T43" s="62"/>
      <c r="U43" s="62"/>
      <c r="V43" s="62"/>
      <c r="W43" s="62"/>
      <c r="X43" s="62"/>
      <c r="Y43" s="61"/>
      <c r="Z43" s="63"/>
      <c r="AA43" s="64" t="e">
        <v>#N/A</v>
      </c>
      <c r="AB43" s="62" t="e">
        <v>#N/A</v>
      </c>
      <c r="AC43" s="62" t="e">
        <v>#N/A</v>
      </c>
      <c r="AD43" s="62" t="e">
        <v>#N/A</v>
      </c>
      <c r="AE43" s="62" t="e">
        <v>#N/A</v>
      </c>
      <c r="AF43" s="62" t="e">
        <v>#N/A</v>
      </c>
      <c r="AG43" s="62" t="e">
        <v>#N/A</v>
      </c>
      <c r="AH43" s="62" t="e">
        <v>#N/A</v>
      </c>
      <c r="AI43" s="62" t="e">
        <v>#N/A</v>
      </c>
      <c r="AJ43" s="62" t="e">
        <v>#N/A</v>
      </c>
      <c r="AK43" s="64" t="e">
        <v>#N/A</v>
      </c>
      <c r="AL43" s="19">
        <v>84878</v>
      </c>
      <c r="AM43" s="19">
        <v>78096</v>
      </c>
      <c r="AN43" s="23">
        <v>2993</v>
      </c>
      <c r="AO43" s="19">
        <v>147097</v>
      </c>
      <c r="AP43" s="19">
        <v>21</v>
      </c>
      <c r="AQ43" s="62"/>
      <c r="AR43" s="63"/>
      <c r="AS43" s="63"/>
      <c r="AT43" s="65">
        <f t="shared" si="0"/>
        <v>6178.0739999999996</v>
      </c>
      <c r="AU43" s="65">
        <f t="shared" si="1"/>
        <v>125.706</v>
      </c>
      <c r="AV43" s="65">
        <f t="shared" si="2"/>
        <v>0.88200000000000001</v>
      </c>
      <c r="AW43" s="65">
        <f t="shared" si="4"/>
        <v>3564.8760000000002</v>
      </c>
      <c r="AX43" s="65">
        <f t="shared" si="3"/>
        <v>3280.0320000000002</v>
      </c>
      <c r="AY43" s="65">
        <f t="shared" si="5"/>
        <v>0.88200000000000001</v>
      </c>
      <c r="AZ43" s="62"/>
      <c r="BA43" s="62"/>
      <c r="BB43" s="19">
        <v>27993</v>
      </c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</row>
    <row r="44" spans="1:116" hidden="1" x14ac:dyDescent="0.2">
      <c r="A44" s="57">
        <v>27912</v>
      </c>
      <c r="B44" s="58"/>
      <c r="C44" s="59"/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59"/>
      <c r="P44" s="61"/>
      <c r="Q44" s="62"/>
      <c r="R44" s="62"/>
      <c r="S44" s="62"/>
      <c r="T44" s="62"/>
      <c r="U44" s="62"/>
      <c r="V44" s="62"/>
      <c r="W44" s="62"/>
      <c r="X44" s="62"/>
      <c r="Y44" s="61"/>
      <c r="Z44" s="63"/>
      <c r="AA44" s="64" t="e">
        <v>#N/A</v>
      </c>
      <c r="AB44" s="62" t="e">
        <v>#N/A</v>
      </c>
      <c r="AC44" s="62" t="e">
        <v>#N/A</v>
      </c>
      <c r="AD44" s="62" t="e">
        <v>#N/A</v>
      </c>
      <c r="AE44" s="62" t="e">
        <v>#N/A</v>
      </c>
      <c r="AF44" s="62" t="e">
        <v>#N/A</v>
      </c>
      <c r="AG44" s="62" t="e">
        <v>#N/A</v>
      </c>
      <c r="AH44" s="62" t="e">
        <v>#N/A</v>
      </c>
      <c r="AI44" s="62" t="e">
        <v>#N/A</v>
      </c>
      <c r="AJ44" s="62" t="e">
        <v>#N/A</v>
      </c>
      <c r="AK44" s="64" t="e">
        <v>#N/A</v>
      </c>
      <c r="AL44" s="19">
        <v>86550</v>
      </c>
      <c r="AM44" s="19">
        <v>73088</v>
      </c>
      <c r="AN44" s="23">
        <v>4517</v>
      </c>
      <c r="AO44" s="19">
        <v>165110</v>
      </c>
      <c r="AP44" s="19">
        <v>26</v>
      </c>
      <c r="AQ44" s="62"/>
      <c r="AR44" s="63"/>
      <c r="AS44" s="63"/>
      <c r="AT44" s="65">
        <f t="shared" si="0"/>
        <v>6934.62</v>
      </c>
      <c r="AU44" s="65">
        <f t="shared" si="1"/>
        <v>189.714</v>
      </c>
      <c r="AV44" s="65">
        <f t="shared" si="2"/>
        <v>1.0920000000000001</v>
      </c>
      <c r="AW44" s="65">
        <f t="shared" si="4"/>
        <v>3635.1</v>
      </c>
      <c r="AX44" s="65">
        <f t="shared" si="3"/>
        <v>3069.6959999999999</v>
      </c>
      <c r="AY44" s="65">
        <f t="shared" si="5"/>
        <v>1.0920000000000001</v>
      </c>
      <c r="AZ44" s="62"/>
      <c r="BA44" s="62"/>
      <c r="BB44" s="19">
        <v>27514</v>
      </c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</row>
    <row r="45" spans="1:116" hidden="1" x14ac:dyDescent="0.2">
      <c r="A45" s="57">
        <v>27942</v>
      </c>
      <c r="B45" s="58"/>
      <c r="C45" s="59"/>
      <c r="D45" s="60"/>
      <c r="E45" s="60"/>
      <c r="F45" s="60"/>
      <c r="G45" s="60"/>
      <c r="H45" s="60"/>
      <c r="I45" s="60"/>
      <c r="J45" s="60"/>
      <c r="K45" s="60"/>
      <c r="L45" s="60"/>
      <c r="M45" s="60"/>
      <c r="N45" s="60"/>
      <c r="O45" s="59"/>
      <c r="P45" s="61"/>
      <c r="Q45" s="62"/>
      <c r="R45" s="62"/>
      <c r="S45" s="62"/>
      <c r="T45" s="62"/>
      <c r="U45" s="62"/>
      <c r="V45" s="62"/>
      <c r="W45" s="62"/>
      <c r="X45" s="62"/>
      <c r="Y45" s="61"/>
      <c r="Z45" s="63"/>
      <c r="AA45" s="64" t="e">
        <v>#N/A</v>
      </c>
      <c r="AB45" s="62" t="e">
        <v>#N/A</v>
      </c>
      <c r="AC45" s="62" t="e">
        <v>#N/A</v>
      </c>
      <c r="AD45" s="62" t="e">
        <v>#N/A</v>
      </c>
      <c r="AE45" s="62" t="e">
        <v>#N/A</v>
      </c>
      <c r="AF45" s="62" t="e">
        <v>#N/A</v>
      </c>
      <c r="AG45" s="62" t="e">
        <v>#N/A</v>
      </c>
      <c r="AH45" s="62" t="e">
        <v>#N/A</v>
      </c>
      <c r="AI45" s="62" t="e">
        <v>#N/A</v>
      </c>
      <c r="AJ45" s="62" t="e">
        <v>#N/A</v>
      </c>
      <c r="AK45" s="64" t="e">
        <v>#N/A</v>
      </c>
      <c r="AL45" s="19">
        <v>91733</v>
      </c>
      <c r="AM45" s="19">
        <v>69909</v>
      </c>
      <c r="AN45" s="23">
        <v>3917</v>
      </c>
      <c r="AO45" s="19">
        <v>190900</v>
      </c>
      <c r="AP45" s="19">
        <v>15</v>
      </c>
      <c r="AQ45" s="62"/>
      <c r="AR45" s="63"/>
      <c r="AS45" s="63"/>
      <c r="AT45" s="65">
        <f t="shared" si="0"/>
        <v>8017.8</v>
      </c>
      <c r="AU45" s="65">
        <f t="shared" si="1"/>
        <v>164.51400000000001</v>
      </c>
      <c r="AV45" s="65">
        <f t="shared" si="2"/>
        <v>0.63</v>
      </c>
      <c r="AW45" s="65">
        <f t="shared" si="4"/>
        <v>3852.7860000000001</v>
      </c>
      <c r="AX45" s="65">
        <f t="shared" si="3"/>
        <v>2936.1779999999999</v>
      </c>
      <c r="AY45" s="65">
        <f t="shared" si="5"/>
        <v>0.63</v>
      </c>
      <c r="AZ45" s="62"/>
      <c r="BA45" s="62"/>
      <c r="BB45" s="19">
        <v>26653</v>
      </c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</row>
    <row r="46" spans="1:116" hidden="1" x14ac:dyDescent="0.2">
      <c r="A46" s="57">
        <v>27973</v>
      </c>
      <c r="B46" s="58"/>
      <c r="C46" s="59"/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59"/>
      <c r="P46" s="61"/>
      <c r="Q46" s="62"/>
      <c r="R46" s="62"/>
      <c r="S46" s="62"/>
      <c r="T46" s="62"/>
      <c r="U46" s="62"/>
      <c r="V46" s="62"/>
      <c r="W46" s="62"/>
      <c r="X46" s="62"/>
      <c r="Y46" s="61"/>
      <c r="Z46" s="63"/>
      <c r="AA46" s="64" t="e">
        <v>#N/A</v>
      </c>
      <c r="AB46" s="62" t="e">
        <v>#N/A</v>
      </c>
      <c r="AC46" s="62" t="e">
        <v>#N/A</v>
      </c>
      <c r="AD46" s="62" t="e">
        <v>#N/A</v>
      </c>
      <c r="AE46" s="62" t="e">
        <v>#N/A</v>
      </c>
      <c r="AF46" s="62" t="e">
        <v>#N/A</v>
      </c>
      <c r="AG46" s="62" t="e">
        <v>#N/A</v>
      </c>
      <c r="AH46" s="62" t="e">
        <v>#N/A</v>
      </c>
      <c r="AI46" s="62" t="e">
        <v>#N/A</v>
      </c>
      <c r="AJ46" s="62" t="e">
        <v>#N/A</v>
      </c>
      <c r="AK46" s="64" t="e">
        <v>#N/A</v>
      </c>
      <c r="AL46" s="19">
        <v>92429</v>
      </c>
      <c r="AM46" s="19">
        <v>69355</v>
      </c>
      <c r="AN46" s="23">
        <v>4059</v>
      </c>
      <c r="AO46" s="19">
        <v>217969</v>
      </c>
      <c r="AP46" s="19">
        <v>125</v>
      </c>
      <c r="AQ46" s="62"/>
      <c r="AR46" s="63"/>
      <c r="AS46" s="63"/>
      <c r="AT46" s="65">
        <f t="shared" si="0"/>
        <v>9154.6980000000003</v>
      </c>
      <c r="AU46" s="65">
        <f t="shared" si="1"/>
        <v>170.47800000000001</v>
      </c>
      <c r="AV46" s="65">
        <f t="shared" si="2"/>
        <v>5.25</v>
      </c>
      <c r="AW46" s="65">
        <f t="shared" si="4"/>
        <v>3882.018</v>
      </c>
      <c r="AX46" s="65">
        <f t="shared" si="3"/>
        <v>2912.91</v>
      </c>
      <c r="AY46" s="65">
        <f t="shared" si="5"/>
        <v>5.25</v>
      </c>
      <c r="AZ46" s="62"/>
      <c r="BA46" s="62"/>
      <c r="BB46" s="19">
        <v>26788</v>
      </c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</row>
    <row r="47" spans="1:116" hidden="1" x14ac:dyDescent="0.2">
      <c r="A47" s="57">
        <v>28004</v>
      </c>
      <c r="B47" s="58"/>
      <c r="C47" s="59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59"/>
      <c r="P47" s="61"/>
      <c r="Q47" s="62"/>
      <c r="R47" s="62"/>
      <c r="S47" s="62"/>
      <c r="T47" s="62"/>
      <c r="U47" s="62"/>
      <c r="V47" s="62"/>
      <c r="W47" s="62"/>
      <c r="X47" s="62"/>
      <c r="Y47" s="61"/>
      <c r="Z47" s="63"/>
      <c r="AA47" s="64" t="e">
        <v>#N/A</v>
      </c>
      <c r="AB47" s="62" t="e">
        <v>#N/A</v>
      </c>
      <c r="AC47" s="62" t="e">
        <v>#N/A</v>
      </c>
      <c r="AD47" s="62" t="e">
        <v>#N/A</v>
      </c>
      <c r="AE47" s="62" t="e">
        <v>#N/A</v>
      </c>
      <c r="AF47" s="62" t="e">
        <v>#N/A</v>
      </c>
      <c r="AG47" s="62" t="e">
        <v>#N/A</v>
      </c>
      <c r="AH47" s="62" t="e">
        <v>#N/A</v>
      </c>
      <c r="AI47" s="62" t="e">
        <v>#N/A</v>
      </c>
      <c r="AJ47" s="62" t="e">
        <v>#N/A</v>
      </c>
      <c r="AK47" s="64" t="e">
        <v>#N/A</v>
      </c>
      <c r="AL47" s="19">
        <v>88405</v>
      </c>
      <c r="AM47" s="19">
        <v>78594</v>
      </c>
      <c r="AN47" s="23">
        <v>4465</v>
      </c>
      <c r="AO47" s="19">
        <v>232268</v>
      </c>
      <c r="AP47" s="19">
        <v>38</v>
      </c>
      <c r="AQ47" s="62"/>
      <c r="AR47" s="63"/>
      <c r="AS47" s="63"/>
      <c r="AT47" s="65">
        <f t="shared" si="0"/>
        <v>9755.2559999999994</v>
      </c>
      <c r="AU47" s="65">
        <f t="shared" si="1"/>
        <v>187.53</v>
      </c>
      <c r="AV47" s="65">
        <f t="shared" si="2"/>
        <v>1.5960000000000001</v>
      </c>
      <c r="AW47" s="65">
        <f t="shared" si="4"/>
        <v>3713.01</v>
      </c>
      <c r="AX47" s="65">
        <f t="shared" si="3"/>
        <v>3300.9479999999999</v>
      </c>
      <c r="AY47" s="65">
        <f t="shared" si="5"/>
        <v>1.5960000000000001</v>
      </c>
      <c r="AZ47" s="62"/>
      <c r="BA47" s="62"/>
      <c r="BB47" s="19">
        <v>27294</v>
      </c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</row>
    <row r="48" spans="1:116" hidden="1" x14ac:dyDescent="0.2">
      <c r="A48" s="57">
        <v>28034</v>
      </c>
      <c r="B48" s="58"/>
      <c r="C48" s="59"/>
      <c r="D48" s="60"/>
      <c r="E48" s="60"/>
      <c r="F48" s="60"/>
      <c r="G48" s="60"/>
      <c r="H48" s="60"/>
      <c r="I48" s="60"/>
      <c r="J48" s="60"/>
      <c r="K48" s="60"/>
      <c r="L48" s="60"/>
      <c r="M48" s="60"/>
      <c r="N48" s="60"/>
      <c r="O48" s="59"/>
      <c r="P48" s="61"/>
      <c r="Q48" s="62"/>
      <c r="R48" s="62"/>
      <c r="S48" s="62"/>
      <c r="T48" s="62"/>
      <c r="U48" s="62"/>
      <c r="V48" s="62"/>
      <c r="W48" s="62"/>
      <c r="X48" s="62"/>
      <c r="Y48" s="61"/>
      <c r="Z48" s="63"/>
      <c r="AA48" s="64" t="e">
        <v>#N/A</v>
      </c>
      <c r="AB48" s="62" t="e">
        <v>#N/A</v>
      </c>
      <c r="AC48" s="62" t="e">
        <v>#N/A</v>
      </c>
      <c r="AD48" s="62" t="e">
        <v>#N/A</v>
      </c>
      <c r="AE48" s="62" t="e">
        <v>#N/A</v>
      </c>
      <c r="AF48" s="62" t="e">
        <v>#N/A</v>
      </c>
      <c r="AG48" s="62" t="e">
        <v>#N/A</v>
      </c>
      <c r="AH48" s="62" t="e">
        <v>#N/A</v>
      </c>
      <c r="AI48" s="62" t="e">
        <v>#N/A</v>
      </c>
      <c r="AJ48" s="62" t="e">
        <v>#N/A</v>
      </c>
      <c r="AK48" s="64" t="e">
        <v>#N/A</v>
      </c>
      <c r="AL48" s="19">
        <v>92856</v>
      </c>
      <c r="AM48" s="19">
        <v>93972</v>
      </c>
      <c r="AN48" s="23">
        <v>4458</v>
      </c>
      <c r="AO48" s="19">
        <v>235638</v>
      </c>
      <c r="AP48" s="19">
        <v>28</v>
      </c>
      <c r="AQ48" s="62"/>
      <c r="AR48" s="63"/>
      <c r="AS48" s="63"/>
      <c r="AT48" s="65">
        <f t="shared" si="0"/>
        <v>9896.7960000000003</v>
      </c>
      <c r="AU48" s="65">
        <f t="shared" si="1"/>
        <v>187.23599999999999</v>
      </c>
      <c r="AV48" s="65">
        <f t="shared" si="2"/>
        <v>1.1759999999999999</v>
      </c>
      <c r="AW48" s="65">
        <f t="shared" si="4"/>
        <v>3899.9520000000002</v>
      </c>
      <c r="AX48" s="65">
        <f t="shared" si="3"/>
        <v>3946.8240000000001</v>
      </c>
      <c r="AY48" s="65">
        <f t="shared" si="5"/>
        <v>1.1759999999999999</v>
      </c>
      <c r="AZ48" s="62"/>
      <c r="BA48" s="62"/>
      <c r="BB48" s="19">
        <v>27041</v>
      </c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</row>
    <row r="49" spans="1:116" hidden="1" x14ac:dyDescent="0.2">
      <c r="A49" s="57">
        <v>28065</v>
      </c>
      <c r="B49" s="58"/>
      <c r="C49" s="59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59"/>
      <c r="P49" s="61"/>
      <c r="Q49" s="62"/>
      <c r="R49" s="62"/>
      <c r="S49" s="62"/>
      <c r="T49" s="62"/>
      <c r="U49" s="62"/>
      <c r="V49" s="62"/>
      <c r="W49" s="62"/>
      <c r="X49" s="62"/>
      <c r="Y49" s="61"/>
      <c r="Z49" s="63"/>
      <c r="AA49" s="64" t="e">
        <v>#N/A</v>
      </c>
      <c r="AB49" s="62" t="e">
        <v>#N/A</v>
      </c>
      <c r="AC49" s="62" t="e">
        <v>#N/A</v>
      </c>
      <c r="AD49" s="62" t="e">
        <v>#N/A</v>
      </c>
      <c r="AE49" s="62" t="e">
        <v>#N/A</v>
      </c>
      <c r="AF49" s="62" t="e">
        <v>#N/A</v>
      </c>
      <c r="AG49" s="62" t="e">
        <v>#N/A</v>
      </c>
      <c r="AH49" s="62" t="e">
        <v>#N/A</v>
      </c>
      <c r="AI49" s="62" t="e">
        <v>#N/A</v>
      </c>
      <c r="AJ49" s="62" t="e">
        <v>#N/A</v>
      </c>
      <c r="AK49" s="64" t="e">
        <v>#N/A</v>
      </c>
      <c r="AL49" s="19">
        <v>95410</v>
      </c>
      <c r="AM49" s="19">
        <v>111415</v>
      </c>
      <c r="AN49" s="23">
        <v>4039</v>
      </c>
      <c r="AO49" s="19">
        <v>223685</v>
      </c>
      <c r="AP49" s="19">
        <v>43</v>
      </c>
      <c r="AQ49" s="62"/>
      <c r="AR49" s="63"/>
      <c r="AS49" s="63"/>
      <c r="AT49" s="65">
        <f t="shared" si="0"/>
        <v>9394.77</v>
      </c>
      <c r="AU49" s="65">
        <f t="shared" si="1"/>
        <v>169.63800000000001</v>
      </c>
      <c r="AV49" s="65">
        <f t="shared" si="2"/>
        <v>1.806</v>
      </c>
      <c r="AW49" s="65">
        <f t="shared" si="4"/>
        <v>4007.22</v>
      </c>
      <c r="AX49" s="65">
        <f t="shared" si="3"/>
        <v>4679.43</v>
      </c>
      <c r="AY49" s="65">
        <f t="shared" si="5"/>
        <v>1.806</v>
      </c>
      <c r="AZ49" s="62"/>
      <c r="BA49" s="62"/>
      <c r="BB49" s="19">
        <v>27050</v>
      </c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</row>
    <row r="50" spans="1:116" hidden="1" x14ac:dyDescent="0.2">
      <c r="A50" s="57">
        <v>28095</v>
      </c>
      <c r="B50" s="58"/>
      <c r="C50" s="59"/>
      <c r="D50" s="60"/>
      <c r="E50" s="60"/>
      <c r="F50" s="60"/>
      <c r="G50" s="60"/>
      <c r="H50" s="60"/>
      <c r="I50" s="60"/>
      <c r="J50" s="60"/>
      <c r="K50" s="60"/>
      <c r="L50" s="60"/>
      <c r="M50" s="60"/>
      <c r="N50" s="60"/>
      <c r="O50" s="59"/>
      <c r="P50" s="61"/>
      <c r="Q50" s="62"/>
      <c r="R50" s="62"/>
      <c r="S50" s="62"/>
      <c r="T50" s="62"/>
      <c r="U50" s="62"/>
      <c r="V50" s="62"/>
      <c r="W50" s="62"/>
      <c r="X50" s="62"/>
      <c r="Y50" s="61"/>
      <c r="Z50" s="63"/>
      <c r="AA50" s="64" t="e">
        <v>#N/A</v>
      </c>
      <c r="AB50" s="62" t="e">
        <v>#N/A</v>
      </c>
      <c r="AC50" s="62" t="e">
        <v>#N/A</v>
      </c>
      <c r="AD50" s="62" t="e">
        <v>#N/A</v>
      </c>
      <c r="AE50" s="62" t="e">
        <v>#N/A</v>
      </c>
      <c r="AF50" s="62" t="e">
        <v>#N/A</v>
      </c>
      <c r="AG50" s="62" t="e">
        <v>#N/A</v>
      </c>
      <c r="AH50" s="62" t="e">
        <v>#N/A</v>
      </c>
      <c r="AI50" s="62" t="e">
        <v>#N/A</v>
      </c>
      <c r="AJ50" s="62" t="e">
        <v>#N/A</v>
      </c>
      <c r="AK50" s="64" t="e">
        <v>#N/A</v>
      </c>
      <c r="AL50" s="19">
        <v>100903</v>
      </c>
      <c r="AM50" s="19">
        <v>144687</v>
      </c>
      <c r="AN50" s="23">
        <v>6070</v>
      </c>
      <c r="AO50" s="19">
        <v>185986</v>
      </c>
      <c r="AP50" s="19">
        <v>44</v>
      </c>
      <c r="AQ50" s="62"/>
      <c r="AR50" s="63"/>
      <c r="AS50" s="63"/>
      <c r="AT50" s="65">
        <f t="shared" si="0"/>
        <v>7811.4120000000003</v>
      </c>
      <c r="AU50" s="65">
        <f t="shared" si="1"/>
        <v>254.94</v>
      </c>
      <c r="AV50" s="65">
        <f t="shared" si="2"/>
        <v>1.8480000000000001</v>
      </c>
      <c r="AW50" s="65">
        <f t="shared" si="4"/>
        <v>4237.9260000000004</v>
      </c>
      <c r="AX50" s="65">
        <f t="shared" si="3"/>
        <v>6076.8540000000003</v>
      </c>
      <c r="AY50" s="65">
        <f t="shared" si="5"/>
        <v>1.8480000000000001</v>
      </c>
      <c r="AZ50" s="62"/>
      <c r="BA50" s="62"/>
      <c r="BB50" s="19">
        <v>25590</v>
      </c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</row>
    <row r="51" spans="1:116" hidden="1" x14ac:dyDescent="0.2">
      <c r="A51" s="57">
        <v>28126</v>
      </c>
      <c r="B51" s="58"/>
      <c r="C51" s="59"/>
      <c r="D51" s="60"/>
      <c r="E51" s="60"/>
      <c r="F51" s="60"/>
      <c r="G51" s="60"/>
      <c r="H51" s="60"/>
      <c r="I51" s="60"/>
      <c r="J51" s="60"/>
      <c r="K51" s="60"/>
      <c r="L51" s="60"/>
      <c r="M51" s="60"/>
      <c r="N51" s="60"/>
      <c r="O51" s="59"/>
      <c r="P51" s="61"/>
      <c r="Q51" s="62"/>
      <c r="R51" s="62"/>
      <c r="S51" s="62"/>
      <c r="T51" s="62"/>
      <c r="U51" s="62"/>
      <c r="V51" s="62"/>
      <c r="W51" s="62"/>
      <c r="X51" s="62"/>
      <c r="Y51" s="61"/>
      <c r="Z51" s="63"/>
      <c r="AA51" s="64" t="e">
        <v>#N/A</v>
      </c>
      <c r="AB51" s="62" t="e">
        <v>#N/A</v>
      </c>
      <c r="AC51" s="62" t="e">
        <v>#N/A</v>
      </c>
      <c r="AD51" s="62" t="e">
        <v>#N/A</v>
      </c>
      <c r="AE51" s="62" t="e">
        <v>#N/A</v>
      </c>
      <c r="AF51" s="62" t="e">
        <v>#N/A</v>
      </c>
      <c r="AG51" s="62" t="e">
        <v>#N/A</v>
      </c>
      <c r="AH51" s="62" t="e">
        <v>#N/A</v>
      </c>
      <c r="AI51" s="62" t="e">
        <v>#N/A</v>
      </c>
      <c r="AJ51" s="62" t="e">
        <v>#N/A</v>
      </c>
      <c r="AK51" s="64" t="e">
        <v>#N/A</v>
      </c>
      <c r="AL51" s="19">
        <v>104439</v>
      </c>
      <c r="AM51" s="19">
        <v>158199</v>
      </c>
      <c r="AN51" s="23">
        <v>10763</v>
      </c>
      <c r="AO51" s="19">
        <v>143011</v>
      </c>
      <c r="AP51" s="19">
        <v>35</v>
      </c>
      <c r="AQ51" s="62"/>
      <c r="AR51" s="63"/>
      <c r="AS51" s="63"/>
      <c r="AT51" s="65">
        <f t="shared" si="0"/>
        <v>6006.4620000000004</v>
      </c>
      <c r="AU51" s="65">
        <f t="shared" si="1"/>
        <v>452.04599999999999</v>
      </c>
      <c r="AV51" s="65">
        <f t="shared" si="2"/>
        <v>1.47</v>
      </c>
      <c r="AW51" s="65">
        <f t="shared" si="4"/>
        <v>4386.4380000000001</v>
      </c>
      <c r="AX51" s="65">
        <f t="shared" si="3"/>
        <v>6644.3580000000002</v>
      </c>
      <c r="AY51" s="65">
        <f t="shared" si="5"/>
        <v>1.47</v>
      </c>
      <c r="AZ51" s="62"/>
      <c r="BA51" s="62"/>
      <c r="BB51" s="19">
        <v>23408</v>
      </c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</row>
    <row r="52" spans="1:116" hidden="1" x14ac:dyDescent="0.2">
      <c r="A52" s="57">
        <v>28157</v>
      </c>
      <c r="B52" s="58"/>
      <c r="C52" s="59"/>
      <c r="D52" s="60"/>
      <c r="E52" s="60"/>
      <c r="F52" s="60"/>
      <c r="G52" s="60"/>
      <c r="H52" s="60"/>
      <c r="I52" s="60"/>
      <c r="J52" s="60"/>
      <c r="K52" s="60"/>
      <c r="L52" s="60"/>
      <c r="M52" s="60"/>
      <c r="N52" s="60"/>
      <c r="O52" s="59"/>
      <c r="P52" s="61"/>
      <c r="Q52" s="62"/>
      <c r="R52" s="62"/>
      <c r="S52" s="62"/>
      <c r="T52" s="62"/>
      <c r="U52" s="62"/>
      <c r="V52" s="62"/>
      <c r="W52" s="62"/>
      <c r="X52" s="62"/>
      <c r="Y52" s="61"/>
      <c r="Z52" s="63"/>
      <c r="AA52" s="64" t="e">
        <v>#N/A</v>
      </c>
      <c r="AB52" s="62" t="e">
        <v>#N/A</v>
      </c>
      <c r="AC52" s="62" t="e">
        <v>#N/A</v>
      </c>
      <c r="AD52" s="62" t="e">
        <v>#N/A</v>
      </c>
      <c r="AE52" s="62" t="e">
        <v>#N/A</v>
      </c>
      <c r="AF52" s="62" t="e">
        <v>#N/A</v>
      </c>
      <c r="AG52" s="62" t="e">
        <v>#N/A</v>
      </c>
      <c r="AH52" s="62" t="e">
        <v>#N/A</v>
      </c>
      <c r="AI52" s="62" t="e">
        <v>#N/A</v>
      </c>
      <c r="AJ52" s="62" t="e">
        <v>#N/A</v>
      </c>
      <c r="AK52" s="64" t="e">
        <v>#N/A</v>
      </c>
      <c r="AL52" s="19">
        <v>103463</v>
      </c>
      <c r="AM52" s="19">
        <v>131825</v>
      </c>
      <c r="AN52" s="23">
        <v>18601</v>
      </c>
      <c r="AO52" s="19">
        <v>133280</v>
      </c>
      <c r="AP52" s="19">
        <v>24</v>
      </c>
      <c r="AQ52" s="62"/>
      <c r="AR52" s="63"/>
      <c r="AS52" s="63"/>
      <c r="AT52" s="65">
        <f t="shared" si="0"/>
        <v>5597.76</v>
      </c>
      <c r="AU52" s="65">
        <f t="shared" si="1"/>
        <v>781.24199999999996</v>
      </c>
      <c r="AV52" s="65">
        <f t="shared" si="2"/>
        <v>1.008</v>
      </c>
      <c r="AW52" s="65">
        <f t="shared" si="4"/>
        <v>4345.4459999999999</v>
      </c>
      <c r="AX52" s="65">
        <f t="shared" si="3"/>
        <v>5536.65</v>
      </c>
      <c r="AY52" s="65">
        <f t="shared" si="5"/>
        <v>1.008</v>
      </c>
      <c r="AZ52" s="62"/>
      <c r="BA52" s="62"/>
      <c r="BB52" s="19">
        <v>24017</v>
      </c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</row>
    <row r="53" spans="1:116" hidden="1" x14ac:dyDescent="0.2">
      <c r="A53" s="57">
        <v>28185</v>
      </c>
      <c r="B53" s="58"/>
      <c r="C53" s="59"/>
      <c r="D53" s="60"/>
      <c r="E53" s="60"/>
      <c r="F53" s="60"/>
      <c r="G53" s="60"/>
      <c r="H53" s="60"/>
      <c r="I53" s="60"/>
      <c r="J53" s="60"/>
      <c r="K53" s="60"/>
      <c r="L53" s="60"/>
      <c r="M53" s="60"/>
      <c r="N53" s="60"/>
      <c r="O53" s="59"/>
      <c r="P53" s="61"/>
      <c r="Q53" s="62"/>
      <c r="R53" s="62"/>
      <c r="S53" s="62"/>
      <c r="T53" s="62"/>
      <c r="U53" s="62"/>
      <c r="V53" s="62"/>
      <c r="W53" s="62"/>
      <c r="X53" s="62"/>
      <c r="Y53" s="61"/>
      <c r="Z53" s="63"/>
      <c r="AA53" s="64" t="e">
        <v>#N/A</v>
      </c>
      <c r="AB53" s="62" t="e">
        <v>#N/A</v>
      </c>
      <c r="AC53" s="62" t="e">
        <v>#N/A</v>
      </c>
      <c r="AD53" s="62" t="e">
        <v>#N/A</v>
      </c>
      <c r="AE53" s="62" t="e">
        <v>#N/A</v>
      </c>
      <c r="AF53" s="62" t="e">
        <v>#N/A</v>
      </c>
      <c r="AG53" s="62" t="e">
        <v>#N/A</v>
      </c>
      <c r="AH53" s="62" t="e">
        <v>#N/A</v>
      </c>
      <c r="AI53" s="62" t="e">
        <v>#N/A</v>
      </c>
      <c r="AJ53" s="62" t="e">
        <v>#N/A</v>
      </c>
      <c r="AK53" s="64" t="e">
        <v>#N/A</v>
      </c>
      <c r="AL53" s="19">
        <v>98359</v>
      </c>
      <c r="AM53" s="19">
        <v>106716</v>
      </c>
      <c r="AN53" s="23">
        <v>16960</v>
      </c>
      <c r="AO53" s="19">
        <v>141911</v>
      </c>
      <c r="AP53" s="19">
        <v>30</v>
      </c>
      <c r="AQ53" s="62"/>
      <c r="AR53" s="63"/>
      <c r="AS53" s="63"/>
      <c r="AT53" s="65">
        <f t="shared" si="0"/>
        <v>5960.2619999999997</v>
      </c>
      <c r="AU53" s="65">
        <f t="shared" si="1"/>
        <v>712.32</v>
      </c>
      <c r="AV53" s="65">
        <f t="shared" si="2"/>
        <v>1.26</v>
      </c>
      <c r="AW53" s="65">
        <f t="shared" si="4"/>
        <v>4131.0780000000004</v>
      </c>
      <c r="AX53" s="65">
        <f t="shared" si="3"/>
        <v>4482.0720000000001</v>
      </c>
      <c r="AY53" s="65">
        <f t="shared" si="5"/>
        <v>1.26</v>
      </c>
      <c r="AZ53" s="62"/>
      <c r="BA53" s="62"/>
      <c r="BB53" s="19">
        <v>24674</v>
      </c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</row>
    <row r="54" spans="1:116" hidden="1" x14ac:dyDescent="0.2">
      <c r="A54" s="57">
        <v>28216</v>
      </c>
      <c r="B54" s="58"/>
      <c r="C54" s="59"/>
      <c r="D54" s="60"/>
      <c r="E54" s="60"/>
      <c r="F54" s="60"/>
      <c r="G54" s="60"/>
      <c r="H54" s="60"/>
      <c r="I54" s="60"/>
      <c r="J54" s="60"/>
      <c r="K54" s="60"/>
      <c r="L54" s="60"/>
      <c r="M54" s="60"/>
      <c r="N54" s="60"/>
      <c r="O54" s="59"/>
      <c r="P54" s="61"/>
      <c r="Q54" s="62"/>
      <c r="R54" s="62"/>
      <c r="S54" s="62"/>
      <c r="T54" s="62"/>
      <c r="U54" s="62"/>
      <c r="V54" s="62"/>
      <c r="W54" s="62"/>
      <c r="X54" s="62"/>
      <c r="Y54" s="61"/>
      <c r="Z54" s="63"/>
      <c r="AA54" s="64" t="e">
        <v>#N/A</v>
      </c>
      <c r="AB54" s="62" t="e">
        <v>#N/A</v>
      </c>
      <c r="AC54" s="62" t="e">
        <v>#N/A</v>
      </c>
      <c r="AD54" s="62" t="e">
        <v>#N/A</v>
      </c>
      <c r="AE54" s="62" t="e">
        <v>#N/A</v>
      </c>
      <c r="AF54" s="62" t="e">
        <v>#N/A</v>
      </c>
      <c r="AG54" s="62" t="e">
        <v>#N/A</v>
      </c>
      <c r="AH54" s="62" t="e">
        <v>#N/A</v>
      </c>
      <c r="AI54" s="62" t="e">
        <v>#N/A</v>
      </c>
      <c r="AJ54" s="62" t="e">
        <v>#N/A</v>
      </c>
      <c r="AK54" s="64" t="e">
        <v>#N/A</v>
      </c>
      <c r="AL54" s="19">
        <v>89836</v>
      </c>
      <c r="AM54" s="19">
        <v>88067</v>
      </c>
      <c r="AN54" s="23">
        <v>4591</v>
      </c>
      <c r="AO54" s="19">
        <v>148254</v>
      </c>
      <c r="AP54" s="19">
        <v>75</v>
      </c>
      <c r="AQ54" s="62"/>
      <c r="AR54" s="63"/>
      <c r="AS54" s="63"/>
      <c r="AT54" s="65">
        <f t="shared" si="0"/>
        <v>6226.6679999999997</v>
      </c>
      <c r="AU54" s="65">
        <f t="shared" si="1"/>
        <v>192.822</v>
      </c>
      <c r="AV54" s="65">
        <f t="shared" si="2"/>
        <v>3.15</v>
      </c>
      <c r="AW54" s="65">
        <f t="shared" si="4"/>
        <v>3773.1120000000001</v>
      </c>
      <c r="AX54" s="65">
        <f t="shared" si="3"/>
        <v>3698.8139999999999</v>
      </c>
      <c r="AY54" s="65">
        <f t="shared" si="5"/>
        <v>3.15</v>
      </c>
      <c r="AZ54" s="62"/>
      <c r="BA54" s="62"/>
      <c r="BB54" s="19">
        <v>26873</v>
      </c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</row>
    <row r="55" spans="1:116" hidden="1" x14ac:dyDescent="0.2">
      <c r="A55" s="57">
        <v>28246</v>
      </c>
      <c r="B55" s="58"/>
      <c r="C55" s="59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59"/>
      <c r="P55" s="61"/>
      <c r="Q55" s="62"/>
      <c r="R55" s="62"/>
      <c r="S55" s="62"/>
      <c r="T55" s="62"/>
      <c r="U55" s="62"/>
      <c r="V55" s="62"/>
      <c r="W55" s="62"/>
      <c r="X55" s="62"/>
      <c r="Y55" s="61"/>
      <c r="Z55" s="63"/>
      <c r="AA55" s="64" t="e">
        <v>#N/A</v>
      </c>
      <c r="AB55" s="62" t="e">
        <v>#N/A</v>
      </c>
      <c r="AC55" s="62" t="e">
        <v>#N/A</v>
      </c>
      <c r="AD55" s="62" t="e">
        <v>#N/A</v>
      </c>
      <c r="AE55" s="62" t="e">
        <v>#N/A</v>
      </c>
      <c r="AF55" s="62" t="e">
        <v>#N/A</v>
      </c>
      <c r="AG55" s="62" t="e">
        <v>#N/A</v>
      </c>
      <c r="AH55" s="62" t="e">
        <v>#N/A</v>
      </c>
      <c r="AI55" s="62" t="e">
        <v>#N/A</v>
      </c>
      <c r="AJ55" s="62" t="e">
        <v>#N/A</v>
      </c>
      <c r="AK55" s="64" t="e">
        <v>#N/A</v>
      </c>
      <c r="AL55" s="19">
        <v>97037</v>
      </c>
      <c r="AM55" s="19">
        <v>86239</v>
      </c>
      <c r="AN55" s="23">
        <v>3057</v>
      </c>
      <c r="AO55" s="19">
        <v>162155</v>
      </c>
      <c r="AP55" s="19">
        <v>11</v>
      </c>
      <c r="AQ55" s="62"/>
      <c r="AR55" s="63"/>
      <c r="AS55" s="63"/>
      <c r="AT55" s="65">
        <f t="shared" si="0"/>
        <v>6810.51</v>
      </c>
      <c r="AU55" s="65">
        <f t="shared" si="1"/>
        <v>128.39400000000001</v>
      </c>
      <c r="AV55" s="65">
        <f t="shared" si="2"/>
        <v>0.46200000000000002</v>
      </c>
      <c r="AW55" s="65">
        <f t="shared" si="4"/>
        <v>4075.5540000000001</v>
      </c>
      <c r="AX55" s="65">
        <f t="shared" si="3"/>
        <v>3622.038</v>
      </c>
      <c r="AY55" s="65">
        <f t="shared" si="5"/>
        <v>0.46200000000000002</v>
      </c>
      <c r="AZ55" s="62"/>
      <c r="BA55" s="62"/>
      <c r="BB55" s="19">
        <v>28083</v>
      </c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</row>
    <row r="56" spans="1:116" hidden="1" x14ac:dyDescent="0.2">
      <c r="A56" s="57">
        <v>28277</v>
      </c>
      <c r="B56" s="58"/>
      <c r="C56" s="59"/>
      <c r="D56" s="60"/>
      <c r="E56" s="60"/>
      <c r="F56" s="60"/>
      <c r="G56" s="60"/>
      <c r="H56" s="60"/>
      <c r="I56" s="60"/>
      <c r="J56" s="60"/>
      <c r="K56" s="60"/>
      <c r="L56" s="60"/>
      <c r="M56" s="60"/>
      <c r="N56" s="60"/>
      <c r="O56" s="59"/>
      <c r="P56" s="61"/>
      <c r="Q56" s="62"/>
      <c r="R56" s="62"/>
      <c r="S56" s="62"/>
      <c r="T56" s="62"/>
      <c r="U56" s="62"/>
      <c r="V56" s="62"/>
      <c r="W56" s="62"/>
      <c r="X56" s="62"/>
      <c r="Y56" s="61"/>
      <c r="Z56" s="63"/>
      <c r="AA56" s="64" t="e">
        <v>#N/A</v>
      </c>
      <c r="AB56" s="62" t="e">
        <v>#N/A</v>
      </c>
      <c r="AC56" s="62" t="e">
        <v>#N/A</v>
      </c>
      <c r="AD56" s="62" t="e">
        <v>#N/A</v>
      </c>
      <c r="AE56" s="62" t="e">
        <v>#N/A</v>
      </c>
      <c r="AF56" s="62" t="e">
        <v>#N/A</v>
      </c>
      <c r="AG56" s="62" t="e">
        <v>#N/A</v>
      </c>
      <c r="AH56" s="62" t="e">
        <v>#N/A</v>
      </c>
      <c r="AI56" s="62" t="e">
        <v>#N/A</v>
      </c>
      <c r="AJ56" s="62" t="e">
        <v>#N/A</v>
      </c>
      <c r="AK56" s="64" t="e">
        <v>#N/A</v>
      </c>
      <c r="AL56" s="19">
        <v>95726</v>
      </c>
      <c r="AM56" s="19">
        <v>83097</v>
      </c>
      <c r="AN56" s="23">
        <v>4042</v>
      </c>
      <c r="AO56" s="19">
        <v>178872</v>
      </c>
      <c r="AP56" s="19">
        <v>10</v>
      </c>
      <c r="AQ56" s="62"/>
      <c r="AR56" s="63"/>
      <c r="AS56" s="63"/>
      <c r="AT56" s="65">
        <f t="shared" si="0"/>
        <v>7512.6239999999998</v>
      </c>
      <c r="AU56" s="65">
        <f t="shared" si="1"/>
        <v>169.76400000000001</v>
      </c>
      <c r="AV56" s="65">
        <f t="shared" si="2"/>
        <v>0.42</v>
      </c>
      <c r="AW56" s="65">
        <f t="shared" si="4"/>
        <v>4020.4920000000002</v>
      </c>
      <c r="AX56" s="65">
        <f t="shared" si="3"/>
        <v>3490.0740000000001</v>
      </c>
      <c r="AY56" s="65">
        <f t="shared" si="5"/>
        <v>0.42</v>
      </c>
      <c r="AZ56" s="62"/>
      <c r="BA56" s="62"/>
      <c r="BB56" s="19">
        <v>28949</v>
      </c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</row>
    <row r="57" spans="1:116" hidden="1" x14ac:dyDescent="0.2">
      <c r="A57" s="57">
        <v>28307</v>
      </c>
      <c r="B57" s="58"/>
      <c r="C57" s="59"/>
      <c r="D57" s="60"/>
      <c r="E57" s="60"/>
      <c r="F57" s="60"/>
      <c r="G57" s="60"/>
      <c r="H57" s="60"/>
      <c r="I57" s="60"/>
      <c r="J57" s="60"/>
      <c r="K57" s="60"/>
      <c r="L57" s="60"/>
      <c r="M57" s="60"/>
      <c r="N57" s="60"/>
      <c r="O57" s="59"/>
      <c r="P57" s="61"/>
      <c r="Q57" s="62"/>
      <c r="R57" s="62"/>
      <c r="S57" s="62"/>
      <c r="T57" s="62"/>
      <c r="U57" s="62"/>
      <c r="V57" s="62"/>
      <c r="W57" s="62"/>
      <c r="X57" s="62"/>
      <c r="Y57" s="61"/>
      <c r="Z57" s="63"/>
      <c r="AA57" s="64" t="e">
        <v>#N/A</v>
      </c>
      <c r="AB57" s="62" t="e">
        <v>#N/A</v>
      </c>
      <c r="AC57" s="62" t="e">
        <v>#N/A</v>
      </c>
      <c r="AD57" s="62" t="e">
        <v>#N/A</v>
      </c>
      <c r="AE57" s="62" t="e">
        <v>#N/A</v>
      </c>
      <c r="AF57" s="62" t="e">
        <v>#N/A</v>
      </c>
      <c r="AG57" s="62" t="e">
        <v>#N/A</v>
      </c>
      <c r="AH57" s="62" t="e">
        <v>#N/A</v>
      </c>
      <c r="AI57" s="62" t="e">
        <v>#N/A</v>
      </c>
      <c r="AJ57" s="62" t="e">
        <v>#N/A</v>
      </c>
      <c r="AK57" s="64" t="e">
        <v>#N/A</v>
      </c>
      <c r="AL57" s="19">
        <v>99130</v>
      </c>
      <c r="AM57" s="19">
        <v>79054</v>
      </c>
      <c r="AN57" s="23">
        <v>5907</v>
      </c>
      <c r="AO57" s="19">
        <v>204915</v>
      </c>
      <c r="AP57" s="19">
        <v>0</v>
      </c>
      <c r="AQ57" s="62"/>
      <c r="AR57" s="63"/>
      <c r="AS57" s="63"/>
      <c r="AT57" s="65">
        <f t="shared" si="0"/>
        <v>8606.43</v>
      </c>
      <c r="AU57" s="65">
        <f t="shared" si="1"/>
        <v>248.09399999999999</v>
      </c>
      <c r="AV57" s="65">
        <f t="shared" si="2"/>
        <v>0</v>
      </c>
      <c r="AW57" s="65">
        <f t="shared" si="4"/>
        <v>4163.46</v>
      </c>
      <c r="AX57" s="65">
        <f t="shared" si="3"/>
        <v>3320.268</v>
      </c>
      <c r="AY57" s="65">
        <f t="shared" si="5"/>
        <v>0</v>
      </c>
      <c r="AZ57" s="62"/>
      <c r="BA57" s="62"/>
      <c r="BB57" s="19">
        <v>28839</v>
      </c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</row>
    <row r="58" spans="1:116" hidden="1" x14ac:dyDescent="0.2">
      <c r="A58" s="57">
        <v>28338</v>
      </c>
      <c r="B58" s="58"/>
      <c r="C58" s="59"/>
      <c r="D58" s="60"/>
      <c r="E58" s="60"/>
      <c r="F58" s="60"/>
      <c r="G58" s="60"/>
      <c r="H58" s="60"/>
      <c r="I58" s="60"/>
      <c r="J58" s="60"/>
      <c r="K58" s="60"/>
      <c r="L58" s="60"/>
      <c r="M58" s="60"/>
      <c r="N58" s="60"/>
      <c r="O58" s="59"/>
      <c r="P58" s="61"/>
      <c r="Q58" s="62"/>
      <c r="R58" s="62"/>
      <c r="S58" s="62"/>
      <c r="T58" s="62"/>
      <c r="U58" s="62"/>
      <c r="V58" s="62"/>
      <c r="W58" s="62"/>
      <c r="X58" s="62"/>
      <c r="Y58" s="61"/>
      <c r="Z58" s="63"/>
      <c r="AA58" s="64" t="e">
        <v>#N/A</v>
      </c>
      <c r="AB58" s="62" t="e">
        <v>#N/A</v>
      </c>
      <c r="AC58" s="62" t="e">
        <v>#N/A</v>
      </c>
      <c r="AD58" s="62" t="e">
        <v>#N/A</v>
      </c>
      <c r="AE58" s="62" t="e">
        <v>#N/A</v>
      </c>
      <c r="AF58" s="62" t="e">
        <v>#N/A</v>
      </c>
      <c r="AG58" s="62" t="e">
        <v>#N/A</v>
      </c>
      <c r="AH58" s="62" t="e">
        <v>#N/A</v>
      </c>
      <c r="AI58" s="62" t="e">
        <v>#N/A</v>
      </c>
      <c r="AJ58" s="62" t="e">
        <v>#N/A</v>
      </c>
      <c r="AK58" s="64" t="e">
        <v>#N/A</v>
      </c>
      <c r="AL58" s="19">
        <v>101435</v>
      </c>
      <c r="AM58" s="19">
        <v>81589</v>
      </c>
      <c r="AN58" s="23">
        <v>5003</v>
      </c>
      <c r="AO58" s="19">
        <v>229811</v>
      </c>
      <c r="AP58" s="19">
        <v>13</v>
      </c>
      <c r="AQ58" s="62"/>
      <c r="AR58" s="63"/>
      <c r="AS58" s="63"/>
      <c r="AT58" s="65">
        <f t="shared" si="0"/>
        <v>9652.0619999999999</v>
      </c>
      <c r="AU58" s="65">
        <f t="shared" si="1"/>
        <v>210.126</v>
      </c>
      <c r="AV58" s="65">
        <f t="shared" si="2"/>
        <v>0.54600000000000004</v>
      </c>
      <c r="AW58" s="65">
        <f t="shared" si="4"/>
        <v>4260.2700000000004</v>
      </c>
      <c r="AX58" s="65">
        <f t="shared" si="3"/>
        <v>3426.7379999999998</v>
      </c>
      <c r="AY58" s="65">
        <f t="shared" si="5"/>
        <v>0.54600000000000004</v>
      </c>
      <c r="AZ58" s="62"/>
      <c r="BA58" s="62"/>
      <c r="BB58" s="19">
        <v>28059</v>
      </c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</row>
    <row r="59" spans="1:116" hidden="1" x14ac:dyDescent="0.2">
      <c r="A59" s="57">
        <v>28369</v>
      </c>
      <c r="B59" s="58"/>
      <c r="C59" s="59"/>
      <c r="D59" s="60"/>
      <c r="E59" s="60"/>
      <c r="F59" s="60"/>
      <c r="G59" s="60"/>
      <c r="H59" s="60"/>
      <c r="I59" s="60"/>
      <c r="J59" s="60"/>
      <c r="K59" s="60"/>
      <c r="L59" s="60"/>
      <c r="M59" s="60"/>
      <c r="N59" s="60"/>
      <c r="O59" s="59"/>
      <c r="P59" s="61"/>
      <c r="Q59" s="62"/>
      <c r="R59" s="62"/>
      <c r="S59" s="62"/>
      <c r="T59" s="62"/>
      <c r="U59" s="62"/>
      <c r="V59" s="62"/>
      <c r="W59" s="62"/>
      <c r="X59" s="62"/>
      <c r="Y59" s="61"/>
      <c r="Z59" s="63"/>
      <c r="AA59" s="64" t="e">
        <v>#N/A</v>
      </c>
      <c r="AB59" s="62" t="e">
        <v>#N/A</v>
      </c>
      <c r="AC59" s="62" t="e">
        <v>#N/A</v>
      </c>
      <c r="AD59" s="62" t="e">
        <v>#N/A</v>
      </c>
      <c r="AE59" s="62" t="e">
        <v>#N/A</v>
      </c>
      <c r="AF59" s="62" t="e">
        <v>#N/A</v>
      </c>
      <c r="AG59" s="62" t="e">
        <v>#N/A</v>
      </c>
      <c r="AH59" s="62" t="e">
        <v>#N/A</v>
      </c>
      <c r="AI59" s="62" t="e">
        <v>#N/A</v>
      </c>
      <c r="AJ59" s="62" t="e">
        <v>#N/A</v>
      </c>
      <c r="AK59" s="64" t="e">
        <v>#N/A</v>
      </c>
      <c r="AL59" s="19">
        <v>99332</v>
      </c>
      <c r="AM59" s="19">
        <v>81425</v>
      </c>
      <c r="AN59" s="23">
        <v>5061</v>
      </c>
      <c r="AO59" s="19">
        <v>252827</v>
      </c>
      <c r="AP59" s="19">
        <v>17</v>
      </c>
      <c r="AQ59" s="62"/>
      <c r="AR59" s="63"/>
      <c r="AS59" s="63"/>
      <c r="AT59" s="65">
        <f t="shared" si="0"/>
        <v>10618.734</v>
      </c>
      <c r="AU59" s="65">
        <f t="shared" si="1"/>
        <v>212.56200000000001</v>
      </c>
      <c r="AV59" s="65">
        <f t="shared" si="2"/>
        <v>0.71399999999999997</v>
      </c>
      <c r="AW59" s="65">
        <f t="shared" si="4"/>
        <v>4171.9440000000004</v>
      </c>
      <c r="AX59" s="65">
        <f t="shared" si="3"/>
        <v>3419.85</v>
      </c>
      <c r="AY59" s="65">
        <f t="shared" si="5"/>
        <v>0.71399999999999997</v>
      </c>
      <c r="AZ59" s="62"/>
      <c r="BA59" s="62"/>
      <c r="BB59" s="19">
        <v>28874</v>
      </c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</row>
    <row r="60" spans="1:116" hidden="1" x14ac:dyDescent="0.2">
      <c r="A60" s="57">
        <v>28399</v>
      </c>
      <c r="B60" s="58"/>
      <c r="C60" s="59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60"/>
      <c r="O60" s="59"/>
      <c r="P60" s="61"/>
      <c r="Q60" s="62"/>
      <c r="R60" s="62"/>
      <c r="S60" s="62"/>
      <c r="T60" s="62"/>
      <c r="U60" s="62"/>
      <c r="V60" s="62"/>
      <c r="W60" s="62"/>
      <c r="X60" s="62"/>
      <c r="Y60" s="61"/>
      <c r="Z60" s="63"/>
      <c r="AA60" s="64" t="e">
        <v>#N/A</v>
      </c>
      <c r="AB60" s="62" t="e">
        <v>#N/A</v>
      </c>
      <c r="AC60" s="62" t="e">
        <v>#N/A</v>
      </c>
      <c r="AD60" s="62" t="e">
        <v>#N/A</v>
      </c>
      <c r="AE60" s="62" t="e">
        <v>#N/A</v>
      </c>
      <c r="AF60" s="62" t="e">
        <v>#N/A</v>
      </c>
      <c r="AG60" s="62" t="e">
        <v>#N/A</v>
      </c>
      <c r="AH60" s="62" t="e">
        <v>#N/A</v>
      </c>
      <c r="AI60" s="62" t="e">
        <v>#N/A</v>
      </c>
      <c r="AJ60" s="62" t="e">
        <v>#N/A</v>
      </c>
      <c r="AK60" s="64" t="e">
        <v>#N/A</v>
      </c>
      <c r="AL60" s="19">
        <v>104208</v>
      </c>
      <c r="AM60" s="19">
        <v>94133</v>
      </c>
      <c r="AN60" s="23">
        <v>4645</v>
      </c>
      <c r="AO60" s="19">
        <v>267433</v>
      </c>
      <c r="AP60" s="19">
        <v>170</v>
      </c>
      <c r="AQ60" s="62"/>
      <c r="AR60" s="63"/>
      <c r="AS60" s="63"/>
      <c r="AT60" s="65">
        <f t="shared" si="0"/>
        <v>11232.186</v>
      </c>
      <c r="AU60" s="65">
        <f t="shared" si="1"/>
        <v>195.09</v>
      </c>
      <c r="AV60" s="65">
        <f t="shared" si="2"/>
        <v>7.14</v>
      </c>
      <c r="AW60" s="65">
        <f t="shared" si="4"/>
        <v>4376.7359999999999</v>
      </c>
      <c r="AX60" s="65">
        <f t="shared" si="3"/>
        <v>3953.5859999999998</v>
      </c>
      <c r="AY60" s="65">
        <f t="shared" si="5"/>
        <v>7.14</v>
      </c>
      <c r="AZ60" s="62"/>
      <c r="BA60" s="62"/>
      <c r="BB60" s="19">
        <v>28435</v>
      </c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</row>
    <row r="61" spans="1:116" hidden="1" x14ac:dyDescent="0.2">
      <c r="A61" s="57">
        <v>28430</v>
      </c>
      <c r="B61" s="58"/>
      <c r="C61" s="59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59"/>
      <c r="P61" s="61"/>
      <c r="Q61" s="62"/>
      <c r="R61" s="62"/>
      <c r="S61" s="62"/>
      <c r="T61" s="62"/>
      <c r="U61" s="62"/>
      <c r="V61" s="62"/>
      <c r="W61" s="62"/>
      <c r="X61" s="62"/>
      <c r="Y61" s="61"/>
      <c r="Z61" s="63"/>
      <c r="AA61" s="64" t="e">
        <v>#N/A</v>
      </c>
      <c r="AB61" s="62" t="e">
        <v>#N/A</v>
      </c>
      <c r="AC61" s="62" t="e">
        <v>#N/A</v>
      </c>
      <c r="AD61" s="62" t="e">
        <v>#N/A</v>
      </c>
      <c r="AE61" s="62" t="e">
        <v>#N/A</v>
      </c>
      <c r="AF61" s="62" t="e">
        <v>#N/A</v>
      </c>
      <c r="AG61" s="62" t="e">
        <v>#N/A</v>
      </c>
      <c r="AH61" s="62" t="e">
        <v>#N/A</v>
      </c>
      <c r="AI61" s="62" t="e">
        <v>#N/A</v>
      </c>
      <c r="AJ61" s="62" t="e">
        <v>#N/A</v>
      </c>
      <c r="AK61" s="64" t="e">
        <v>#N/A</v>
      </c>
      <c r="AL61" s="19">
        <v>100178</v>
      </c>
      <c r="AM61" s="19">
        <v>102619</v>
      </c>
      <c r="AN61" s="23">
        <v>5648</v>
      </c>
      <c r="AO61" s="19">
        <v>270611</v>
      </c>
      <c r="AP61" s="19">
        <v>83</v>
      </c>
      <c r="AQ61" s="62"/>
      <c r="AR61" s="63"/>
      <c r="AS61" s="63"/>
      <c r="AT61" s="65">
        <f t="shared" si="0"/>
        <v>11365.662</v>
      </c>
      <c r="AU61" s="65">
        <f t="shared" si="1"/>
        <v>237.21600000000001</v>
      </c>
      <c r="AV61" s="65">
        <f t="shared" si="2"/>
        <v>3.4860000000000002</v>
      </c>
      <c r="AW61" s="65">
        <f t="shared" si="4"/>
        <v>4207.4759999999997</v>
      </c>
      <c r="AX61" s="65">
        <f t="shared" si="3"/>
        <v>4309.9979999999996</v>
      </c>
      <c r="AY61" s="65">
        <f t="shared" si="5"/>
        <v>3.4860000000000002</v>
      </c>
      <c r="AZ61" s="62"/>
      <c r="BA61" s="62"/>
      <c r="BB61" s="19">
        <v>29257</v>
      </c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</row>
    <row r="62" spans="1:116" hidden="1" x14ac:dyDescent="0.2">
      <c r="A62" s="57">
        <v>28460</v>
      </c>
      <c r="B62" s="58"/>
      <c r="C62" s="59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60"/>
      <c r="O62" s="59"/>
      <c r="P62" s="61"/>
      <c r="Q62" s="62"/>
      <c r="R62" s="62"/>
      <c r="S62" s="62"/>
      <c r="T62" s="62"/>
      <c r="U62" s="62"/>
      <c r="V62" s="62"/>
      <c r="W62" s="62"/>
      <c r="X62" s="62"/>
      <c r="Y62" s="61"/>
      <c r="Z62" s="63"/>
      <c r="AA62" s="64" t="e">
        <v>#N/A</v>
      </c>
      <c r="AB62" s="62" t="e">
        <v>#N/A</v>
      </c>
      <c r="AC62" s="62" t="e">
        <v>#N/A</v>
      </c>
      <c r="AD62" s="62" t="e">
        <v>#N/A</v>
      </c>
      <c r="AE62" s="62" t="e">
        <v>#N/A</v>
      </c>
      <c r="AF62" s="62" t="e">
        <v>#N/A</v>
      </c>
      <c r="AG62" s="62" t="e">
        <v>#N/A</v>
      </c>
      <c r="AH62" s="62" t="e">
        <v>#N/A</v>
      </c>
      <c r="AI62" s="62" t="e">
        <v>#N/A</v>
      </c>
      <c r="AJ62" s="62" t="e">
        <v>#N/A</v>
      </c>
      <c r="AK62" s="64" t="e">
        <v>#N/A</v>
      </c>
      <c r="AL62" s="19">
        <v>103000</v>
      </c>
      <c r="AM62" s="19">
        <v>130365</v>
      </c>
      <c r="AN62" s="23">
        <v>7040</v>
      </c>
      <c r="AO62" s="19">
        <v>250295</v>
      </c>
      <c r="AP62" s="19">
        <v>51</v>
      </c>
      <c r="AQ62" s="62"/>
      <c r="AR62" s="63"/>
      <c r="AS62" s="63"/>
      <c r="AT62" s="65">
        <f t="shared" si="0"/>
        <v>10512.39</v>
      </c>
      <c r="AU62" s="65">
        <f t="shared" si="1"/>
        <v>295.68</v>
      </c>
      <c r="AV62" s="65">
        <f t="shared" si="2"/>
        <v>2.1419999999999999</v>
      </c>
      <c r="AW62" s="65">
        <f t="shared" si="4"/>
        <v>4326</v>
      </c>
      <c r="AX62" s="65">
        <f t="shared" si="3"/>
        <v>5475.33</v>
      </c>
      <c r="AY62" s="65">
        <f t="shared" si="5"/>
        <v>2.1419999999999999</v>
      </c>
      <c r="AZ62" s="62"/>
      <c r="BA62" s="62"/>
      <c r="BB62" s="19">
        <v>28263</v>
      </c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</row>
    <row r="63" spans="1:116" hidden="1" x14ac:dyDescent="0.2">
      <c r="A63" s="57">
        <v>28491</v>
      </c>
      <c r="B63" s="58"/>
      <c r="C63" s="59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59"/>
      <c r="P63" s="61"/>
      <c r="Q63" s="62"/>
      <c r="R63" s="62"/>
      <c r="S63" s="62"/>
      <c r="T63" s="62"/>
      <c r="U63" s="62"/>
      <c r="V63" s="62"/>
      <c r="W63" s="62"/>
      <c r="X63" s="62"/>
      <c r="Y63" s="61"/>
      <c r="Z63" s="63"/>
      <c r="AA63" s="64" t="e">
        <v>#N/A</v>
      </c>
      <c r="AB63" s="62" t="e">
        <v>#N/A</v>
      </c>
      <c r="AC63" s="62" t="e">
        <v>#N/A</v>
      </c>
      <c r="AD63" s="62" t="e">
        <v>#N/A</v>
      </c>
      <c r="AE63" s="62" t="e">
        <v>#N/A</v>
      </c>
      <c r="AF63" s="62" t="e">
        <v>#N/A</v>
      </c>
      <c r="AG63" s="62" t="e">
        <v>#N/A</v>
      </c>
      <c r="AH63" s="62" t="e">
        <v>#N/A</v>
      </c>
      <c r="AI63" s="62" t="e">
        <v>#N/A</v>
      </c>
      <c r="AJ63" s="62" t="e">
        <v>#N/A</v>
      </c>
      <c r="AK63" s="64" t="e">
        <v>#N/A</v>
      </c>
      <c r="AL63" s="19">
        <v>95081</v>
      </c>
      <c r="AM63" s="19">
        <v>138203</v>
      </c>
      <c r="AN63" s="23">
        <v>6070</v>
      </c>
      <c r="AO63" s="19">
        <v>213278</v>
      </c>
      <c r="AP63" s="19">
        <v>20</v>
      </c>
      <c r="AQ63" s="62"/>
      <c r="AR63" s="63"/>
      <c r="AS63" s="63"/>
      <c r="AT63" s="65">
        <f t="shared" si="0"/>
        <v>8957.6759999999995</v>
      </c>
      <c r="AU63" s="65">
        <f t="shared" si="1"/>
        <v>254.94</v>
      </c>
      <c r="AV63" s="65">
        <f t="shared" si="2"/>
        <v>0.84</v>
      </c>
      <c r="AW63" s="65">
        <f t="shared" si="4"/>
        <v>3993.402</v>
      </c>
      <c r="AX63" s="65">
        <f t="shared" si="3"/>
        <v>5804.5259999999998</v>
      </c>
      <c r="AY63" s="65">
        <f t="shared" si="5"/>
        <v>0.84</v>
      </c>
      <c r="AZ63" s="62"/>
      <c r="BA63" s="62"/>
      <c r="BB63" s="19">
        <v>28105</v>
      </c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</row>
    <row r="64" spans="1:116" hidden="1" x14ac:dyDescent="0.2">
      <c r="A64" s="57">
        <v>28522</v>
      </c>
      <c r="B64" s="58"/>
      <c r="C64" s="59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60"/>
      <c r="O64" s="59"/>
      <c r="P64" s="61"/>
      <c r="Q64" s="62"/>
      <c r="R64" s="62"/>
      <c r="S64" s="62"/>
      <c r="T64" s="62"/>
      <c r="U64" s="62"/>
      <c r="V64" s="62"/>
      <c r="W64" s="62"/>
      <c r="X64" s="62"/>
      <c r="Y64" s="61"/>
      <c r="Z64" s="63"/>
      <c r="AA64" s="64" t="e">
        <v>#N/A</v>
      </c>
      <c r="AB64" s="62" t="e">
        <v>#N/A</v>
      </c>
      <c r="AC64" s="62" t="e">
        <v>#N/A</v>
      </c>
      <c r="AD64" s="62" t="e">
        <v>#N/A</v>
      </c>
      <c r="AE64" s="62" t="e">
        <v>#N/A</v>
      </c>
      <c r="AF64" s="62" t="e">
        <v>#N/A</v>
      </c>
      <c r="AG64" s="62" t="e">
        <v>#N/A</v>
      </c>
      <c r="AH64" s="62" t="e">
        <v>#N/A</v>
      </c>
      <c r="AI64" s="62" t="e">
        <v>#N/A</v>
      </c>
      <c r="AJ64" s="62" t="e">
        <v>#N/A</v>
      </c>
      <c r="AK64" s="64" t="e">
        <v>#N/A</v>
      </c>
      <c r="AL64" s="19">
        <v>82653</v>
      </c>
      <c r="AM64" s="19">
        <v>135754</v>
      </c>
      <c r="AN64" s="23">
        <v>5942</v>
      </c>
      <c r="AO64" s="19">
        <v>165731</v>
      </c>
      <c r="AP64" s="19">
        <v>440</v>
      </c>
      <c r="AQ64" s="62"/>
      <c r="AR64" s="63"/>
      <c r="AS64" s="63"/>
      <c r="AT64" s="65">
        <f t="shared" si="0"/>
        <v>6960.7020000000002</v>
      </c>
      <c r="AU64" s="65">
        <f t="shared" si="1"/>
        <v>249.56399999999999</v>
      </c>
      <c r="AV64" s="65">
        <f t="shared" si="2"/>
        <v>18.48</v>
      </c>
      <c r="AW64" s="65">
        <f t="shared" si="4"/>
        <v>3471.4259999999999</v>
      </c>
      <c r="AX64" s="65">
        <f t="shared" si="3"/>
        <v>5701.6679999999997</v>
      </c>
      <c r="AY64" s="65">
        <f t="shared" si="5"/>
        <v>18.48</v>
      </c>
      <c r="AZ64" s="62"/>
      <c r="BA64" s="62"/>
      <c r="BB64" s="19">
        <v>27628</v>
      </c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</row>
    <row r="65" spans="1:116" hidden="1" x14ac:dyDescent="0.2">
      <c r="A65" s="57">
        <v>28550</v>
      </c>
      <c r="B65" s="58"/>
      <c r="C65" s="59"/>
      <c r="D65" s="60"/>
      <c r="E65" s="60"/>
      <c r="F65" s="60"/>
      <c r="G65" s="60"/>
      <c r="H65" s="60"/>
      <c r="I65" s="60"/>
      <c r="J65" s="60"/>
      <c r="K65" s="60"/>
      <c r="L65" s="60"/>
      <c r="M65" s="60"/>
      <c r="N65" s="60"/>
      <c r="O65" s="59"/>
      <c r="P65" s="61"/>
      <c r="Q65" s="62"/>
      <c r="R65" s="62"/>
      <c r="S65" s="62"/>
      <c r="T65" s="62"/>
      <c r="U65" s="62"/>
      <c r="V65" s="62"/>
      <c r="W65" s="62"/>
      <c r="X65" s="62"/>
      <c r="Y65" s="61"/>
      <c r="Z65" s="63"/>
      <c r="AA65" s="64" t="e">
        <v>#N/A</v>
      </c>
      <c r="AB65" s="62" t="e">
        <v>#N/A</v>
      </c>
      <c r="AC65" s="62" t="e">
        <v>#N/A</v>
      </c>
      <c r="AD65" s="62" t="e">
        <v>#N/A</v>
      </c>
      <c r="AE65" s="62" t="e">
        <v>#N/A</v>
      </c>
      <c r="AF65" s="62" t="e">
        <v>#N/A</v>
      </c>
      <c r="AG65" s="62" t="e">
        <v>#N/A</v>
      </c>
      <c r="AH65" s="62" t="e">
        <v>#N/A</v>
      </c>
      <c r="AI65" s="62" t="e">
        <v>#N/A</v>
      </c>
      <c r="AJ65" s="62" t="e">
        <v>#N/A</v>
      </c>
      <c r="AK65" s="64" t="e">
        <v>#N/A</v>
      </c>
      <c r="AL65" s="19">
        <v>93450</v>
      </c>
      <c r="AM65" s="19">
        <v>127345</v>
      </c>
      <c r="AN65" s="23">
        <v>5973</v>
      </c>
      <c r="AO65" s="19">
        <v>137864</v>
      </c>
      <c r="AP65" s="19">
        <v>3</v>
      </c>
      <c r="AQ65" s="62"/>
      <c r="AR65" s="63"/>
      <c r="AS65" s="63"/>
      <c r="AT65" s="65">
        <f t="shared" si="0"/>
        <v>5790.2879999999996</v>
      </c>
      <c r="AU65" s="65">
        <f t="shared" si="1"/>
        <v>250.86600000000001</v>
      </c>
      <c r="AV65" s="65">
        <f t="shared" si="2"/>
        <v>0.126</v>
      </c>
      <c r="AW65" s="65">
        <f t="shared" si="4"/>
        <v>3924.9</v>
      </c>
      <c r="AX65" s="65">
        <f t="shared" si="3"/>
        <v>5348.49</v>
      </c>
      <c r="AY65" s="65">
        <f t="shared" si="5"/>
        <v>0.126</v>
      </c>
      <c r="AZ65" s="62"/>
      <c r="BA65" s="62"/>
      <c r="BB65" s="19">
        <v>26180</v>
      </c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</row>
    <row r="66" spans="1:116" hidden="1" x14ac:dyDescent="0.2">
      <c r="A66" s="57">
        <v>28581</v>
      </c>
      <c r="B66" s="58"/>
      <c r="C66" s="59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59"/>
      <c r="P66" s="61"/>
      <c r="Q66" s="62"/>
      <c r="R66" s="62"/>
      <c r="S66" s="62"/>
      <c r="T66" s="62"/>
      <c r="U66" s="62"/>
      <c r="V66" s="62"/>
      <c r="W66" s="62"/>
      <c r="X66" s="62"/>
      <c r="Y66" s="61"/>
      <c r="Z66" s="63"/>
      <c r="AA66" s="64" t="e">
        <v>#N/A</v>
      </c>
      <c r="AB66" s="62" t="e">
        <v>#N/A</v>
      </c>
      <c r="AC66" s="62" t="e">
        <v>#N/A</v>
      </c>
      <c r="AD66" s="62" t="e">
        <v>#N/A</v>
      </c>
      <c r="AE66" s="62" t="e">
        <v>#N/A</v>
      </c>
      <c r="AF66" s="62" t="e">
        <v>#N/A</v>
      </c>
      <c r="AG66" s="62" t="e">
        <v>#N/A</v>
      </c>
      <c r="AH66" s="62" t="e">
        <v>#N/A</v>
      </c>
      <c r="AI66" s="62" t="e">
        <v>#N/A</v>
      </c>
      <c r="AJ66" s="62" t="e">
        <v>#N/A</v>
      </c>
      <c r="AK66" s="64" t="e">
        <v>#N/A</v>
      </c>
      <c r="AL66" s="19">
        <v>88773</v>
      </c>
      <c r="AM66" s="19">
        <v>93342</v>
      </c>
      <c r="AN66" s="23">
        <v>2992</v>
      </c>
      <c r="AO66" s="19">
        <v>136182</v>
      </c>
      <c r="AP66" s="19">
        <v>166</v>
      </c>
      <c r="AQ66" s="62"/>
      <c r="AR66" s="63"/>
      <c r="AS66" s="63"/>
      <c r="AT66" s="65">
        <f t="shared" si="0"/>
        <v>5719.6440000000002</v>
      </c>
      <c r="AU66" s="65">
        <f t="shared" si="1"/>
        <v>125.664</v>
      </c>
      <c r="AV66" s="65">
        <f t="shared" si="2"/>
        <v>6.9720000000000004</v>
      </c>
      <c r="AW66" s="65">
        <f t="shared" si="4"/>
        <v>3728.4659999999999</v>
      </c>
      <c r="AX66" s="65">
        <f t="shared" si="3"/>
        <v>3920.364</v>
      </c>
      <c r="AY66" s="65">
        <f t="shared" si="5"/>
        <v>6.9720000000000004</v>
      </c>
      <c r="AZ66" s="62"/>
      <c r="BA66" s="62"/>
      <c r="BB66" s="19">
        <v>28417</v>
      </c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</row>
    <row r="67" spans="1:116" hidden="1" x14ac:dyDescent="0.2">
      <c r="A67" s="57">
        <v>28611</v>
      </c>
      <c r="B67" s="58"/>
      <c r="C67" s="59"/>
      <c r="D67" s="60"/>
      <c r="E67" s="60"/>
      <c r="F67" s="60"/>
      <c r="G67" s="60"/>
      <c r="H67" s="60"/>
      <c r="I67" s="60"/>
      <c r="J67" s="60"/>
      <c r="K67" s="60"/>
      <c r="L67" s="60"/>
      <c r="M67" s="60"/>
      <c r="N67" s="60"/>
      <c r="O67" s="59"/>
      <c r="P67" s="61"/>
      <c r="Q67" s="62"/>
      <c r="R67" s="62"/>
      <c r="S67" s="62"/>
      <c r="T67" s="62"/>
      <c r="U67" s="62"/>
      <c r="V67" s="62"/>
      <c r="W67" s="62"/>
      <c r="X67" s="62"/>
      <c r="Y67" s="61"/>
      <c r="Z67" s="63"/>
      <c r="AA67" s="64" t="e">
        <v>#N/A</v>
      </c>
      <c r="AB67" s="62" t="e">
        <v>#N/A</v>
      </c>
      <c r="AC67" s="62" t="e">
        <v>#N/A</v>
      </c>
      <c r="AD67" s="62" t="e">
        <v>#N/A</v>
      </c>
      <c r="AE67" s="62" t="e">
        <v>#N/A</v>
      </c>
      <c r="AF67" s="62" t="e">
        <v>#N/A</v>
      </c>
      <c r="AG67" s="62" t="e">
        <v>#N/A</v>
      </c>
      <c r="AH67" s="62" t="e">
        <v>#N/A</v>
      </c>
      <c r="AI67" s="62" t="e">
        <v>#N/A</v>
      </c>
      <c r="AJ67" s="62" t="e">
        <v>#N/A</v>
      </c>
      <c r="AK67" s="64" t="e">
        <v>#N/A</v>
      </c>
      <c r="AL67" s="19">
        <v>100754</v>
      </c>
      <c r="AM67" s="19">
        <v>96204</v>
      </c>
      <c r="AN67" s="23">
        <v>3884</v>
      </c>
      <c r="AO67" s="19">
        <v>144648</v>
      </c>
      <c r="AP67" s="19">
        <v>19</v>
      </c>
      <c r="AQ67" s="62"/>
      <c r="AR67" s="63"/>
      <c r="AS67" s="63"/>
      <c r="AT67" s="65">
        <f t="shared" ref="AT67:AT130" si="6">AO67*42/1000</f>
        <v>6075.2160000000003</v>
      </c>
      <c r="AU67" s="65">
        <f t="shared" ref="AU67:AU130" si="7">AN67*42/1000</f>
        <v>163.12799999999999</v>
      </c>
      <c r="AV67" s="65">
        <f t="shared" ref="AV67:AV130" si="8">AP67*42/1000</f>
        <v>0.79800000000000004</v>
      </c>
      <c r="AW67" s="65">
        <f t="shared" si="4"/>
        <v>4231.6679999999997</v>
      </c>
      <c r="AX67" s="65">
        <f t="shared" si="4"/>
        <v>4040.5680000000002</v>
      </c>
      <c r="AY67" s="65">
        <f t="shared" si="5"/>
        <v>0.79800000000000004</v>
      </c>
      <c r="AZ67" s="62"/>
      <c r="BA67" s="62"/>
      <c r="BB67" s="19">
        <v>32036</v>
      </c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</row>
    <row r="68" spans="1:116" hidden="1" x14ac:dyDescent="0.2">
      <c r="A68" s="57">
        <v>28642</v>
      </c>
      <c r="B68" s="58"/>
      <c r="C68" s="59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59"/>
      <c r="P68" s="61"/>
      <c r="Q68" s="62"/>
      <c r="R68" s="62"/>
      <c r="S68" s="62"/>
      <c r="T68" s="62"/>
      <c r="U68" s="62"/>
      <c r="V68" s="62"/>
      <c r="W68" s="62"/>
      <c r="X68" s="62"/>
      <c r="Y68" s="61"/>
      <c r="Z68" s="63"/>
      <c r="AA68" s="64" t="e">
        <v>#N/A</v>
      </c>
      <c r="AB68" s="62" t="e">
        <v>#N/A</v>
      </c>
      <c r="AC68" s="62" t="e">
        <v>#N/A</v>
      </c>
      <c r="AD68" s="62" t="e">
        <v>#N/A</v>
      </c>
      <c r="AE68" s="62" t="e">
        <v>#N/A</v>
      </c>
      <c r="AF68" s="62" t="e">
        <v>#N/A</v>
      </c>
      <c r="AG68" s="62" t="e">
        <v>#N/A</v>
      </c>
      <c r="AH68" s="62" t="e">
        <v>#N/A</v>
      </c>
      <c r="AI68" s="62" t="e">
        <v>#N/A</v>
      </c>
      <c r="AJ68" s="62" t="e">
        <v>#N/A</v>
      </c>
      <c r="AK68" s="64" t="e">
        <v>#N/A</v>
      </c>
      <c r="AL68" s="19">
        <v>93282</v>
      </c>
      <c r="AM68" s="19">
        <v>85100</v>
      </c>
      <c r="AN68" s="23">
        <v>4392</v>
      </c>
      <c r="AO68" s="19">
        <v>157269</v>
      </c>
      <c r="AP68" s="19">
        <v>4</v>
      </c>
      <c r="AQ68" s="62"/>
      <c r="AR68" s="63"/>
      <c r="AS68" s="63"/>
      <c r="AT68" s="65">
        <f t="shared" si="6"/>
        <v>6605.2979999999998</v>
      </c>
      <c r="AU68" s="65">
        <f t="shared" si="7"/>
        <v>184.464</v>
      </c>
      <c r="AV68" s="65">
        <f t="shared" si="8"/>
        <v>0.16800000000000001</v>
      </c>
      <c r="AW68" s="65">
        <f t="shared" si="4"/>
        <v>3917.8440000000001</v>
      </c>
      <c r="AX68" s="65">
        <f t="shared" si="4"/>
        <v>3574.2</v>
      </c>
      <c r="AY68" s="65">
        <f t="shared" ref="AY68:AY131" si="9">AP68*42/1000</f>
        <v>0.16800000000000001</v>
      </c>
      <c r="AZ68" s="62"/>
      <c r="BA68" s="62"/>
      <c r="BB68" s="19">
        <v>31637</v>
      </c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</row>
    <row r="69" spans="1:116" hidden="1" x14ac:dyDescent="0.2">
      <c r="A69" s="57">
        <v>28672</v>
      </c>
      <c r="B69" s="58"/>
      <c r="C69" s="59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59"/>
      <c r="P69" s="61"/>
      <c r="Q69" s="62"/>
      <c r="R69" s="62"/>
      <c r="S69" s="62"/>
      <c r="T69" s="62"/>
      <c r="U69" s="62"/>
      <c r="V69" s="62"/>
      <c r="W69" s="62"/>
      <c r="X69" s="62"/>
      <c r="Y69" s="61"/>
      <c r="Z69" s="63"/>
      <c r="AA69" s="64" t="e">
        <v>#N/A</v>
      </c>
      <c r="AB69" s="62" t="e">
        <v>#N/A</v>
      </c>
      <c r="AC69" s="62" t="e">
        <v>#N/A</v>
      </c>
      <c r="AD69" s="62" t="e">
        <v>#N/A</v>
      </c>
      <c r="AE69" s="62" t="e">
        <v>#N/A</v>
      </c>
      <c r="AF69" s="62" t="e">
        <v>#N/A</v>
      </c>
      <c r="AG69" s="62" t="e">
        <v>#N/A</v>
      </c>
      <c r="AH69" s="62" t="e">
        <v>#N/A</v>
      </c>
      <c r="AI69" s="62" t="e">
        <v>#N/A</v>
      </c>
      <c r="AJ69" s="62" t="e">
        <v>#N/A</v>
      </c>
      <c r="AK69" s="64" t="e">
        <v>#N/A</v>
      </c>
      <c r="AL69" s="19">
        <v>96821</v>
      </c>
      <c r="AM69" s="19">
        <v>78190</v>
      </c>
      <c r="AN69" s="23">
        <v>4631</v>
      </c>
      <c r="AO69" s="19">
        <v>180453</v>
      </c>
      <c r="AP69" s="19">
        <v>134</v>
      </c>
      <c r="AQ69" s="62"/>
      <c r="AR69" s="63"/>
      <c r="AS69" s="63"/>
      <c r="AT69" s="65">
        <f t="shared" si="6"/>
        <v>7579.0259999999998</v>
      </c>
      <c r="AU69" s="65">
        <f t="shared" si="7"/>
        <v>194.50200000000001</v>
      </c>
      <c r="AV69" s="65">
        <f t="shared" si="8"/>
        <v>5.6280000000000001</v>
      </c>
      <c r="AW69" s="65">
        <f t="shared" si="4"/>
        <v>4066.482</v>
      </c>
      <c r="AX69" s="65">
        <f t="shared" si="4"/>
        <v>3283.98</v>
      </c>
      <c r="AY69" s="65">
        <f t="shared" si="9"/>
        <v>5.6280000000000001</v>
      </c>
      <c r="AZ69" s="62"/>
      <c r="BA69" s="62"/>
      <c r="BB69" s="19">
        <v>31659</v>
      </c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</row>
    <row r="70" spans="1:116" hidden="1" x14ac:dyDescent="0.2">
      <c r="A70" s="57">
        <v>28703</v>
      </c>
      <c r="B70" s="58"/>
      <c r="C70" s="59"/>
      <c r="D70" s="60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59"/>
      <c r="P70" s="61"/>
      <c r="Q70" s="62"/>
      <c r="R70" s="62"/>
      <c r="S70" s="62"/>
      <c r="T70" s="62"/>
      <c r="U70" s="62"/>
      <c r="V70" s="62"/>
      <c r="W70" s="62"/>
      <c r="X70" s="62"/>
      <c r="Y70" s="61"/>
      <c r="Z70" s="63"/>
      <c r="AA70" s="64" t="e">
        <v>#N/A</v>
      </c>
      <c r="AB70" s="62" t="e">
        <v>#N/A</v>
      </c>
      <c r="AC70" s="62" t="e">
        <v>#N/A</v>
      </c>
      <c r="AD70" s="62" t="e">
        <v>#N/A</v>
      </c>
      <c r="AE70" s="62" t="e">
        <v>#N/A</v>
      </c>
      <c r="AF70" s="62" t="e">
        <v>#N/A</v>
      </c>
      <c r="AG70" s="62" t="e">
        <v>#N/A</v>
      </c>
      <c r="AH70" s="62" t="e">
        <v>#N/A</v>
      </c>
      <c r="AI70" s="62" t="e">
        <v>#N/A</v>
      </c>
      <c r="AJ70" s="62" t="e">
        <v>#N/A</v>
      </c>
      <c r="AK70" s="64" t="e">
        <v>#N/A</v>
      </c>
      <c r="AL70" s="19">
        <v>102182</v>
      </c>
      <c r="AM70" s="19">
        <v>86808</v>
      </c>
      <c r="AN70" s="23">
        <v>4441</v>
      </c>
      <c r="AO70" s="19">
        <v>200194</v>
      </c>
      <c r="AP70" s="19">
        <v>133</v>
      </c>
      <c r="AQ70" s="62"/>
      <c r="AR70" s="63"/>
      <c r="AS70" s="63"/>
      <c r="AT70" s="65">
        <f t="shared" si="6"/>
        <v>8408.1479999999992</v>
      </c>
      <c r="AU70" s="65">
        <f t="shared" si="7"/>
        <v>186.52199999999999</v>
      </c>
      <c r="AV70" s="65">
        <f t="shared" si="8"/>
        <v>5.5860000000000003</v>
      </c>
      <c r="AW70" s="65">
        <f t="shared" si="4"/>
        <v>4291.6440000000002</v>
      </c>
      <c r="AX70" s="65">
        <f t="shared" si="4"/>
        <v>3645.9360000000001</v>
      </c>
      <c r="AY70" s="65">
        <f t="shared" si="9"/>
        <v>5.5860000000000003</v>
      </c>
      <c r="AZ70" s="62"/>
      <c r="BA70" s="62"/>
      <c r="BB70" s="19">
        <v>29374</v>
      </c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</row>
    <row r="71" spans="1:116" hidden="1" x14ac:dyDescent="0.2">
      <c r="A71" s="57">
        <v>28734</v>
      </c>
      <c r="B71" s="58"/>
      <c r="C71" s="59"/>
      <c r="D71" s="60"/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59"/>
      <c r="P71" s="61"/>
      <c r="Q71" s="62"/>
      <c r="R71" s="62"/>
      <c r="S71" s="62"/>
      <c r="T71" s="62"/>
      <c r="U71" s="62"/>
      <c r="V71" s="62"/>
      <c r="W71" s="62"/>
      <c r="X71" s="62"/>
      <c r="Y71" s="61"/>
      <c r="Z71" s="63"/>
      <c r="AA71" s="64" t="e">
        <v>#N/A</v>
      </c>
      <c r="AB71" s="62" t="e">
        <v>#N/A</v>
      </c>
      <c r="AC71" s="62" t="e">
        <v>#N/A</v>
      </c>
      <c r="AD71" s="62" t="e">
        <v>#N/A</v>
      </c>
      <c r="AE71" s="62" t="e">
        <v>#N/A</v>
      </c>
      <c r="AF71" s="62" t="e">
        <v>#N/A</v>
      </c>
      <c r="AG71" s="62" t="e">
        <v>#N/A</v>
      </c>
      <c r="AH71" s="62" t="e">
        <v>#N/A</v>
      </c>
      <c r="AI71" s="62" t="e">
        <v>#N/A</v>
      </c>
      <c r="AJ71" s="62" t="e">
        <v>#N/A</v>
      </c>
      <c r="AK71" s="64" t="e">
        <v>#N/A</v>
      </c>
      <c r="AL71" s="19">
        <v>95546</v>
      </c>
      <c r="AM71" s="19">
        <v>79909</v>
      </c>
      <c r="AN71" s="23">
        <v>4889</v>
      </c>
      <c r="AO71" s="19">
        <v>220707</v>
      </c>
      <c r="AP71" s="19">
        <v>72</v>
      </c>
      <c r="AQ71" s="62"/>
      <c r="AR71" s="63"/>
      <c r="AS71" s="63"/>
      <c r="AT71" s="65">
        <f t="shared" si="6"/>
        <v>9269.6939999999995</v>
      </c>
      <c r="AU71" s="65">
        <f t="shared" si="7"/>
        <v>205.33799999999999</v>
      </c>
      <c r="AV71" s="65">
        <f t="shared" si="8"/>
        <v>3.024</v>
      </c>
      <c r="AW71" s="65">
        <f t="shared" ref="AW71:AX134" si="10">AL71*42/1000</f>
        <v>4012.9319999999998</v>
      </c>
      <c r="AX71" s="65">
        <f t="shared" si="10"/>
        <v>3356.1779999999999</v>
      </c>
      <c r="AY71" s="65">
        <f t="shared" si="9"/>
        <v>3.024</v>
      </c>
      <c r="AZ71" s="62"/>
      <c r="BA71" s="62"/>
      <c r="BB71" s="19">
        <v>29316</v>
      </c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</row>
    <row r="72" spans="1:116" hidden="1" x14ac:dyDescent="0.2">
      <c r="A72" s="57">
        <v>28764</v>
      </c>
      <c r="B72" s="58"/>
      <c r="C72" s="59"/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59"/>
      <c r="P72" s="61"/>
      <c r="Q72" s="62"/>
      <c r="R72" s="62"/>
      <c r="S72" s="62"/>
      <c r="T72" s="62"/>
      <c r="U72" s="62"/>
      <c r="V72" s="62"/>
      <c r="W72" s="62"/>
      <c r="X72" s="62"/>
      <c r="Y72" s="61"/>
      <c r="Z72" s="63"/>
      <c r="AA72" s="64" t="e">
        <v>#N/A</v>
      </c>
      <c r="AB72" s="62" t="e">
        <v>#N/A</v>
      </c>
      <c r="AC72" s="62" t="e">
        <v>#N/A</v>
      </c>
      <c r="AD72" s="62" t="e">
        <v>#N/A</v>
      </c>
      <c r="AE72" s="62" t="e">
        <v>#N/A</v>
      </c>
      <c r="AF72" s="62" t="e">
        <v>#N/A</v>
      </c>
      <c r="AG72" s="62" t="e">
        <v>#N/A</v>
      </c>
      <c r="AH72" s="62" t="e">
        <v>#N/A</v>
      </c>
      <c r="AI72" s="62" t="e">
        <v>#N/A</v>
      </c>
      <c r="AJ72" s="62" t="e">
        <v>#N/A</v>
      </c>
      <c r="AK72" s="64" t="e">
        <v>#N/A</v>
      </c>
      <c r="AL72" s="19">
        <v>102269</v>
      </c>
      <c r="AM72" s="19">
        <v>95383</v>
      </c>
      <c r="AN72" s="23">
        <v>5520</v>
      </c>
      <c r="AO72" s="19">
        <v>233100</v>
      </c>
      <c r="AP72" s="19">
        <v>64</v>
      </c>
      <c r="AQ72" s="62"/>
      <c r="AR72" s="63"/>
      <c r="AS72" s="63"/>
      <c r="AT72" s="65">
        <f t="shared" si="6"/>
        <v>9790.2000000000007</v>
      </c>
      <c r="AU72" s="65">
        <f t="shared" si="7"/>
        <v>231.84</v>
      </c>
      <c r="AV72" s="65">
        <f t="shared" si="8"/>
        <v>2.6880000000000002</v>
      </c>
      <c r="AW72" s="65">
        <f t="shared" si="10"/>
        <v>4295.2979999999998</v>
      </c>
      <c r="AX72" s="65">
        <f t="shared" si="10"/>
        <v>4006.0859999999998</v>
      </c>
      <c r="AY72" s="65">
        <f t="shared" si="9"/>
        <v>2.6880000000000002</v>
      </c>
      <c r="AZ72" s="62"/>
      <c r="BA72" s="62"/>
      <c r="BB72" s="19">
        <v>27758</v>
      </c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</row>
    <row r="73" spans="1:116" hidden="1" x14ac:dyDescent="0.2">
      <c r="A73" s="57">
        <v>28795</v>
      </c>
      <c r="B73" s="58"/>
      <c r="C73" s="59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59"/>
      <c r="P73" s="61"/>
      <c r="Q73" s="62"/>
      <c r="R73" s="62"/>
      <c r="S73" s="62"/>
      <c r="T73" s="62"/>
      <c r="U73" s="62"/>
      <c r="V73" s="62"/>
      <c r="W73" s="62"/>
      <c r="X73" s="62"/>
      <c r="Y73" s="61"/>
      <c r="Z73" s="63"/>
      <c r="AA73" s="64" t="e">
        <v>#N/A</v>
      </c>
      <c r="AB73" s="62" t="e">
        <v>#N/A</v>
      </c>
      <c r="AC73" s="62" t="e">
        <v>#N/A</v>
      </c>
      <c r="AD73" s="62" t="e">
        <v>#N/A</v>
      </c>
      <c r="AE73" s="62" t="e">
        <v>#N/A</v>
      </c>
      <c r="AF73" s="62" t="e">
        <v>#N/A</v>
      </c>
      <c r="AG73" s="62" t="e">
        <v>#N/A</v>
      </c>
      <c r="AH73" s="62" t="e">
        <v>#N/A</v>
      </c>
      <c r="AI73" s="62" t="e">
        <v>#N/A</v>
      </c>
      <c r="AJ73" s="62" t="e">
        <v>#N/A</v>
      </c>
      <c r="AK73" s="64" t="e">
        <v>#N/A</v>
      </c>
      <c r="AL73" s="19">
        <v>100987</v>
      </c>
      <c r="AM73" s="19">
        <v>107483</v>
      </c>
      <c r="AN73" s="23">
        <v>6689</v>
      </c>
      <c r="AO73" s="19">
        <v>233248</v>
      </c>
      <c r="AP73" s="19">
        <v>99</v>
      </c>
      <c r="AQ73" s="62"/>
      <c r="AR73" s="63"/>
      <c r="AS73" s="63"/>
      <c r="AT73" s="65">
        <f t="shared" si="6"/>
        <v>9796.4159999999993</v>
      </c>
      <c r="AU73" s="65">
        <f t="shared" si="7"/>
        <v>280.93799999999999</v>
      </c>
      <c r="AV73" s="65">
        <f t="shared" si="8"/>
        <v>4.1580000000000004</v>
      </c>
      <c r="AW73" s="65">
        <f t="shared" si="10"/>
        <v>4241.4539999999997</v>
      </c>
      <c r="AX73" s="65">
        <f t="shared" si="10"/>
        <v>4514.2860000000001</v>
      </c>
      <c r="AY73" s="65">
        <f t="shared" si="9"/>
        <v>4.1580000000000004</v>
      </c>
      <c r="AZ73" s="62"/>
      <c r="BA73" s="62"/>
      <c r="BB73" s="19">
        <v>27159</v>
      </c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</row>
    <row r="74" spans="1:116" hidden="1" x14ac:dyDescent="0.2">
      <c r="A74" s="57">
        <v>28825</v>
      </c>
      <c r="B74" s="58"/>
      <c r="C74" s="59"/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59"/>
      <c r="P74" s="61"/>
      <c r="Q74" s="62"/>
      <c r="R74" s="62"/>
      <c r="S74" s="62"/>
      <c r="T74" s="62"/>
      <c r="U74" s="62"/>
      <c r="V74" s="62"/>
      <c r="W74" s="62"/>
      <c r="X74" s="62"/>
      <c r="Y74" s="61"/>
      <c r="Z74" s="63"/>
      <c r="AA74" s="64" t="e">
        <v>#N/A</v>
      </c>
      <c r="AB74" s="62" t="e">
        <v>#N/A</v>
      </c>
      <c r="AC74" s="62" t="e">
        <v>#N/A</v>
      </c>
      <c r="AD74" s="62" t="e">
        <v>#N/A</v>
      </c>
      <c r="AE74" s="62" t="e">
        <v>#N/A</v>
      </c>
      <c r="AF74" s="62" t="e">
        <v>#N/A</v>
      </c>
      <c r="AG74" s="62" t="e">
        <v>#N/A</v>
      </c>
      <c r="AH74" s="62" t="e">
        <v>#N/A</v>
      </c>
      <c r="AI74" s="62" t="e">
        <v>#N/A</v>
      </c>
      <c r="AJ74" s="62" t="e">
        <v>#N/A</v>
      </c>
      <c r="AK74" s="64" t="e">
        <v>#N/A</v>
      </c>
      <c r="AL74" s="19">
        <v>104171</v>
      </c>
      <c r="AM74" s="19">
        <v>128835</v>
      </c>
      <c r="AN74" s="23">
        <v>7865</v>
      </c>
      <c r="AO74" s="19">
        <v>216463</v>
      </c>
      <c r="AP74" s="19">
        <v>48</v>
      </c>
      <c r="AQ74" s="62"/>
      <c r="AR74" s="63"/>
      <c r="AS74" s="63"/>
      <c r="AT74" s="65">
        <f t="shared" si="6"/>
        <v>9091.4459999999999</v>
      </c>
      <c r="AU74" s="65">
        <f t="shared" si="7"/>
        <v>330.33</v>
      </c>
      <c r="AV74" s="65">
        <f t="shared" si="8"/>
        <v>2.016</v>
      </c>
      <c r="AW74" s="65">
        <f t="shared" si="10"/>
        <v>4375.1819999999998</v>
      </c>
      <c r="AX74" s="65">
        <f t="shared" si="10"/>
        <v>5411.07</v>
      </c>
      <c r="AY74" s="65">
        <f t="shared" si="9"/>
        <v>2.016</v>
      </c>
      <c r="AZ74" s="62"/>
      <c r="BA74" s="62"/>
      <c r="BB74" s="19">
        <v>27707</v>
      </c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</row>
    <row r="75" spans="1:116" hidden="1" x14ac:dyDescent="0.2">
      <c r="A75" s="57">
        <v>28856</v>
      </c>
      <c r="B75" s="58"/>
      <c r="C75" s="59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59"/>
      <c r="P75" s="61"/>
      <c r="Q75" s="62"/>
      <c r="R75" s="62"/>
      <c r="S75" s="62"/>
      <c r="T75" s="62"/>
      <c r="U75" s="62"/>
      <c r="V75" s="62"/>
      <c r="W75" s="62"/>
      <c r="X75" s="62"/>
      <c r="Y75" s="61"/>
      <c r="Z75" s="63"/>
      <c r="AA75" s="64" t="e">
        <v>#N/A</v>
      </c>
      <c r="AB75" s="62" t="e">
        <v>#N/A</v>
      </c>
      <c r="AC75" s="62" t="e">
        <v>#N/A</v>
      </c>
      <c r="AD75" s="62" t="e">
        <v>#N/A</v>
      </c>
      <c r="AE75" s="62" t="e">
        <v>#N/A</v>
      </c>
      <c r="AF75" s="62" t="e">
        <v>#N/A</v>
      </c>
      <c r="AG75" s="62" t="e">
        <v>#N/A</v>
      </c>
      <c r="AH75" s="62" t="e">
        <v>#N/A</v>
      </c>
      <c r="AI75" s="62" t="e">
        <v>#N/A</v>
      </c>
      <c r="AJ75" s="62" t="e">
        <v>#N/A</v>
      </c>
      <c r="AK75" s="64" t="e">
        <v>#N/A</v>
      </c>
      <c r="AL75" s="19">
        <v>94330</v>
      </c>
      <c r="AM75" s="19">
        <v>141996</v>
      </c>
      <c r="AN75" s="23">
        <v>7002</v>
      </c>
      <c r="AO75" s="19">
        <v>175837</v>
      </c>
      <c r="AP75" s="19">
        <v>18</v>
      </c>
      <c r="AQ75" s="62"/>
      <c r="AR75" s="63"/>
      <c r="AS75" s="63"/>
      <c r="AT75" s="65">
        <f t="shared" si="6"/>
        <v>7385.1540000000005</v>
      </c>
      <c r="AU75" s="65">
        <f t="shared" si="7"/>
        <v>294.084</v>
      </c>
      <c r="AV75" s="65">
        <f t="shared" si="8"/>
        <v>0.75600000000000001</v>
      </c>
      <c r="AW75" s="65">
        <f t="shared" si="10"/>
        <v>3961.86</v>
      </c>
      <c r="AX75" s="65">
        <f t="shared" si="10"/>
        <v>5963.8320000000003</v>
      </c>
      <c r="AY75" s="65">
        <f t="shared" si="9"/>
        <v>0.75600000000000001</v>
      </c>
      <c r="AZ75" s="62"/>
      <c r="BA75" s="62"/>
      <c r="BB75" s="19">
        <v>25897</v>
      </c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</row>
    <row r="76" spans="1:116" hidden="1" x14ac:dyDescent="0.2">
      <c r="A76" s="57">
        <v>28887</v>
      </c>
      <c r="B76" s="58"/>
      <c r="C76" s="59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59"/>
      <c r="P76" s="61"/>
      <c r="Q76" s="62"/>
      <c r="R76" s="62"/>
      <c r="S76" s="62"/>
      <c r="T76" s="62"/>
      <c r="U76" s="62"/>
      <c r="V76" s="62"/>
      <c r="W76" s="62"/>
      <c r="X76" s="62"/>
      <c r="Y76" s="61"/>
      <c r="Z76" s="63"/>
      <c r="AA76" s="64" t="e">
        <v>#N/A</v>
      </c>
      <c r="AB76" s="62" t="e">
        <v>#N/A</v>
      </c>
      <c r="AC76" s="62" t="e">
        <v>#N/A</v>
      </c>
      <c r="AD76" s="62" t="e">
        <v>#N/A</v>
      </c>
      <c r="AE76" s="62" t="e">
        <v>#N/A</v>
      </c>
      <c r="AF76" s="62" t="e">
        <v>#N/A</v>
      </c>
      <c r="AG76" s="62" t="e">
        <v>#N/A</v>
      </c>
      <c r="AH76" s="62" t="e">
        <v>#N/A</v>
      </c>
      <c r="AI76" s="62" t="e">
        <v>#N/A</v>
      </c>
      <c r="AJ76" s="62" t="e">
        <v>#N/A</v>
      </c>
      <c r="AK76" s="64" t="e">
        <v>#N/A</v>
      </c>
      <c r="AL76" s="19">
        <v>80861</v>
      </c>
      <c r="AM76" s="19">
        <v>134741</v>
      </c>
      <c r="AN76" s="23">
        <v>5477</v>
      </c>
      <c r="AO76" s="19">
        <v>127292</v>
      </c>
      <c r="AP76" s="19">
        <v>196</v>
      </c>
      <c r="AQ76" s="62"/>
      <c r="AR76" s="63"/>
      <c r="AS76" s="63"/>
      <c r="AT76" s="65">
        <f t="shared" si="6"/>
        <v>5346.2640000000001</v>
      </c>
      <c r="AU76" s="65">
        <f t="shared" si="7"/>
        <v>230.03399999999999</v>
      </c>
      <c r="AV76" s="65">
        <f t="shared" si="8"/>
        <v>8.2319999999999993</v>
      </c>
      <c r="AW76" s="65">
        <f t="shared" si="10"/>
        <v>3396.1619999999998</v>
      </c>
      <c r="AX76" s="65">
        <f t="shared" si="10"/>
        <v>5659.1220000000003</v>
      </c>
      <c r="AY76" s="65">
        <f t="shared" si="9"/>
        <v>8.2319999999999993</v>
      </c>
      <c r="AZ76" s="62"/>
      <c r="BA76" s="62"/>
      <c r="BB76" s="19">
        <v>24836</v>
      </c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</row>
    <row r="77" spans="1:116" hidden="1" x14ac:dyDescent="0.2">
      <c r="A77" s="57">
        <v>28915</v>
      </c>
      <c r="B77" s="58"/>
      <c r="C77" s="59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59"/>
      <c r="P77" s="61"/>
      <c r="Q77" s="62"/>
      <c r="R77" s="62"/>
      <c r="S77" s="62"/>
      <c r="T77" s="62"/>
      <c r="U77" s="62"/>
      <c r="V77" s="62"/>
      <c r="W77" s="62"/>
      <c r="X77" s="62"/>
      <c r="Y77" s="61"/>
      <c r="Z77" s="63"/>
      <c r="AA77" s="64" t="e">
        <v>#N/A</v>
      </c>
      <c r="AB77" s="62" t="e">
        <v>#N/A</v>
      </c>
      <c r="AC77" s="62" t="e">
        <v>#N/A</v>
      </c>
      <c r="AD77" s="62" t="e">
        <v>#N/A</v>
      </c>
      <c r="AE77" s="62" t="e">
        <v>#N/A</v>
      </c>
      <c r="AF77" s="62" t="e">
        <v>#N/A</v>
      </c>
      <c r="AG77" s="62" t="e">
        <v>#N/A</v>
      </c>
      <c r="AH77" s="62" t="e">
        <v>#N/A</v>
      </c>
      <c r="AI77" s="62" t="e">
        <v>#N/A</v>
      </c>
      <c r="AJ77" s="62" t="e">
        <v>#N/A</v>
      </c>
      <c r="AK77" s="64" t="e">
        <v>#N/A</v>
      </c>
      <c r="AL77" s="19">
        <v>93595</v>
      </c>
      <c r="AM77" s="19">
        <v>113598</v>
      </c>
      <c r="AN77" s="23">
        <v>5453</v>
      </c>
      <c r="AO77" s="19">
        <v>112759</v>
      </c>
      <c r="AP77" s="19">
        <v>42</v>
      </c>
      <c r="AQ77" s="62"/>
      <c r="AR77" s="63"/>
      <c r="AS77" s="63"/>
      <c r="AT77" s="65">
        <f t="shared" si="6"/>
        <v>4735.8779999999997</v>
      </c>
      <c r="AU77" s="65">
        <f t="shared" si="7"/>
        <v>229.02600000000001</v>
      </c>
      <c r="AV77" s="65">
        <f t="shared" si="8"/>
        <v>1.764</v>
      </c>
      <c r="AW77" s="65">
        <f t="shared" si="10"/>
        <v>3930.99</v>
      </c>
      <c r="AX77" s="65">
        <f t="shared" si="10"/>
        <v>4771.116</v>
      </c>
      <c r="AY77" s="65">
        <f t="shared" si="9"/>
        <v>1.764</v>
      </c>
      <c r="AZ77" s="62"/>
      <c r="BA77" s="62"/>
      <c r="BB77" s="19">
        <v>27003</v>
      </c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</row>
    <row r="78" spans="1:116" hidden="1" x14ac:dyDescent="0.2">
      <c r="A78" s="57">
        <v>28946</v>
      </c>
      <c r="B78" s="58"/>
      <c r="C78" s="59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59"/>
      <c r="P78" s="61"/>
      <c r="Q78" s="62"/>
      <c r="R78" s="62"/>
      <c r="S78" s="62"/>
      <c r="T78" s="62"/>
      <c r="U78" s="62"/>
      <c r="V78" s="62"/>
      <c r="W78" s="62"/>
      <c r="X78" s="62"/>
      <c r="Y78" s="61"/>
      <c r="Z78" s="63"/>
      <c r="AA78" s="64" t="e">
        <v>#N/A</v>
      </c>
      <c r="AB78" s="62" t="e">
        <v>#N/A</v>
      </c>
      <c r="AC78" s="62" t="e">
        <v>#N/A</v>
      </c>
      <c r="AD78" s="62" t="e">
        <v>#N/A</v>
      </c>
      <c r="AE78" s="62" t="e">
        <v>#N/A</v>
      </c>
      <c r="AF78" s="62" t="e">
        <v>#N/A</v>
      </c>
      <c r="AG78" s="62" t="e">
        <v>#N/A</v>
      </c>
      <c r="AH78" s="62" t="e">
        <v>#N/A</v>
      </c>
      <c r="AI78" s="62" t="e">
        <v>#N/A</v>
      </c>
      <c r="AJ78" s="62" t="e">
        <v>#N/A</v>
      </c>
      <c r="AK78" s="64" t="e">
        <v>#N/A</v>
      </c>
      <c r="AL78" s="19">
        <v>88361</v>
      </c>
      <c r="AM78" s="19">
        <v>90488</v>
      </c>
      <c r="AN78" s="23">
        <v>4512</v>
      </c>
      <c r="AO78" s="19">
        <v>115140</v>
      </c>
      <c r="AP78" s="19">
        <v>67</v>
      </c>
      <c r="AQ78" s="62"/>
      <c r="AR78" s="63"/>
      <c r="AS78" s="63"/>
      <c r="AT78" s="65">
        <f t="shared" si="6"/>
        <v>4835.88</v>
      </c>
      <c r="AU78" s="65">
        <f t="shared" si="7"/>
        <v>189.50399999999999</v>
      </c>
      <c r="AV78" s="65">
        <f t="shared" si="8"/>
        <v>2.8140000000000001</v>
      </c>
      <c r="AW78" s="65">
        <f t="shared" si="10"/>
        <v>3711.1619999999998</v>
      </c>
      <c r="AX78" s="65">
        <f t="shared" si="10"/>
        <v>3800.4960000000001</v>
      </c>
      <c r="AY78" s="65">
        <f t="shared" si="9"/>
        <v>2.8140000000000001</v>
      </c>
      <c r="AZ78" s="62"/>
      <c r="BA78" s="62"/>
      <c r="BB78" s="19">
        <v>30011</v>
      </c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</row>
    <row r="79" spans="1:116" hidden="1" x14ac:dyDescent="0.2">
      <c r="A79" s="57">
        <v>28976</v>
      </c>
      <c r="B79" s="58"/>
      <c r="C79" s="59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59"/>
      <c r="P79" s="61"/>
      <c r="Q79" s="62"/>
      <c r="R79" s="62"/>
      <c r="S79" s="62"/>
      <c r="T79" s="62"/>
      <c r="U79" s="62"/>
      <c r="V79" s="62"/>
      <c r="W79" s="62"/>
      <c r="X79" s="62"/>
      <c r="Y79" s="61"/>
      <c r="Z79" s="63"/>
      <c r="AA79" s="64" t="e">
        <v>#N/A</v>
      </c>
      <c r="AB79" s="62" t="e">
        <v>#N/A</v>
      </c>
      <c r="AC79" s="62" t="e">
        <v>#N/A</v>
      </c>
      <c r="AD79" s="62" t="e">
        <v>#N/A</v>
      </c>
      <c r="AE79" s="62" t="e">
        <v>#N/A</v>
      </c>
      <c r="AF79" s="62" t="e">
        <v>#N/A</v>
      </c>
      <c r="AG79" s="62" t="e">
        <v>#N/A</v>
      </c>
      <c r="AH79" s="62" t="e">
        <v>#N/A</v>
      </c>
      <c r="AI79" s="62" t="e">
        <v>#N/A</v>
      </c>
      <c r="AJ79" s="62" t="e">
        <v>#N/A</v>
      </c>
      <c r="AK79" s="64" t="e">
        <v>#N/A</v>
      </c>
      <c r="AL79" s="19">
        <v>95036</v>
      </c>
      <c r="AM79" s="19">
        <v>92923</v>
      </c>
      <c r="AN79" s="23">
        <v>5750</v>
      </c>
      <c r="AO79" s="19">
        <v>123055</v>
      </c>
      <c r="AP79" s="19">
        <v>5</v>
      </c>
      <c r="AQ79" s="62"/>
      <c r="AR79" s="63"/>
      <c r="AS79" s="63"/>
      <c r="AT79" s="65">
        <f t="shared" si="6"/>
        <v>5168.3100000000004</v>
      </c>
      <c r="AU79" s="65">
        <f t="shared" si="7"/>
        <v>241.5</v>
      </c>
      <c r="AV79" s="65">
        <f t="shared" si="8"/>
        <v>0.21</v>
      </c>
      <c r="AW79" s="65">
        <f t="shared" si="10"/>
        <v>3991.5120000000002</v>
      </c>
      <c r="AX79" s="65">
        <f t="shared" si="10"/>
        <v>3902.7660000000001</v>
      </c>
      <c r="AY79" s="65">
        <f t="shared" si="9"/>
        <v>0.21</v>
      </c>
      <c r="AZ79" s="62"/>
      <c r="BA79" s="62"/>
      <c r="BB79" s="19">
        <v>31946</v>
      </c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</row>
    <row r="80" spans="1:116" hidden="1" x14ac:dyDescent="0.2">
      <c r="A80" s="57">
        <v>29007</v>
      </c>
      <c r="B80" s="58"/>
      <c r="C80" s="59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59"/>
      <c r="P80" s="61"/>
      <c r="Q80" s="62"/>
      <c r="R80" s="62"/>
      <c r="S80" s="62"/>
      <c r="T80" s="62"/>
      <c r="U80" s="62"/>
      <c r="V80" s="62"/>
      <c r="W80" s="62"/>
      <c r="X80" s="62"/>
      <c r="Y80" s="61"/>
      <c r="Z80" s="63"/>
      <c r="AA80" s="64" t="e">
        <v>#N/A</v>
      </c>
      <c r="AB80" s="62" t="e">
        <v>#N/A</v>
      </c>
      <c r="AC80" s="62" t="e">
        <v>#N/A</v>
      </c>
      <c r="AD80" s="62" t="e">
        <v>#N/A</v>
      </c>
      <c r="AE80" s="62" t="e">
        <v>#N/A</v>
      </c>
      <c r="AF80" s="62" t="e">
        <v>#N/A</v>
      </c>
      <c r="AG80" s="62" t="e">
        <v>#N/A</v>
      </c>
      <c r="AH80" s="62" t="e">
        <v>#N/A</v>
      </c>
      <c r="AI80" s="62" t="e">
        <v>#N/A</v>
      </c>
      <c r="AJ80" s="62" t="e">
        <v>#N/A</v>
      </c>
      <c r="AK80" s="64" t="e">
        <v>#N/A</v>
      </c>
      <c r="AL80" s="19">
        <v>94580</v>
      </c>
      <c r="AM80" s="19">
        <v>81236</v>
      </c>
      <c r="AN80" s="23">
        <v>5387</v>
      </c>
      <c r="AO80" s="19">
        <v>141383</v>
      </c>
      <c r="AP80" s="19">
        <v>463</v>
      </c>
      <c r="AQ80" s="62"/>
      <c r="AR80" s="63"/>
      <c r="AS80" s="63"/>
      <c r="AT80" s="65">
        <f t="shared" si="6"/>
        <v>5938.0860000000002</v>
      </c>
      <c r="AU80" s="65">
        <f t="shared" si="7"/>
        <v>226.25399999999999</v>
      </c>
      <c r="AV80" s="65">
        <f t="shared" si="8"/>
        <v>19.446000000000002</v>
      </c>
      <c r="AW80" s="65">
        <f t="shared" si="10"/>
        <v>3972.36</v>
      </c>
      <c r="AX80" s="65">
        <f t="shared" si="10"/>
        <v>3411.9119999999998</v>
      </c>
      <c r="AY80" s="65">
        <f t="shared" si="9"/>
        <v>19.446000000000002</v>
      </c>
      <c r="AZ80" s="62"/>
      <c r="BA80" s="62"/>
      <c r="BB80" s="19">
        <v>30211</v>
      </c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</row>
    <row r="81" spans="1:116" hidden="1" x14ac:dyDescent="0.2">
      <c r="A81" s="57">
        <v>29037</v>
      </c>
      <c r="B81" s="58"/>
      <c r="C81" s="59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59"/>
      <c r="P81" s="61"/>
      <c r="Q81" s="62"/>
      <c r="R81" s="62"/>
      <c r="S81" s="62"/>
      <c r="T81" s="62"/>
      <c r="U81" s="62"/>
      <c r="V81" s="62"/>
      <c r="W81" s="62"/>
      <c r="X81" s="62"/>
      <c r="Y81" s="61"/>
      <c r="Z81" s="63"/>
      <c r="AA81" s="64" t="e">
        <v>#N/A</v>
      </c>
      <c r="AB81" s="62" t="e">
        <v>#N/A</v>
      </c>
      <c r="AC81" s="62" t="e">
        <v>#N/A</v>
      </c>
      <c r="AD81" s="62" t="e">
        <v>#N/A</v>
      </c>
      <c r="AE81" s="62" t="e">
        <v>#N/A</v>
      </c>
      <c r="AF81" s="62" t="e">
        <v>#N/A</v>
      </c>
      <c r="AG81" s="62" t="e">
        <v>#N/A</v>
      </c>
      <c r="AH81" s="62" t="e">
        <v>#N/A</v>
      </c>
      <c r="AI81" s="62" t="e">
        <v>#N/A</v>
      </c>
      <c r="AJ81" s="62" t="e">
        <v>#N/A</v>
      </c>
      <c r="AK81" s="64" t="e">
        <v>#N/A</v>
      </c>
      <c r="AL81" s="19">
        <v>102470</v>
      </c>
      <c r="AM81" s="19">
        <v>79447</v>
      </c>
      <c r="AN81" s="23">
        <v>6960</v>
      </c>
      <c r="AO81" s="19">
        <v>171223</v>
      </c>
      <c r="AP81" s="19">
        <v>208</v>
      </c>
      <c r="AQ81" s="62"/>
      <c r="AR81" s="63"/>
      <c r="AS81" s="63"/>
      <c r="AT81" s="65">
        <f t="shared" si="6"/>
        <v>7191.366</v>
      </c>
      <c r="AU81" s="65">
        <f t="shared" si="7"/>
        <v>292.32</v>
      </c>
      <c r="AV81" s="65">
        <f t="shared" si="8"/>
        <v>8.7360000000000007</v>
      </c>
      <c r="AW81" s="65">
        <f t="shared" si="10"/>
        <v>4303.74</v>
      </c>
      <c r="AX81" s="65">
        <f t="shared" si="10"/>
        <v>3336.7739999999999</v>
      </c>
      <c r="AY81" s="65">
        <f t="shared" si="9"/>
        <v>8.7360000000000007</v>
      </c>
      <c r="AZ81" s="62"/>
      <c r="BA81" s="62"/>
      <c r="BB81" s="19">
        <v>28996</v>
      </c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</row>
    <row r="82" spans="1:116" hidden="1" x14ac:dyDescent="0.2">
      <c r="A82" s="57">
        <v>29068</v>
      </c>
      <c r="B82" s="58"/>
      <c r="C82" s="59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59"/>
      <c r="P82" s="61"/>
      <c r="Q82" s="62"/>
      <c r="R82" s="62"/>
      <c r="S82" s="62"/>
      <c r="T82" s="62"/>
      <c r="U82" s="62"/>
      <c r="V82" s="62"/>
      <c r="W82" s="62"/>
      <c r="X82" s="62"/>
      <c r="Y82" s="61"/>
      <c r="Z82" s="63"/>
      <c r="AA82" s="64" t="e">
        <v>#N/A</v>
      </c>
      <c r="AB82" s="62" t="e">
        <v>#N/A</v>
      </c>
      <c r="AC82" s="62" t="e">
        <v>#N/A</v>
      </c>
      <c r="AD82" s="62" t="e">
        <v>#N/A</v>
      </c>
      <c r="AE82" s="62" t="e">
        <v>#N/A</v>
      </c>
      <c r="AF82" s="62" t="e">
        <v>#N/A</v>
      </c>
      <c r="AG82" s="62" t="e">
        <v>#N/A</v>
      </c>
      <c r="AH82" s="62" t="e">
        <v>#N/A</v>
      </c>
      <c r="AI82" s="62" t="e">
        <v>#N/A</v>
      </c>
      <c r="AJ82" s="62" t="e">
        <v>#N/A</v>
      </c>
      <c r="AK82" s="64" t="e">
        <v>#N/A</v>
      </c>
      <c r="AL82" s="19">
        <v>102941</v>
      </c>
      <c r="AM82" s="19">
        <v>85586</v>
      </c>
      <c r="AN82" s="23">
        <v>6745</v>
      </c>
      <c r="AO82" s="19">
        <v>195379</v>
      </c>
      <c r="AP82" s="19">
        <v>5</v>
      </c>
      <c r="AQ82" s="62"/>
      <c r="AR82" s="63"/>
      <c r="AS82" s="63"/>
      <c r="AT82" s="65">
        <f t="shared" si="6"/>
        <v>8205.9179999999997</v>
      </c>
      <c r="AU82" s="65">
        <f t="shared" si="7"/>
        <v>283.29000000000002</v>
      </c>
      <c r="AV82" s="65">
        <f t="shared" si="8"/>
        <v>0.21</v>
      </c>
      <c r="AW82" s="65">
        <f t="shared" si="10"/>
        <v>4323.5219999999999</v>
      </c>
      <c r="AX82" s="65">
        <f t="shared" si="10"/>
        <v>3594.6120000000001</v>
      </c>
      <c r="AY82" s="65">
        <f t="shared" si="9"/>
        <v>0.21</v>
      </c>
      <c r="AZ82" s="62"/>
      <c r="BA82" s="62"/>
      <c r="BB82" s="19">
        <v>29289</v>
      </c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</row>
    <row r="83" spans="1:116" hidden="1" x14ac:dyDescent="0.2">
      <c r="A83" s="57">
        <v>29099</v>
      </c>
      <c r="B83" s="58"/>
      <c r="C83" s="59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59"/>
      <c r="P83" s="61"/>
      <c r="Q83" s="62"/>
      <c r="R83" s="62"/>
      <c r="S83" s="62"/>
      <c r="T83" s="62"/>
      <c r="U83" s="62"/>
      <c r="V83" s="62"/>
      <c r="W83" s="62"/>
      <c r="X83" s="62"/>
      <c r="Y83" s="61"/>
      <c r="Z83" s="63"/>
      <c r="AA83" s="64" t="e">
        <v>#N/A</v>
      </c>
      <c r="AB83" s="62" t="e">
        <v>#N/A</v>
      </c>
      <c r="AC83" s="62" t="e">
        <v>#N/A</v>
      </c>
      <c r="AD83" s="62" t="e">
        <v>#N/A</v>
      </c>
      <c r="AE83" s="62" t="e">
        <v>#N/A</v>
      </c>
      <c r="AF83" s="62" t="e">
        <v>#N/A</v>
      </c>
      <c r="AG83" s="62" t="e">
        <v>#N/A</v>
      </c>
      <c r="AH83" s="62" t="e">
        <v>#N/A</v>
      </c>
      <c r="AI83" s="62" t="e">
        <v>#N/A</v>
      </c>
      <c r="AJ83" s="62" t="e">
        <v>#N/A</v>
      </c>
      <c r="AK83" s="64" t="e">
        <v>#N/A</v>
      </c>
      <c r="AL83" s="19">
        <v>100631</v>
      </c>
      <c r="AM83" s="19">
        <v>79400</v>
      </c>
      <c r="AN83" s="23">
        <v>3765</v>
      </c>
      <c r="AO83" s="19">
        <v>220390</v>
      </c>
      <c r="AP83" s="19">
        <v>45</v>
      </c>
      <c r="AQ83" s="62"/>
      <c r="AR83" s="63"/>
      <c r="AS83" s="63"/>
      <c r="AT83" s="65">
        <f t="shared" si="6"/>
        <v>9256.3799999999992</v>
      </c>
      <c r="AU83" s="65">
        <f t="shared" si="7"/>
        <v>158.13</v>
      </c>
      <c r="AV83" s="65">
        <f t="shared" si="8"/>
        <v>1.89</v>
      </c>
      <c r="AW83" s="65">
        <f t="shared" si="10"/>
        <v>4226.5020000000004</v>
      </c>
      <c r="AX83" s="65">
        <f t="shared" si="10"/>
        <v>3334.8</v>
      </c>
      <c r="AY83" s="65">
        <f t="shared" si="9"/>
        <v>1.89</v>
      </c>
      <c r="AZ83" s="62"/>
      <c r="BA83" s="62"/>
      <c r="BB83" s="19">
        <v>27727</v>
      </c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</row>
    <row r="84" spans="1:116" hidden="1" x14ac:dyDescent="0.2">
      <c r="A84" s="57">
        <v>29129</v>
      </c>
      <c r="B84" s="58"/>
      <c r="C84" s="59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59"/>
      <c r="P84" s="61"/>
      <c r="Q84" s="62"/>
      <c r="R84" s="62"/>
      <c r="S84" s="62"/>
      <c r="T84" s="62"/>
      <c r="U84" s="62"/>
      <c r="V84" s="62"/>
      <c r="W84" s="62"/>
      <c r="X84" s="62"/>
      <c r="Y84" s="61"/>
      <c r="Z84" s="63"/>
      <c r="AA84" s="64" t="e">
        <v>#N/A</v>
      </c>
      <c r="AB84" s="62" t="e">
        <v>#N/A</v>
      </c>
      <c r="AC84" s="62" t="e">
        <v>#N/A</v>
      </c>
      <c r="AD84" s="62" t="e">
        <v>#N/A</v>
      </c>
      <c r="AE84" s="62" t="e">
        <v>#N/A</v>
      </c>
      <c r="AF84" s="62" t="e">
        <v>#N/A</v>
      </c>
      <c r="AG84" s="62" t="e">
        <v>#N/A</v>
      </c>
      <c r="AH84" s="62" t="e">
        <v>#N/A</v>
      </c>
      <c r="AI84" s="62" t="e">
        <v>#N/A</v>
      </c>
      <c r="AJ84" s="62" t="e">
        <v>#N/A</v>
      </c>
      <c r="AK84" s="64" t="e">
        <v>#N/A</v>
      </c>
      <c r="AL84" s="19">
        <v>100774</v>
      </c>
      <c r="AM84" s="19">
        <v>96676</v>
      </c>
      <c r="AN84" s="23">
        <v>6552</v>
      </c>
      <c r="AO84" s="19">
        <v>231073</v>
      </c>
      <c r="AP84" s="19">
        <v>28</v>
      </c>
      <c r="AQ84" s="62"/>
      <c r="AR84" s="63"/>
      <c r="AS84" s="63"/>
      <c r="AT84" s="65">
        <f t="shared" si="6"/>
        <v>9705.0660000000007</v>
      </c>
      <c r="AU84" s="65">
        <f t="shared" si="7"/>
        <v>275.18400000000003</v>
      </c>
      <c r="AV84" s="65">
        <f t="shared" si="8"/>
        <v>1.1759999999999999</v>
      </c>
      <c r="AW84" s="65">
        <f t="shared" si="10"/>
        <v>4232.5079999999998</v>
      </c>
      <c r="AX84" s="65">
        <f t="shared" si="10"/>
        <v>4060.3919999999998</v>
      </c>
      <c r="AY84" s="65">
        <f t="shared" si="9"/>
        <v>1.1759999999999999</v>
      </c>
      <c r="AZ84" s="62"/>
      <c r="BA84" s="62"/>
      <c r="BB84" s="19">
        <v>29725</v>
      </c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</row>
    <row r="85" spans="1:116" hidden="1" x14ac:dyDescent="0.2">
      <c r="A85" s="57">
        <v>29160</v>
      </c>
      <c r="B85" s="58"/>
      <c r="C85" s="59"/>
      <c r="D85" s="60"/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59"/>
      <c r="P85" s="61"/>
      <c r="Q85" s="62"/>
      <c r="R85" s="62"/>
      <c r="S85" s="62"/>
      <c r="T85" s="62"/>
      <c r="U85" s="62"/>
      <c r="V85" s="62"/>
      <c r="W85" s="62"/>
      <c r="X85" s="62"/>
      <c r="Y85" s="61"/>
      <c r="Z85" s="63"/>
      <c r="AA85" s="64" t="e">
        <v>#N/A</v>
      </c>
      <c r="AB85" s="62" t="e">
        <v>#N/A</v>
      </c>
      <c r="AC85" s="62" t="e">
        <v>#N/A</v>
      </c>
      <c r="AD85" s="62" t="e">
        <v>#N/A</v>
      </c>
      <c r="AE85" s="62" t="e">
        <v>#N/A</v>
      </c>
      <c r="AF85" s="62" t="e">
        <v>#N/A</v>
      </c>
      <c r="AG85" s="62" t="e">
        <v>#N/A</v>
      </c>
      <c r="AH85" s="62" t="e">
        <v>#N/A</v>
      </c>
      <c r="AI85" s="62" t="e">
        <v>#N/A</v>
      </c>
      <c r="AJ85" s="62" t="e">
        <v>#N/A</v>
      </c>
      <c r="AK85" s="64" t="e">
        <v>#N/A</v>
      </c>
      <c r="AL85" s="19">
        <v>97170</v>
      </c>
      <c r="AM85" s="19">
        <v>97417</v>
      </c>
      <c r="AN85" s="23">
        <v>5777</v>
      </c>
      <c r="AO85" s="19">
        <v>236661</v>
      </c>
      <c r="AP85" s="19">
        <v>1</v>
      </c>
      <c r="AQ85" s="62"/>
      <c r="AR85" s="63"/>
      <c r="AS85" s="63"/>
      <c r="AT85" s="65">
        <f t="shared" si="6"/>
        <v>9939.7620000000006</v>
      </c>
      <c r="AU85" s="65">
        <f t="shared" si="7"/>
        <v>242.63399999999999</v>
      </c>
      <c r="AV85" s="65">
        <f t="shared" si="8"/>
        <v>4.2000000000000003E-2</v>
      </c>
      <c r="AW85" s="65">
        <f t="shared" si="10"/>
        <v>4081.14</v>
      </c>
      <c r="AX85" s="65">
        <f t="shared" si="10"/>
        <v>4091.5140000000001</v>
      </c>
      <c r="AY85" s="65">
        <f t="shared" si="9"/>
        <v>4.2000000000000003E-2</v>
      </c>
      <c r="AZ85" s="62"/>
      <c r="BA85" s="62"/>
      <c r="BB85" s="19">
        <v>31250</v>
      </c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</row>
    <row r="86" spans="1:116" hidden="1" x14ac:dyDescent="0.2">
      <c r="A86" s="57">
        <v>29190</v>
      </c>
      <c r="B86" s="58"/>
      <c r="C86" s="59"/>
      <c r="D86" s="60"/>
      <c r="E86" s="60"/>
      <c r="F86" s="60"/>
      <c r="G86" s="60"/>
      <c r="H86" s="60"/>
      <c r="I86" s="60"/>
      <c r="J86" s="60"/>
      <c r="K86" s="60"/>
      <c r="L86" s="60"/>
      <c r="M86" s="60"/>
      <c r="N86" s="60"/>
      <c r="O86" s="59"/>
      <c r="P86" s="61"/>
      <c r="Q86" s="62"/>
      <c r="R86" s="62"/>
      <c r="S86" s="62"/>
      <c r="T86" s="62"/>
      <c r="U86" s="62"/>
      <c r="V86" s="62"/>
      <c r="W86" s="62"/>
      <c r="X86" s="62"/>
      <c r="Y86" s="61"/>
      <c r="Z86" s="63"/>
      <c r="AA86" s="64" t="e">
        <v>#N/A</v>
      </c>
      <c r="AB86" s="62" t="e">
        <v>#N/A</v>
      </c>
      <c r="AC86" s="62" t="e">
        <v>#N/A</v>
      </c>
      <c r="AD86" s="62" t="e">
        <v>#N/A</v>
      </c>
      <c r="AE86" s="62" t="e">
        <v>#N/A</v>
      </c>
      <c r="AF86" s="62" t="e">
        <v>#N/A</v>
      </c>
      <c r="AG86" s="62" t="e">
        <v>#N/A</v>
      </c>
      <c r="AH86" s="62" t="e">
        <v>#N/A</v>
      </c>
      <c r="AI86" s="62" t="e">
        <v>#N/A</v>
      </c>
      <c r="AJ86" s="62" t="e">
        <v>#N/A</v>
      </c>
      <c r="AK86" s="64" t="e">
        <v>#N/A</v>
      </c>
      <c r="AL86" s="19">
        <v>99845</v>
      </c>
      <c r="AM86" s="19">
        <v>114948</v>
      </c>
      <c r="AN86" s="23">
        <v>7109</v>
      </c>
      <c r="AO86" s="19">
        <v>228729</v>
      </c>
      <c r="AP86" s="19">
        <v>1</v>
      </c>
      <c r="AQ86" s="62"/>
      <c r="AR86" s="63"/>
      <c r="AS86" s="63"/>
      <c r="AT86" s="65">
        <f t="shared" si="6"/>
        <v>9606.6180000000004</v>
      </c>
      <c r="AU86" s="65">
        <f t="shared" si="7"/>
        <v>298.57799999999997</v>
      </c>
      <c r="AV86" s="65">
        <f t="shared" si="8"/>
        <v>4.2000000000000003E-2</v>
      </c>
      <c r="AW86" s="65">
        <f t="shared" si="10"/>
        <v>4193.49</v>
      </c>
      <c r="AX86" s="65">
        <f t="shared" si="10"/>
        <v>4827.8159999999998</v>
      </c>
      <c r="AY86" s="65">
        <f t="shared" si="9"/>
        <v>4.2000000000000003E-2</v>
      </c>
      <c r="AZ86" s="62"/>
      <c r="BA86" s="62"/>
      <c r="BB86" s="19">
        <v>32921</v>
      </c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</row>
    <row r="87" spans="1:116" hidden="1" x14ac:dyDescent="0.2">
      <c r="A87" s="57">
        <v>29221</v>
      </c>
      <c r="B87" s="58"/>
      <c r="C87" s="59"/>
      <c r="D87" s="60"/>
      <c r="E87" s="60"/>
      <c r="F87" s="60"/>
      <c r="G87" s="60"/>
      <c r="H87" s="60"/>
      <c r="I87" s="60"/>
      <c r="J87" s="60"/>
      <c r="K87" s="60"/>
      <c r="L87" s="60"/>
      <c r="M87" s="60"/>
      <c r="N87" s="60"/>
      <c r="O87" s="59"/>
      <c r="P87" s="61"/>
      <c r="Q87" s="62"/>
      <c r="R87" s="62"/>
      <c r="S87" s="62"/>
      <c r="T87" s="62"/>
      <c r="U87" s="62"/>
      <c r="V87" s="62"/>
      <c r="W87" s="62"/>
      <c r="X87" s="62"/>
      <c r="Y87" s="61"/>
      <c r="Z87" s="63"/>
      <c r="AA87" s="64" t="e">
        <v>#N/A</v>
      </c>
      <c r="AB87" s="62" t="e">
        <v>#N/A</v>
      </c>
      <c r="AC87" s="62" t="e">
        <v>#N/A</v>
      </c>
      <c r="AD87" s="62" t="e">
        <v>#N/A</v>
      </c>
      <c r="AE87" s="62" t="e">
        <v>#N/A</v>
      </c>
      <c r="AF87" s="62" t="e">
        <v>#N/A</v>
      </c>
      <c r="AG87" s="62" t="e">
        <v>#N/A</v>
      </c>
      <c r="AH87" s="62" t="e">
        <v>#N/A</v>
      </c>
      <c r="AI87" s="62" t="e">
        <v>#N/A</v>
      </c>
      <c r="AJ87" s="62" t="e">
        <v>#N/A</v>
      </c>
      <c r="AK87" s="64" t="e">
        <v>#N/A</v>
      </c>
      <c r="AL87" s="19">
        <v>93415</v>
      </c>
      <c r="AM87" s="19">
        <v>115121</v>
      </c>
      <c r="AN87" s="23">
        <v>5544</v>
      </c>
      <c r="AO87" s="19">
        <v>212394</v>
      </c>
      <c r="AP87" s="19">
        <v>212</v>
      </c>
      <c r="AQ87" s="62"/>
      <c r="AR87" s="63"/>
      <c r="AS87" s="63"/>
      <c r="AT87" s="65">
        <f t="shared" si="6"/>
        <v>8920.5480000000007</v>
      </c>
      <c r="AU87" s="65">
        <f t="shared" si="7"/>
        <v>232.84800000000001</v>
      </c>
      <c r="AV87" s="65">
        <f t="shared" si="8"/>
        <v>8.9039999999999999</v>
      </c>
      <c r="AW87" s="65">
        <f t="shared" si="10"/>
        <v>3923.43</v>
      </c>
      <c r="AX87" s="65">
        <f t="shared" si="10"/>
        <v>4835.0820000000003</v>
      </c>
      <c r="AY87" s="65">
        <f t="shared" si="9"/>
        <v>8.9039999999999999</v>
      </c>
      <c r="AZ87" s="62"/>
      <c r="BA87" s="62"/>
      <c r="BB87" s="19">
        <v>32827</v>
      </c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</row>
    <row r="88" spans="1:116" hidden="1" x14ac:dyDescent="0.2">
      <c r="A88" s="57">
        <v>29252</v>
      </c>
      <c r="B88" s="58"/>
      <c r="C88" s="59"/>
      <c r="D88" s="60"/>
      <c r="E88" s="60"/>
      <c r="F88" s="60"/>
      <c r="G88" s="60"/>
      <c r="H88" s="60"/>
      <c r="I88" s="60"/>
      <c r="J88" s="60"/>
      <c r="K88" s="60"/>
      <c r="L88" s="60"/>
      <c r="M88" s="60"/>
      <c r="N88" s="60"/>
      <c r="O88" s="59"/>
      <c r="P88" s="61"/>
      <c r="Q88" s="62"/>
      <c r="R88" s="62"/>
      <c r="S88" s="62"/>
      <c r="T88" s="62"/>
      <c r="U88" s="62"/>
      <c r="V88" s="62"/>
      <c r="W88" s="62"/>
      <c r="X88" s="62"/>
      <c r="Y88" s="61"/>
      <c r="Z88" s="63"/>
      <c r="AA88" s="64" t="e">
        <v>#N/A</v>
      </c>
      <c r="AB88" s="62" t="e">
        <v>#N/A</v>
      </c>
      <c r="AC88" s="62" t="e">
        <v>#N/A</v>
      </c>
      <c r="AD88" s="62" t="e">
        <v>#N/A</v>
      </c>
      <c r="AE88" s="62" t="e">
        <v>#N/A</v>
      </c>
      <c r="AF88" s="62" t="e">
        <v>#N/A</v>
      </c>
      <c r="AG88" s="62" t="e">
        <v>#N/A</v>
      </c>
      <c r="AH88" s="62" t="e">
        <v>#N/A</v>
      </c>
      <c r="AI88" s="62" t="e">
        <v>#N/A</v>
      </c>
      <c r="AJ88" s="62" t="e">
        <v>#N/A</v>
      </c>
      <c r="AK88" s="64" t="e">
        <v>#N/A</v>
      </c>
      <c r="AL88" s="19">
        <v>80206</v>
      </c>
      <c r="AM88" s="19">
        <v>107645</v>
      </c>
      <c r="AN88" s="23">
        <v>6866</v>
      </c>
      <c r="AO88" s="19">
        <v>191639</v>
      </c>
      <c r="AP88" s="19">
        <v>239</v>
      </c>
      <c r="AQ88" s="62"/>
      <c r="AR88" s="63"/>
      <c r="AS88" s="63"/>
      <c r="AT88" s="65">
        <f t="shared" si="6"/>
        <v>8048.8379999999997</v>
      </c>
      <c r="AU88" s="65">
        <f t="shared" si="7"/>
        <v>288.37200000000001</v>
      </c>
      <c r="AV88" s="65">
        <f t="shared" si="8"/>
        <v>10.038</v>
      </c>
      <c r="AW88" s="65">
        <f t="shared" si="10"/>
        <v>3368.652</v>
      </c>
      <c r="AX88" s="65">
        <f t="shared" si="10"/>
        <v>4521.09</v>
      </c>
      <c r="AY88" s="65">
        <f t="shared" si="9"/>
        <v>10.038</v>
      </c>
      <c r="AZ88" s="62"/>
      <c r="BA88" s="62"/>
      <c r="BB88" s="19">
        <v>32047</v>
      </c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</row>
    <row r="89" spans="1:116" hidden="1" x14ac:dyDescent="0.2">
      <c r="A89" s="57">
        <v>29281</v>
      </c>
      <c r="B89" s="58"/>
      <c r="C89" s="59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59"/>
      <c r="P89" s="61"/>
      <c r="Q89" s="62"/>
      <c r="R89" s="62"/>
      <c r="S89" s="62"/>
      <c r="T89" s="62"/>
      <c r="U89" s="62"/>
      <c r="V89" s="62"/>
      <c r="W89" s="62"/>
      <c r="X89" s="62"/>
      <c r="Y89" s="61"/>
      <c r="Z89" s="63"/>
      <c r="AA89" s="64" t="e">
        <v>#N/A</v>
      </c>
      <c r="AB89" s="62" t="e">
        <v>#N/A</v>
      </c>
      <c r="AC89" s="62" t="e">
        <v>#N/A</v>
      </c>
      <c r="AD89" s="62" t="e">
        <v>#N/A</v>
      </c>
      <c r="AE89" s="62" t="e">
        <v>#N/A</v>
      </c>
      <c r="AF89" s="62" t="e">
        <v>#N/A</v>
      </c>
      <c r="AG89" s="62" t="e">
        <v>#N/A</v>
      </c>
      <c r="AH89" s="62" t="e">
        <v>#N/A</v>
      </c>
      <c r="AI89" s="62" t="e">
        <v>#N/A</v>
      </c>
      <c r="AJ89" s="62" t="e">
        <v>#N/A</v>
      </c>
      <c r="AK89" s="64" t="e">
        <v>#N/A</v>
      </c>
      <c r="AL89" s="19">
        <v>79273</v>
      </c>
      <c r="AM89" s="19">
        <v>98544</v>
      </c>
      <c r="AN89" s="23">
        <v>5992</v>
      </c>
      <c r="AO89" s="19">
        <v>177846</v>
      </c>
      <c r="AP89" s="19">
        <v>575</v>
      </c>
      <c r="AQ89" s="62"/>
      <c r="AR89" s="63"/>
      <c r="AS89" s="63"/>
      <c r="AT89" s="65">
        <f t="shared" si="6"/>
        <v>7469.5320000000002</v>
      </c>
      <c r="AU89" s="65">
        <f t="shared" si="7"/>
        <v>251.66399999999999</v>
      </c>
      <c r="AV89" s="65">
        <f t="shared" si="8"/>
        <v>24.15</v>
      </c>
      <c r="AW89" s="65">
        <f t="shared" si="10"/>
        <v>3329.4659999999999</v>
      </c>
      <c r="AX89" s="65">
        <f t="shared" si="10"/>
        <v>4138.848</v>
      </c>
      <c r="AY89" s="65">
        <f t="shared" si="9"/>
        <v>24.15</v>
      </c>
      <c r="AZ89" s="62"/>
      <c r="BA89" s="62"/>
      <c r="BB89" s="19">
        <v>32801</v>
      </c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</row>
    <row r="90" spans="1:116" hidden="1" x14ac:dyDescent="0.2">
      <c r="A90" s="57">
        <v>29312</v>
      </c>
      <c r="B90" s="58"/>
      <c r="C90" s="59"/>
      <c r="D90" s="60"/>
      <c r="E90" s="60"/>
      <c r="F90" s="60"/>
      <c r="G90" s="60"/>
      <c r="H90" s="60"/>
      <c r="I90" s="60"/>
      <c r="J90" s="60"/>
      <c r="K90" s="60"/>
      <c r="L90" s="60"/>
      <c r="M90" s="60"/>
      <c r="N90" s="60"/>
      <c r="O90" s="59"/>
      <c r="P90" s="61"/>
      <c r="Q90" s="62"/>
      <c r="R90" s="62"/>
      <c r="S90" s="62"/>
      <c r="T90" s="62"/>
      <c r="U90" s="62"/>
      <c r="V90" s="62"/>
      <c r="W90" s="62"/>
      <c r="X90" s="62"/>
      <c r="Y90" s="61"/>
      <c r="Z90" s="63"/>
      <c r="AA90" s="64" t="e">
        <v>#N/A</v>
      </c>
      <c r="AB90" s="62" t="e">
        <v>#N/A</v>
      </c>
      <c r="AC90" s="62" t="e">
        <v>#N/A</v>
      </c>
      <c r="AD90" s="62" t="e">
        <v>#N/A</v>
      </c>
      <c r="AE90" s="62" t="e">
        <v>#N/A</v>
      </c>
      <c r="AF90" s="62" t="e">
        <v>#N/A</v>
      </c>
      <c r="AG90" s="62" t="e">
        <v>#N/A</v>
      </c>
      <c r="AH90" s="62" t="e">
        <v>#N/A</v>
      </c>
      <c r="AI90" s="62" t="e">
        <v>#N/A</v>
      </c>
      <c r="AJ90" s="62" t="e">
        <v>#N/A</v>
      </c>
      <c r="AK90" s="64" t="e">
        <v>#N/A</v>
      </c>
      <c r="AL90" s="19">
        <v>73806</v>
      </c>
      <c r="AM90" s="19">
        <v>79039</v>
      </c>
      <c r="AN90" s="23">
        <v>4619</v>
      </c>
      <c r="AO90" s="19">
        <v>177220</v>
      </c>
      <c r="AP90" s="19">
        <v>73</v>
      </c>
      <c r="AQ90" s="62"/>
      <c r="AR90" s="63"/>
      <c r="AS90" s="63"/>
      <c r="AT90" s="65">
        <f t="shared" si="6"/>
        <v>7443.24</v>
      </c>
      <c r="AU90" s="65">
        <f t="shared" si="7"/>
        <v>193.99799999999999</v>
      </c>
      <c r="AV90" s="65">
        <f t="shared" si="8"/>
        <v>3.0659999999999998</v>
      </c>
      <c r="AW90" s="65">
        <f t="shared" si="10"/>
        <v>3099.8519999999999</v>
      </c>
      <c r="AX90" s="65">
        <f t="shared" si="10"/>
        <v>3319.6379999999999</v>
      </c>
      <c r="AY90" s="65">
        <f t="shared" si="9"/>
        <v>3.0659999999999998</v>
      </c>
      <c r="AZ90" s="62"/>
      <c r="BA90" s="62"/>
      <c r="BB90" s="19">
        <v>33428</v>
      </c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</row>
    <row r="91" spans="1:116" hidden="1" x14ac:dyDescent="0.2">
      <c r="A91" s="57">
        <v>29342</v>
      </c>
      <c r="B91" s="58"/>
      <c r="C91" s="59"/>
      <c r="D91" s="60"/>
      <c r="E91" s="60"/>
      <c r="F91" s="60"/>
      <c r="G91" s="60"/>
      <c r="H91" s="60"/>
      <c r="I91" s="60"/>
      <c r="J91" s="60"/>
      <c r="K91" s="60"/>
      <c r="L91" s="60"/>
      <c r="M91" s="60"/>
      <c r="N91" s="60"/>
      <c r="O91" s="59"/>
      <c r="P91" s="61"/>
      <c r="Q91" s="62"/>
      <c r="R91" s="62"/>
      <c r="S91" s="62"/>
      <c r="T91" s="62"/>
      <c r="U91" s="62"/>
      <c r="V91" s="62"/>
      <c r="W91" s="62"/>
      <c r="X91" s="62"/>
      <c r="Y91" s="61"/>
      <c r="Z91" s="63"/>
      <c r="AA91" s="64" t="e">
        <v>#N/A</v>
      </c>
      <c r="AB91" s="62" t="e">
        <v>#N/A</v>
      </c>
      <c r="AC91" s="62" t="e">
        <v>#N/A</v>
      </c>
      <c r="AD91" s="62" t="e">
        <v>#N/A</v>
      </c>
      <c r="AE91" s="62" t="e">
        <v>#N/A</v>
      </c>
      <c r="AF91" s="62" t="e">
        <v>#N/A</v>
      </c>
      <c r="AG91" s="62" t="e">
        <v>#N/A</v>
      </c>
      <c r="AH91" s="62" t="e">
        <v>#N/A</v>
      </c>
      <c r="AI91" s="62" t="e">
        <v>#N/A</v>
      </c>
      <c r="AJ91" s="62" t="e">
        <v>#N/A</v>
      </c>
      <c r="AK91" s="64" t="e">
        <v>#N/A</v>
      </c>
      <c r="AL91" s="19">
        <v>76690</v>
      </c>
      <c r="AM91" s="19">
        <v>74460</v>
      </c>
      <c r="AN91" s="23">
        <v>3894</v>
      </c>
      <c r="AO91" s="19">
        <v>183381</v>
      </c>
      <c r="AP91" s="19">
        <v>18</v>
      </c>
      <c r="AQ91" s="62"/>
      <c r="AR91" s="63"/>
      <c r="AS91" s="63"/>
      <c r="AT91" s="65">
        <f t="shared" si="6"/>
        <v>7702.0020000000004</v>
      </c>
      <c r="AU91" s="65">
        <f t="shared" si="7"/>
        <v>163.548</v>
      </c>
      <c r="AV91" s="65">
        <f t="shared" si="8"/>
        <v>0.75600000000000001</v>
      </c>
      <c r="AW91" s="65">
        <f t="shared" si="10"/>
        <v>3220.98</v>
      </c>
      <c r="AX91" s="65">
        <f t="shared" si="10"/>
        <v>3127.32</v>
      </c>
      <c r="AY91" s="65">
        <f t="shared" si="9"/>
        <v>0.75600000000000001</v>
      </c>
      <c r="AZ91" s="62"/>
      <c r="BA91" s="62"/>
      <c r="BB91" s="19">
        <v>35733</v>
      </c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</row>
    <row r="92" spans="1:116" hidden="1" x14ac:dyDescent="0.2">
      <c r="A92" s="57">
        <v>29373</v>
      </c>
      <c r="B92" s="58"/>
      <c r="C92" s="59"/>
      <c r="D92" s="60"/>
      <c r="E92" s="60"/>
      <c r="F92" s="60"/>
      <c r="G92" s="60"/>
      <c r="H92" s="60"/>
      <c r="I92" s="60"/>
      <c r="J92" s="60"/>
      <c r="K92" s="60"/>
      <c r="L92" s="60"/>
      <c r="M92" s="60"/>
      <c r="N92" s="60"/>
      <c r="O92" s="59"/>
      <c r="P92" s="61"/>
      <c r="Q92" s="62"/>
      <c r="R92" s="62"/>
      <c r="S92" s="62"/>
      <c r="T92" s="62"/>
      <c r="U92" s="62"/>
      <c r="V92" s="62"/>
      <c r="W92" s="62"/>
      <c r="X92" s="62"/>
      <c r="Y92" s="61"/>
      <c r="Z92" s="63"/>
      <c r="AA92" s="64" t="e">
        <v>#N/A</v>
      </c>
      <c r="AB92" s="62" t="e">
        <v>#N/A</v>
      </c>
      <c r="AC92" s="62" t="e">
        <v>#N/A</v>
      </c>
      <c r="AD92" s="62" t="e">
        <v>#N/A</v>
      </c>
      <c r="AE92" s="62" t="e">
        <v>#N/A</v>
      </c>
      <c r="AF92" s="62" t="e">
        <v>#N/A</v>
      </c>
      <c r="AG92" s="62" t="e">
        <v>#N/A</v>
      </c>
      <c r="AH92" s="62" t="e">
        <v>#N/A</v>
      </c>
      <c r="AI92" s="62" t="e">
        <v>#N/A</v>
      </c>
      <c r="AJ92" s="62" t="e">
        <v>#N/A</v>
      </c>
      <c r="AK92" s="64" t="e">
        <v>#N/A</v>
      </c>
      <c r="AL92" s="19">
        <v>79384</v>
      </c>
      <c r="AM92" s="19">
        <v>69516</v>
      </c>
      <c r="AN92" s="23">
        <v>3236</v>
      </c>
      <c r="AO92" s="19">
        <v>196538</v>
      </c>
      <c r="AP92" s="19">
        <v>1</v>
      </c>
      <c r="AQ92" s="62"/>
      <c r="AR92" s="63"/>
      <c r="AS92" s="63"/>
      <c r="AT92" s="65">
        <f t="shared" si="6"/>
        <v>8254.5959999999995</v>
      </c>
      <c r="AU92" s="65">
        <f t="shared" si="7"/>
        <v>135.91200000000001</v>
      </c>
      <c r="AV92" s="65">
        <f t="shared" si="8"/>
        <v>4.2000000000000003E-2</v>
      </c>
      <c r="AW92" s="65">
        <f t="shared" si="10"/>
        <v>3334.1280000000002</v>
      </c>
      <c r="AX92" s="65">
        <f t="shared" si="10"/>
        <v>2919.672</v>
      </c>
      <c r="AY92" s="65">
        <f t="shared" si="9"/>
        <v>4.2000000000000003E-2</v>
      </c>
      <c r="AZ92" s="62"/>
      <c r="BA92" s="62"/>
      <c r="BB92" s="19">
        <v>36348</v>
      </c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</row>
    <row r="93" spans="1:116" hidden="1" x14ac:dyDescent="0.2">
      <c r="A93" s="57">
        <v>29403</v>
      </c>
      <c r="B93" s="58"/>
      <c r="C93" s="59"/>
      <c r="D93" s="60"/>
      <c r="E93" s="60"/>
      <c r="F93" s="60"/>
      <c r="G93" s="60"/>
      <c r="H93" s="60"/>
      <c r="I93" s="60"/>
      <c r="J93" s="60"/>
      <c r="K93" s="60"/>
      <c r="L93" s="60"/>
      <c r="M93" s="60"/>
      <c r="N93" s="60"/>
      <c r="O93" s="59"/>
      <c r="P93" s="61"/>
      <c r="Q93" s="62"/>
      <c r="R93" s="62"/>
      <c r="S93" s="62"/>
      <c r="T93" s="62"/>
      <c r="U93" s="62"/>
      <c r="V93" s="62"/>
      <c r="W93" s="62"/>
      <c r="X93" s="62"/>
      <c r="Y93" s="61"/>
      <c r="Z93" s="63"/>
      <c r="AA93" s="64" t="e">
        <v>#N/A</v>
      </c>
      <c r="AB93" s="62" t="e">
        <v>#N/A</v>
      </c>
      <c r="AC93" s="62" t="e">
        <v>#N/A</v>
      </c>
      <c r="AD93" s="62" t="e">
        <v>#N/A</v>
      </c>
      <c r="AE93" s="62" t="e">
        <v>#N/A</v>
      </c>
      <c r="AF93" s="62" t="e">
        <v>#N/A</v>
      </c>
      <c r="AG93" s="62" t="e">
        <v>#N/A</v>
      </c>
      <c r="AH93" s="62" t="e">
        <v>#N/A</v>
      </c>
      <c r="AI93" s="62" t="e">
        <v>#N/A</v>
      </c>
      <c r="AJ93" s="62" t="e">
        <v>#N/A</v>
      </c>
      <c r="AK93" s="64" t="e">
        <v>#N/A</v>
      </c>
      <c r="AL93" s="19">
        <v>83370</v>
      </c>
      <c r="AM93" s="19">
        <v>69714</v>
      </c>
      <c r="AN93" s="23">
        <v>3640</v>
      </c>
      <c r="AO93" s="19">
        <v>213808</v>
      </c>
      <c r="AP93" s="19">
        <v>87</v>
      </c>
      <c r="AQ93" s="62"/>
      <c r="AR93" s="63"/>
      <c r="AS93" s="63"/>
      <c r="AT93" s="65">
        <f t="shared" si="6"/>
        <v>8979.9359999999997</v>
      </c>
      <c r="AU93" s="65">
        <f t="shared" si="7"/>
        <v>152.88</v>
      </c>
      <c r="AV93" s="65">
        <f t="shared" si="8"/>
        <v>3.6539999999999999</v>
      </c>
      <c r="AW93" s="65">
        <f t="shared" si="10"/>
        <v>3501.54</v>
      </c>
      <c r="AX93" s="65">
        <f t="shared" si="10"/>
        <v>2927.9879999999998</v>
      </c>
      <c r="AY93" s="65">
        <f t="shared" si="9"/>
        <v>3.6539999999999999</v>
      </c>
      <c r="AZ93" s="62"/>
      <c r="BA93" s="62"/>
      <c r="BB93" s="19">
        <v>34228</v>
      </c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</row>
    <row r="94" spans="1:116" hidden="1" x14ac:dyDescent="0.2">
      <c r="A94" s="57">
        <v>29434</v>
      </c>
      <c r="B94" s="58"/>
      <c r="C94" s="59"/>
      <c r="D94" s="60"/>
      <c r="E94" s="60"/>
      <c r="F94" s="60"/>
      <c r="G94" s="60"/>
      <c r="H94" s="60"/>
      <c r="I94" s="60"/>
      <c r="J94" s="60"/>
      <c r="K94" s="60"/>
      <c r="L94" s="60"/>
      <c r="M94" s="60"/>
      <c r="N94" s="60"/>
      <c r="O94" s="59"/>
      <c r="P94" s="61"/>
      <c r="Q94" s="62"/>
      <c r="R94" s="62"/>
      <c r="S94" s="62"/>
      <c r="T94" s="62"/>
      <c r="U94" s="62"/>
      <c r="V94" s="62"/>
      <c r="W94" s="62"/>
      <c r="X94" s="62"/>
      <c r="Y94" s="61"/>
      <c r="Z94" s="63"/>
      <c r="AA94" s="64" t="e">
        <v>#N/A</v>
      </c>
      <c r="AB94" s="62" t="e">
        <v>#N/A</v>
      </c>
      <c r="AC94" s="62" t="e">
        <v>#N/A</v>
      </c>
      <c r="AD94" s="62" t="e">
        <v>#N/A</v>
      </c>
      <c r="AE94" s="62" t="e">
        <v>#N/A</v>
      </c>
      <c r="AF94" s="62" t="e">
        <v>#N/A</v>
      </c>
      <c r="AG94" s="62" t="e">
        <v>#N/A</v>
      </c>
      <c r="AH94" s="62" t="e">
        <v>#N/A</v>
      </c>
      <c r="AI94" s="62" t="e">
        <v>#N/A</v>
      </c>
      <c r="AJ94" s="62" t="e">
        <v>#N/A</v>
      </c>
      <c r="AK94" s="64" t="e">
        <v>#N/A</v>
      </c>
      <c r="AL94" s="19">
        <v>76300</v>
      </c>
      <c r="AM94" s="19">
        <v>66245</v>
      </c>
      <c r="AN94" s="23">
        <v>2382</v>
      </c>
      <c r="AO94" s="19">
        <v>226306</v>
      </c>
      <c r="AP94" s="19">
        <v>1</v>
      </c>
      <c r="AQ94" s="62"/>
      <c r="AR94" s="63"/>
      <c r="AS94" s="63"/>
      <c r="AT94" s="65">
        <f t="shared" si="6"/>
        <v>9504.8520000000008</v>
      </c>
      <c r="AU94" s="65">
        <f t="shared" si="7"/>
        <v>100.044</v>
      </c>
      <c r="AV94" s="65">
        <f t="shared" si="8"/>
        <v>4.2000000000000003E-2</v>
      </c>
      <c r="AW94" s="65">
        <f t="shared" si="10"/>
        <v>3204.6</v>
      </c>
      <c r="AX94" s="65">
        <f t="shared" si="10"/>
        <v>2782.29</v>
      </c>
      <c r="AY94" s="65">
        <f t="shared" si="9"/>
        <v>4.2000000000000003E-2</v>
      </c>
      <c r="AZ94" s="62"/>
      <c r="BA94" s="62"/>
      <c r="BB94" s="19">
        <v>33640</v>
      </c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</row>
    <row r="95" spans="1:116" hidden="1" x14ac:dyDescent="0.2">
      <c r="A95" s="57">
        <v>29465</v>
      </c>
      <c r="B95" s="58"/>
      <c r="C95" s="59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59"/>
      <c r="P95" s="61"/>
      <c r="Q95" s="62"/>
      <c r="R95" s="62"/>
      <c r="S95" s="62"/>
      <c r="T95" s="62"/>
      <c r="U95" s="62"/>
      <c r="V95" s="62"/>
      <c r="W95" s="62"/>
      <c r="X95" s="62"/>
      <c r="Y95" s="61"/>
      <c r="Z95" s="63"/>
      <c r="AA95" s="64" t="e">
        <v>#N/A</v>
      </c>
      <c r="AB95" s="62" t="e">
        <v>#N/A</v>
      </c>
      <c r="AC95" s="62" t="e">
        <v>#N/A</v>
      </c>
      <c r="AD95" s="62" t="e">
        <v>#N/A</v>
      </c>
      <c r="AE95" s="62" t="e">
        <v>#N/A</v>
      </c>
      <c r="AF95" s="62" t="e">
        <v>#N/A</v>
      </c>
      <c r="AG95" s="62" t="e">
        <v>#N/A</v>
      </c>
      <c r="AH95" s="62" t="e">
        <v>#N/A</v>
      </c>
      <c r="AI95" s="62" t="e">
        <v>#N/A</v>
      </c>
      <c r="AJ95" s="62" t="e">
        <v>#N/A</v>
      </c>
      <c r="AK95" s="64" t="e">
        <v>#N/A</v>
      </c>
      <c r="AL95" s="19">
        <v>80574</v>
      </c>
      <c r="AM95" s="19">
        <v>77620</v>
      </c>
      <c r="AN95" s="23">
        <v>3028</v>
      </c>
      <c r="AO95" s="19">
        <v>232356</v>
      </c>
      <c r="AP95" s="19">
        <v>3</v>
      </c>
      <c r="AQ95" s="62"/>
      <c r="AR95" s="63"/>
      <c r="AS95" s="63"/>
      <c r="AT95" s="65">
        <f t="shared" si="6"/>
        <v>9758.9519999999993</v>
      </c>
      <c r="AU95" s="65">
        <f t="shared" si="7"/>
        <v>127.176</v>
      </c>
      <c r="AV95" s="65">
        <f t="shared" si="8"/>
        <v>0.126</v>
      </c>
      <c r="AW95" s="65">
        <f t="shared" si="10"/>
        <v>3384.1080000000002</v>
      </c>
      <c r="AX95" s="65">
        <f t="shared" si="10"/>
        <v>3260.04</v>
      </c>
      <c r="AY95" s="65">
        <f t="shared" si="9"/>
        <v>0.126</v>
      </c>
      <c r="AZ95" s="62"/>
      <c r="BA95" s="62"/>
      <c r="BB95" s="19">
        <v>35536</v>
      </c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</row>
    <row r="96" spans="1:116" hidden="1" x14ac:dyDescent="0.2">
      <c r="A96" s="57">
        <v>29495</v>
      </c>
      <c r="B96" s="58"/>
      <c r="C96" s="59"/>
      <c r="D96" s="60"/>
      <c r="E96" s="60"/>
      <c r="F96" s="60"/>
      <c r="G96" s="60"/>
      <c r="H96" s="60"/>
      <c r="I96" s="60"/>
      <c r="J96" s="60"/>
      <c r="K96" s="60"/>
      <c r="L96" s="60"/>
      <c r="M96" s="60"/>
      <c r="N96" s="60"/>
      <c r="O96" s="59"/>
      <c r="P96" s="61"/>
      <c r="Q96" s="62"/>
      <c r="R96" s="62"/>
      <c r="S96" s="62"/>
      <c r="T96" s="62"/>
      <c r="U96" s="62"/>
      <c r="V96" s="62"/>
      <c r="W96" s="62"/>
      <c r="X96" s="62"/>
      <c r="Y96" s="61"/>
      <c r="Z96" s="63"/>
      <c r="AA96" s="64" t="e">
        <v>#N/A</v>
      </c>
      <c r="AB96" s="62" t="e">
        <v>#N/A</v>
      </c>
      <c r="AC96" s="62" t="e">
        <v>#N/A</v>
      </c>
      <c r="AD96" s="62" t="e">
        <v>#N/A</v>
      </c>
      <c r="AE96" s="62" t="e">
        <v>#N/A</v>
      </c>
      <c r="AF96" s="62" t="e">
        <v>#N/A</v>
      </c>
      <c r="AG96" s="62" t="e">
        <v>#N/A</v>
      </c>
      <c r="AH96" s="62" t="e">
        <v>#N/A</v>
      </c>
      <c r="AI96" s="62" t="e">
        <v>#N/A</v>
      </c>
      <c r="AJ96" s="62" t="e">
        <v>#N/A</v>
      </c>
      <c r="AK96" s="64" t="e">
        <v>#N/A</v>
      </c>
      <c r="AL96" s="19">
        <v>80265</v>
      </c>
      <c r="AM96" s="19">
        <v>90533</v>
      </c>
      <c r="AN96" s="23">
        <v>3554</v>
      </c>
      <c r="AO96" s="19">
        <v>225687</v>
      </c>
      <c r="AP96" s="19">
        <v>7</v>
      </c>
      <c r="AQ96" s="62"/>
      <c r="AR96" s="63"/>
      <c r="AS96" s="63"/>
      <c r="AT96" s="65">
        <f t="shared" si="6"/>
        <v>9478.8539999999994</v>
      </c>
      <c r="AU96" s="65">
        <f t="shared" si="7"/>
        <v>149.268</v>
      </c>
      <c r="AV96" s="65">
        <f t="shared" si="8"/>
        <v>0.29399999999999998</v>
      </c>
      <c r="AW96" s="65">
        <f t="shared" si="10"/>
        <v>3371.13</v>
      </c>
      <c r="AX96" s="65">
        <f t="shared" si="10"/>
        <v>3802.386</v>
      </c>
      <c r="AY96" s="65">
        <f t="shared" si="9"/>
        <v>0.29399999999999998</v>
      </c>
      <c r="AZ96" s="62"/>
      <c r="BA96" s="62"/>
      <c r="BB96" s="19">
        <v>36670</v>
      </c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</row>
    <row r="97" spans="1:116" hidden="1" x14ac:dyDescent="0.2">
      <c r="A97" s="57">
        <v>29526</v>
      </c>
      <c r="B97" s="58"/>
      <c r="C97" s="59"/>
      <c r="D97" s="60"/>
      <c r="E97" s="60"/>
      <c r="F97" s="60"/>
      <c r="G97" s="60"/>
      <c r="H97" s="60"/>
      <c r="I97" s="60"/>
      <c r="J97" s="60"/>
      <c r="K97" s="60"/>
      <c r="L97" s="60"/>
      <c r="M97" s="60"/>
      <c r="N97" s="60"/>
      <c r="O97" s="59"/>
      <c r="P97" s="61"/>
      <c r="Q97" s="62"/>
      <c r="R97" s="62"/>
      <c r="S97" s="62"/>
      <c r="T97" s="62"/>
      <c r="U97" s="62"/>
      <c r="V97" s="62"/>
      <c r="W97" s="62"/>
      <c r="X97" s="62"/>
      <c r="Y97" s="61"/>
      <c r="Z97" s="63"/>
      <c r="AA97" s="64" t="e">
        <v>#N/A</v>
      </c>
      <c r="AB97" s="62" t="e">
        <v>#N/A</v>
      </c>
      <c r="AC97" s="62" t="e">
        <v>#N/A</v>
      </c>
      <c r="AD97" s="62" t="e">
        <v>#N/A</v>
      </c>
      <c r="AE97" s="62" t="e">
        <v>#N/A</v>
      </c>
      <c r="AF97" s="62" t="e">
        <v>#N/A</v>
      </c>
      <c r="AG97" s="62" t="e">
        <v>#N/A</v>
      </c>
      <c r="AH97" s="62" t="e">
        <v>#N/A</v>
      </c>
      <c r="AI97" s="62" t="e">
        <v>#N/A</v>
      </c>
      <c r="AJ97" s="62" t="e">
        <v>#N/A</v>
      </c>
      <c r="AK97" s="64" t="e">
        <v>#N/A</v>
      </c>
      <c r="AL97" s="19">
        <v>81083</v>
      </c>
      <c r="AM97" s="19">
        <v>88471</v>
      </c>
      <c r="AN97" s="23">
        <v>3994</v>
      </c>
      <c r="AO97" s="19">
        <v>222350</v>
      </c>
      <c r="AP97" s="19">
        <v>2</v>
      </c>
      <c r="AQ97" s="62"/>
      <c r="AR97" s="63"/>
      <c r="AS97" s="63"/>
      <c r="AT97" s="65">
        <f t="shared" si="6"/>
        <v>9338.7000000000007</v>
      </c>
      <c r="AU97" s="65">
        <f t="shared" si="7"/>
        <v>167.74799999999999</v>
      </c>
      <c r="AV97" s="65">
        <f t="shared" si="8"/>
        <v>8.4000000000000005E-2</v>
      </c>
      <c r="AW97" s="65">
        <f t="shared" si="10"/>
        <v>3405.4859999999999</v>
      </c>
      <c r="AX97" s="65">
        <f t="shared" si="10"/>
        <v>3715.7820000000002</v>
      </c>
      <c r="AY97" s="65">
        <f t="shared" si="9"/>
        <v>8.4000000000000005E-2</v>
      </c>
      <c r="AZ97" s="62"/>
      <c r="BA97" s="62"/>
      <c r="BB97" s="19">
        <v>37508</v>
      </c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</row>
    <row r="98" spans="1:116" hidden="1" x14ac:dyDescent="0.2">
      <c r="A98" s="57">
        <v>29556</v>
      </c>
      <c r="B98" s="58"/>
      <c r="C98" s="59"/>
      <c r="D98" s="60"/>
      <c r="E98" s="60"/>
      <c r="F98" s="60"/>
      <c r="G98" s="60"/>
      <c r="H98" s="60"/>
      <c r="I98" s="60"/>
      <c r="J98" s="60"/>
      <c r="K98" s="60"/>
      <c r="L98" s="60"/>
      <c r="M98" s="60"/>
      <c r="N98" s="60"/>
      <c r="O98" s="59"/>
      <c r="P98" s="61"/>
      <c r="Q98" s="62"/>
      <c r="R98" s="62"/>
      <c r="S98" s="62"/>
      <c r="T98" s="62"/>
      <c r="U98" s="62"/>
      <c r="V98" s="62"/>
      <c r="W98" s="62"/>
      <c r="X98" s="62"/>
      <c r="Y98" s="61"/>
      <c r="Z98" s="63"/>
      <c r="AA98" s="64" t="e">
        <v>#N/A</v>
      </c>
      <c r="AB98" s="62" t="e">
        <v>#N/A</v>
      </c>
      <c r="AC98" s="62" t="e">
        <v>#N/A</v>
      </c>
      <c r="AD98" s="62" t="e">
        <v>#N/A</v>
      </c>
      <c r="AE98" s="62" t="e">
        <v>#N/A</v>
      </c>
      <c r="AF98" s="62" t="e">
        <v>#N/A</v>
      </c>
      <c r="AG98" s="62" t="e">
        <v>#N/A</v>
      </c>
      <c r="AH98" s="62" t="e">
        <v>#N/A</v>
      </c>
      <c r="AI98" s="62" t="e">
        <v>#N/A</v>
      </c>
      <c r="AJ98" s="62" t="e">
        <v>#N/A</v>
      </c>
      <c r="AK98" s="64" t="e">
        <v>#N/A</v>
      </c>
      <c r="AL98" s="19">
        <v>89615</v>
      </c>
      <c r="AM98" s="19">
        <v>112067</v>
      </c>
      <c r="AN98" s="23">
        <v>5159</v>
      </c>
      <c r="AO98" s="19">
        <v>205113</v>
      </c>
      <c r="AP98" s="19">
        <v>2</v>
      </c>
      <c r="AQ98" s="62"/>
      <c r="AR98" s="63"/>
      <c r="AS98" s="63"/>
      <c r="AT98" s="65">
        <f t="shared" si="6"/>
        <v>8614.7459999999992</v>
      </c>
      <c r="AU98" s="65">
        <f t="shared" si="7"/>
        <v>216.678</v>
      </c>
      <c r="AV98" s="65">
        <f t="shared" si="8"/>
        <v>8.4000000000000005E-2</v>
      </c>
      <c r="AW98" s="65">
        <f t="shared" si="10"/>
        <v>3763.83</v>
      </c>
      <c r="AX98" s="65">
        <f t="shared" si="10"/>
        <v>4706.8140000000003</v>
      </c>
      <c r="AY98" s="65">
        <f t="shared" si="9"/>
        <v>8.4000000000000005E-2</v>
      </c>
      <c r="AZ98" s="62"/>
      <c r="BA98" s="62"/>
      <c r="BB98" s="19">
        <v>35723</v>
      </c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</row>
    <row r="99" spans="1:116" hidden="1" x14ac:dyDescent="0.2">
      <c r="A99" s="57">
        <v>29587</v>
      </c>
      <c r="B99" s="58"/>
      <c r="C99" s="66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6"/>
      <c r="P99" s="61"/>
      <c r="Q99" s="62"/>
      <c r="R99" s="62"/>
      <c r="S99" s="62"/>
      <c r="T99" s="62"/>
      <c r="U99" s="62"/>
      <c r="V99" s="62"/>
      <c r="W99" s="62"/>
      <c r="X99" s="62"/>
      <c r="Y99" s="61"/>
      <c r="Z99" s="63"/>
      <c r="AA99" s="64" t="e">
        <v>#N/A</v>
      </c>
      <c r="AB99" s="62" t="e">
        <v>#N/A</v>
      </c>
      <c r="AC99" s="62" t="e">
        <v>#N/A</v>
      </c>
      <c r="AD99" s="62" t="e">
        <v>#N/A</v>
      </c>
      <c r="AE99" s="62" t="e">
        <v>#N/A</v>
      </c>
      <c r="AF99" s="62" t="e">
        <v>#N/A</v>
      </c>
      <c r="AG99" s="62" t="e">
        <v>#N/A</v>
      </c>
      <c r="AH99" s="62" t="e">
        <v>#N/A</v>
      </c>
      <c r="AI99" s="62" t="e">
        <v>#N/A</v>
      </c>
      <c r="AJ99" s="62" t="e">
        <v>#N/A</v>
      </c>
      <c r="AK99" s="64" t="e">
        <v>#N/A</v>
      </c>
      <c r="AL99" s="19">
        <v>92634</v>
      </c>
      <c r="AM99" s="19">
        <v>127383</v>
      </c>
      <c r="AN99" s="23">
        <v>8475</v>
      </c>
      <c r="AO99" s="19">
        <v>179439</v>
      </c>
      <c r="AP99" s="19">
        <v>5</v>
      </c>
      <c r="AQ99" s="62"/>
      <c r="AR99" s="63"/>
      <c r="AS99" s="63"/>
      <c r="AT99" s="65">
        <f t="shared" si="6"/>
        <v>7536.4380000000001</v>
      </c>
      <c r="AU99" s="65">
        <f t="shared" si="7"/>
        <v>355.95</v>
      </c>
      <c r="AV99" s="65">
        <f t="shared" si="8"/>
        <v>0.21</v>
      </c>
      <c r="AW99" s="65">
        <f t="shared" si="10"/>
        <v>3890.6280000000002</v>
      </c>
      <c r="AX99" s="65">
        <f t="shared" si="10"/>
        <v>5350.0860000000002</v>
      </c>
      <c r="AY99" s="65">
        <f t="shared" si="9"/>
        <v>0.21</v>
      </c>
      <c r="AZ99" s="19">
        <v>24536</v>
      </c>
      <c r="BA99" s="19">
        <v>27538</v>
      </c>
      <c r="BB99" s="19">
        <v>33348</v>
      </c>
      <c r="BC99" s="19">
        <v>454</v>
      </c>
      <c r="BD99" s="19">
        <v>28</v>
      </c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</row>
    <row r="100" spans="1:116" hidden="1" x14ac:dyDescent="0.2">
      <c r="A100" s="57">
        <v>29618</v>
      </c>
      <c r="B100" s="58"/>
      <c r="C100" s="66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6"/>
      <c r="P100" s="61"/>
      <c r="Q100" s="62"/>
      <c r="R100" s="62"/>
      <c r="S100" s="62"/>
      <c r="T100" s="62"/>
      <c r="U100" s="62"/>
      <c r="V100" s="62"/>
      <c r="W100" s="62"/>
      <c r="X100" s="62"/>
      <c r="Y100" s="61"/>
      <c r="Z100" s="63"/>
      <c r="AA100" s="64" t="e">
        <v>#N/A</v>
      </c>
      <c r="AB100" s="62" t="e">
        <v>#N/A</v>
      </c>
      <c r="AC100" s="62" t="e">
        <v>#N/A</v>
      </c>
      <c r="AD100" s="62" t="e">
        <v>#N/A</v>
      </c>
      <c r="AE100" s="62" t="e">
        <v>#N/A</v>
      </c>
      <c r="AF100" s="62" t="e">
        <v>#N/A</v>
      </c>
      <c r="AG100" s="62" t="e">
        <v>#N/A</v>
      </c>
      <c r="AH100" s="62" t="e">
        <v>#N/A</v>
      </c>
      <c r="AI100" s="62" t="e">
        <v>#N/A</v>
      </c>
      <c r="AJ100" s="62" t="e">
        <v>#N/A</v>
      </c>
      <c r="AK100" s="64" t="e">
        <v>#N/A</v>
      </c>
      <c r="AL100" s="19">
        <v>78635</v>
      </c>
      <c r="AM100" s="19">
        <v>94456</v>
      </c>
      <c r="AN100" s="23">
        <v>9090</v>
      </c>
      <c r="AO100" s="19">
        <v>172562</v>
      </c>
      <c r="AP100" s="19">
        <v>465</v>
      </c>
      <c r="AQ100" s="62"/>
      <c r="AR100" s="63"/>
      <c r="AS100" s="63"/>
      <c r="AT100" s="65">
        <f t="shared" si="6"/>
        <v>7247.6040000000003</v>
      </c>
      <c r="AU100" s="65">
        <f t="shared" si="7"/>
        <v>381.78</v>
      </c>
      <c r="AV100" s="65">
        <f t="shared" si="8"/>
        <v>19.53</v>
      </c>
      <c r="AW100" s="65">
        <f t="shared" si="10"/>
        <v>3302.67</v>
      </c>
      <c r="AX100" s="65">
        <f t="shared" si="10"/>
        <v>3967.152</v>
      </c>
      <c r="AY100" s="65">
        <f t="shared" si="9"/>
        <v>19.53</v>
      </c>
      <c r="AZ100" s="19">
        <v>21728</v>
      </c>
      <c r="BA100" s="19">
        <v>23231</v>
      </c>
      <c r="BB100" s="19">
        <v>32703</v>
      </c>
      <c r="BC100" s="19">
        <v>879</v>
      </c>
      <c r="BD100" s="19">
        <v>21</v>
      </c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</row>
    <row r="101" spans="1:116" hidden="1" x14ac:dyDescent="0.2">
      <c r="A101" s="57">
        <v>29646</v>
      </c>
      <c r="B101" s="58"/>
      <c r="C101" s="66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6"/>
      <c r="P101" s="61"/>
      <c r="Q101" s="62"/>
      <c r="R101" s="62"/>
      <c r="S101" s="62"/>
      <c r="T101" s="62"/>
      <c r="U101" s="62"/>
      <c r="V101" s="62"/>
      <c r="W101" s="62"/>
      <c r="X101" s="62"/>
      <c r="Y101" s="61"/>
      <c r="Z101" s="63"/>
      <c r="AA101" s="64" t="e">
        <v>#N/A</v>
      </c>
      <c r="AB101" s="62" t="e">
        <v>#N/A</v>
      </c>
      <c r="AC101" s="62" t="e">
        <v>#N/A</v>
      </c>
      <c r="AD101" s="62" t="e">
        <v>#N/A</v>
      </c>
      <c r="AE101" s="62" t="e">
        <v>#N/A</v>
      </c>
      <c r="AF101" s="62" t="e">
        <v>#N/A</v>
      </c>
      <c r="AG101" s="62" t="e">
        <v>#N/A</v>
      </c>
      <c r="AH101" s="62" t="e">
        <v>#N/A</v>
      </c>
      <c r="AI101" s="62" t="e">
        <v>#N/A</v>
      </c>
      <c r="AJ101" s="62" t="e">
        <v>#N/A</v>
      </c>
      <c r="AK101" s="64" t="e">
        <v>#N/A</v>
      </c>
      <c r="AL101" s="19">
        <v>76981</v>
      </c>
      <c r="AM101" s="19">
        <v>90027</v>
      </c>
      <c r="AN101" s="23">
        <v>4567</v>
      </c>
      <c r="AO101" s="19">
        <v>164372</v>
      </c>
      <c r="AP101" s="19">
        <v>6</v>
      </c>
      <c r="AQ101" s="62"/>
      <c r="AR101" s="63"/>
      <c r="AS101" s="63"/>
      <c r="AT101" s="65">
        <f t="shared" si="6"/>
        <v>6903.6239999999998</v>
      </c>
      <c r="AU101" s="65">
        <f t="shared" si="7"/>
        <v>191.81399999999999</v>
      </c>
      <c r="AV101" s="65">
        <f t="shared" si="8"/>
        <v>0.252</v>
      </c>
      <c r="AW101" s="65">
        <f t="shared" si="10"/>
        <v>3233.2020000000002</v>
      </c>
      <c r="AX101" s="65">
        <f t="shared" si="10"/>
        <v>3781.134</v>
      </c>
      <c r="AY101" s="65">
        <f t="shared" si="9"/>
        <v>0.252</v>
      </c>
      <c r="AZ101" s="19">
        <v>24976</v>
      </c>
      <c r="BA101" s="19">
        <v>26032</v>
      </c>
      <c r="BB101" s="19">
        <v>33270</v>
      </c>
      <c r="BC101" s="19">
        <v>1633</v>
      </c>
      <c r="BD101" s="19">
        <v>10</v>
      </c>
      <c r="BE101" s="62"/>
      <c r="BF101" s="62"/>
      <c r="BG101" s="62"/>
      <c r="BH101" s="62"/>
      <c r="BI101" s="62"/>
      <c r="BJ101" s="62"/>
      <c r="BK101" s="62"/>
      <c r="BL101" s="62"/>
      <c r="BM101" s="62"/>
      <c r="BN101" s="62"/>
      <c r="BO101" s="62"/>
      <c r="BP101" s="62"/>
      <c r="BQ101" s="62"/>
      <c r="BR101" s="62"/>
      <c r="BS101" s="62"/>
      <c r="BT101" s="62"/>
      <c r="BU101" s="62"/>
      <c r="BV101" s="62"/>
      <c r="BW101" s="62"/>
      <c r="BX101" s="62"/>
      <c r="BY101" s="62"/>
      <c r="BZ101" s="62"/>
      <c r="CA101" s="62"/>
      <c r="CB101" s="62"/>
      <c r="CC101" s="62"/>
      <c r="CD101" s="62"/>
      <c r="CE101" s="62"/>
      <c r="CF101" s="62"/>
      <c r="CG101" s="62"/>
      <c r="CH101" s="62"/>
      <c r="CI101" s="62"/>
      <c r="CJ101" s="62"/>
      <c r="CK101" s="62"/>
      <c r="CL101" s="62"/>
      <c r="CM101" s="62"/>
      <c r="CN101" s="62"/>
      <c r="CO101" s="62"/>
      <c r="CP101" s="62"/>
      <c r="CQ101" s="62"/>
      <c r="CR101" s="62"/>
      <c r="CS101" s="62"/>
      <c r="CT101" s="62"/>
      <c r="CU101" s="62"/>
      <c r="CV101" s="62"/>
      <c r="CW101" s="62"/>
      <c r="CX101" s="62"/>
      <c r="CY101" s="62"/>
      <c r="CZ101" s="62"/>
      <c r="DA101" s="62"/>
      <c r="DB101" s="62"/>
      <c r="DC101" s="62"/>
      <c r="DD101" s="62"/>
      <c r="DE101" s="62"/>
      <c r="DF101" s="62"/>
      <c r="DG101" s="62"/>
      <c r="DH101" s="62"/>
      <c r="DI101" s="62"/>
      <c r="DJ101" s="62"/>
      <c r="DK101" s="62"/>
      <c r="DL101" s="62"/>
    </row>
    <row r="102" spans="1:116" hidden="1" x14ac:dyDescent="0.2">
      <c r="A102" s="57">
        <v>29677</v>
      </c>
      <c r="B102" s="58"/>
      <c r="C102" s="66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6"/>
      <c r="P102" s="61"/>
      <c r="Q102" s="62"/>
      <c r="R102" s="62"/>
      <c r="S102" s="62"/>
      <c r="T102" s="62"/>
      <c r="U102" s="62"/>
      <c r="V102" s="62"/>
      <c r="W102" s="62"/>
      <c r="X102" s="62"/>
      <c r="Y102" s="61"/>
      <c r="Z102" s="63"/>
      <c r="AA102" s="64" t="e">
        <v>#N/A</v>
      </c>
      <c r="AB102" s="62" t="e">
        <v>#N/A</v>
      </c>
      <c r="AC102" s="62" t="e">
        <v>#N/A</v>
      </c>
      <c r="AD102" s="62" t="e">
        <v>#N/A</v>
      </c>
      <c r="AE102" s="62" t="e">
        <v>#N/A</v>
      </c>
      <c r="AF102" s="62" t="e">
        <v>#N/A</v>
      </c>
      <c r="AG102" s="62" t="e">
        <v>#N/A</v>
      </c>
      <c r="AH102" s="62" t="e">
        <v>#N/A</v>
      </c>
      <c r="AI102" s="62" t="e">
        <v>#N/A</v>
      </c>
      <c r="AJ102" s="62" t="e">
        <v>#N/A</v>
      </c>
      <c r="AK102" s="64" t="e">
        <v>#N/A</v>
      </c>
      <c r="AL102" s="19">
        <v>72535</v>
      </c>
      <c r="AM102" s="19">
        <v>75951</v>
      </c>
      <c r="AN102" s="23">
        <v>3483</v>
      </c>
      <c r="AO102" s="19">
        <v>164647</v>
      </c>
      <c r="AP102" s="19">
        <v>101</v>
      </c>
      <c r="AQ102" s="62"/>
      <c r="AR102" s="63"/>
      <c r="AS102" s="63"/>
      <c r="AT102" s="65">
        <f t="shared" si="6"/>
        <v>6915.174</v>
      </c>
      <c r="AU102" s="65">
        <f t="shared" si="7"/>
        <v>146.286</v>
      </c>
      <c r="AV102" s="65">
        <f t="shared" si="8"/>
        <v>4.242</v>
      </c>
      <c r="AW102" s="65">
        <f t="shared" si="10"/>
        <v>3046.47</v>
      </c>
      <c r="AX102" s="65">
        <f t="shared" si="10"/>
        <v>3189.942</v>
      </c>
      <c r="AY102" s="65">
        <f t="shared" si="9"/>
        <v>4.242</v>
      </c>
      <c r="AZ102" s="19">
        <v>23676</v>
      </c>
      <c r="BA102" s="19">
        <v>23403</v>
      </c>
      <c r="BB102" s="19">
        <v>34874</v>
      </c>
      <c r="BC102" s="19">
        <v>1349</v>
      </c>
      <c r="BD102" s="19">
        <v>18</v>
      </c>
      <c r="BE102" s="62"/>
      <c r="BF102" s="62"/>
      <c r="BG102" s="62"/>
      <c r="BH102" s="62"/>
      <c r="BI102" s="62"/>
      <c r="BJ102" s="62"/>
      <c r="BK102" s="62"/>
      <c r="BL102" s="62"/>
      <c r="BM102" s="62"/>
      <c r="BN102" s="62"/>
      <c r="BO102" s="62"/>
      <c r="BP102" s="62"/>
      <c r="BQ102" s="62"/>
      <c r="BR102" s="62"/>
      <c r="BS102" s="62"/>
      <c r="BT102" s="62"/>
      <c r="BU102" s="62"/>
      <c r="BV102" s="62"/>
      <c r="BW102" s="62"/>
      <c r="BX102" s="62"/>
      <c r="BY102" s="62"/>
      <c r="BZ102" s="62"/>
      <c r="CA102" s="62"/>
      <c r="CB102" s="62"/>
      <c r="CC102" s="62"/>
      <c r="CD102" s="62"/>
      <c r="CE102" s="62"/>
      <c r="CF102" s="62"/>
      <c r="CG102" s="62"/>
      <c r="CH102" s="62"/>
      <c r="CI102" s="62"/>
      <c r="CJ102" s="62"/>
      <c r="CK102" s="62"/>
      <c r="CL102" s="62"/>
      <c r="CM102" s="62"/>
      <c r="CN102" s="62"/>
      <c r="CO102" s="62"/>
      <c r="CP102" s="62"/>
      <c r="CQ102" s="62"/>
      <c r="CR102" s="62"/>
      <c r="CS102" s="62"/>
      <c r="CT102" s="62"/>
      <c r="CU102" s="62"/>
      <c r="CV102" s="62"/>
      <c r="CW102" s="62"/>
      <c r="CX102" s="62"/>
      <c r="CY102" s="62"/>
      <c r="CZ102" s="62"/>
      <c r="DA102" s="62"/>
      <c r="DB102" s="62"/>
      <c r="DC102" s="62"/>
      <c r="DD102" s="62"/>
      <c r="DE102" s="62"/>
      <c r="DF102" s="62"/>
      <c r="DG102" s="62"/>
      <c r="DH102" s="62"/>
      <c r="DI102" s="62"/>
      <c r="DJ102" s="62"/>
      <c r="DK102" s="62"/>
      <c r="DL102" s="62"/>
    </row>
    <row r="103" spans="1:116" hidden="1" x14ac:dyDescent="0.2">
      <c r="A103" s="57">
        <v>29707</v>
      </c>
      <c r="B103" s="58"/>
      <c r="C103" s="66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6"/>
      <c r="P103" s="61"/>
      <c r="Q103" s="62"/>
      <c r="R103" s="62"/>
      <c r="S103" s="62"/>
      <c r="T103" s="62"/>
      <c r="U103" s="62"/>
      <c r="V103" s="62"/>
      <c r="W103" s="62"/>
      <c r="X103" s="62"/>
      <c r="Y103" s="61"/>
      <c r="Z103" s="63"/>
      <c r="AA103" s="64" t="e">
        <v>#N/A</v>
      </c>
      <c r="AB103" s="62" t="e">
        <v>#N/A</v>
      </c>
      <c r="AC103" s="62" t="e">
        <v>#N/A</v>
      </c>
      <c r="AD103" s="62" t="e">
        <v>#N/A</v>
      </c>
      <c r="AE103" s="62" t="e">
        <v>#N/A</v>
      </c>
      <c r="AF103" s="62" t="e">
        <v>#N/A</v>
      </c>
      <c r="AG103" s="62" t="e">
        <v>#N/A</v>
      </c>
      <c r="AH103" s="62" t="e">
        <v>#N/A</v>
      </c>
      <c r="AI103" s="62" t="e">
        <v>#N/A</v>
      </c>
      <c r="AJ103" s="62" t="e">
        <v>#N/A</v>
      </c>
      <c r="AK103" s="64" t="e">
        <v>#N/A</v>
      </c>
      <c r="AL103" s="19">
        <v>76053</v>
      </c>
      <c r="AM103" s="19">
        <v>74733</v>
      </c>
      <c r="AN103" s="23">
        <v>5542</v>
      </c>
      <c r="AO103" s="19">
        <v>171837</v>
      </c>
      <c r="AP103" s="19">
        <v>3</v>
      </c>
      <c r="AQ103" s="62"/>
      <c r="AR103" s="63"/>
      <c r="AS103" s="63"/>
      <c r="AT103" s="65">
        <f t="shared" si="6"/>
        <v>7217.1540000000005</v>
      </c>
      <c r="AU103" s="65">
        <f t="shared" si="7"/>
        <v>232.76400000000001</v>
      </c>
      <c r="AV103" s="65">
        <f t="shared" si="8"/>
        <v>0.126</v>
      </c>
      <c r="AW103" s="65">
        <f t="shared" si="10"/>
        <v>3194.2260000000001</v>
      </c>
      <c r="AX103" s="65">
        <f t="shared" si="10"/>
        <v>3138.7860000000001</v>
      </c>
      <c r="AY103" s="65">
        <f t="shared" si="9"/>
        <v>0.126</v>
      </c>
      <c r="AZ103" s="19">
        <v>25039</v>
      </c>
      <c r="BA103" s="19">
        <v>22130</v>
      </c>
      <c r="BB103" s="19">
        <v>38787</v>
      </c>
      <c r="BC103" s="19">
        <v>1020</v>
      </c>
      <c r="BD103" s="19">
        <v>16</v>
      </c>
      <c r="BE103" s="62"/>
      <c r="BF103" s="62"/>
      <c r="BG103" s="62"/>
      <c r="BH103" s="62"/>
      <c r="BI103" s="62"/>
      <c r="BJ103" s="62"/>
      <c r="BK103" s="62"/>
      <c r="BL103" s="62"/>
      <c r="BM103" s="62"/>
      <c r="BN103" s="62"/>
      <c r="BO103" s="62"/>
      <c r="BP103" s="62"/>
      <c r="BQ103" s="62"/>
      <c r="BR103" s="62"/>
      <c r="BS103" s="62"/>
      <c r="BT103" s="62"/>
      <c r="BU103" s="62"/>
      <c r="BV103" s="62"/>
      <c r="BW103" s="62"/>
      <c r="BX103" s="62"/>
      <c r="BY103" s="62"/>
      <c r="BZ103" s="62"/>
      <c r="CA103" s="62"/>
      <c r="CB103" s="62"/>
      <c r="CC103" s="62"/>
      <c r="CD103" s="62"/>
      <c r="CE103" s="62"/>
      <c r="CF103" s="62"/>
      <c r="CG103" s="62"/>
      <c r="CH103" s="62"/>
      <c r="CI103" s="62"/>
      <c r="CJ103" s="62"/>
      <c r="CK103" s="62"/>
      <c r="CL103" s="62"/>
      <c r="CM103" s="62"/>
      <c r="CN103" s="62"/>
      <c r="CO103" s="62"/>
      <c r="CP103" s="62"/>
      <c r="CQ103" s="62"/>
      <c r="CR103" s="62"/>
      <c r="CS103" s="62"/>
      <c r="CT103" s="62"/>
      <c r="CU103" s="62"/>
      <c r="CV103" s="62"/>
      <c r="CW103" s="62"/>
      <c r="CX103" s="62"/>
      <c r="CY103" s="62"/>
      <c r="CZ103" s="62"/>
      <c r="DA103" s="62"/>
      <c r="DB103" s="62"/>
      <c r="DC103" s="62"/>
      <c r="DD103" s="62"/>
      <c r="DE103" s="62"/>
      <c r="DF103" s="62"/>
      <c r="DG103" s="62"/>
      <c r="DH103" s="62"/>
      <c r="DI103" s="62"/>
      <c r="DJ103" s="62"/>
      <c r="DK103" s="62"/>
      <c r="DL103" s="62"/>
    </row>
    <row r="104" spans="1:116" hidden="1" x14ac:dyDescent="0.2">
      <c r="A104" s="57">
        <v>29738</v>
      </c>
      <c r="B104" s="58"/>
      <c r="C104" s="66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6"/>
      <c r="P104" s="61"/>
      <c r="Q104" s="62"/>
      <c r="R104" s="62"/>
      <c r="S104" s="62"/>
      <c r="T104" s="62"/>
      <c r="U104" s="62"/>
      <c r="V104" s="62"/>
      <c r="W104" s="62"/>
      <c r="X104" s="62"/>
      <c r="Y104" s="61"/>
      <c r="Z104" s="63"/>
      <c r="AA104" s="64" t="e">
        <v>#N/A</v>
      </c>
      <c r="AB104" s="62" t="e">
        <v>#N/A</v>
      </c>
      <c r="AC104" s="62" t="e">
        <v>#N/A</v>
      </c>
      <c r="AD104" s="62" t="e">
        <v>#N/A</v>
      </c>
      <c r="AE104" s="62" t="e">
        <v>#N/A</v>
      </c>
      <c r="AF104" s="62" t="e">
        <v>#N/A</v>
      </c>
      <c r="AG104" s="62" t="e">
        <v>#N/A</v>
      </c>
      <c r="AH104" s="62" t="e">
        <v>#N/A</v>
      </c>
      <c r="AI104" s="62" t="e">
        <v>#N/A</v>
      </c>
      <c r="AJ104" s="62" t="e">
        <v>#N/A</v>
      </c>
      <c r="AK104" s="64" t="e">
        <v>#N/A</v>
      </c>
      <c r="AL104" s="19">
        <v>75014</v>
      </c>
      <c r="AM104" s="19">
        <v>73930</v>
      </c>
      <c r="AN104" s="23">
        <v>6746</v>
      </c>
      <c r="AO104" s="19">
        <v>179945</v>
      </c>
      <c r="AP104" s="19">
        <v>15</v>
      </c>
      <c r="AQ104" s="62"/>
      <c r="AR104" s="63"/>
      <c r="AS104" s="63"/>
      <c r="AT104" s="65">
        <f t="shared" si="6"/>
        <v>7557.69</v>
      </c>
      <c r="AU104" s="65">
        <f t="shared" si="7"/>
        <v>283.33199999999999</v>
      </c>
      <c r="AV104" s="65">
        <f t="shared" si="8"/>
        <v>0.63</v>
      </c>
      <c r="AW104" s="65">
        <f t="shared" si="10"/>
        <v>3150.5880000000002</v>
      </c>
      <c r="AX104" s="65">
        <f t="shared" si="10"/>
        <v>3105.06</v>
      </c>
      <c r="AY104" s="65">
        <f t="shared" si="9"/>
        <v>0.63</v>
      </c>
      <c r="AZ104" s="19">
        <v>23591</v>
      </c>
      <c r="BA104" s="19">
        <v>25138</v>
      </c>
      <c r="BB104" s="19">
        <v>38823</v>
      </c>
      <c r="BC104" s="19">
        <v>1596</v>
      </c>
      <c r="BD104" s="19">
        <v>12</v>
      </c>
      <c r="BE104" s="62"/>
      <c r="BF104" s="62"/>
      <c r="BG104" s="62"/>
      <c r="BH104" s="62"/>
      <c r="BI104" s="62"/>
      <c r="BJ104" s="62"/>
      <c r="BK104" s="62"/>
      <c r="BL104" s="62"/>
      <c r="BM104" s="62"/>
      <c r="BN104" s="62"/>
      <c r="BO104" s="62"/>
      <c r="BP104" s="62"/>
      <c r="BQ104" s="62"/>
      <c r="BR104" s="62"/>
      <c r="BS104" s="62"/>
      <c r="BT104" s="62"/>
      <c r="BU104" s="62"/>
      <c r="BV104" s="62"/>
      <c r="BW104" s="62"/>
      <c r="BX104" s="62"/>
      <c r="BY104" s="62"/>
      <c r="BZ104" s="62"/>
      <c r="CA104" s="62"/>
      <c r="CB104" s="62"/>
      <c r="CC104" s="62"/>
      <c r="CD104" s="62"/>
      <c r="CE104" s="62"/>
      <c r="CF104" s="62"/>
      <c r="CG104" s="62"/>
      <c r="CH104" s="62"/>
      <c r="CI104" s="62"/>
      <c r="CJ104" s="62"/>
      <c r="CK104" s="62"/>
      <c r="CL104" s="62"/>
      <c r="CM104" s="62"/>
      <c r="CN104" s="62"/>
      <c r="CO104" s="62"/>
      <c r="CP104" s="62"/>
      <c r="CQ104" s="62"/>
      <c r="CR104" s="62"/>
      <c r="CS104" s="62"/>
      <c r="CT104" s="62"/>
      <c r="CU104" s="62"/>
      <c r="CV104" s="62"/>
      <c r="CW104" s="62"/>
      <c r="CX104" s="62"/>
      <c r="CY104" s="62"/>
      <c r="CZ104" s="62"/>
      <c r="DA104" s="62"/>
      <c r="DB104" s="62"/>
      <c r="DC104" s="62"/>
      <c r="DD104" s="62"/>
      <c r="DE104" s="62"/>
      <c r="DF104" s="62"/>
      <c r="DG104" s="62"/>
      <c r="DH104" s="62"/>
      <c r="DI104" s="62"/>
      <c r="DJ104" s="62"/>
      <c r="DK104" s="62"/>
      <c r="DL104" s="62"/>
    </row>
    <row r="105" spans="1:116" hidden="1" x14ac:dyDescent="0.2">
      <c r="A105" s="57">
        <v>29768</v>
      </c>
      <c r="B105" s="58"/>
      <c r="C105" s="66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6"/>
      <c r="P105" s="61"/>
      <c r="Q105" s="62"/>
      <c r="R105" s="62"/>
      <c r="S105" s="62"/>
      <c r="T105" s="62"/>
      <c r="U105" s="62"/>
      <c r="V105" s="62"/>
      <c r="W105" s="62"/>
      <c r="X105" s="62"/>
      <c r="Y105" s="61"/>
      <c r="Z105" s="63"/>
      <c r="AA105" s="64" t="e">
        <v>#N/A</v>
      </c>
      <c r="AB105" s="62" t="e">
        <v>#N/A</v>
      </c>
      <c r="AC105" s="62" t="e">
        <v>#N/A</v>
      </c>
      <c r="AD105" s="62" t="e">
        <v>#N/A</v>
      </c>
      <c r="AE105" s="62" t="e">
        <v>#N/A</v>
      </c>
      <c r="AF105" s="62" t="e">
        <v>#N/A</v>
      </c>
      <c r="AG105" s="62" t="e">
        <v>#N/A</v>
      </c>
      <c r="AH105" s="62" t="e">
        <v>#N/A</v>
      </c>
      <c r="AI105" s="62" t="e">
        <v>#N/A</v>
      </c>
      <c r="AJ105" s="62" t="e">
        <v>#N/A</v>
      </c>
      <c r="AK105" s="64" t="e">
        <v>#N/A</v>
      </c>
      <c r="AL105" s="19">
        <v>74227</v>
      </c>
      <c r="AM105" s="19">
        <v>73708</v>
      </c>
      <c r="AN105" s="23">
        <v>5539</v>
      </c>
      <c r="AO105" s="19">
        <v>186264</v>
      </c>
      <c r="AP105" s="19">
        <v>72</v>
      </c>
      <c r="AQ105" s="62"/>
      <c r="AR105" s="63"/>
      <c r="AS105" s="63"/>
      <c r="AT105" s="65">
        <f t="shared" si="6"/>
        <v>7823.0879999999997</v>
      </c>
      <c r="AU105" s="65">
        <f t="shared" si="7"/>
        <v>232.63800000000001</v>
      </c>
      <c r="AV105" s="65">
        <f t="shared" si="8"/>
        <v>3.024</v>
      </c>
      <c r="AW105" s="65">
        <f t="shared" si="10"/>
        <v>3117.5340000000001</v>
      </c>
      <c r="AX105" s="65">
        <f t="shared" si="10"/>
        <v>3095.7359999999999</v>
      </c>
      <c r="AY105" s="65">
        <f t="shared" si="9"/>
        <v>3.024</v>
      </c>
      <c r="AZ105" s="19">
        <v>25523</v>
      </c>
      <c r="BA105" s="19">
        <v>26197</v>
      </c>
      <c r="BB105" s="19">
        <v>38770</v>
      </c>
      <c r="BC105" s="19">
        <v>641</v>
      </c>
      <c r="BD105" s="19">
        <v>19</v>
      </c>
      <c r="BE105" s="62"/>
      <c r="BF105" s="62"/>
      <c r="BG105" s="62"/>
      <c r="BH105" s="62"/>
      <c r="BI105" s="62"/>
      <c r="BJ105" s="62"/>
      <c r="BK105" s="62"/>
      <c r="BL105" s="62"/>
      <c r="BM105" s="62"/>
      <c r="BN105" s="62"/>
      <c r="BO105" s="62"/>
      <c r="BP105" s="62"/>
      <c r="BQ105" s="62"/>
      <c r="BR105" s="62"/>
      <c r="BS105" s="62"/>
      <c r="BT105" s="62"/>
      <c r="BU105" s="62"/>
      <c r="BV105" s="62"/>
      <c r="BW105" s="62"/>
      <c r="BX105" s="62"/>
      <c r="BY105" s="62"/>
      <c r="BZ105" s="62"/>
      <c r="CA105" s="62"/>
      <c r="CB105" s="62"/>
      <c r="CC105" s="62"/>
      <c r="CD105" s="62"/>
      <c r="CE105" s="62"/>
      <c r="CF105" s="62"/>
      <c r="CG105" s="62"/>
      <c r="CH105" s="62"/>
      <c r="CI105" s="62"/>
      <c r="CJ105" s="62"/>
      <c r="CK105" s="62"/>
      <c r="CL105" s="62"/>
      <c r="CM105" s="62"/>
      <c r="CN105" s="62"/>
      <c r="CO105" s="62"/>
      <c r="CP105" s="62"/>
      <c r="CQ105" s="62"/>
      <c r="CR105" s="62"/>
      <c r="CS105" s="62"/>
      <c r="CT105" s="62"/>
      <c r="CU105" s="62"/>
      <c r="CV105" s="62"/>
      <c r="CW105" s="62"/>
      <c r="CX105" s="62"/>
      <c r="CY105" s="62"/>
      <c r="CZ105" s="62"/>
      <c r="DA105" s="62"/>
      <c r="DB105" s="62"/>
      <c r="DC105" s="62"/>
      <c r="DD105" s="62"/>
      <c r="DE105" s="62"/>
      <c r="DF105" s="62"/>
      <c r="DG105" s="62"/>
      <c r="DH105" s="62"/>
      <c r="DI105" s="62"/>
      <c r="DJ105" s="62"/>
      <c r="DK105" s="62"/>
      <c r="DL105" s="62"/>
    </row>
    <row r="106" spans="1:116" hidden="1" x14ac:dyDescent="0.2">
      <c r="A106" s="57">
        <v>29799</v>
      </c>
      <c r="B106" s="58"/>
      <c r="C106" s="66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6"/>
      <c r="P106" s="61"/>
      <c r="Q106" s="62"/>
      <c r="R106" s="62"/>
      <c r="S106" s="62"/>
      <c r="T106" s="62"/>
      <c r="U106" s="62"/>
      <c r="V106" s="62"/>
      <c r="W106" s="62"/>
      <c r="X106" s="62"/>
      <c r="Y106" s="61"/>
      <c r="Z106" s="63"/>
      <c r="AA106" s="64" t="e">
        <v>#N/A</v>
      </c>
      <c r="AB106" s="62" t="e">
        <v>#N/A</v>
      </c>
      <c r="AC106" s="62" t="e">
        <v>#N/A</v>
      </c>
      <c r="AD106" s="62" t="e">
        <v>#N/A</v>
      </c>
      <c r="AE106" s="62" t="e">
        <v>#N/A</v>
      </c>
      <c r="AF106" s="62" t="e">
        <v>#N/A</v>
      </c>
      <c r="AG106" s="62" t="e">
        <v>#N/A</v>
      </c>
      <c r="AH106" s="62" t="e">
        <v>#N/A</v>
      </c>
      <c r="AI106" s="62" t="e">
        <v>#N/A</v>
      </c>
      <c r="AJ106" s="62" t="e">
        <v>#N/A</v>
      </c>
      <c r="AK106" s="64" t="e">
        <v>#N/A</v>
      </c>
      <c r="AL106" s="19">
        <v>82316</v>
      </c>
      <c r="AM106" s="19">
        <v>74019</v>
      </c>
      <c r="AN106" s="23">
        <v>5400</v>
      </c>
      <c r="AO106" s="19">
        <v>200224</v>
      </c>
      <c r="AP106" s="19">
        <v>7</v>
      </c>
      <c r="AQ106" s="62"/>
      <c r="AR106" s="63"/>
      <c r="AS106" s="63"/>
      <c r="AT106" s="65">
        <f t="shared" si="6"/>
        <v>8409.4079999999994</v>
      </c>
      <c r="AU106" s="65">
        <f t="shared" si="7"/>
        <v>226.8</v>
      </c>
      <c r="AV106" s="65">
        <f t="shared" si="8"/>
        <v>0.29399999999999998</v>
      </c>
      <c r="AW106" s="65">
        <f t="shared" si="10"/>
        <v>3457.2719999999999</v>
      </c>
      <c r="AX106" s="65">
        <f t="shared" si="10"/>
        <v>3108.7979999999998</v>
      </c>
      <c r="AY106" s="65">
        <f t="shared" si="9"/>
        <v>0.29399999999999998</v>
      </c>
      <c r="AZ106" s="19">
        <v>23458</v>
      </c>
      <c r="BA106" s="19">
        <v>25711</v>
      </c>
      <c r="BB106" s="19">
        <v>37854</v>
      </c>
      <c r="BC106" s="19">
        <v>1359</v>
      </c>
      <c r="BD106" s="19">
        <v>22</v>
      </c>
      <c r="BE106" s="62"/>
      <c r="BF106" s="62"/>
      <c r="BG106" s="62"/>
      <c r="BH106" s="62"/>
      <c r="BI106" s="62"/>
      <c r="BJ106" s="62"/>
      <c r="BK106" s="62"/>
      <c r="BL106" s="62"/>
      <c r="BM106" s="62"/>
      <c r="BN106" s="62"/>
      <c r="BO106" s="62"/>
      <c r="BP106" s="62"/>
      <c r="BQ106" s="62"/>
      <c r="BR106" s="62"/>
      <c r="BS106" s="62"/>
      <c r="BT106" s="62"/>
      <c r="BU106" s="62"/>
      <c r="BV106" s="62"/>
      <c r="BW106" s="62"/>
      <c r="BX106" s="62"/>
      <c r="BY106" s="62"/>
      <c r="BZ106" s="62"/>
      <c r="CA106" s="62"/>
      <c r="CB106" s="62"/>
      <c r="CC106" s="62"/>
      <c r="CD106" s="62"/>
      <c r="CE106" s="62"/>
      <c r="CF106" s="62"/>
      <c r="CG106" s="62"/>
      <c r="CH106" s="62"/>
      <c r="CI106" s="62"/>
      <c r="CJ106" s="62"/>
      <c r="CK106" s="62"/>
      <c r="CL106" s="62"/>
      <c r="CM106" s="62"/>
      <c r="CN106" s="62"/>
      <c r="CO106" s="62"/>
      <c r="CP106" s="62"/>
      <c r="CQ106" s="62"/>
      <c r="CR106" s="62"/>
      <c r="CS106" s="62"/>
      <c r="CT106" s="62"/>
      <c r="CU106" s="62"/>
      <c r="CV106" s="62"/>
      <c r="CW106" s="62"/>
      <c r="CX106" s="62"/>
      <c r="CY106" s="62"/>
      <c r="CZ106" s="62"/>
      <c r="DA106" s="62"/>
      <c r="DB106" s="62"/>
      <c r="DC106" s="62"/>
      <c r="DD106" s="62"/>
      <c r="DE106" s="62"/>
      <c r="DF106" s="62"/>
      <c r="DG106" s="62"/>
      <c r="DH106" s="62"/>
      <c r="DI106" s="62"/>
      <c r="DJ106" s="62"/>
      <c r="DK106" s="62"/>
      <c r="DL106" s="62"/>
    </row>
    <row r="107" spans="1:116" hidden="1" x14ac:dyDescent="0.2">
      <c r="A107" s="57">
        <v>29830</v>
      </c>
      <c r="B107" s="58"/>
      <c r="C107" s="66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6"/>
      <c r="P107" s="61"/>
      <c r="Q107" s="62"/>
      <c r="R107" s="62"/>
      <c r="S107" s="62"/>
      <c r="T107" s="62"/>
      <c r="U107" s="62"/>
      <c r="V107" s="62"/>
      <c r="W107" s="62"/>
      <c r="X107" s="62"/>
      <c r="Y107" s="61"/>
      <c r="Z107" s="63"/>
      <c r="AA107" s="64" t="e">
        <v>#N/A</v>
      </c>
      <c r="AB107" s="62" t="e">
        <v>#N/A</v>
      </c>
      <c r="AC107" s="62" t="e">
        <v>#N/A</v>
      </c>
      <c r="AD107" s="62" t="e">
        <v>#N/A</v>
      </c>
      <c r="AE107" s="62" t="e">
        <v>#N/A</v>
      </c>
      <c r="AF107" s="62" t="e">
        <v>#N/A</v>
      </c>
      <c r="AG107" s="62" t="e">
        <v>#N/A</v>
      </c>
      <c r="AH107" s="62" t="e">
        <v>#N/A</v>
      </c>
      <c r="AI107" s="62" t="e">
        <v>#N/A</v>
      </c>
      <c r="AJ107" s="62" t="e">
        <v>#N/A</v>
      </c>
      <c r="AK107" s="64" t="e">
        <v>#N/A</v>
      </c>
      <c r="AL107" s="19">
        <v>78306</v>
      </c>
      <c r="AM107" s="19">
        <v>75378</v>
      </c>
      <c r="AN107" s="23">
        <v>3872</v>
      </c>
      <c r="AO107" s="19">
        <v>207287</v>
      </c>
      <c r="AP107" s="19">
        <v>32</v>
      </c>
      <c r="AQ107" s="62"/>
      <c r="AR107" s="63"/>
      <c r="AS107" s="63"/>
      <c r="AT107" s="65">
        <f t="shared" si="6"/>
        <v>8706.0540000000001</v>
      </c>
      <c r="AU107" s="65">
        <f t="shared" si="7"/>
        <v>162.624</v>
      </c>
      <c r="AV107" s="65">
        <f t="shared" si="8"/>
        <v>1.3440000000000001</v>
      </c>
      <c r="AW107" s="65">
        <f t="shared" si="10"/>
        <v>3288.8519999999999</v>
      </c>
      <c r="AX107" s="65">
        <f t="shared" si="10"/>
        <v>3165.8760000000002</v>
      </c>
      <c r="AY107" s="65">
        <f t="shared" si="9"/>
        <v>1.3440000000000001</v>
      </c>
      <c r="AZ107" s="19">
        <v>21949</v>
      </c>
      <c r="BA107" s="19">
        <v>24103</v>
      </c>
      <c r="BB107" s="19">
        <v>37046</v>
      </c>
      <c r="BC107" s="19">
        <v>1366</v>
      </c>
      <c r="BD107" s="19">
        <v>20</v>
      </c>
      <c r="BE107" s="62"/>
      <c r="BF107" s="62"/>
      <c r="BG107" s="62"/>
      <c r="BH107" s="62"/>
      <c r="BI107" s="62"/>
      <c r="BJ107" s="62"/>
      <c r="BK107" s="62"/>
      <c r="BL107" s="62"/>
      <c r="BM107" s="62"/>
      <c r="BN107" s="62"/>
      <c r="BO107" s="62"/>
      <c r="BP107" s="62"/>
      <c r="BQ107" s="62"/>
      <c r="BR107" s="62"/>
      <c r="BS107" s="62"/>
      <c r="BT107" s="62"/>
      <c r="BU107" s="62"/>
      <c r="BV107" s="62"/>
      <c r="BW107" s="62"/>
      <c r="BX107" s="62"/>
      <c r="BY107" s="62"/>
      <c r="BZ107" s="62"/>
      <c r="CA107" s="62"/>
      <c r="CB107" s="62"/>
      <c r="CC107" s="62"/>
      <c r="CD107" s="62"/>
      <c r="CE107" s="62"/>
      <c r="CF107" s="62"/>
      <c r="CG107" s="62"/>
      <c r="CH107" s="62"/>
      <c r="CI107" s="62"/>
      <c r="CJ107" s="62"/>
      <c r="CK107" s="62"/>
      <c r="CL107" s="62"/>
      <c r="CM107" s="62"/>
      <c r="CN107" s="62"/>
      <c r="CO107" s="62"/>
      <c r="CP107" s="62"/>
      <c r="CQ107" s="62"/>
      <c r="CR107" s="62"/>
      <c r="CS107" s="62"/>
      <c r="CT107" s="62"/>
      <c r="CU107" s="62"/>
      <c r="CV107" s="62"/>
      <c r="CW107" s="62"/>
      <c r="CX107" s="62"/>
      <c r="CY107" s="62"/>
      <c r="CZ107" s="62"/>
      <c r="DA107" s="62"/>
      <c r="DB107" s="62"/>
      <c r="DC107" s="62"/>
      <c r="DD107" s="62"/>
      <c r="DE107" s="62"/>
      <c r="DF107" s="62"/>
      <c r="DG107" s="62"/>
      <c r="DH107" s="62"/>
      <c r="DI107" s="62"/>
      <c r="DJ107" s="62"/>
      <c r="DK107" s="62"/>
      <c r="DL107" s="62"/>
    </row>
    <row r="108" spans="1:116" hidden="1" x14ac:dyDescent="0.2">
      <c r="A108" s="57">
        <v>29860</v>
      </c>
      <c r="B108" s="58"/>
      <c r="C108" s="66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6"/>
      <c r="P108" s="61"/>
      <c r="Q108" s="62"/>
      <c r="R108" s="62"/>
      <c r="S108" s="62"/>
      <c r="T108" s="62"/>
      <c r="U108" s="62"/>
      <c r="V108" s="62"/>
      <c r="W108" s="62"/>
      <c r="X108" s="62"/>
      <c r="Y108" s="61"/>
      <c r="Z108" s="63"/>
      <c r="AA108" s="64" t="e">
        <v>#N/A</v>
      </c>
      <c r="AB108" s="62" t="e">
        <v>#N/A</v>
      </c>
      <c r="AC108" s="62" t="e">
        <v>#N/A</v>
      </c>
      <c r="AD108" s="62" t="e">
        <v>#N/A</v>
      </c>
      <c r="AE108" s="62" t="e">
        <v>#N/A</v>
      </c>
      <c r="AF108" s="62" t="e">
        <v>#N/A</v>
      </c>
      <c r="AG108" s="62" t="e">
        <v>#N/A</v>
      </c>
      <c r="AH108" s="62" t="e">
        <v>#N/A</v>
      </c>
      <c r="AI108" s="62" t="e">
        <v>#N/A</v>
      </c>
      <c r="AJ108" s="62" t="e">
        <v>#N/A</v>
      </c>
      <c r="AK108" s="64" t="e">
        <v>#N/A</v>
      </c>
      <c r="AL108" s="19">
        <v>77020</v>
      </c>
      <c r="AM108" s="19">
        <v>86900</v>
      </c>
      <c r="AN108" s="23">
        <v>3678</v>
      </c>
      <c r="AO108" s="19">
        <v>201189</v>
      </c>
      <c r="AP108" s="19">
        <v>167</v>
      </c>
      <c r="AQ108" s="62"/>
      <c r="AR108" s="63"/>
      <c r="AS108" s="63"/>
      <c r="AT108" s="65">
        <f t="shared" si="6"/>
        <v>8449.9380000000001</v>
      </c>
      <c r="AU108" s="65">
        <f t="shared" si="7"/>
        <v>154.476</v>
      </c>
      <c r="AV108" s="65">
        <f t="shared" si="8"/>
        <v>7.0140000000000002</v>
      </c>
      <c r="AW108" s="65">
        <f t="shared" si="10"/>
        <v>3234.84</v>
      </c>
      <c r="AX108" s="65">
        <f t="shared" si="10"/>
        <v>3649.8</v>
      </c>
      <c r="AY108" s="65">
        <f t="shared" si="9"/>
        <v>7.0140000000000002</v>
      </c>
      <c r="AZ108" s="19">
        <v>22107</v>
      </c>
      <c r="BA108" s="19">
        <v>23515</v>
      </c>
      <c r="BB108" s="19">
        <v>36059</v>
      </c>
      <c r="BC108" s="19">
        <v>435</v>
      </c>
      <c r="BD108" s="19">
        <v>14</v>
      </c>
      <c r="BE108" s="62"/>
      <c r="BF108" s="62"/>
      <c r="BG108" s="62"/>
      <c r="BH108" s="62"/>
      <c r="BI108" s="62"/>
      <c r="BJ108" s="62"/>
      <c r="BK108" s="62"/>
      <c r="BL108" s="62"/>
      <c r="BM108" s="62"/>
      <c r="BN108" s="62"/>
      <c r="BO108" s="62"/>
      <c r="BP108" s="62"/>
      <c r="BQ108" s="62"/>
      <c r="BR108" s="62"/>
      <c r="BS108" s="62"/>
      <c r="BT108" s="62"/>
      <c r="BU108" s="62"/>
      <c r="BV108" s="62"/>
      <c r="BW108" s="62"/>
      <c r="BX108" s="62"/>
      <c r="BY108" s="62"/>
      <c r="BZ108" s="62"/>
      <c r="CA108" s="62"/>
      <c r="CB108" s="62"/>
      <c r="CC108" s="62"/>
      <c r="CD108" s="62"/>
      <c r="CE108" s="62"/>
      <c r="CF108" s="62"/>
      <c r="CG108" s="62"/>
      <c r="CH108" s="62"/>
      <c r="CI108" s="62"/>
      <c r="CJ108" s="62"/>
      <c r="CK108" s="62"/>
      <c r="CL108" s="62"/>
      <c r="CM108" s="62"/>
      <c r="CN108" s="62"/>
      <c r="CO108" s="62"/>
      <c r="CP108" s="62"/>
      <c r="CQ108" s="62"/>
      <c r="CR108" s="62"/>
      <c r="CS108" s="62"/>
      <c r="CT108" s="62"/>
      <c r="CU108" s="62"/>
      <c r="CV108" s="62"/>
      <c r="CW108" s="62"/>
      <c r="CX108" s="62"/>
      <c r="CY108" s="62"/>
      <c r="CZ108" s="62"/>
      <c r="DA108" s="62"/>
      <c r="DB108" s="62"/>
      <c r="DC108" s="62"/>
      <c r="DD108" s="62"/>
      <c r="DE108" s="62"/>
      <c r="DF108" s="62"/>
      <c r="DG108" s="62"/>
      <c r="DH108" s="62"/>
      <c r="DI108" s="62"/>
      <c r="DJ108" s="62"/>
      <c r="DK108" s="62"/>
      <c r="DL108" s="62"/>
    </row>
    <row r="109" spans="1:116" hidden="1" x14ac:dyDescent="0.2">
      <c r="A109" s="57">
        <v>29891</v>
      </c>
      <c r="B109" s="58"/>
      <c r="C109" s="66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6"/>
      <c r="P109" s="61"/>
      <c r="Q109" s="62"/>
      <c r="R109" s="62"/>
      <c r="S109" s="62"/>
      <c r="T109" s="62"/>
      <c r="U109" s="62"/>
      <c r="V109" s="62"/>
      <c r="W109" s="62"/>
      <c r="X109" s="62"/>
      <c r="Y109" s="61"/>
      <c r="Z109" s="63"/>
      <c r="AA109" s="64" t="e">
        <v>#N/A</v>
      </c>
      <c r="AB109" s="62" t="e">
        <v>#N/A</v>
      </c>
      <c r="AC109" s="62" t="e">
        <v>#N/A</v>
      </c>
      <c r="AD109" s="62" t="e">
        <v>#N/A</v>
      </c>
      <c r="AE109" s="62" t="e">
        <v>#N/A</v>
      </c>
      <c r="AF109" s="62" t="e">
        <v>#N/A</v>
      </c>
      <c r="AG109" s="62" t="e">
        <v>#N/A</v>
      </c>
      <c r="AH109" s="62" t="e">
        <v>#N/A</v>
      </c>
      <c r="AI109" s="62" t="e">
        <v>#N/A</v>
      </c>
      <c r="AJ109" s="62" t="e">
        <v>#N/A</v>
      </c>
      <c r="AK109" s="64" t="e">
        <v>#N/A</v>
      </c>
      <c r="AL109" s="19">
        <v>81463</v>
      </c>
      <c r="AM109" s="19">
        <v>86413</v>
      </c>
      <c r="AN109" s="23">
        <v>3734</v>
      </c>
      <c r="AO109" s="19">
        <v>200115</v>
      </c>
      <c r="AP109" s="19">
        <v>193</v>
      </c>
      <c r="AQ109" s="62"/>
      <c r="AR109" s="63"/>
      <c r="AS109" s="63"/>
      <c r="AT109" s="65">
        <f t="shared" si="6"/>
        <v>8404.83</v>
      </c>
      <c r="AU109" s="65">
        <f t="shared" si="7"/>
        <v>156.828</v>
      </c>
      <c r="AV109" s="65">
        <f t="shared" si="8"/>
        <v>8.1059999999999999</v>
      </c>
      <c r="AW109" s="65">
        <f t="shared" si="10"/>
        <v>3421.4459999999999</v>
      </c>
      <c r="AX109" s="65">
        <f t="shared" si="10"/>
        <v>3629.346</v>
      </c>
      <c r="AY109" s="65">
        <f t="shared" si="9"/>
        <v>8.1059999999999999</v>
      </c>
      <c r="AZ109" s="19">
        <v>22554</v>
      </c>
      <c r="BA109" s="19">
        <v>23601</v>
      </c>
      <c r="BB109" s="19">
        <v>35261</v>
      </c>
      <c r="BC109" s="19">
        <v>272</v>
      </c>
      <c r="BD109" s="19">
        <v>23</v>
      </c>
      <c r="BE109" s="62"/>
      <c r="BF109" s="62"/>
      <c r="BG109" s="62"/>
      <c r="BH109" s="62"/>
      <c r="BI109" s="62"/>
      <c r="BJ109" s="62"/>
      <c r="BK109" s="62"/>
      <c r="BL109" s="62"/>
      <c r="BM109" s="62"/>
      <c r="BN109" s="62"/>
      <c r="BO109" s="62"/>
      <c r="BP109" s="62"/>
      <c r="BQ109" s="62"/>
      <c r="BR109" s="62"/>
      <c r="BS109" s="62"/>
      <c r="BT109" s="62"/>
      <c r="BU109" s="62"/>
      <c r="BV109" s="62"/>
      <c r="BW109" s="62"/>
      <c r="BX109" s="62"/>
      <c r="BY109" s="62"/>
      <c r="BZ109" s="62"/>
      <c r="CA109" s="62"/>
      <c r="CB109" s="62"/>
      <c r="CC109" s="62"/>
      <c r="CD109" s="62"/>
      <c r="CE109" s="62"/>
      <c r="CF109" s="62"/>
      <c r="CG109" s="62"/>
      <c r="CH109" s="62"/>
      <c r="CI109" s="62"/>
      <c r="CJ109" s="62"/>
      <c r="CK109" s="62"/>
      <c r="CL109" s="62"/>
      <c r="CM109" s="62"/>
      <c r="CN109" s="62"/>
      <c r="CO109" s="62"/>
      <c r="CP109" s="62"/>
      <c r="CQ109" s="62"/>
      <c r="CR109" s="62"/>
      <c r="CS109" s="62"/>
      <c r="CT109" s="62"/>
      <c r="CU109" s="62"/>
      <c r="CV109" s="62"/>
      <c r="CW109" s="62"/>
      <c r="CX109" s="62"/>
      <c r="CY109" s="62"/>
      <c r="CZ109" s="62"/>
      <c r="DA109" s="62"/>
      <c r="DB109" s="62"/>
      <c r="DC109" s="62"/>
      <c r="DD109" s="62"/>
      <c r="DE109" s="62"/>
      <c r="DF109" s="62"/>
      <c r="DG109" s="62"/>
      <c r="DH109" s="62"/>
      <c r="DI109" s="62"/>
      <c r="DJ109" s="62"/>
      <c r="DK109" s="62"/>
      <c r="DL109" s="62"/>
    </row>
    <row r="110" spans="1:116" hidden="1" x14ac:dyDescent="0.2">
      <c r="A110" s="57">
        <v>29921</v>
      </c>
      <c r="B110" s="58"/>
      <c r="C110" s="66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6"/>
      <c r="P110" s="61"/>
      <c r="Q110" s="62"/>
      <c r="R110" s="62"/>
      <c r="S110" s="62"/>
      <c r="T110" s="62"/>
      <c r="U110" s="62"/>
      <c r="V110" s="62"/>
      <c r="W110" s="62"/>
      <c r="X110" s="62"/>
      <c r="Y110" s="61"/>
      <c r="Z110" s="63"/>
      <c r="AA110" s="64" t="e">
        <v>#N/A</v>
      </c>
      <c r="AB110" s="62" t="e">
        <v>#N/A</v>
      </c>
      <c r="AC110" s="62" t="e">
        <v>#N/A</v>
      </c>
      <c r="AD110" s="62" t="e">
        <v>#N/A</v>
      </c>
      <c r="AE110" s="62" t="e">
        <v>#N/A</v>
      </c>
      <c r="AF110" s="62" t="e">
        <v>#N/A</v>
      </c>
      <c r="AG110" s="62" t="e">
        <v>#N/A</v>
      </c>
      <c r="AH110" s="62" t="e">
        <v>#N/A</v>
      </c>
      <c r="AI110" s="62" t="e">
        <v>#N/A</v>
      </c>
      <c r="AJ110" s="62" t="e">
        <v>#N/A</v>
      </c>
      <c r="AK110" s="64" t="e">
        <v>#N/A</v>
      </c>
      <c r="AL110" s="19">
        <v>88548</v>
      </c>
      <c r="AM110" s="19">
        <v>99578</v>
      </c>
      <c r="AN110" s="23">
        <v>2944</v>
      </c>
      <c r="AO110" s="19">
        <v>191541</v>
      </c>
      <c r="AP110" s="19">
        <v>820</v>
      </c>
      <c r="AQ110" s="62"/>
      <c r="AR110" s="63"/>
      <c r="AS110" s="63"/>
      <c r="AT110" s="65">
        <f t="shared" si="6"/>
        <v>8044.7219999999998</v>
      </c>
      <c r="AU110" s="65">
        <f t="shared" si="7"/>
        <v>123.648</v>
      </c>
      <c r="AV110" s="65">
        <f t="shared" si="8"/>
        <v>34.44</v>
      </c>
      <c r="AW110" s="65">
        <f t="shared" si="10"/>
        <v>3719.0160000000001</v>
      </c>
      <c r="AX110" s="65">
        <f t="shared" si="10"/>
        <v>4182.2759999999998</v>
      </c>
      <c r="AY110" s="65">
        <f t="shared" si="9"/>
        <v>34.44</v>
      </c>
      <c r="AZ110" s="19">
        <v>23650</v>
      </c>
      <c r="BA110" s="19">
        <v>24859</v>
      </c>
      <c r="BB110" s="19">
        <v>34011</v>
      </c>
      <c r="BC110" s="19">
        <v>180</v>
      </c>
      <c r="BD110" s="19">
        <v>222</v>
      </c>
      <c r="BE110" s="62"/>
      <c r="BF110" s="62"/>
      <c r="BG110" s="62"/>
      <c r="BH110" s="62"/>
      <c r="BI110" s="62"/>
      <c r="BJ110" s="62"/>
      <c r="BK110" s="62"/>
      <c r="BL110" s="62"/>
      <c r="BM110" s="62"/>
      <c r="BN110" s="62"/>
      <c r="BO110" s="62"/>
      <c r="BP110" s="62"/>
      <c r="BQ110" s="62"/>
      <c r="BR110" s="62"/>
      <c r="BS110" s="62"/>
      <c r="BT110" s="62"/>
      <c r="BU110" s="62"/>
      <c r="BV110" s="62"/>
      <c r="BW110" s="62"/>
      <c r="BX110" s="62"/>
      <c r="BY110" s="62"/>
      <c r="BZ110" s="62"/>
      <c r="CA110" s="62"/>
      <c r="CB110" s="62"/>
      <c r="CC110" s="62"/>
      <c r="CD110" s="62"/>
      <c r="CE110" s="62"/>
      <c r="CF110" s="62"/>
      <c r="CG110" s="62"/>
      <c r="CH110" s="62"/>
      <c r="CI110" s="62"/>
      <c r="CJ110" s="62"/>
      <c r="CK110" s="62"/>
      <c r="CL110" s="62"/>
      <c r="CM110" s="62"/>
      <c r="CN110" s="62"/>
      <c r="CO110" s="62"/>
      <c r="CP110" s="62"/>
      <c r="CQ110" s="62"/>
      <c r="CR110" s="62"/>
      <c r="CS110" s="62"/>
      <c r="CT110" s="62"/>
      <c r="CU110" s="62"/>
      <c r="CV110" s="62"/>
      <c r="CW110" s="62"/>
      <c r="CX110" s="62"/>
      <c r="CY110" s="62"/>
      <c r="CZ110" s="62"/>
      <c r="DA110" s="62"/>
      <c r="DB110" s="62"/>
      <c r="DC110" s="62"/>
      <c r="DD110" s="62"/>
      <c r="DE110" s="62"/>
      <c r="DF110" s="62"/>
      <c r="DG110" s="62"/>
      <c r="DH110" s="62"/>
      <c r="DI110" s="62"/>
      <c r="DJ110" s="62"/>
      <c r="DK110" s="62"/>
      <c r="DL110" s="62"/>
    </row>
    <row r="111" spans="1:116" hidden="1" x14ac:dyDescent="0.2">
      <c r="A111" s="57">
        <v>29952</v>
      </c>
      <c r="B111" s="58"/>
      <c r="C111" s="66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6"/>
      <c r="P111" s="61"/>
      <c r="Q111" s="62"/>
      <c r="R111" s="62"/>
      <c r="S111" s="62"/>
      <c r="T111" s="62"/>
      <c r="U111" s="62"/>
      <c r="V111" s="62"/>
      <c r="W111" s="62"/>
      <c r="X111" s="62"/>
      <c r="Y111" s="61"/>
      <c r="Z111" s="63"/>
      <c r="AA111" s="64" t="e">
        <v>#N/A</v>
      </c>
      <c r="AB111" s="62" t="e">
        <v>#N/A</v>
      </c>
      <c r="AC111" s="62" t="e">
        <v>#N/A</v>
      </c>
      <c r="AD111" s="62" t="e">
        <v>#N/A</v>
      </c>
      <c r="AE111" s="62" t="e">
        <v>#N/A</v>
      </c>
      <c r="AF111" s="62" t="e">
        <v>#N/A</v>
      </c>
      <c r="AG111" s="62" t="e">
        <v>#N/A</v>
      </c>
      <c r="AH111" s="62" t="e">
        <v>#N/A</v>
      </c>
      <c r="AI111" s="62" t="e">
        <v>#N/A</v>
      </c>
      <c r="AJ111" s="62" t="e">
        <v>#N/A</v>
      </c>
      <c r="AK111" s="64" t="e">
        <v>#N/A</v>
      </c>
      <c r="AL111" s="19">
        <v>80321</v>
      </c>
      <c r="AM111" s="19">
        <v>108012</v>
      </c>
      <c r="AN111" s="23">
        <v>3015</v>
      </c>
      <c r="AO111" s="19">
        <v>164380</v>
      </c>
      <c r="AP111" s="19">
        <v>2793</v>
      </c>
      <c r="AQ111" s="62"/>
      <c r="AR111" s="63"/>
      <c r="AS111" s="63"/>
      <c r="AT111" s="65">
        <f t="shared" si="6"/>
        <v>6903.96</v>
      </c>
      <c r="AU111" s="65">
        <f t="shared" si="7"/>
        <v>126.63</v>
      </c>
      <c r="AV111" s="65">
        <f t="shared" si="8"/>
        <v>117.306</v>
      </c>
      <c r="AW111" s="65">
        <f t="shared" si="10"/>
        <v>3373.482</v>
      </c>
      <c r="AX111" s="65">
        <f t="shared" si="10"/>
        <v>4536.5039999999999</v>
      </c>
      <c r="AY111" s="65">
        <f t="shared" si="9"/>
        <v>117.306</v>
      </c>
      <c r="AZ111" s="19">
        <v>23069</v>
      </c>
      <c r="BA111" s="19">
        <v>26999</v>
      </c>
      <c r="BB111" s="19">
        <v>30044</v>
      </c>
      <c r="BC111" s="19">
        <v>217</v>
      </c>
      <c r="BD111" s="19">
        <v>255</v>
      </c>
      <c r="BE111" s="62"/>
      <c r="BF111" s="62"/>
      <c r="BG111" s="62"/>
      <c r="BH111" s="62"/>
      <c r="BI111" s="62"/>
      <c r="BJ111" s="62"/>
      <c r="BK111" s="62"/>
      <c r="BL111" s="62"/>
      <c r="BM111" s="62"/>
      <c r="BN111" s="62"/>
      <c r="BO111" s="62"/>
      <c r="BP111" s="62"/>
      <c r="BQ111" s="62"/>
      <c r="BR111" s="62"/>
      <c r="BS111" s="62"/>
      <c r="BT111" s="62"/>
      <c r="BU111" s="62"/>
      <c r="BV111" s="62"/>
      <c r="BW111" s="62"/>
      <c r="BX111" s="62"/>
      <c r="BY111" s="62"/>
      <c r="BZ111" s="62"/>
      <c r="CA111" s="62"/>
      <c r="CB111" s="62"/>
      <c r="CC111" s="62"/>
      <c r="CD111" s="62"/>
      <c r="CE111" s="62"/>
      <c r="CF111" s="62"/>
      <c r="CG111" s="62"/>
      <c r="CH111" s="62"/>
      <c r="CI111" s="62"/>
      <c r="CJ111" s="62"/>
      <c r="CK111" s="62"/>
      <c r="CL111" s="62"/>
      <c r="CM111" s="62"/>
      <c r="CN111" s="62"/>
      <c r="CO111" s="62"/>
      <c r="CP111" s="62"/>
      <c r="CQ111" s="62"/>
      <c r="CR111" s="62"/>
      <c r="CS111" s="62"/>
      <c r="CT111" s="62"/>
      <c r="CU111" s="62"/>
      <c r="CV111" s="62"/>
      <c r="CW111" s="62"/>
      <c r="CX111" s="62"/>
      <c r="CY111" s="62"/>
      <c r="CZ111" s="62"/>
      <c r="DA111" s="62"/>
      <c r="DB111" s="62"/>
      <c r="DC111" s="62"/>
      <c r="DD111" s="62"/>
      <c r="DE111" s="62"/>
      <c r="DF111" s="62"/>
      <c r="DG111" s="62"/>
      <c r="DH111" s="62"/>
      <c r="DI111" s="62"/>
      <c r="DJ111" s="62"/>
      <c r="DK111" s="62"/>
      <c r="DL111" s="62"/>
    </row>
    <row r="112" spans="1:116" hidden="1" x14ac:dyDescent="0.2">
      <c r="A112" s="57">
        <v>29983</v>
      </c>
      <c r="B112" s="58"/>
      <c r="C112" s="66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6"/>
      <c r="P112" s="61"/>
      <c r="Q112" s="62"/>
      <c r="R112" s="62"/>
      <c r="S112" s="62"/>
      <c r="T112" s="62"/>
      <c r="U112" s="62"/>
      <c r="V112" s="62"/>
      <c r="W112" s="62"/>
      <c r="X112" s="62"/>
      <c r="Y112" s="61"/>
      <c r="Z112" s="63"/>
      <c r="AA112" s="64" t="e">
        <v>#N/A</v>
      </c>
      <c r="AB112" s="62" t="e">
        <v>#N/A</v>
      </c>
      <c r="AC112" s="62" t="e">
        <v>#N/A</v>
      </c>
      <c r="AD112" s="62" t="e">
        <v>#N/A</v>
      </c>
      <c r="AE112" s="62" t="e">
        <v>#N/A</v>
      </c>
      <c r="AF112" s="62" t="e">
        <v>#N/A</v>
      </c>
      <c r="AG112" s="62" t="e">
        <v>#N/A</v>
      </c>
      <c r="AH112" s="62" t="e">
        <v>#N/A</v>
      </c>
      <c r="AI112" s="62" t="e">
        <v>#N/A</v>
      </c>
      <c r="AJ112" s="62" t="e">
        <v>#N/A</v>
      </c>
      <c r="AK112" s="64" t="e">
        <v>#N/A</v>
      </c>
      <c r="AL112" s="19">
        <v>67944</v>
      </c>
      <c r="AM112" s="19">
        <v>86383</v>
      </c>
      <c r="AN112" s="23">
        <v>3699</v>
      </c>
      <c r="AO112" s="19">
        <v>147446</v>
      </c>
      <c r="AP112" s="19">
        <v>2511</v>
      </c>
      <c r="AQ112" s="62"/>
      <c r="AR112" s="63"/>
      <c r="AS112" s="63"/>
      <c r="AT112" s="65">
        <f t="shared" si="6"/>
        <v>6192.732</v>
      </c>
      <c r="AU112" s="65">
        <f t="shared" si="7"/>
        <v>155.358</v>
      </c>
      <c r="AV112" s="65">
        <f t="shared" si="8"/>
        <v>105.462</v>
      </c>
      <c r="AW112" s="65">
        <f t="shared" si="10"/>
        <v>2853.6480000000001</v>
      </c>
      <c r="AX112" s="65">
        <f t="shared" si="10"/>
        <v>3628.0859999999998</v>
      </c>
      <c r="AY112" s="65">
        <f t="shared" si="9"/>
        <v>105.462</v>
      </c>
      <c r="AZ112" s="19">
        <v>22880</v>
      </c>
      <c r="BA112" s="19">
        <v>23333</v>
      </c>
      <c r="BB112" s="19">
        <v>30878</v>
      </c>
      <c r="BC112" s="19">
        <v>1532</v>
      </c>
      <c r="BD112" s="19">
        <v>245</v>
      </c>
      <c r="BE112" s="62"/>
      <c r="BF112" s="62"/>
      <c r="BG112" s="62"/>
      <c r="BH112" s="62"/>
      <c r="BI112" s="62"/>
      <c r="BJ112" s="62"/>
      <c r="BK112" s="62"/>
      <c r="BL112" s="62"/>
      <c r="BM112" s="62"/>
      <c r="BN112" s="62"/>
      <c r="BO112" s="62"/>
      <c r="BP112" s="62"/>
      <c r="BQ112" s="62"/>
      <c r="BR112" s="62"/>
      <c r="BS112" s="62"/>
      <c r="BT112" s="62"/>
      <c r="BU112" s="62"/>
      <c r="BV112" s="62"/>
      <c r="BW112" s="62"/>
      <c r="BX112" s="62"/>
      <c r="BY112" s="62"/>
      <c r="BZ112" s="62"/>
      <c r="CA112" s="62"/>
      <c r="CB112" s="62"/>
      <c r="CC112" s="62"/>
      <c r="CD112" s="62"/>
      <c r="CE112" s="62"/>
      <c r="CF112" s="62"/>
      <c r="CG112" s="62"/>
      <c r="CH112" s="62"/>
      <c r="CI112" s="62"/>
      <c r="CJ112" s="62"/>
      <c r="CK112" s="62"/>
      <c r="CL112" s="62"/>
      <c r="CM112" s="62"/>
      <c r="CN112" s="62"/>
      <c r="CO112" s="62"/>
      <c r="CP112" s="62"/>
      <c r="CQ112" s="62"/>
      <c r="CR112" s="62"/>
      <c r="CS112" s="62"/>
      <c r="CT112" s="62"/>
      <c r="CU112" s="62"/>
      <c r="CV112" s="62"/>
      <c r="CW112" s="62"/>
      <c r="CX112" s="62"/>
      <c r="CY112" s="62"/>
      <c r="CZ112" s="62"/>
      <c r="DA112" s="62"/>
      <c r="DB112" s="62"/>
      <c r="DC112" s="62"/>
      <c r="DD112" s="62"/>
      <c r="DE112" s="62"/>
      <c r="DF112" s="62"/>
      <c r="DG112" s="62"/>
      <c r="DH112" s="62"/>
      <c r="DI112" s="62"/>
      <c r="DJ112" s="62"/>
      <c r="DK112" s="62"/>
      <c r="DL112" s="62"/>
    </row>
    <row r="113" spans="1:116" hidden="1" x14ac:dyDescent="0.2">
      <c r="A113" s="57">
        <v>30011</v>
      </c>
      <c r="B113" s="58"/>
      <c r="C113" s="66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6"/>
      <c r="P113" s="61"/>
      <c r="Q113" s="62"/>
      <c r="R113" s="62"/>
      <c r="S113" s="62"/>
      <c r="T113" s="62"/>
      <c r="U113" s="62"/>
      <c r="V113" s="62"/>
      <c r="W113" s="62"/>
      <c r="X113" s="62"/>
      <c r="Y113" s="61"/>
      <c r="Z113" s="63"/>
      <c r="AA113" s="64" t="e">
        <v>#N/A</v>
      </c>
      <c r="AB113" s="62" t="e">
        <v>#N/A</v>
      </c>
      <c r="AC113" s="62" t="e">
        <v>#N/A</v>
      </c>
      <c r="AD113" s="62" t="e">
        <v>#N/A</v>
      </c>
      <c r="AE113" s="62" t="e">
        <v>#N/A</v>
      </c>
      <c r="AF113" s="62" t="e">
        <v>#N/A</v>
      </c>
      <c r="AG113" s="62" t="e">
        <v>#N/A</v>
      </c>
      <c r="AH113" s="62" t="e">
        <v>#N/A</v>
      </c>
      <c r="AI113" s="62" t="e">
        <v>#N/A</v>
      </c>
      <c r="AJ113" s="62" t="e">
        <v>#N/A</v>
      </c>
      <c r="AK113" s="64" t="e">
        <v>#N/A</v>
      </c>
      <c r="AL113" s="19">
        <v>70941</v>
      </c>
      <c r="AM113" s="19">
        <v>91289</v>
      </c>
      <c r="AN113" s="23">
        <v>1501</v>
      </c>
      <c r="AO113" s="19">
        <v>126305</v>
      </c>
      <c r="AP113" s="19">
        <v>2607</v>
      </c>
      <c r="AQ113" s="62"/>
      <c r="AR113" s="63"/>
      <c r="AS113" s="63"/>
      <c r="AT113" s="65">
        <f t="shared" si="6"/>
        <v>5304.81</v>
      </c>
      <c r="AU113" s="65">
        <f t="shared" si="7"/>
        <v>63.042000000000002</v>
      </c>
      <c r="AV113" s="65">
        <f t="shared" si="8"/>
        <v>109.494</v>
      </c>
      <c r="AW113" s="65">
        <f t="shared" si="10"/>
        <v>2979.5219999999999</v>
      </c>
      <c r="AX113" s="65">
        <f t="shared" si="10"/>
        <v>3834.1379999999999</v>
      </c>
      <c r="AY113" s="65">
        <f t="shared" si="9"/>
        <v>109.494</v>
      </c>
      <c r="AZ113" s="19">
        <v>27947</v>
      </c>
      <c r="BA113" s="19">
        <v>23851</v>
      </c>
      <c r="BB113" s="19">
        <v>36094</v>
      </c>
      <c r="BC113" s="19">
        <v>1200</v>
      </c>
      <c r="BD113" s="19">
        <v>80</v>
      </c>
      <c r="BE113" s="62"/>
      <c r="BF113" s="62"/>
      <c r="BG113" s="62"/>
      <c r="BH113" s="62"/>
      <c r="BI113" s="62"/>
      <c r="BJ113" s="62"/>
      <c r="BK113" s="62"/>
      <c r="BL113" s="62"/>
      <c r="BM113" s="62"/>
      <c r="BN113" s="62"/>
      <c r="BO113" s="62"/>
      <c r="BP113" s="62"/>
      <c r="BQ113" s="62"/>
      <c r="BR113" s="62"/>
      <c r="BS113" s="62"/>
      <c r="BT113" s="62"/>
      <c r="BU113" s="62"/>
      <c r="BV113" s="62"/>
      <c r="BW113" s="62"/>
      <c r="BX113" s="62"/>
      <c r="BY113" s="62"/>
      <c r="BZ113" s="62"/>
      <c r="CA113" s="62"/>
      <c r="CB113" s="62"/>
      <c r="CC113" s="62"/>
      <c r="CD113" s="62"/>
      <c r="CE113" s="62"/>
      <c r="CF113" s="62"/>
      <c r="CG113" s="62"/>
      <c r="CH113" s="62"/>
      <c r="CI113" s="62"/>
      <c r="CJ113" s="62"/>
      <c r="CK113" s="62"/>
      <c r="CL113" s="62"/>
      <c r="CM113" s="62"/>
      <c r="CN113" s="62"/>
      <c r="CO113" s="62"/>
      <c r="CP113" s="62"/>
      <c r="CQ113" s="62"/>
      <c r="CR113" s="62"/>
      <c r="CS113" s="62"/>
      <c r="CT113" s="62"/>
      <c r="CU113" s="62"/>
      <c r="CV113" s="62"/>
      <c r="CW113" s="62"/>
      <c r="CX113" s="62"/>
      <c r="CY113" s="62"/>
      <c r="CZ113" s="62"/>
      <c r="DA113" s="62"/>
      <c r="DB113" s="62"/>
      <c r="DC113" s="62"/>
      <c r="DD113" s="62"/>
      <c r="DE113" s="62"/>
      <c r="DF113" s="62"/>
      <c r="DG113" s="62"/>
      <c r="DH113" s="62"/>
      <c r="DI113" s="62"/>
      <c r="DJ113" s="62"/>
      <c r="DK113" s="62"/>
      <c r="DL113" s="62"/>
    </row>
    <row r="114" spans="1:116" hidden="1" x14ac:dyDescent="0.2">
      <c r="A114" s="57">
        <v>30042</v>
      </c>
      <c r="B114" s="58"/>
      <c r="C114" s="66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6"/>
      <c r="P114" s="61"/>
      <c r="Q114" s="62"/>
      <c r="R114" s="62"/>
      <c r="S114" s="62"/>
      <c r="T114" s="62"/>
      <c r="U114" s="62"/>
      <c r="V114" s="62"/>
      <c r="W114" s="62"/>
      <c r="X114" s="62"/>
      <c r="Y114" s="61"/>
      <c r="Z114" s="63"/>
      <c r="AA114" s="64" t="e">
        <v>#N/A</v>
      </c>
      <c r="AB114" s="62" t="e">
        <v>#N/A</v>
      </c>
      <c r="AC114" s="62" t="e">
        <v>#N/A</v>
      </c>
      <c r="AD114" s="62" t="e">
        <v>#N/A</v>
      </c>
      <c r="AE114" s="62" t="e">
        <v>#N/A</v>
      </c>
      <c r="AF114" s="62" t="e">
        <v>#N/A</v>
      </c>
      <c r="AG114" s="62" t="e">
        <v>#N/A</v>
      </c>
      <c r="AH114" s="62" t="e">
        <v>#N/A</v>
      </c>
      <c r="AI114" s="62" t="e">
        <v>#N/A</v>
      </c>
      <c r="AJ114" s="62" t="e">
        <v>#N/A</v>
      </c>
      <c r="AK114" s="64" t="e">
        <v>#N/A</v>
      </c>
      <c r="AL114" s="19">
        <v>70742</v>
      </c>
      <c r="AM114" s="19">
        <v>89338</v>
      </c>
      <c r="AN114" s="23">
        <v>1780</v>
      </c>
      <c r="AO114" s="19">
        <v>107958</v>
      </c>
      <c r="AP114" s="19">
        <v>1919</v>
      </c>
      <c r="AQ114" s="62"/>
      <c r="AR114" s="63"/>
      <c r="AS114" s="63"/>
      <c r="AT114" s="65">
        <f t="shared" si="6"/>
        <v>4534.2359999999999</v>
      </c>
      <c r="AU114" s="65">
        <f t="shared" si="7"/>
        <v>74.760000000000005</v>
      </c>
      <c r="AV114" s="65">
        <f t="shared" si="8"/>
        <v>80.597999999999999</v>
      </c>
      <c r="AW114" s="65">
        <f t="shared" si="10"/>
        <v>2971.1640000000002</v>
      </c>
      <c r="AX114" s="65">
        <f t="shared" si="10"/>
        <v>3752.1959999999999</v>
      </c>
      <c r="AY114" s="65">
        <f t="shared" si="9"/>
        <v>80.597999999999999</v>
      </c>
      <c r="AZ114" s="19">
        <v>23917</v>
      </c>
      <c r="BA114" s="19">
        <v>23455</v>
      </c>
      <c r="BB114" s="19">
        <v>37756</v>
      </c>
      <c r="BC114" s="19">
        <v>1242</v>
      </c>
      <c r="BD114" s="19">
        <v>44</v>
      </c>
      <c r="BE114" s="62"/>
      <c r="BF114" s="62"/>
      <c r="BG114" s="62"/>
      <c r="BH114" s="62"/>
      <c r="BI114" s="62"/>
      <c r="BJ114" s="62"/>
      <c r="BK114" s="62"/>
      <c r="BL114" s="62"/>
      <c r="BM114" s="62"/>
      <c r="BN114" s="62"/>
      <c r="BO114" s="62"/>
      <c r="BP114" s="62"/>
      <c r="BQ114" s="62"/>
      <c r="BR114" s="62"/>
      <c r="BS114" s="62"/>
      <c r="BT114" s="62"/>
      <c r="BU114" s="62"/>
      <c r="BV114" s="62"/>
      <c r="BW114" s="62"/>
      <c r="BX114" s="62"/>
      <c r="BY114" s="62"/>
      <c r="BZ114" s="62"/>
      <c r="CA114" s="62"/>
      <c r="CB114" s="62"/>
      <c r="CC114" s="62"/>
      <c r="CD114" s="62"/>
      <c r="CE114" s="62"/>
      <c r="CF114" s="62"/>
      <c r="CG114" s="62"/>
      <c r="CH114" s="62"/>
      <c r="CI114" s="62"/>
      <c r="CJ114" s="62"/>
      <c r="CK114" s="62"/>
      <c r="CL114" s="62"/>
      <c r="CM114" s="62"/>
      <c r="CN114" s="62"/>
      <c r="CO114" s="62"/>
      <c r="CP114" s="62"/>
      <c r="CQ114" s="62"/>
      <c r="CR114" s="62"/>
      <c r="CS114" s="62"/>
      <c r="CT114" s="62"/>
      <c r="CU114" s="62"/>
      <c r="CV114" s="62"/>
      <c r="CW114" s="62"/>
      <c r="CX114" s="62"/>
      <c r="CY114" s="62"/>
      <c r="CZ114" s="62"/>
      <c r="DA114" s="62"/>
      <c r="DB114" s="62"/>
      <c r="DC114" s="62"/>
      <c r="DD114" s="62"/>
      <c r="DE114" s="62"/>
      <c r="DF114" s="62"/>
      <c r="DG114" s="62"/>
      <c r="DH114" s="62"/>
      <c r="DI114" s="62"/>
      <c r="DJ114" s="62"/>
      <c r="DK114" s="62"/>
      <c r="DL114" s="62"/>
    </row>
    <row r="115" spans="1:116" hidden="1" x14ac:dyDescent="0.2">
      <c r="A115" s="57">
        <v>30072</v>
      </c>
      <c r="B115" s="58"/>
      <c r="C115" s="66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6"/>
      <c r="P115" s="61"/>
      <c r="Q115" s="62"/>
      <c r="R115" s="62"/>
      <c r="S115" s="62"/>
      <c r="T115" s="62"/>
      <c r="U115" s="62"/>
      <c r="V115" s="62"/>
      <c r="W115" s="62"/>
      <c r="X115" s="62"/>
      <c r="Y115" s="61"/>
      <c r="Z115" s="63"/>
      <c r="AA115" s="64" t="e">
        <v>#N/A</v>
      </c>
      <c r="AB115" s="62" t="e">
        <v>#N/A</v>
      </c>
      <c r="AC115" s="62" t="e">
        <v>#N/A</v>
      </c>
      <c r="AD115" s="62" t="e">
        <v>#N/A</v>
      </c>
      <c r="AE115" s="62" t="e">
        <v>#N/A</v>
      </c>
      <c r="AF115" s="62" t="e">
        <v>#N/A</v>
      </c>
      <c r="AG115" s="62" t="e">
        <v>#N/A</v>
      </c>
      <c r="AH115" s="62" t="e">
        <v>#N/A</v>
      </c>
      <c r="AI115" s="62" t="e">
        <v>#N/A</v>
      </c>
      <c r="AJ115" s="62" t="e">
        <v>#N/A</v>
      </c>
      <c r="AK115" s="64" t="e">
        <v>#N/A</v>
      </c>
      <c r="AL115" s="19">
        <v>81168</v>
      </c>
      <c r="AM115" s="19">
        <v>75776</v>
      </c>
      <c r="AN115" s="23">
        <v>2293</v>
      </c>
      <c r="AO115" s="19">
        <v>113644</v>
      </c>
      <c r="AP115" s="19">
        <v>2315</v>
      </c>
      <c r="AQ115" s="62"/>
      <c r="AR115" s="63"/>
      <c r="AS115" s="63"/>
      <c r="AT115" s="65">
        <f t="shared" si="6"/>
        <v>4773.0479999999998</v>
      </c>
      <c r="AU115" s="65">
        <f t="shared" si="7"/>
        <v>96.305999999999997</v>
      </c>
      <c r="AV115" s="65">
        <f t="shared" si="8"/>
        <v>97.23</v>
      </c>
      <c r="AW115" s="65">
        <f t="shared" si="10"/>
        <v>3409.056</v>
      </c>
      <c r="AX115" s="65">
        <f t="shared" si="10"/>
        <v>3182.5920000000001</v>
      </c>
      <c r="AY115" s="65">
        <f t="shared" si="9"/>
        <v>97.23</v>
      </c>
      <c r="AZ115" s="19">
        <v>21670</v>
      </c>
      <c r="BA115" s="19">
        <v>24775</v>
      </c>
      <c r="BB115" s="19">
        <v>35203</v>
      </c>
      <c r="BC115" s="19">
        <v>579</v>
      </c>
      <c r="BD115" s="19">
        <v>27</v>
      </c>
      <c r="BE115" s="62"/>
      <c r="BF115" s="62"/>
      <c r="BG115" s="62"/>
      <c r="BH115" s="62"/>
      <c r="BI115" s="62"/>
      <c r="BJ115" s="62"/>
      <c r="BK115" s="62"/>
      <c r="BL115" s="62"/>
      <c r="BM115" s="62"/>
      <c r="BN115" s="62"/>
      <c r="BO115" s="62"/>
      <c r="BP115" s="62"/>
      <c r="BQ115" s="62"/>
      <c r="BR115" s="62"/>
      <c r="BS115" s="62"/>
      <c r="BT115" s="62"/>
      <c r="BU115" s="62"/>
      <c r="BV115" s="62"/>
      <c r="BW115" s="62"/>
      <c r="BX115" s="62"/>
      <c r="BY115" s="62"/>
      <c r="BZ115" s="62"/>
      <c r="CA115" s="62"/>
      <c r="CB115" s="62"/>
      <c r="CC115" s="62"/>
      <c r="CD115" s="62"/>
      <c r="CE115" s="62"/>
      <c r="CF115" s="62"/>
      <c r="CG115" s="62"/>
      <c r="CH115" s="62"/>
      <c r="CI115" s="62"/>
      <c r="CJ115" s="62"/>
      <c r="CK115" s="62"/>
      <c r="CL115" s="62"/>
      <c r="CM115" s="62"/>
      <c r="CN115" s="62"/>
      <c r="CO115" s="62"/>
      <c r="CP115" s="62"/>
      <c r="CQ115" s="62"/>
      <c r="CR115" s="62"/>
      <c r="CS115" s="62"/>
      <c r="CT115" s="62"/>
      <c r="CU115" s="62"/>
      <c r="CV115" s="62"/>
      <c r="CW115" s="62"/>
      <c r="CX115" s="62"/>
      <c r="CY115" s="62"/>
      <c r="CZ115" s="62"/>
      <c r="DA115" s="62"/>
      <c r="DB115" s="62"/>
      <c r="DC115" s="62"/>
      <c r="DD115" s="62"/>
      <c r="DE115" s="62"/>
      <c r="DF115" s="62"/>
      <c r="DG115" s="62"/>
      <c r="DH115" s="62"/>
      <c r="DI115" s="62"/>
      <c r="DJ115" s="62"/>
      <c r="DK115" s="62"/>
      <c r="DL115" s="62"/>
    </row>
    <row r="116" spans="1:116" hidden="1" x14ac:dyDescent="0.2">
      <c r="A116" s="57">
        <v>30103</v>
      </c>
      <c r="B116" s="58"/>
      <c r="C116" s="66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6"/>
      <c r="P116" s="61"/>
      <c r="Q116" s="62"/>
      <c r="R116" s="62"/>
      <c r="S116" s="62"/>
      <c r="T116" s="62"/>
      <c r="U116" s="62"/>
      <c r="V116" s="62"/>
      <c r="W116" s="62"/>
      <c r="X116" s="62"/>
      <c r="Y116" s="61"/>
      <c r="Z116" s="63"/>
      <c r="AA116" s="64" t="e">
        <v>#N/A</v>
      </c>
      <c r="AB116" s="62" t="e">
        <v>#N/A</v>
      </c>
      <c r="AC116" s="62" t="e">
        <v>#N/A</v>
      </c>
      <c r="AD116" s="62" t="e">
        <v>#N/A</v>
      </c>
      <c r="AE116" s="62" t="e">
        <v>#N/A</v>
      </c>
      <c r="AF116" s="62" t="e">
        <v>#N/A</v>
      </c>
      <c r="AG116" s="62" t="e">
        <v>#N/A</v>
      </c>
      <c r="AH116" s="62" t="e">
        <v>#N/A</v>
      </c>
      <c r="AI116" s="62" t="e">
        <v>#N/A</v>
      </c>
      <c r="AJ116" s="62" t="e">
        <v>#N/A</v>
      </c>
      <c r="AK116" s="64" t="e">
        <v>#N/A</v>
      </c>
      <c r="AL116" s="19">
        <v>81883</v>
      </c>
      <c r="AM116" s="19">
        <v>73547</v>
      </c>
      <c r="AN116" s="23">
        <v>3054</v>
      </c>
      <c r="AO116" s="19">
        <v>123688</v>
      </c>
      <c r="AP116" s="19">
        <v>1650</v>
      </c>
      <c r="AQ116" s="62"/>
      <c r="AR116" s="63"/>
      <c r="AS116" s="63"/>
      <c r="AT116" s="65">
        <f t="shared" si="6"/>
        <v>5194.8959999999997</v>
      </c>
      <c r="AU116" s="65">
        <f t="shared" si="7"/>
        <v>128.268</v>
      </c>
      <c r="AV116" s="65">
        <f t="shared" si="8"/>
        <v>69.3</v>
      </c>
      <c r="AW116" s="65">
        <f t="shared" si="10"/>
        <v>3439.0859999999998</v>
      </c>
      <c r="AX116" s="65">
        <f t="shared" si="10"/>
        <v>3088.9740000000002</v>
      </c>
      <c r="AY116" s="65">
        <f t="shared" si="9"/>
        <v>69.3</v>
      </c>
      <c r="AZ116" s="19">
        <v>21468</v>
      </c>
      <c r="BA116" s="19">
        <v>22832</v>
      </c>
      <c r="BB116" s="19">
        <v>33885</v>
      </c>
      <c r="BC116" s="19">
        <v>84</v>
      </c>
      <c r="BD116" s="19">
        <v>38</v>
      </c>
      <c r="BE116" s="62"/>
      <c r="BF116" s="62"/>
      <c r="BG116" s="62"/>
      <c r="BH116" s="62"/>
      <c r="BI116" s="62"/>
      <c r="BJ116" s="62"/>
      <c r="BK116" s="62"/>
      <c r="BL116" s="62"/>
      <c r="BM116" s="62"/>
      <c r="BN116" s="62"/>
      <c r="BO116" s="62"/>
      <c r="BP116" s="62"/>
      <c r="BQ116" s="62"/>
      <c r="BR116" s="62"/>
      <c r="BS116" s="62"/>
      <c r="BT116" s="62"/>
      <c r="BU116" s="62"/>
      <c r="BV116" s="62"/>
      <c r="BW116" s="62"/>
      <c r="BX116" s="62"/>
      <c r="BY116" s="62"/>
      <c r="BZ116" s="62"/>
      <c r="CA116" s="62"/>
      <c r="CB116" s="62"/>
      <c r="CC116" s="62"/>
      <c r="CD116" s="62"/>
      <c r="CE116" s="62"/>
      <c r="CF116" s="62"/>
      <c r="CG116" s="62"/>
      <c r="CH116" s="62"/>
      <c r="CI116" s="62"/>
      <c r="CJ116" s="62"/>
      <c r="CK116" s="62"/>
      <c r="CL116" s="62"/>
      <c r="CM116" s="62"/>
      <c r="CN116" s="62"/>
      <c r="CO116" s="62"/>
      <c r="CP116" s="62"/>
      <c r="CQ116" s="62"/>
      <c r="CR116" s="62"/>
      <c r="CS116" s="62"/>
      <c r="CT116" s="62"/>
      <c r="CU116" s="62"/>
      <c r="CV116" s="62"/>
      <c r="CW116" s="62"/>
      <c r="CX116" s="62"/>
      <c r="CY116" s="62"/>
      <c r="CZ116" s="62"/>
      <c r="DA116" s="62"/>
      <c r="DB116" s="62"/>
      <c r="DC116" s="62"/>
      <c r="DD116" s="62"/>
      <c r="DE116" s="62"/>
      <c r="DF116" s="62"/>
      <c r="DG116" s="62"/>
      <c r="DH116" s="62"/>
      <c r="DI116" s="62"/>
      <c r="DJ116" s="62"/>
      <c r="DK116" s="62"/>
      <c r="DL116" s="62"/>
    </row>
    <row r="117" spans="1:116" hidden="1" x14ac:dyDescent="0.2">
      <c r="A117" s="57">
        <v>30133</v>
      </c>
      <c r="B117" s="58"/>
      <c r="C117" s="66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6"/>
      <c r="P117" s="61"/>
      <c r="Q117" s="62"/>
      <c r="R117" s="62"/>
      <c r="S117" s="62"/>
      <c r="T117" s="62"/>
      <c r="U117" s="62"/>
      <c r="V117" s="62"/>
      <c r="W117" s="62"/>
      <c r="X117" s="62"/>
      <c r="Y117" s="61"/>
      <c r="Z117" s="63"/>
      <c r="AA117" s="64" t="e">
        <v>#N/A</v>
      </c>
      <c r="AB117" s="62" t="e">
        <v>#N/A</v>
      </c>
      <c r="AC117" s="62" t="e">
        <v>#N/A</v>
      </c>
      <c r="AD117" s="62" t="e">
        <v>#N/A</v>
      </c>
      <c r="AE117" s="62" t="e">
        <v>#N/A</v>
      </c>
      <c r="AF117" s="62" t="e">
        <v>#N/A</v>
      </c>
      <c r="AG117" s="62" t="e">
        <v>#N/A</v>
      </c>
      <c r="AH117" s="62" t="e">
        <v>#N/A</v>
      </c>
      <c r="AI117" s="62" t="e">
        <v>#N/A</v>
      </c>
      <c r="AJ117" s="62" t="e">
        <v>#N/A</v>
      </c>
      <c r="AK117" s="64" t="e">
        <v>#N/A</v>
      </c>
      <c r="AL117" s="19">
        <v>84757</v>
      </c>
      <c r="AM117" s="19">
        <v>63786</v>
      </c>
      <c r="AN117" s="23">
        <v>3872</v>
      </c>
      <c r="AO117" s="19">
        <v>148150</v>
      </c>
      <c r="AP117" s="19">
        <v>738</v>
      </c>
      <c r="AQ117" s="62"/>
      <c r="AR117" s="63"/>
      <c r="AS117" s="63"/>
      <c r="AT117" s="65">
        <f t="shared" si="6"/>
        <v>6222.3</v>
      </c>
      <c r="AU117" s="65">
        <f t="shared" si="7"/>
        <v>162.624</v>
      </c>
      <c r="AV117" s="65">
        <f t="shared" si="8"/>
        <v>30.995999999999999</v>
      </c>
      <c r="AW117" s="65">
        <f t="shared" si="10"/>
        <v>3559.7939999999999</v>
      </c>
      <c r="AX117" s="65">
        <f t="shared" si="10"/>
        <v>2679.0120000000002</v>
      </c>
      <c r="AY117" s="65">
        <f t="shared" si="9"/>
        <v>30.995999999999999</v>
      </c>
      <c r="AZ117" s="19">
        <v>23050</v>
      </c>
      <c r="BA117" s="19">
        <v>24194</v>
      </c>
      <c r="BB117" s="19">
        <v>33415</v>
      </c>
      <c r="BC117" s="19">
        <v>706</v>
      </c>
      <c r="BD117" s="19">
        <v>32</v>
      </c>
      <c r="BE117" s="62"/>
      <c r="BF117" s="62"/>
      <c r="BG117" s="62"/>
      <c r="BH117" s="62"/>
      <c r="BI117" s="62"/>
      <c r="BJ117" s="62"/>
      <c r="BK117" s="62"/>
      <c r="BL117" s="62"/>
      <c r="BM117" s="62"/>
      <c r="BN117" s="62"/>
      <c r="BO117" s="62"/>
      <c r="BP117" s="62"/>
      <c r="BQ117" s="62"/>
      <c r="BR117" s="62"/>
      <c r="BS117" s="62"/>
      <c r="BT117" s="62"/>
      <c r="BU117" s="62"/>
      <c r="BV117" s="62"/>
      <c r="BW117" s="62"/>
      <c r="BX117" s="62"/>
      <c r="BY117" s="62"/>
      <c r="BZ117" s="62"/>
      <c r="CA117" s="62"/>
      <c r="CB117" s="62"/>
      <c r="CC117" s="62"/>
      <c r="CD117" s="62"/>
      <c r="CE117" s="62"/>
      <c r="CF117" s="62"/>
      <c r="CG117" s="62"/>
      <c r="CH117" s="62"/>
      <c r="CI117" s="62"/>
      <c r="CJ117" s="62"/>
      <c r="CK117" s="62"/>
      <c r="CL117" s="62"/>
      <c r="CM117" s="62"/>
      <c r="CN117" s="62"/>
      <c r="CO117" s="62"/>
      <c r="CP117" s="62"/>
      <c r="CQ117" s="62"/>
      <c r="CR117" s="62"/>
      <c r="CS117" s="62"/>
      <c r="CT117" s="62"/>
      <c r="CU117" s="62"/>
      <c r="CV117" s="62"/>
      <c r="CW117" s="62"/>
      <c r="CX117" s="62"/>
      <c r="CY117" s="62"/>
      <c r="CZ117" s="62"/>
      <c r="DA117" s="62"/>
      <c r="DB117" s="62"/>
      <c r="DC117" s="62"/>
      <c r="DD117" s="62"/>
      <c r="DE117" s="62"/>
      <c r="DF117" s="62"/>
      <c r="DG117" s="62"/>
      <c r="DH117" s="62"/>
      <c r="DI117" s="62"/>
      <c r="DJ117" s="62"/>
      <c r="DK117" s="62"/>
      <c r="DL117" s="62"/>
    </row>
    <row r="118" spans="1:116" hidden="1" x14ac:dyDescent="0.2">
      <c r="A118" s="57">
        <v>30164</v>
      </c>
      <c r="B118" s="58"/>
      <c r="C118" s="66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6"/>
      <c r="P118" s="61"/>
      <c r="Q118" s="62"/>
      <c r="R118" s="62"/>
      <c r="S118" s="62"/>
      <c r="T118" s="62"/>
      <c r="U118" s="62"/>
      <c r="V118" s="62"/>
      <c r="W118" s="62"/>
      <c r="X118" s="62"/>
      <c r="Y118" s="61"/>
      <c r="Z118" s="63"/>
      <c r="AA118" s="64" t="e">
        <v>#N/A</v>
      </c>
      <c r="AB118" s="62" t="e">
        <v>#N/A</v>
      </c>
      <c r="AC118" s="62" t="e">
        <v>#N/A</v>
      </c>
      <c r="AD118" s="62" t="e">
        <v>#N/A</v>
      </c>
      <c r="AE118" s="62" t="e">
        <v>#N/A</v>
      </c>
      <c r="AF118" s="62" t="e">
        <v>#N/A</v>
      </c>
      <c r="AG118" s="62" t="e">
        <v>#N/A</v>
      </c>
      <c r="AH118" s="62" t="e">
        <v>#N/A</v>
      </c>
      <c r="AI118" s="62" t="e">
        <v>#N/A</v>
      </c>
      <c r="AJ118" s="62" t="e">
        <v>#N/A</v>
      </c>
      <c r="AK118" s="64" t="e">
        <v>#N/A</v>
      </c>
      <c r="AL118" s="19">
        <v>77730</v>
      </c>
      <c r="AM118" s="19">
        <v>68752</v>
      </c>
      <c r="AN118" s="23">
        <v>2466</v>
      </c>
      <c r="AO118" s="19">
        <v>158658</v>
      </c>
      <c r="AP118" s="19">
        <v>1242</v>
      </c>
      <c r="AQ118" s="62"/>
      <c r="AR118" s="63"/>
      <c r="AS118" s="63"/>
      <c r="AT118" s="65">
        <f t="shared" si="6"/>
        <v>6663.6360000000004</v>
      </c>
      <c r="AU118" s="65">
        <f t="shared" si="7"/>
        <v>103.572</v>
      </c>
      <c r="AV118" s="65">
        <f t="shared" si="8"/>
        <v>52.164000000000001</v>
      </c>
      <c r="AW118" s="65">
        <f t="shared" si="10"/>
        <v>3264.66</v>
      </c>
      <c r="AX118" s="65">
        <f t="shared" si="10"/>
        <v>2887.5839999999998</v>
      </c>
      <c r="AY118" s="65">
        <f t="shared" si="9"/>
        <v>52.164000000000001</v>
      </c>
      <c r="AZ118" s="19">
        <v>24206</v>
      </c>
      <c r="BA118" s="19">
        <v>23482</v>
      </c>
      <c r="BB118" s="19">
        <v>34707</v>
      </c>
      <c r="BC118" s="19">
        <v>600</v>
      </c>
      <c r="BD118" s="19">
        <v>32</v>
      </c>
      <c r="BE118" s="62"/>
      <c r="BF118" s="62"/>
      <c r="BG118" s="62"/>
      <c r="BH118" s="62"/>
      <c r="BI118" s="62"/>
      <c r="BJ118" s="62"/>
      <c r="BK118" s="62"/>
      <c r="BL118" s="62"/>
      <c r="BM118" s="62"/>
      <c r="BN118" s="62"/>
      <c r="BO118" s="62"/>
      <c r="BP118" s="62"/>
      <c r="BQ118" s="62"/>
      <c r="BR118" s="62"/>
      <c r="BS118" s="62"/>
      <c r="BT118" s="62"/>
      <c r="BU118" s="62"/>
      <c r="BV118" s="62"/>
      <c r="BW118" s="62"/>
      <c r="BX118" s="62"/>
      <c r="BY118" s="62"/>
      <c r="BZ118" s="62"/>
      <c r="CA118" s="62"/>
      <c r="CB118" s="62"/>
      <c r="CC118" s="62"/>
      <c r="CD118" s="62"/>
      <c r="CE118" s="62"/>
      <c r="CF118" s="62"/>
      <c r="CG118" s="62"/>
      <c r="CH118" s="62"/>
      <c r="CI118" s="62"/>
      <c r="CJ118" s="62"/>
      <c r="CK118" s="62"/>
      <c r="CL118" s="62"/>
      <c r="CM118" s="62"/>
      <c r="CN118" s="62"/>
      <c r="CO118" s="62"/>
      <c r="CP118" s="62"/>
      <c r="CQ118" s="62"/>
      <c r="CR118" s="62"/>
      <c r="CS118" s="62"/>
      <c r="CT118" s="62"/>
      <c r="CU118" s="62"/>
      <c r="CV118" s="62"/>
      <c r="CW118" s="62"/>
      <c r="CX118" s="62"/>
      <c r="CY118" s="62"/>
      <c r="CZ118" s="62"/>
      <c r="DA118" s="62"/>
      <c r="DB118" s="62"/>
      <c r="DC118" s="62"/>
      <c r="DD118" s="62"/>
      <c r="DE118" s="62"/>
      <c r="DF118" s="62"/>
      <c r="DG118" s="62"/>
      <c r="DH118" s="62"/>
      <c r="DI118" s="62"/>
      <c r="DJ118" s="62"/>
      <c r="DK118" s="62"/>
      <c r="DL118" s="62"/>
    </row>
    <row r="119" spans="1:116" hidden="1" x14ac:dyDescent="0.2">
      <c r="A119" s="57">
        <v>30195</v>
      </c>
      <c r="B119" s="58"/>
      <c r="C119" s="66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6"/>
      <c r="P119" s="61"/>
      <c r="Q119" s="62"/>
      <c r="R119" s="62"/>
      <c r="S119" s="62"/>
      <c r="T119" s="62"/>
      <c r="U119" s="62"/>
      <c r="V119" s="62"/>
      <c r="W119" s="62"/>
      <c r="X119" s="62"/>
      <c r="Y119" s="61"/>
      <c r="Z119" s="63"/>
      <c r="AA119" s="64" t="e">
        <v>#N/A</v>
      </c>
      <c r="AB119" s="62" t="e">
        <v>#N/A</v>
      </c>
      <c r="AC119" s="62" t="e">
        <v>#N/A</v>
      </c>
      <c r="AD119" s="62" t="e">
        <v>#N/A</v>
      </c>
      <c r="AE119" s="62" t="e">
        <v>#N/A</v>
      </c>
      <c r="AF119" s="62" t="e">
        <v>#N/A</v>
      </c>
      <c r="AG119" s="62" t="e">
        <v>#N/A</v>
      </c>
      <c r="AH119" s="62" t="e">
        <v>#N/A</v>
      </c>
      <c r="AI119" s="62" t="e">
        <v>#N/A</v>
      </c>
      <c r="AJ119" s="62" t="e">
        <v>#N/A</v>
      </c>
      <c r="AK119" s="64" t="e">
        <v>#N/A</v>
      </c>
      <c r="AL119" s="19">
        <v>79694</v>
      </c>
      <c r="AM119" s="19">
        <v>75197</v>
      </c>
      <c r="AN119" s="23">
        <v>1828</v>
      </c>
      <c r="AO119" s="19">
        <v>161199</v>
      </c>
      <c r="AP119" s="19">
        <v>4155</v>
      </c>
      <c r="AQ119" s="62"/>
      <c r="AR119" s="63"/>
      <c r="AS119" s="63"/>
      <c r="AT119" s="65">
        <f t="shared" si="6"/>
        <v>6770.3580000000002</v>
      </c>
      <c r="AU119" s="65">
        <f t="shared" si="7"/>
        <v>76.775999999999996</v>
      </c>
      <c r="AV119" s="65">
        <f t="shared" si="8"/>
        <v>174.51</v>
      </c>
      <c r="AW119" s="65">
        <f t="shared" si="10"/>
        <v>3347.1480000000001</v>
      </c>
      <c r="AX119" s="65">
        <f t="shared" si="10"/>
        <v>3158.2739999999999</v>
      </c>
      <c r="AY119" s="65">
        <f t="shared" si="9"/>
        <v>174.51</v>
      </c>
      <c r="AZ119" s="19">
        <v>23428</v>
      </c>
      <c r="BA119" s="19">
        <v>25197</v>
      </c>
      <c r="BB119" s="19">
        <v>33327</v>
      </c>
      <c r="BC119" s="19">
        <v>430</v>
      </c>
      <c r="BD119" s="19">
        <v>41</v>
      </c>
      <c r="BE119" s="62"/>
      <c r="BF119" s="62"/>
      <c r="BG119" s="62"/>
      <c r="BH119" s="62"/>
      <c r="BI119" s="62"/>
      <c r="BJ119" s="62"/>
      <c r="BK119" s="62"/>
      <c r="BL119" s="62"/>
      <c r="BM119" s="62"/>
      <c r="BN119" s="62"/>
      <c r="BO119" s="62"/>
      <c r="BP119" s="62"/>
      <c r="BQ119" s="62"/>
      <c r="BR119" s="62"/>
      <c r="BS119" s="62"/>
      <c r="BT119" s="62"/>
      <c r="BU119" s="62"/>
      <c r="BV119" s="62"/>
      <c r="BW119" s="62"/>
      <c r="BX119" s="62"/>
      <c r="BY119" s="62"/>
      <c r="BZ119" s="62"/>
      <c r="CA119" s="62"/>
      <c r="CB119" s="62"/>
      <c r="CC119" s="62"/>
      <c r="CD119" s="62"/>
      <c r="CE119" s="62"/>
      <c r="CF119" s="62"/>
      <c r="CG119" s="62"/>
      <c r="CH119" s="62"/>
      <c r="CI119" s="62"/>
      <c r="CJ119" s="62"/>
      <c r="CK119" s="62"/>
      <c r="CL119" s="62"/>
      <c r="CM119" s="62"/>
      <c r="CN119" s="62"/>
      <c r="CO119" s="62"/>
      <c r="CP119" s="62"/>
      <c r="CQ119" s="62"/>
      <c r="CR119" s="62"/>
      <c r="CS119" s="62"/>
      <c r="CT119" s="62"/>
      <c r="CU119" s="62"/>
      <c r="CV119" s="62"/>
      <c r="CW119" s="62"/>
      <c r="CX119" s="62"/>
      <c r="CY119" s="62"/>
      <c r="CZ119" s="62"/>
      <c r="DA119" s="62"/>
      <c r="DB119" s="62"/>
      <c r="DC119" s="62"/>
      <c r="DD119" s="62"/>
      <c r="DE119" s="62"/>
      <c r="DF119" s="62"/>
      <c r="DG119" s="62"/>
      <c r="DH119" s="62"/>
      <c r="DI119" s="62"/>
      <c r="DJ119" s="62"/>
      <c r="DK119" s="62"/>
      <c r="DL119" s="62"/>
    </row>
    <row r="120" spans="1:116" hidden="1" x14ac:dyDescent="0.2">
      <c r="A120" s="57">
        <v>30225</v>
      </c>
      <c r="B120" s="58"/>
      <c r="C120" s="66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6"/>
      <c r="P120" s="61"/>
      <c r="Q120" s="62"/>
      <c r="R120" s="62"/>
      <c r="S120" s="62"/>
      <c r="T120" s="62"/>
      <c r="U120" s="62"/>
      <c r="V120" s="62"/>
      <c r="W120" s="62"/>
      <c r="X120" s="62"/>
      <c r="Y120" s="61"/>
      <c r="Z120" s="63"/>
      <c r="AA120" s="64" t="e">
        <v>#N/A</v>
      </c>
      <c r="AB120" s="62" t="e">
        <v>#N/A</v>
      </c>
      <c r="AC120" s="62" t="e">
        <v>#N/A</v>
      </c>
      <c r="AD120" s="62" t="e">
        <v>#N/A</v>
      </c>
      <c r="AE120" s="62" t="e">
        <v>#N/A</v>
      </c>
      <c r="AF120" s="62" t="e">
        <v>#N/A</v>
      </c>
      <c r="AG120" s="62" t="e">
        <v>#N/A</v>
      </c>
      <c r="AH120" s="62" t="e">
        <v>#N/A</v>
      </c>
      <c r="AI120" s="62" t="e">
        <v>#N/A</v>
      </c>
      <c r="AJ120" s="62" t="e">
        <v>#N/A</v>
      </c>
      <c r="AK120" s="64" t="e">
        <v>#N/A</v>
      </c>
      <c r="AL120" s="19">
        <v>87963</v>
      </c>
      <c r="AM120" s="19">
        <v>80022</v>
      </c>
      <c r="AN120" s="23">
        <v>2808</v>
      </c>
      <c r="AO120" s="19">
        <v>170148</v>
      </c>
      <c r="AP120" s="19">
        <v>2042</v>
      </c>
      <c r="AQ120" s="62"/>
      <c r="AR120" s="63"/>
      <c r="AS120" s="63"/>
      <c r="AT120" s="65">
        <f t="shared" si="6"/>
        <v>7146.2160000000003</v>
      </c>
      <c r="AU120" s="65">
        <f t="shared" si="7"/>
        <v>117.93600000000001</v>
      </c>
      <c r="AV120" s="65">
        <f t="shared" si="8"/>
        <v>85.763999999999996</v>
      </c>
      <c r="AW120" s="65">
        <f t="shared" si="10"/>
        <v>3694.4459999999999</v>
      </c>
      <c r="AX120" s="65">
        <f t="shared" si="10"/>
        <v>3360.924</v>
      </c>
      <c r="AY120" s="65">
        <f t="shared" si="9"/>
        <v>85.763999999999996</v>
      </c>
      <c r="AZ120" s="19">
        <v>24506</v>
      </c>
      <c r="BA120" s="19">
        <v>23837</v>
      </c>
      <c r="BB120" s="19">
        <v>34495</v>
      </c>
      <c r="BC120" s="19">
        <v>534</v>
      </c>
      <c r="BD120" s="19">
        <v>35</v>
      </c>
      <c r="BE120" s="62"/>
      <c r="BF120" s="62"/>
      <c r="BG120" s="62"/>
      <c r="BH120" s="62"/>
      <c r="BI120" s="62"/>
      <c r="BJ120" s="62"/>
      <c r="BK120" s="62"/>
      <c r="BL120" s="62"/>
      <c r="BM120" s="62"/>
      <c r="BN120" s="62"/>
      <c r="BO120" s="62"/>
      <c r="BP120" s="62"/>
      <c r="BQ120" s="62"/>
      <c r="BR120" s="62"/>
      <c r="BS120" s="62"/>
      <c r="BT120" s="62"/>
      <c r="BU120" s="62"/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/>
      <c r="CP120" s="62"/>
      <c r="CQ120" s="62"/>
      <c r="CR120" s="62"/>
      <c r="CS120" s="62"/>
      <c r="CT120" s="62"/>
      <c r="CU120" s="62"/>
      <c r="CV120" s="62"/>
      <c r="CW120" s="62"/>
      <c r="CX120" s="62"/>
      <c r="CY120" s="62"/>
      <c r="CZ120" s="62"/>
      <c r="DA120" s="62"/>
      <c r="DB120" s="62"/>
      <c r="DC120" s="62"/>
      <c r="DD120" s="62"/>
      <c r="DE120" s="62"/>
      <c r="DF120" s="62"/>
      <c r="DG120" s="62"/>
      <c r="DH120" s="62"/>
      <c r="DI120" s="62"/>
      <c r="DJ120" s="62"/>
      <c r="DK120" s="62"/>
      <c r="DL120" s="62"/>
    </row>
    <row r="121" spans="1:116" hidden="1" x14ac:dyDescent="0.2">
      <c r="A121" s="57">
        <v>30256</v>
      </c>
      <c r="B121" s="58"/>
      <c r="C121" s="66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6"/>
      <c r="P121" s="61"/>
      <c r="Q121" s="62"/>
      <c r="R121" s="62"/>
      <c r="S121" s="62"/>
      <c r="T121" s="62"/>
      <c r="U121" s="62"/>
      <c r="V121" s="62"/>
      <c r="W121" s="62"/>
      <c r="X121" s="62"/>
      <c r="Y121" s="61"/>
      <c r="Z121" s="63"/>
      <c r="AA121" s="64" t="e">
        <v>#N/A</v>
      </c>
      <c r="AB121" s="62" t="e">
        <v>#N/A</v>
      </c>
      <c r="AC121" s="62" t="e">
        <v>#N/A</v>
      </c>
      <c r="AD121" s="62" t="e">
        <v>#N/A</v>
      </c>
      <c r="AE121" s="62" t="e">
        <v>#N/A</v>
      </c>
      <c r="AF121" s="62" t="e">
        <v>#N/A</v>
      </c>
      <c r="AG121" s="62" t="e">
        <v>#N/A</v>
      </c>
      <c r="AH121" s="62" t="e">
        <v>#N/A</v>
      </c>
      <c r="AI121" s="62" t="e">
        <v>#N/A</v>
      </c>
      <c r="AJ121" s="62" t="e">
        <v>#N/A</v>
      </c>
      <c r="AK121" s="64" t="e">
        <v>#N/A</v>
      </c>
      <c r="AL121" s="19">
        <v>85804</v>
      </c>
      <c r="AM121" s="19">
        <v>74245</v>
      </c>
      <c r="AN121" s="23">
        <v>4352</v>
      </c>
      <c r="AO121" s="19">
        <v>185580</v>
      </c>
      <c r="AP121" s="19">
        <v>715</v>
      </c>
      <c r="AQ121" s="62"/>
      <c r="AR121" s="63"/>
      <c r="AS121" s="63"/>
      <c r="AT121" s="65">
        <f t="shared" si="6"/>
        <v>7794.36</v>
      </c>
      <c r="AU121" s="65">
        <f t="shared" si="7"/>
        <v>182.78399999999999</v>
      </c>
      <c r="AV121" s="65">
        <f t="shared" si="8"/>
        <v>30.03</v>
      </c>
      <c r="AW121" s="65">
        <f t="shared" si="10"/>
        <v>3603.768</v>
      </c>
      <c r="AX121" s="65">
        <f t="shared" si="10"/>
        <v>3118.29</v>
      </c>
      <c r="AY121" s="65">
        <f t="shared" si="9"/>
        <v>30.03</v>
      </c>
      <c r="AZ121" s="19">
        <v>24437</v>
      </c>
      <c r="BA121" s="19">
        <v>25339</v>
      </c>
      <c r="BB121" s="19">
        <v>34516</v>
      </c>
      <c r="BC121" s="19">
        <v>1192</v>
      </c>
      <c r="BD121" s="19">
        <v>269</v>
      </c>
      <c r="BE121" s="62"/>
      <c r="BF121" s="62"/>
      <c r="BG121" s="62"/>
      <c r="BH121" s="62"/>
      <c r="BI121" s="62"/>
      <c r="BJ121" s="62"/>
      <c r="BK121" s="62"/>
      <c r="BL121" s="62"/>
      <c r="BM121" s="62"/>
      <c r="BN121" s="62"/>
      <c r="BO121" s="62"/>
      <c r="BP121" s="62"/>
      <c r="BQ121" s="62"/>
      <c r="BR121" s="62"/>
      <c r="BS121" s="62"/>
      <c r="BT121" s="62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62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  <c r="DK121" s="62"/>
      <c r="DL121" s="62"/>
    </row>
    <row r="122" spans="1:116" hidden="1" x14ac:dyDescent="0.2">
      <c r="A122" s="57">
        <v>30286</v>
      </c>
      <c r="B122" s="58"/>
      <c r="C122" s="66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6"/>
      <c r="P122" s="61"/>
      <c r="Q122" s="62"/>
      <c r="R122" s="62"/>
      <c r="S122" s="62"/>
      <c r="T122" s="62"/>
      <c r="U122" s="62"/>
      <c r="V122" s="62"/>
      <c r="W122" s="62"/>
      <c r="X122" s="62"/>
      <c r="Y122" s="61"/>
      <c r="Z122" s="63"/>
      <c r="AA122" s="64" t="e">
        <v>#N/A</v>
      </c>
      <c r="AB122" s="62" t="e">
        <v>#N/A</v>
      </c>
      <c r="AC122" s="62" t="e">
        <v>#N/A</v>
      </c>
      <c r="AD122" s="62" t="e">
        <v>#N/A</v>
      </c>
      <c r="AE122" s="62" t="e">
        <v>#N/A</v>
      </c>
      <c r="AF122" s="62" t="e">
        <v>#N/A</v>
      </c>
      <c r="AG122" s="62" t="e">
        <v>#N/A</v>
      </c>
      <c r="AH122" s="62" t="e">
        <v>#N/A</v>
      </c>
      <c r="AI122" s="62" t="e">
        <v>#N/A</v>
      </c>
      <c r="AJ122" s="62" t="e">
        <v>#N/A</v>
      </c>
      <c r="AK122" s="64" t="e">
        <v>#N/A</v>
      </c>
      <c r="AL122" s="19">
        <v>82295</v>
      </c>
      <c r="AM122" s="19">
        <v>88518</v>
      </c>
      <c r="AN122" s="23">
        <v>3370</v>
      </c>
      <c r="AO122" s="19">
        <v>178592</v>
      </c>
      <c r="AP122" s="19">
        <v>4436</v>
      </c>
      <c r="AQ122" s="62"/>
      <c r="AR122" s="63"/>
      <c r="AS122" s="63"/>
      <c r="AT122" s="65">
        <f t="shared" si="6"/>
        <v>7500.8639999999996</v>
      </c>
      <c r="AU122" s="65">
        <f t="shared" si="7"/>
        <v>141.54</v>
      </c>
      <c r="AV122" s="65">
        <f t="shared" si="8"/>
        <v>186.31200000000001</v>
      </c>
      <c r="AW122" s="65">
        <f t="shared" si="10"/>
        <v>3456.39</v>
      </c>
      <c r="AX122" s="65">
        <f t="shared" si="10"/>
        <v>3717.7559999999999</v>
      </c>
      <c r="AY122" s="65">
        <f t="shared" si="9"/>
        <v>186.31200000000001</v>
      </c>
      <c r="AZ122" s="19">
        <v>23221</v>
      </c>
      <c r="BA122" s="19">
        <v>26090</v>
      </c>
      <c r="BB122" s="19">
        <v>31180</v>
      </c>
      <c r="BC122" s="19">
        <v>225</v>
      </c>
      <c r="BD122" s="19">
        <v>692</v>
      </c>
      <c r="BE122" s="62"/>
      <c r="BF122" s="62"/>
      <c r="BG122" s="62"/>
      <c r="BH122" s="62"/>
      <c r="BI122" s="62"/>
      <c r="BJ122" s="62"/>
      <c r="BK122" s="62"/>
      <c r="BL122" s="62"/>
      <c r="BM122" s="62"/>
      <c r="BN122" s="62"/>
      <c r="BO122" s="62"/>
      <c r="BP122" s="62"/>
      <c r="BQ122" s="62"/>
      <c r="BR122" s="62"/>
      <c r="BS122" s="62"/>
      <c r="BT122" s="62"/>
      <c r="BU122" s="62"/>
      <c r="BV122" s="62"/>
      <c r="BW122" s="62"/>
      <c r="BX122" s="62"/>
      <c r="BY122" s="62"/>
      <c r="BZ122" s="62"/>
      <c r="CA122" s="62"/>
      <c r="CB122" s="62"/>
      <c r="CC122" s="62"/>
      <c r="CD122" s="62"/>
      <c r="CE122" s="62"/>
      <c r="CF122" s="62"/>
      <c r="CG122" s="62"/>
      <c r="CH122" s="62"/>
      <c r="CI122" s="62"/>
      <c r="CJ122" s="62"/>
      <c r="CK122" s="62"/>
      <c r="CL122" s="62"/>
      <c r="CM122" s="62"/>
      <c r="CN122" s="62"/>
      <c r="CO122" s="62"/>
      <c r="CP122" s="62"/>
      <c r="CQ122" s="62"/>
      <c r="CR122" s="62"/>
      <c r="CS122" s="62"/>
      <c r="CT122" s="62"/>
      <c r="CU122" s="62"/>
      <c r="CV122" s="62"/>
      <c r="CW122" s="62"/>
      <c r="CX122" s="62"/>
      <c r="CY122" s="62"/>
      <c r="CZ122" s="62"/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  <c r="DK122" s="62"/>
      <c r="DL122" s="62"/>
    </row>
    <row r="123" spans="1:116" hidden="1" x14ac:dyDescent="0.2">
      <c r="A123" s="57">
        <v>30317</v>
      </c>
      <c r="B123" s="58"/>
      <c r="C123" s="66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6"/>
      <c r="P123" s="61"/>
      <c r="Q123" s="62"/>
      <c r="R123" s="62"/>
      <c r="S123" s="62"/>
      <c r="T123" s="62"/>
      <c r="U123" s="62"/>
      <c r="V123" s="62"/>
      <c r="W123" s="62"/>
      <c r="X123" s="62"/>
      <c r="Y123" s="61"/>
      <c r="Z123" s="63"/>
      <c r="AA123" s="64" t="e">
        <v>#N/A</v>
      </c>
      <c r="AB123" s="62" t="e">
        <v>#N/A</v>
      </c>
      <c r="AC123" s="62" t="e">
        <v>#N/A</v>
      </c>
      <c r="AD123" s="62" t="e">
        <v>#N/A</v>
      </c>
      <c r="AE123" s="62" t="e">
        <v>#N/A</v>
      </c>
      <c r="AF123" s="62" t="e">
        <v>#N/A</v>
      </c>
      <c r="AG123" s="62" t="e">
        <v>#N/A</v>
      </c>
      <c r="AH123" s="62" t="e">
        <v>#N/A</v>
      </c>
      <c r="AI123" s="62" t="e">
        <v>#N/A</v>
      </c>
      <c r="AJ123" s="62" t="e">
        <v>#N/A</v>
      </c>
      <c r="AK123" s="64" t="e">
        <v>#N/A</v>
      </c>
      <c r="AL123" s="19">
        <v>71963</v>
      </c>
      <c r="AM123" s="19">
        <v>86692</v>
      </c>
      <c r="AN123" s="23">
        <v>2115</v>
      </c>
      <c r="AO123" s="19">
        <v>167555</v>
      </c>
      <c r="AP123" s="19">
        <v>5361</v>
      </c>
      <c r="AQ123" s="62"/>
      <c r="AR123" s="63"/>
      <c r="AS123" s="63"/>
      <c r="AT123" s="65">
        <f t="shared" si="6"/>
        <v>7037.31</v>
      </c>
      <c r="AU123" s="65">
        <f t="shared" si="7"/>
        <v>88.83</v>
      </c>
      <c r="AV123" s="65">
        <f t="shared" si="8"/>
        <v>225.16200000000001</v>
      </c>
      <c r="AW123" s="65">
        <f t="shared" si="10"/>
        <v>3022.4459999999999</v>
      </c>
      <c r="AX123" s="65">
        <f t="shared" si="10"/>
        <v>3641.0639999999999</v>
      </c>
      <c r="AY123" s="65">
        <f t="shared" si="9"/>
        <v>225.16200000000001</v>
      </c>
      <c r="AZ123" s="19">
        <v>25036</v>
      </c>
      <c r="BA123" s="19">
        <v>23785</v>
      </c>
      <c r="BB123" s="19">
        <v>33758</v>
      </c>
      <c r="BC123" s="19">
        <v>830</v>
      </c>
      <c r="BD123" s="19">
        <v>272</v>
      </c>
      <c r="BE123" s="62"/>
      <c r="BF123" s="62"/>
      <c r="BG123" s="62"/>
      <c r="BH123" s="62"/>
      <c r="BI123" s="62"/>
      <c r="BJ123" s="62"/>
      <c r="BK123" s="62"/>
      <c r="BL123" s="62"/>
      <c r="BM123" s="62"/>
      <c r="BN123" s="62"/>
      <c r="BO123" s="62"/>
      <c r="BP123" s="62"/>
      <c r="BQ123" s="62"/>
      <c r="BR123" s="62"/>
      <c r="BS123" s="62"/>
      <c r="BT123" s="62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62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  <c r="DK123" s="62"/>
      <c r="DL123" s="62"/>
    </row>
    <row r="124" spans="1:116" hidden="1" x14ac:dyDescent="0.2">
      <c r="A124" s="57">
        <v>30348</v>
      </c>
      <c r="B124" s="58"/>
      <c r="C124" s="66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6"/>
      <c r="P124" s="61"/>
      <c r="Q124" s="62"/>
      <c r="R124" s="62"/>
      <c r="S124" s="62"/>
      <c r="T124" s="62"/>
      <c r="U124" s="62"/>
      <c r="V124" s="62"/>
      <c r="W124" s="62"/>
      <c r="X124" s="62"/>
      <c r="Y124" s="61"/>
      <c r="Z124" s="63"/>
      <c r="AA124" s="64" t="e">
        <v>#N/A</v>
      </c>
      <c r="AB124" s="62" t="e">
        <v>#N/A</v>
      </c>
      <c r="AC124" s="62" t="e">
        <v>#N/A</v>
      </c>
      <c r="AD124" s="62" t="e">
        <v>#N/A</v>
      </c>
      <c r="AE124" s="62" t="e">
        <v>#N/A</v>
      </c>
      <c r="AF124" s="62" t="e">
        <v>#N/A</v>
      </c>
      <c r="AG124" s="62" t="e">
        <v>#N/A</v>
      </c>
      <c r="AH124" s="62" t="e">
        <v>#N/A</v>
      </c>
      <c r="AI124" s="62" t="e">
        <v>#N/A</v>
      </c>
      <c r="AJ124" s="62" t="e">
        <v>#N/A</v>
      </c>
      <c r="AK124" s="64" t="e">
        <v>#N/A</v>
      </c>
      <c r="AL124" s="19">
        <v>59782</v>
      </c>
      <c r="AM124" s="19">
        <v>77827</v>
      </c>
      <c r="AN124" s="23">
        <v>1638</v>
      </c>
      <c r="AO124" s="19">
        <v>148221</v>
      </c>
      <c r="AP124" s="19">
        <v>2931</v>
      </c>
      <c r="AQ124" s="62"/>
      <c r="AR124" s="63"/>
      <c r="AS124" s="63"/>
      <c r="AT124" s="65">
        <f t="shared" si="6"/>
        <v>6225.2820000000002</v>
      </c>
      <c r="AU124" s="65">
        <f t="shared" si="7"/>
        <v>68.796000000000006</v>
      </c>
      <c r="AV124" s="65">
        <f t="shared" si="8"/>
        <v>123.102</v>
      </c>
      <c r="AW124" s="65">
        <f t="shared" si="10"/>
        <v>2510.8440000000001</v>
      </c>
      <c r="AX124" s="65">
        <f t="shared" si="10"/>
        <v>3268.7339999999999</v>
      </c>
      <c r="AY124" s="65">
        <f t="shared" si="9"/>
        <v>123.102</v>
      </c>
      <c r="AZ124" s="19">
        <v>22004</v>
      </c>
      <c r="BA124" s="19">
        <v>23115</v>
      </c>
      <c r="BB124" s="19">
        <v>32651</v>
      </c>
      <c r="BC124" s="19">
        <v>227</v>
      </c>
      <c r="BD124" s="19">
        <v>223</v>
      </c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62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  <c r="DK124" s="62"/>
      <c r="DL124" s="62"/>
    </row>
    <row r="125" spans="1:116" hidden="1" x14ac:dyDescent="0.2">
      <c r="A125" s="57">
        <v>30376</v>
      </c>
      <c r="B125" s="58"/>
      <c r="C125" s="66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6"/>
      <c r="P125" s="61"/>
      <c r="Q125" s="62"/>
      <c r="R125" s="62"/>
      <c r="S125" s="62"/>
      <c r="T125" s="62"/>
      <c r="U125" s="62"/>
      <c r="V125" s="62"/>
      <c r="W125" s="62"/>
      <c r="X125" s="62"/>
      <c r="Y125" s="61"/>
      <c r="Z125" s="63"/>
      <c r="AA125" s="64" t="e">
        <v>#N/A</v>
      </c>
      <c r="AB125" s="62" t="e">
        <v>#N/A</v>
      </c>
      <c r="AC125" s="62" t="e">
        <v>#N/A</v>
      </c>
      <c r="AD125" s="62" t="e">
        <v>#N/A</v>
      </c>
      <c r="AE125" s="62" t="e">
        <v>#N/A</v>
      </c>
      <c r="AF125" s="62" t="e">
        <v>#N/A</v>
      </c>
      <c r="AG125" s="62" t="e">
        <v>#N/A</v>
      </c>
      <c r="AH125" s="62" t="e">
        <v>#N/A</v>
      </c>
      <c r="AI125" s="62" t="e">
        <v>#N/A</v>
      </c>
      <c r="AJ125" s="62" t="e">
        <v>#N/A</v>
      </c>
      <c r="AK125" s="64" t="e">
        <v>#N/A</v>
      </c>
      <c r="AL125" s="19">
        <v>61787</v>
      </c>
      <c r="AM125" s="19">
        <v>91369</v>
      </c>
      <c r="AN125" s="23">
        <v>1314</v>
      </c>
      <c r="AO125" s="19">
        <v>118122</v>
      </c>
      <c r="AP125" s="19">
        <v>1832</v>
      </c>
      <c r="AQ125" s="62"/>
      <c r="AR125" s="63"/>
      <c r="AS125" s="63"/>
      <c r="AT125" s="65">
        <f t="shared" si="6"/>
        <v>4961.1239999999998</v>
      </c>
      <c r="AU125" s="65">
        <f t="shared" si="7"/>
        <v>55.188000000000002</v>
      </c>
      <c r="AV125" s="65">
        <f t="shared" si="8"/>
        <v>76.944000000000003</v>
      </c>
      <c r="AW125" s="65">
        <f t="shared" si="10"/>
        <v>2595.0540000000001</v>
      </c>
      <c r="AX125" s="65">
        <f t="shared" si="10"/>
        <v>3837.498</v>
      </c>
      <c r="AY125" s="65">
        <f t="shared" si="9"/>
        <v>76.944000000000003</v>
      </c>
      <c r="AZ125" s="19">
        <v>25239</v>
      </c>
      <c r="BA125" s="19">
        <v>24275</v>
      </c>
      <c r="BB125" s="19">
        <v>34685</v>
      </c>
      <c r="BC125" s="19">
        <v>1097</v>
      </c>
      <c r="BD125" s="19">
        <v>27</v>
      </c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62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  <c r="DK125" s="62"/>
      <c r="DL125" s="62"/>
    </row>
    <row r="126" spans="1:116" hidden="1" x14ac:dyDescent="0.2">
      <c r="A126" s="57">
        <v>30407</v>
      </c>
      <c r="B126" s="58"/>
      <c r="C126" s="66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6"/>
      <c r="P126" s="61"/>
      <c r="Q126" s="62"/>
      <c r="R126" s="62"/>
      <c r="S126" s="62"/>
      <c r="T126" s="62"/>
      <c r="U126" s="62"/>
      <c r="V126" s="62"/>
      <c r="W126" s="62"/>
      <c r="X126" s="62"/>
      <c r="Y126" s="61"/>
      <c r="Z126" s="63"/>
      <c r="AA126" s="64" t="e">
        <v>#N/A</v>
      </c>
      <c r="AB126" s="62" t="e">
        <v>#N/A</v>
      </c>
      <c r="AC126" s="62" t="e">
        <v>#N/A</v>
      </c>
      <c r="AD126" s="62" t="e">
        <v>#N/A</v>
      </c>
      <c r="AE126" s="62" t="e">
        <v>#N/A</v>
      </c>
      <c r="AF126" s="62" t="e">
        <v>#N/A</v>
      </c>
      <c r="AG126" s="62" t="e">
        <v>#N/A</v>
      </c>
      <c r="AH126" s="62" t="e">
        <v>#N/A</v>
      </c>
      <c r="AI126" s="62" t="e">
        <v>#N/A</v>
      </c>
      <c r="AJ126" s="62" t="e">
        <v>#N/A</v>
      </c>
      <c r="AK126" s="64" t="e">
        <v>#N/A</v>
      </c>
      <c r="AL126" s="19">
        <v>65141</v>
      </c>
      <c r="AM126" s="19">
        <v>80921</v>
      </c>
      <c r="AN126" s="23">
        <v>2197</v>
      </c>
      <c r="AO126" s="19">
        <v>103132</v>
      </c>
      <c r="AP126" s="19">
        <v>1408</v>
      </c>
      <c r="AQ126" s="62"/>
      <c r="AR126" s="63"/>
      <c r="AS126" s="63"/>
      <c r="AT126" s="65">
        <f t="shared" si="6"/>
        <v>4331.5439999999999</v>
      </c>
      <c r="AU126" s="65">
        <f t="shared" si="7"/>
        <v>92.274000000000001</v>
      </c>
      <c r="AV126" s="65">
        <f t="shared" si="8"/>
        <v>59.136000000000003</v>
      </c>
      <c r="AW126" s="65">
        <f t="shared" si="10"/>
        <v>2735.922</v>
      </c>
      <c r="AX126" s="65">
        <f t="shared" si="10"/>
        <v>3398.6819999999998</v>
      </c>
      <c r="AY126" s="65">
        <f t="shared" si="9"/>
        <v>59.136000000000003</v>
      </c>
      <c r="AZ126" s="19">
        <v>23798</v>
      </c>
      <c r="BA126" s="19">
        <v>25031</v>
      </c>
      <c r="BB126" s="19">
        <v>33897</v>
      </c>
      <c r="BC126" s="19">
        <v>461</v>
      </c>
      <c r="BD126" s="19">
        <v>17</v>
      </c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62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  <c r="DK126" s="62"/>
      <c r="DL126" s="62"/>
    </row>
    <row r="127" spans="1:116" hidden="1" x14ac:dyDescent="0.2">
      <c r="A127" s="57">
        <v>30437</v>
      </c>
      <c r="B127" s="58"/>
      <c r="C127" s="66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6"/>
      <c r="P127" s="61"/>
      <c r="Q127" s="62"/>
      <c r="R127" s="62"/>
      <c r="S127" s="62"/>
      <c r="T127" s="62"/>
      <c r="U127" s="62"/>
      <c r="V127" s="62"/>
      <c r="W127" s="62"/>
      <c r="X127" s="62"/>
      <c r="Y127" s="61"/>
      <c r="Z127" s="63"/>
      <c r="AA127" s="64" t="e">
        <v>#N/A</v>
      </c>
      <c r="AB127" s="62" t="e">
        <v>#N/A</v>
      </c>
      <c r="AC127" s="62" t="e">
        <v>#N/A</v>
      </c>
      <c r="AD127" s="62" t="e">
        <v>#N/A</v>
      </c>
      <c r="AE127" s="62" t="e">
        <v>#N/A</v>
      </c>
      <c r="AF127" s="62" t="e">
        <v>#N/A</v>
      </c>
      <c r="AG127" s="62" t="e">
        <v>#N/A</v>
      </c>
      <c r="AH127" s="62" t="e">
        <v>#N/A</v>
      </c>
      <c r="AI127" s="62" t="e">
        <v>#N/A</v>
      </c>
      <c r="AJ127" s="62" t="e">
        <v>#N/A</v>
      </c>
      <c r="AK127" s="64" t="e">
        <v>#N/A</v>
      </c>
      <c r="AL127" s="19">
        <v>75762</v>
      </c>
      <c r="AM127" s="19">
        <v>72980</v>
      </c>
      <c r="AN127" s="23">
        <v>4547</v>
      </c>
      <c r="AO127" s="19">
        <v>108904</v>
      </c>
      <c r="AP127" s="19">
        <v>1559</v>
      </c>
      <c r="AQ127" s="62"/>
      <c r="AR127" s="63"/>
      <c r="AS127" s="63"/>
      <c r="AT127" s="65">
        <f t="shared" si="6"/>
        <v>4573.9679999999998</v>
      </c>
      <c r="AU127" s="65">
        <f t="shared" si="7"/>
        <v>190.97399999999999</v>
      </c>
      <c r="AV127" s="65">
        <f t="shared" si="8"/>
        <v>65.477999999999994</v>
      </c>
      <c r="AW127" s="65">
        <f t="shared" si="10"/>
        <v>3182.0039999999999</v>
      </c>
      <c r="AX127" s="65">
        <f t="shared" si="10"/>
        <v>3065.16</v>
      </c>
      <c r="AY127" s="65">
        <f t="shared" si="9"/>
        <v>65.477999999999994</v>
      </c>
      <c r="AZ127" s="19">
        <v>24122</v>
      </c>
      <c r="BA127" s="19">
        <v>24401</v>
      </c>
      <c r="BB127" s="19">
        <v>34485</v>
      </c>
      <c r="BC127" s="19">
        <v>907</v>
      </c>
      <c r="BD127" s="19">
        <v>40</v>
      </c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62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  <c r="DK127" s="62"/>
      <c r="DL127" s="62"/>
    </row>
    <row r="128" spans="1:116" hidden="1" x14ac:dyDescent="0.2">
      <c r="A128" s="57">
        <v>30468</v>
      </c>
      <c r="B128" s="58"/>
      <c r="C128" s="66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6"/>
      <c r="P128" s="61"/>
      <c r="Q128" s="62"/>
      <c r="R128" s="62"/>
      <c r="S128" s="62"/>
      <c r="T128" s="62"/>
      <c r="U128" s="62"/>
      <c r="V128" s="62"/>
      <c r="W128" s="62"/>
      <c r="X128" s="62"/>
      <c r="Y128" s="61"/>
      <c r="Z128" s="63"/>
      <c r="AA128" s="64" t="e">
        <v>#N/A</v>
      </c>
      <c r="AB128" s="62" t="e">
        <v>#N/A</v>
      </c>
      <c r="AC128" s="62" t="e">
        <v>#N/A</v>
      </c>
      <c r="AD128" s="62" t="e">
        <v>#N/A</v>
      </c>
      <c r="AE128" s="62" t="e">
        <v>#N/A</v>
      </c>
      <c r="AF128" s="62" t="e">
        <v>#N/A</v>
      </c>
      <c r="AG128" s="62" t="e">
        <v>#N/A</v>
      </c>
      <c r="AH128" s="62" t="e">
        <v>#N/A</v>
      </c>
      <c r="AI128" s="62" t="e">
        <v>#N/A</v>
      </c>
      <c r="AJ128" s="62" t="e">
        <v>#N/A</v>
      </c>
      <c r="AK128" s="64" t="e">
        <v>#N/A</v>
      </c>
      <c r="AL128" s="19">
        <v>76376</v>
      </c>
      <c r="AM128" s="19">
        <v>75715</v>
      </c>
      <c r="AN128" s="23">
        <v>5362</v>
      </c>
      <c r="AO128" s="19">
        <v>113723</v>
      </c>
      <c r="AP128" s="19">
        <v>1203</v>
      </c>
      <c r="AQ128" s="62"/>
      <c r="AR128" s="63"/>
      <c r="AS128" s="63"/>
      <c r="AT128" s="65">
        <f t="shared" si="6"/>
        <v>4776.366</v>
      </c>
      <c r="AU128" s="65">
        <f t="shared" si="7"/>
        <v>225.20400000000001</v>
      </c>
      <c r="AV128" s="65">
        <f t="shared" si="8"/>
        <v>50.526000000000003</v>
      </c>
      <c r="AW128" s="65">
        <f t="shared" si="10"/>
        <v>3207.7919999999999</v>
      </c>
      <c r="AX128" s="65">
        <f t="shared" si="10"/>
        <v>3180.03</v>
      </c>
      <c r="AY128" s="65">
        <f t="shared" si="9"/>
        <v>50.526000000000003</v>
      </c>
      <c r="AZ128" s="19">
        <v>24973</v>
      </c>
      <c r="BA128" s="19">
        <v>25978</v>
      </c>
      <c r="BB128" s="19">
        <v>34205</v>
      </c>
      <c r="BC128" s="19">
        <v>746</v>
      </c>
      <c r="BD128" s="19">
        <v>21</v>
      </c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62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  <c r="DK128" s="62"/>
      <c r="DL128" s="62"/>
    </row>
    <row r="129" spans="1:116" hidden="1" x14ac:dyDescent="0.2">
      <c r="A129" s="57">
        <v>30498</v>
      </c>
      <c r="B129" s="58"/>
      <c r="C129" s="66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6"/>
      <c r="P129" s="61"/>
      <c r="Q129" s="62"/>
      <c r="R129" s="62"/>
      <c r="S129" s="62"/>
      <c r="T129" s="62"/>
      <c r="U129" s="62"/>
      <c r="V129" s="62"/>
      <c r="W129" s="62"/>
      <c r="X129" s="62"/>
      <c r="Y129" s="61"/>
      <c r="Z129" s="63"/>
      <c r="AA129" s="64" t="e">
        <v>#N/A</v>
      </c>
      <c r="AB129" s="62" t="e">
        <v>#N/A</v>
      </c>
      <c r="AC129" s="62" t="e">
        <v>#N/A</v>
      </c>
      <c r="AD129" s="62" t="e">
        <v>#N/A</v>
      </c>
      <c r="AE129" s="62" t="e">
        <v>#N/A</v>
      </c>
      <c r="AF129" s="62" t="e">
        <v>#N/A</v>
      </c>
      <c r="AG129" s="62" t="e">
        <v>#N/A</v>
      </c>
      <c r="AH129" s="62" t="e">
        <v>#N/A</v>
      </c>
      <c r="AI129" s="62" t="e">
        <v>#N/A</v>
      </c>
      <c r="AJ129" s="62" t="e">
        <v>#N/A</v>
      </c>
      <c r="AK129" s="64" t="e">
        <v>#N/A</v>
      </c>
      <c r="AL129" s="19">
        <v>80723</v>
      </c>
      <c r="AM129" s="19">
        <v>70362</v>
      </c>
      <c r="AN129" s="23">
        <v>8265</v>
      </c>
      <c r="AO129" s="19">
        <v>130655</v>
      </c>
      <c r="AP129" s="19">
        <v>1695</v>
      </c>
      <c r="AQ129" s="62"/>
      <c r="AR129" s="63"/>
      <c r="AS129" s="63"/>
      <c r="AT129" s="65">
        <f t="shared" si="6"/>
        <v>5487.51</v>
      </c>
      <c r="AU129" s="65">
        <f t="shared" si="7"/>
        <v>347.13</v>
      </c>
      <c r="AV129" s="65">
        <f t="shared" si="8"/>
        <v>71.19</v>
      </c>
      <c r="AW129" s="65">
        <f t="shared" si="10"/>
        <v>3390.366</v>
      </c>
      <c r="AX129" s="65">
        <f t="shared" si="10"/>
        <v>2955.2040000000002</v>
      </c>
      <c r="AY129" s="65">
        <f t="shared" si="9"/>
        <v>71.19</v>
      </c>
      <c r="AZ129" s="19">
        <v>25302</v>
      </c>
      <c r="BA129" s="19">
        <v>26677</v>
      </c>
      <c r="BB129" s="19">
        <v>33726</v>
      </c>
      <c r="BC129" s="19">
        <v>933</v>
      </c>
      <c r="BD129" s="19">
        <v>37</v>
      </c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62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  <c r="DK129" s="62"/>
      <c r="DL129" s="62"/>
    </row>
    <row r="130" spans="1:116" hidden="1" x14ac:dyDescent="0.2">
      <c r="A130" s="57">
        <v>30529</v>
      </c>
      <c r="B130" s="58"/>
      <c r="C130" s="66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6"/>
      <c r="P130" s="61"/>
      <c r="Q130" s="62"/>
      <c r="R130" s="62"/>
      <c r="S130" s="62"/>
      <c r="T130" s="62"/>
      <c r="U130" s="62"/>
      <c r="V130" s="62"/>
      <c r="W130" s="62"/>
      <c r="X130" s="62"/>
      <c r="Y130" s="61"/>
      <c r="Z130" s="63"/>
      <c r="AA130" s="64" t="e">
        <v>#N/A</v>
      </c>
      <c r="AB130" s="62" t="e">
        <v>#N/A</v>
      </c>
      <c r="AC130" s="62" t="e">
        <v>#N/A</v>
      </c>
      <c r="AD130" s="62" t="e">
        <v>#N/A</v>
      </c>
      <c r="AE130" s="62" t="e">
        <v>#N/A</v>
      </c>
      <c r="AF130" s="62" t="e">
        <v>#N/A</v>
      </c>
      <c r="AG130" s="62" t="e">
        <v>#N/A</v>
      </c>
      <c r="AH130" s="62" t="e">
        <v>#N/A</v>
      </c>
      <c r="AI130" s="62" t="e">
        <v>#N/A</v>
      </c>
      <c r="AJ130" s="62" t="e">
        <v>#N/A</v>
      </c>
      <c r="AK130" s="64" t="e">
        <v>#N/A</v>
      </c>
      <c r="AL130" s="19">
        <v>81077</v>
      </c>
      <c r="AM130" s="19">
        <v>77348</v>
      </c>
      <c r="AN130" s="23">
        <v>9346</v>
      </c>
      <c r="AO130" s="19">
        <v>142406</v>
      </c>
      <c r="AP130" s="19">
        <v>1324</v>
      </c>
      <c r="AQ130" s="62"/>
      <c r="AR130" s="63"/>
      <c r="AS130" s="63"/>
      <c r="AT130" s="65">
        <f t="shared" si="6"/>
        <v>5981.0519999999997</v>
      </c>
      <c r="AU130" s="65">
        <f t="shared" si="7"/>
        <v>392.53199999999998</v>
      </c>
      <c r="AV130" s="65">
        <f t="shared" si="8"/>
        <v>55.607999999999997</v>
      </c>
      <c r="AW130" s="65">
        <f t="shared" si="10"/>
        <v>3405.2339999999999</v>
      </c>
      <c r="AX130" s="65">
        <f t="shared" si="10"/>
        <v>3248.616</v>
      </c>
      <c r="AY130" s="65">
        <f t="shared" si="9"/>
        <v>55.607999999999997</v>
      </c>
      <c r="AZ130" s="19">
        <v>25160</v>
      </c>
      <c r="BA130" s="19">
        <v>26318</v>
      </c>
      <c r="BB130" s="19">
        <v>33620</v>
      </c>
      <c r="BC130" s="19">
        <v>1244</v>
      </c>
      <c r="BD130" s="19">
        <v>193</v>
      </c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62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  <c r="DK130" s="62"/>
      <c r="DL130" s="62"/>
    </row>
    <row r="131" spans="1:116" hidden="1" x14ac:dyDescent="0.2">
      <c r="A131" s="57">
        <v>30560</v>
      </c>
      <c r="B131" s="58"/>
      <c r="C131" s="66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6"/>
      <c r="P131" s="61"/>
      <c r="Q131" s="62"/>
      <c r="R131" s="62"/>
      <c r="S131" s="62"/>
      <c r="T131" s="62"/>
      <c r="U131" s="62"/>
      <c r="V131" s="62"/>
      <c r="W131" s="62"/>
      <c r="X131" s="62"/>
      <c r="Y131" s="61"/>
      <c r="Z131" s="63"/>
      <c r="AA131" s="64" t="e">
        <v>#N/A</v>
      </c>
      <c r="AB131" s="62" t="e">
        <v>#N/A</v>
      </c>
      <c r="AC131" s="62" t="e">
        <v>#N/A</v>
      </c>
      <c r="AD131" s="62" t="e">
        <v>#N/A</v>
      </c>
      <c r="AE131" s="62" t="e">
        <v>#N/A</v>
      </c>
      <c r="AF131" s="62" t="e">
        <v>#N/A</v>
      </c>
      <c r="AG131" s="62" t="e">
        <v>#N/A</v>
      </c>
      <c r="AH131" s="62" t="e">
        <v>#N/A</v>
      </c>
      <c r="AI131" s="62" t="e">
        <v>#N/A</v>
      </c>
      <c r="AJ131" s="62" t="e">
        <v>#N/A</v>
      </c>
      <c r="AK131" s="64" t="e">
        <v>#N/A</v>
      </c>
      <c r="AL131" s="19">
        <v>82183</v>
      </c>
      <c r="AM131" s="19">
        <v>77262</v>
      </c>
      <c r="AN131" s="23">
        <v>7766</v>
      </c>
      <c r="AO131" s="19">
        <v>153996</v>
      </c>
      <c r="AP131" s="19">
        <v>1097</v>
      </c>
      <c r="AQ131" s="62"/>
      <c r="AR131" s="63"/>
      <c r="AS131" s="63"/>
      <c r="AT131" s="65">
        <f t="shared" ref="AT131:AT194" si="11">AO131*42/1000</f>
        <v>6467.8320000000003</v>
      </c>
      <c r="AU131" s="65">
        <f t="shared" ref="AU131:AU194" si="12">AN131*42/1000</f>
        <v>326.17200000000003</v>
      </c>
      <c r="AV131" s="65">
        <f t="shared" ref="AV131:AV194" si="13">AP131*42/1000</f>
        <v>46.073999999999998</v>
      </c>
      <c r="AW131" s="65">
        <f t="shared" si="10"/>
        <v>3451.6860000000001</v>
      </c>
      <c r="AX131" s="65">
        <f t="shared" si="10"/>
        <v>3245.0039999999999</v>
      </c>
      <c r="AY131" s="65">
        <f t="shared" si="9"/>
        <v>46.073999999999998</v>
      </c>
      <c r="AZ131" s="19">
        <v>26708</v>
      </c>
      <c r="BA131" s="19">
        <v>26443</v>
      </c>
      <c r="BB131" s="19">
        <v>34852</v>
      </c>
      <c r="BC131" s="19">
        <v>1237</v>
      </c>
      <c r="BD131" s="19">
        <v>270</v>
      </c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62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  <c r="DK131" s="62"/>
      <c r="DL131" s="62"/>
    </row>
    <row r="132" spans="1:116" hidden="1" x14ac:dyDescent="0.2">
      <c r="A132" s="57">
        <v>30590</v>
      </c>
      <c r="B132" s="58"/>
      <c r="C132" s="66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6"/>
      <c r="P132" s="61"/>
      <c r="Q132" s="62"/>
      <c r="R132" s="62"/>
      <c r="S132" s="62"/>
      <c r="T132" s="62"/>
      <c r="U132" s="62"/>
      <c r="V132" s="62"/>
      <c r="W132" s="62"/>
      <c r="X132" s="62"/>
      <c r="Y132" s="61"/>
      <c r="Z132" s="63"/>
      <c r="AA132" s="64" t="e">
        <v>#N/A</v>
      </c>
      <c r="AB132" s="62" t="e">
        <v>#N/A</v>
      </c>
      <c r="AC132" s="62" t="e">
        <v>#N/A</v>
      </c>
      <c r="AD132" s="62" t="e">
        <v>#N/A</v>
      </c>
      <c r="AE132" s="62" t="e">
        <v>#N/A</v>
      </c>
      <c r="AF132" s="62" t="e">
        <v>#N/A</v>
      </c>
      <c r="AG132" s="62" t="e">
        <v>#N/A</v>
      </c>
      <c r="AH132" s="62" t="e">
        <v>#N/A</v>
      </c>
      <c r="AI132" s="62" t="e">
        <v>#N/A</v>
      </c>
      <c r="AJ132" s="62" t="e">
        <v>#N/A</v>
      </c>
      <c r="AK132" s="64" t="e">
        <v>#N/A</v>
      </c>
      <c r="AL132" s="19">
        <v>83122</v>
      </c>
      <c r="AM132" s="19">
        <v>80931</v>
      </c>
      <c r="AN132" s="23">
        <v>8066</v>
      </c>
      <c r="AO132" s="19">
        <v>162551</v>
      </c>
      <c r="AP132" s="19">
        <v>1701</v>
      </c>
      <c r="AQ132" s="62"/>
      <c r="AR132" s="63"/>
      <c r="AS132" s="63"/>
      <c r="AT132" s="65">
        <f t="shared" si="11"/>
        <v>6827.1419999999998</v>
      </c>
      <c r="AU132" s="65">
        <f t="shared" si="12"/>
        <v>338.77199999999999</v>
      </c>
      <c r="AV132" s="65">
        <f t="shared" si="13"/>
        <v>71.441999999999993</v>
      </c>
      <c r="AW132" s="65">
        <f t="shared" si="10"/>
        <v>3491.1239999999998</v>
      </c>
      <c r="AX132" s="65">
        <f t="shared" si="10"/>
        <v>3399.1019999999999</v>
      </c>
      <c r="AY132" s="65">
        <f t="shared" ref="AY132:AY195" si="14">AP132*42/1000</f>
        <v>71.441999999999993</v>
      </c>
      <c r="AZ132" s="19">
        <v>26247</v>
      </c>
      <c r="BA132" s="19">
        <v>25427</v>
      </c>
      <c r="BB132" s="19">
        <v>37182</v>
      </c>
      <c r="BC132" s="19">
        <v>1533</v>
      </c>
      <c r="BD132" s="19">
        <v>24</v>
      </c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62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  <c r="DK132" s="62"/>
      <c r="DL132" s="62"/>
    </row>
    <row r="133" spans="1:116" hidden="1" x14ac:dyDescent="0.2">
      <c r="A133" s="57">
        <v>30621</v>
      </c>
      <c r="B133" s="58"/>
      <c r="C133" s="66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6"/>
      <c r="P133" s="61"/>
      <c r="Q133" s="62"/>
      <c r="R133" s="62"/>
      <c r="S133" s="62"/>
      <c r="T133" s="62"/>
      <c r="U133" s="62"/>
      <c r="V133" s="62"/>
      <c r="W133" s="62"/>
      <c r="X133" s="62"/>
      <c r="Y133" s="61"/>
      <c r="Z133" s="63"/>
      <c r="AA133" s="64" t="e">
        <v>#N/A</v>
      </c>
      <c r="AB133" s="62" t="e">
        <v>#N/A</v>
      </c>
      <c r="AC133" s="62" t="e">
        <v>#N/A</v>
      </c>
      <c r="AD133" s="62" t="e">
        <v>#N/A</v>
      </c>
      <c r="AE133" s="62" t="e">
        <v>#N/A</v>
      </c>
      <c r="AF133" s="62" t="e">
        <v>#N/A</v>
      </c>
      <c r="AG133" s="62" t="e">
        <v>#N/A</v>
      </c>
      <c r="AH133" s="62" t="e">
        <v>#N/A</v>
      </c>
      <c r="AI133" s="62" t="e">
        <v>#N/A</v>
      </c>
      <c r="AJ133" s="62" t="e">
        <v>#N/A</v>
      </c>
      <c r="AK133" s="64" t="e">
        <v>#N/A</v>
      </c>
      <c r="AL133" s="19">
        <v>80393</v>
      </c>
      <c r="AM133" s="19">
        <v>86209</v>
      </c>
      <c r="AN133" s="23">
        <v>6090</v>
      </c>
      <c r="AO133" s="19">
        <v>161211</v>
      </c>
      <c r="AP133" s="19">
        <v>1614</v>
      </c>
      <c r="AQ133" s="62"/>
      <c r="AR133" s="63"/>
      <c r="AS133" s="63"/>
      <c r="AT133" s="65">
        <f t="shared" si="11"/>
        <v>6770.8620000000001</v>
      </c>
      <c r="AU133" s="65">
        <f t="shared" si="12"/>
        <v>255.78</v>
      </c>
      <c r="AV133" s="65">
        <f t="shared" si="13"/>
        <v>67.787999999999997</v>
      </c>
      <c r="AW133" s="65">
        <f t="shared" si="10"/>
        <v>3376.5059999999999</v>
      </c>
      <c r="AX133" s="65">
        <f t="shared" si="10"/>
        <v>3620.7779999999998</v>
      </c>
      <c r="AY133" s="65">
        <f t="shared" si="14"/>
        <v>67.787999999999997</v>
      </c>
      <c r="AZ133" s="19">
        <v>26290</v>
      </c>
      <c r="BA133" s="19">
        <v>24568</v>
      </c>
      <c r="BB133" s="19">
        <v>39212</v>
      </c>
      <c r="BC133" s="19">
        <v>681</v>
      </c>
      <c r="BD133" s="19">
        <v>373</v>
      </c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62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  <c r="DK133" s="62"/>
      <c r="DL133" s="62"/>
    </row>
    <row r="134" spans="1:116" hidden="1" x14ac:dyDescent="0.2">
      <c r="A134" s="57">
        <v>30651</v>
      </c>
      <c r="B134" s="58"/>
      <c r="C134" s="66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6"/>
      <c r="P134" s="61"/>
      <c r="Q134" s="62"/>
      <c r="R134" s="62"/>
      <c r="S134" s="62"/>
      <c r="T134" s="62"/>
      <c r="U134" s="62"/>
      <c r="V134" s="62"/>
      <c r="W134" s="62"/>
      <c r="X134" s="62"/>
      <c r="Y134" s="61"/>
      <c r="Z134" s="63"/>
      <c r="AA134" s="64" t="e">
        <v>#N/A</v>
      </c>
      <c r="AB134" s="62" t="e">
        <v>#N/A</v>
      </c>
      <c r="AC134" s="62" t="e">
        <v>#N/A</v>
      </c>
      <c r="AD134" s="62" t="e">
        <v>#N/A</v>
      </c>
      <c r="AE134" s="62" t="e">
        <v>#N/A</v>
      </c>
      <c r="AF134" s="62" t="e">
        <v>#N/A</v>
      </c>
      <c r="AG134" s="62" t="e">
        <v>#N/A</v>
      </c>
      <c r="AH134" s="62" t="e">
        <v>#N/A</v>
      </c>
      <c r="AI134" s="62" t="e">
        <v>#N/A</v>
      </c>
      <c r="AJ134" s="62" t="e">
        <v>#N/A</v>
      </c>
      <c r="AK134" s="64" t="e">
        <v>#N/A</v>
      </c>
      <c r="AL134" s="19">
        <v>78195</v>
      </c>
      <c r="AM134" s="19">
        <v>104310</v>
      </c>
      <c r="AN134" s="23">
        <v>6836</v>
      </c>
      <c r="AO134" s="19">
        <v>140263</v>
      </c>
      <c r="AP134" s="19">
        <v>1669</v>
      </c>
      <c r="AQ134" s="62"/>
      <c r="AR134" s="63"/>
      <c r="AS134" s="63"/>
      <c r="AT134" s="65">
        <f t="shared" si="11"/>
        <v>5891.0460000000003</v>
      </c>
      <c r="AU134" s="65">
        <f t="shared" si="12"/>
        <v>287.11200000000002</v>
      </c>
      <c r="AV134" s="65">
        <f t="shared" si="13"/>
        <v>70.097999999999999</v>
      </c>
      <c r="AW134" s="65">
        <f t="shared" si="10"/>
        <v>3284.19</v>
      </c>
      <c r="AX134" s="65">
        <f t="shared" si="10"/>
        <v>4381.0200000000004</v>
      </c>
      <c r="AY134" s="65">
        <f t="shared" si="14"/>
        <v>70.097999999999999</v>
      </c>
      <c r="AZ134" s="19">
        <v>23296</v>
      </c>
      <c r="BA134" s="19">
        <v>30229</v>
      </c>
      <c r="BB134" s="19">
        <v>32346</v>
      </c>
      <c r="BC134" s="19">
        <v>525</v>
      </c>
      <c r="BD134" s="19">
        <v>458</v>
      </c>
      <c r="BE134" s="62"/>
      <c r="BF134" s="62"/>
      <c r="BG134" s="62"/>
      <c r="BH134" s="62"/>
      <c r="BI134" s="62"/>
      <c r="BJ134" s="62"/>
      <c r="BK134" s="62"/>
      <c r="BL134" s="62"/>
      <c r="BM134" s="62"/>
      <c r="BN134" s="62"/>
      <c r="BO134" s="62"/>
      <c r="BP134" s="62"/>
      <c r="BQ134" s="62"/>
      <c r="BR134" s="62"/>
      <c r="BS134" s="62"/>
      <c r="BT134" s="62"/>
      <c r="BU134" s="62"/>
      <c r="BV134" s="62"/>
      <c r="BW134" s="62"/>
      <c r="BX134" s="62"/>
      <c r="BY134" s="62"/>
      <c r="BZ134" s="62"/>
      <c r="CA134" s="62"/>
      <c r="CB134" s="62"/>
      <c r="CC134" s="62"/>
      <c r="CD134" s="62"/>
      <c r="CE134" s="62"/>
      <c r="CF134" s="62"/>
      <c r="CG134" s="62"/>
      <c r="CH134" s="62"/>
      <c r="CI134" s="62"/>
      <c r="CJ134" s="62"/>
      <c r="CK134" s="62"/>
      <c r="CL134" s="62"/>
      <c r="CM134" s="62"/>
      <c r="CN134" s="62"/>
      <c r="CO134" s="62"/>
      <c r="CP134" s="62"/>
      <c r="CQ134" s="62"/>
      <c r="CR134" s="62"/>
      <c r="CS134" s="62"/>
      <c r="CT134" s="62"/>
      <c r="CU134" s="62"/>
      <c r="CV134" s="62"/>
      <c r="CW134" s="62"/>
      <c r="CX134" s="62"/>
      <c r="CY134" s="62"/>
      <c r="CZ134" s="62"/>
      <c r="DA134" s="62"/>
      <c r="DB134" s="62"/>
      <c r="DC134" s="62"/>
      <c r="DD134" s="62"/>
      <c r="DE134" s="62"/>
      <c r="DF134" s="62"/>
      <c r="DG134" s="62"/>
      <c r="DH134" s="62"/>
      <c r="DI134" s="62"/>
      <c r="DJ134" s="62"/>
      <c r="DK134" s="62"/>
      <c r="DL134" s="62"/>
    </row>
    <row r="135" spans="1:116" hidden="1" x14ac:dyDescent="0.2">
      <c r="A135" s="57">
        <v>30682</v>
      </c>
      <c r="B135" s="58"/>
      <c r="C135" s="66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6"/>
      <c r="P135" s="61"/>
      <c r="Q135" s="62"/>
      <c r="R135" s="62"/>
      <c r="S135" s="62"/>
      <c r="T135" s="62"/>
      <c r="U135" s="62"/>
      <c r="V135" s="62"/>
      <c r="W135" s="62"/>
      <c r="X135" s="62"/>
      <c r="Y135" s="61"/>
      <c r="Z135" s="63"/>
      <c r="AA135" s="64" t="e">
        <v>#N/A</v>
      </c>
      <c r="AB135" s="62" t="e">
        <v>#N/A</v>
      </c>
      <c r="AC135" s="62" t="e">
        <v>#N/A</v>
      </c>
      <c r="AD135" s="62" t="e">
        <v>#N/A</v>
      </c>
      <c r="AE135" s="62" t="e">
        <v>#N/A</v>
      </c>
      <c r="AF135" s="62" t="e">
        <v>#N/A</v>
      </c>
      <c r="AG135" s="62" t="e">
        <v>#N/A</v>
      </c>
      <c r="AH135" s="62" t="e">
        <v>#N/A</v>
      </c>
      <c r="AI135" s="62" t="e">
        <v>#N/A</v>
      </c>
      <c r="AJ135" s="62" t="e">
        <v>#N/A</v>
      </c>
      <c r="AK135" s="64" t="e">
        <v>#N/A</v>
      </c>
      <c r="AL135" s="19">
        <v>80281</v>
      </c>
      <c r="AM135" s="19">
        <v>109271</v>
      </c>
      <c r="AN135" s="23">
        <v>9257</v>
      </c>
      <c r="AO135" s="19">
        <v>119317</v>
      </c>
      <c r="AP135" s="19">
        <v>1248</v>
      </c>
      <c r="AQ135" s="62"/>
      <c r="AR135" s="63"/>
      <c r="AS135" s="63"/>
      <c r="AT135" s="65">
        <f t="shared" si="11"/>
        <v>5011.3140000000003</v>
      </c>
      <c r="AU135" s="65">
        <f t="shared" si="12"/>
        <v>388.79399999999998</v>
      </c>
      <c r="AV135" s="65">
        <f t="shared" si="13"/>
        <v>52.415999999999997</v>
      </c>
      <c r="AW135" s="65">
        <f t="shared" ref="AW135:AX198" si="15">AL135*42/1000</f>
        <v>3371.8020000000001</v>
      </c>
      <c r="AX135" s="65">
        <f t="shared" si="15"/>
        <v>4589.3819999999996</v>
      </c>
      <c r="AY135" s="65">
        <f t="shared" si="14"/>
        <v>52.415999999999997</v>
      </c>
      <c r="AZ135" s="19">
        <v>26958</v>
      </c>
      <c r="BA135" s="19">
        <v>31330</v>
      </c>
      <c r="BB135" s="19">
        <v>29234</v>
      </c>
      <c r="BC135" s="19">
        <v>1578</v>
      </c>
      <c r="BD135" s="19">
        <v>318</v>
      </c>
      <c r="BE135" s="62"/>
      <c r="BF135" s="62"/>
      <c r="BG135" s="62"/>
      <c r="BH135" s="62"/>
      <c r="BI135" s="62"/>
      <c r="BJ135" s="62"/>
      <c r="BK135" s="62"/>
      <c r="BL135" s="62"/>
      <c r="BM135" s="62"/>
      <c r="BN135" s="62"/>
      <c r="BO135" s="62"/>
      <c r="BP135" s="62"/>
      <c r="BQ135" s="62"/>
      <c r="BR135" s="62"/>
      <c r="BS135" s="62"/>
      <c r="BT135" s="62"/>
      <c r="BU135" s="62"/>
      <c r="BV135" s="62"/>
      <c r="BW135" s="62"/>
      <c r="BX135" s="62"/>
      <c r="BY135" s="62"/>
      <c r="BZ135" s="62"/>
      <c r="CA135" s="62"/>
      <c r="CB135" s="62"/>
      <c r="CC135" s="62"/>
      <c r="CD135" s="62"/>
      <c r="CE135" s="62"/>
      <c r="CF135" s="62"/>
      <c r="CG135" s="62"/>
      <c r="CH135" s="62"/>
      <c r="CI135" s="62"/>
      <c r="CJ135" s="62"/>
      <c r="CK135" s="62"/>
      <c r="CL135" s="62"/>
      <c r="CM135" s="62"/>
      <c r="CN135" s="62"/>
      <c r="CO135" s="62"/>
      <c r="CP135" s="62"/>
      <c r="CQ135" s="62"/>
      <c r="CR135" s="62"/>
      <c r="CS135" s="62"/>
      <c r="CT135" s="62"/>
      <c r="CU135" s="62"/>
      <c r="CV135" s="62"/>
      <c r="CW135" s="62"/>
      <c r="CX135" s="62"/>
      <c r="CY135" s="62"/>
      <c r="CZ135" s="62"/>
      <c r="DA135" s="62"/>
      <c r="DB135" s="62"/>
      <c r="DC135" s="62"/>
      <c r="DD135" s="62"/>
      <c r="DE135" s="62"/>
      <c r="DF135" s="62"/>
      <c r="DG135" s="62"/>
      <c r="DH135" s="62"/>
      <c r="DI135" s="62"/>
      <c r="DJ135" s="62"/>
      <c r="DK135" s="62"/>
      <c r="DL135" s="62"/>
    </row>
    <row r="136" spans="1:116" hidden="1" x14ac:dyDescent="0.2">
      <c r="A136" s="57">
        <v>30713</v>
      </c>
      <c r="B136" s="58"/>
      <c r="C136" s="66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6"/>
      <c r="P136" s="61"/>
      <c r="Q136" s="62"/>
      <c r="R136" s="62"/>
      <c r="S136" s="62"/>
      <c r="T136" s="62"/>
      <c r="U136" s="62"/>
      <c r="V136" s="62"/>
      <c r="W136" s="62"/>
      <c r="X136" s="62"/>
      <c r="Y136" s="61"/>
      <c r="Z136" s="63"/>
      <c r="AA136" s="64" t="e">
        <v>#N/A</v>
      </c>
      <c r="AB136" s="62" t="e">
        <v>#N/A</v>
      </c>
      <c r="AC136" s="62" t="e">
        <v>#N/A</v>
      </c>
      <c r="AD136" s="62" t="e">
        <v>#N/A</v>
      </c>
      <c r="AE136" s="62" t="e">
        <v>#N/A</v>
      </c>
      <c r="AF136" s="62" t="e">
        <v>#N/A</v>
      </c>
      <c r="AG136" s="62" t="e">
        <v>#N/A</v>
      </c>
      <c r="AH136" s="62" t="e">
        <v>#N/A</v>
      </c>
      <c r="AI136" s="62" t="e">
        <v>#N/A</v>
      </c>
      <c r="AJ136" s="62" t="e">
        <v>#N/A</v>
      </c>
      <c r="AK136" s="64" t="e">
        <v>#N/A</v>
      </c>
      <c r="AL136" s="19">
        <v>83106</v>
      </c>
      <c r="AM136" s="19">
        <v>82185</v>
      </c>
      <c r="AN136" s="23">
        <v>13167</v>
      </c>
      <c r="AO136" s="19">
        <v>132242</v>
      </c>
      <c r="AP136" s="19">
        <v>1203</v>
      </c>
      <c r="AQ136" s="62"/>
      <c r="AR136" s="63"/>
      <c r="AS136" s="63"/>
      <c r="AT136" s="65">
        <f t="shared" si="11"/>
        <v>5554.1639999999998</v>
      </c>
      <c r="AU136" s="65">
        <f t="shared" si="12"/>
        <v>553.01400000000001</v>
      </c>
      <c r="AV136" s="65">
        <f t="shared" si="13"/>
        <v>50.526000000000003</v>
      </c>
      <c r="AW136" s="65">
        <f t="shared" si="15"/>
        <v>3490.4520000000002</v>
      </c>
      <c r="AX136" s="65">
        <f t="shared" si="15"/>
        <v>3451.77</v>
      </c>
      <c r="AY136" s="65">
        <f t="shared" si="14"/>
        <v>50.526000000000003</v>
      </c>
      <c r="AZ136" s="19">
        <v>27201</v>
      </c>
      <c r="BA136" s="19">
        <v>26639</v>
      </c>
      <c r="BB136" s="19">
        <v>32929</v>
      </c>
      <c r="BC136" s="19">
        <v>3201</v>
      </c>
      <c r="BD136" s="19">
        <v>68</v>
      </c>
      <c r="BE136" s="62"/>
      <c r="BF136" s="62"/>
      <c r="BG136" s="62"/>
      <c r="BH136" s="62"/>
      <c r="BI136" s="62"/>
      <c r="BJ136" s="62"/>
      <c r="BK136" s="62"/>
      <c r="BL136" s="62"/>
      <c r="BM136" s="62"/>
      <c r="BN136" s="62"/>
      <c r="BO136" s="62"/>
      <c r="BP136" s="62"/>
      <c r="BQ136" s="62"/>
      <c r="BR136" s="62"/>
      <c r="BS136" s="62"/>
      <c r="BT136" s="62"/>
      <c r="BU136" s="62"/>
      <c r="BV136" s="62"/>
      <c r="BW136" s="62"/>
      <c r="BX136" s="62"/>
      <c r="BY136" s="62"/>
      <c r="BZ136" s="62"/>
      <c r="CA136" s="62"/>
      <c r="CB136" s="62"/>
      <c r="CC136" s="62"/>
      <c r="CD136" s="62"/>
      <c r="CE136" s="62"/>
      <c r="CF136" s="62"/>
      <c r="CG136" s="62"/>
      <c r="CH136" s="62"/>
      <c r="CI136" s="62"/>
      <c r="CJ136" s="62"/>
      <c r="CK136" s="62"/>
      <c r="CL136" s="62"/>
      <c r="CM136" s="62"/>
      <c r="CN136" s="62"/>
      <c r="CO136" s="62"/>
      <c r="CP136" s="62"/>
      <c r="CQ136" s="62"/>
      <c r="CR136" s="62"/>
      <c r="CS136" s="62"/>
      <c r="CT136" s="62"/>
      <c r="CU136" s="62"/>
      <c r="CV136" s="62"/>
      <c r="CW136" s="62"/>
      <c r="CX136" s="62"/>
      <c r="CY136" s="62"/>
      <c r="CZ136" s="62"/>
      <c r="DA136" s="62"/>
      <c r="DB136" s="62"/>
      <c r="DC136" s="62"/>
      <c r="DD136" s="62"/>
      <c r="DE136" s="62"/>
      <c r="DF136" s="62"/>
      <c r="DG136" s="62"/>
      <c r="DH136" s="62"/>
      <c r="DI136" s="62"/>
      <c r="DJ136" s="62"/>
      <c r="DK136" s="62"/>
      <c r="DL136" s="62"/>
    </row>
    <row r="137" spans="1:116" hidden="1" x14ac:dyDescent="0.2">
      <c r="A137" s="57">
        <v>30742</v>
      </c>
      <c r="B137" s="58"/>
      <c r="C137" s="66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6"/>
      <c r="P137" s="61"/>
      <c r="Q137" s="62"/>
      <c r="R137" s="62"/>
      <c r="S137" s="62"/>
      <c r="T137" s="62"/>
      <c r="U137" s="62"/>
      <c r="V137" s="62"/>
      <c r="W137" s="62"/>
      <c r="X137" s="62"/>
      <c r="Y137" s="61"/>
      <c r="Z137" s="63"/>
      <c r="AA137" s="64" t="e">
        <v>#N/A</v>
      </c>
      <c r="AB137" s="62" t="e">
        <v>#N/A</v>
      </c>
      <c r="AC137" s="62" t="e">
        <v>#N/A</v>
      </c>
      <c r="AD137" s="62" t="e">
        <v>#N/A</v>
      </c>
      <c r="AE137" s="62" t="e">
        <v>#N/A</v>
      </c>
      <c r="AF137" s="62" t="e">
        <v>#N/A</v>
      </c>
      <c r="AG137" s="62" t="e">
        <v>#N/A</v>
      </c>
      <c r="AH137" s="62" t="e">
        <v>#N/A</v>
      </c>
      <c r="AI137" s="62" t="e">
        <v>#N/A</v>
      </c>
      <c r="AJ137" s="62" t="e">
        <v>#N/A</v>
      </c>
      <c r="AK137" s="64" t="e">
        <v>#N/A</v>
      </c>
      <c r="AL137" s="19">
        <v>76800</v>
      </c>
      <c r="AM137" s="19">
        <v>101043</v>
      </c>
      <c r="AN137" s="23">
        <v>3568</v>
      </c>
      <c r="AO137" s="19">
        <v>109572</v>
      </c>
      <c r="AP137" s="19">
        <v>2036</v>
      </c>
      <c r="AQ137" s="62"/>
      <c r="AR137" s="63"/>
      <c r="AS137" s="63"/>
      <c r="AT137" s="65">
        <f t="shared" si="11"/>
        <v>4602.0240000000003</v>
      </c>
      <c r="AU137" s="65">
        <f t="shared" si="12"/>
        <v>149.85599999999999</v>
      </c>
      <c r="AV137" s="65">
        <f t="shared" si="13"/>
        <v>85.512</v>
      </c>
      <c r="AW137" s="65">
        <f t="shared" si="15"/>
        <v>3225.6</v>
      </c>
      <c r="AX137" s="65">
        <f t="shared" si="15"/>
        <v>4243.8059999999996</v>
      </c>
      <c r="AY137" s="65">
        <f t="shared" si="14"/>
        <v>85.512</v>
      </c>
      <c r="AZ137" s="19">
        <v>27675</v>
      </c>
      <c r="BA137" s="19">
        <v>27832</v>
      </c>
      <c r="BB137" s="19">
        <v>33917</v>
      </c>
      <c r="BC137" s="19">
        <v>1166</v>
      </c>
      <c r="BD137" s="19">
        <v>21</v>
      </c>
      <c r="BE137" s="62"/>
      <c r="BF137" s="62"/>
      <c r="BG137" s="62"/>
      <c r="BH137" s="62"/>
      <c r="BI137" s="62"/>
      <c r="BJ137" s="62"/>
      <c r="BK137" s="62"/>
      <c r="BL137" s="62"/>
      <c r="BM137" s="62"/>
      <c r="BN137" s="62"/>
      <c r="BO137" s="62"/>
      <c r="BP137" s="62"/>
      <c r="BQ137" s="62"/>
      <c r="BR137" s="62"/>
      <c r="BS137" s="62"/>
      <c r="BT137" s="62"/>
      <c r="BU137" s="62"/>
      <c r="BV137" s="62"/>
      <c r="BW137" s="62"/>
      <c r="BX137" s="62"/>
      <c r="BY137" s="62"/>
      <c r="BZ137" s="62"/>
      <c r="CA137" s="62"/>
      <c r="CB137" s="62"/>
      <c r="CC137" s="62"/>
      <c r="CD137" s="62"/>
      <c r="CE137" s="62"/>
      <c r="CF137" s="62"/>
      <c r="CG137" s="62"/>
      <c r="CH137" s="62"/>
      <c r="CI137" s="62"/>
      <c r="CJ137" s="62"/>
      <c r="CK137" s="62"/>
      <c r="CL137" s="62"/>
      <c r="CM137" s="62"/>
      <c r="CN137" s="62"/>
      <c r="CO137" s="62"/>
      <c r="CP137" s="62"/>
      <c r="CQ137" s="62"/>
      <c r="CR137" s="62"/>
      <c r="CS137" s="62"/>
      <c r="CT137" s="62"/>
      <c r="CU137" s="62"/>
      <c r="CV137" s="62"/>
      <c r="CW137" s="62"/>
      <c r="CX137" s="62"/>
      <c r="CY137" s="62"/>
      <c r="CZ137" s="62"/>
      <c r="DA137" s="62"/>
      <c r="DB137" s="62"/>
      <c r="DC137" s="62"/>
      <c r="DD137" s="62"/>
      <c r="DE137" s="62"/>
      <c r="DF137" s="62"/>
      <c r="DG137" s="62"/>
      <c r="DH137" s="62"/>
      <c r="DI137" s="62"/>
      <c r="DJ137" s="62"/>
      <c r="DK137" s="62"/>
      <c r="DL137" s="62"/>
    </row>
    <row r="138" spans="1:116" hidden="1" x14ac:dyDescent="0.2">
      <c r="A138" s="57">
        <v>30773</v>
      </c>
      <c r="B138" s="58"/>
      <c r="C138" s="66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6"/>
      <c r="P138" s="61"/>
      <c r="Q138" s="62"/>
      <c r="R138" s="62"/>
      <c r="S138" s="62"/>
      <c r="T138" s="62"/>
      <c r="U138" s="62"/>
      <c r="V138" s="62"/>
      <c r="W138" s="62"/>
      <c r="X138" s="62"/>
      <c r="Y138" s="61"/>
      <c r="Z138" s="63"/>
      <c r="AA138" s="64" t="e">
        <v>#N/A</v>
      </c>
      <c r="AB138" s="62" t="e">
        <v>#N/A</v>
      </c>
      <c r="AC138" s="62" t="e">
        <v>#N/A</v>
      </c>
      <c r="AD138" s="62" t="e">
        <v>#N/A</v>
      </c>
      <c r="AE138" s="62" t="e">
        <v>#N/A</v>
      </c>
      <c r="AF138" s="62" t="e">
        <v>#N/A</v>
      </c>
      <c r="AG138" s="62" t="e">
        <v>#N/A</v>
      </c>
      <c r="AH138" s="62" t="e">
        <v>#N/A</v>
      </c>
      <c r="AI138" s="62" t="e">
        <v>#N/A</v>
      </c>
      <c r="AJ138" s="62" t="e">
        <v>#N/A</v>
      </c>
      <c r="AK138" s="64" t="e">
        <v>#N/A</v>
      </c>
      <c r="AL138" s="19">
        <v>70218</v>
      </c>
      <c r="AM138" s="19">
        <v>87790</v>
      </c>
      <c r="AN138" s="23">
        <v>6608</v>
      </c>
      <c r="AO138" s="19">
        <v>97690</v>
      </c>
      <c r="AP138" s="19">
        <v>959</v>
      </c>
      <c r="AQ138" s="62"/>
      <c r="AR138" s="63"/>
      <c r="AS138" s="63"/>
      <c r="AT138" s="65">
        <f t="shared" si="11"/>
        <v>4102.9799999999996</v>
      </c>
      <c r="AU138" s="65">
        <f t="shared" si="12"/>
        <v>277.536</v>
      </c>
      <c r="AV138" s="65">
        <f t="shared" si="13"/>
        <v>40.277999999999999</v>
      </c>
      <c r="AW138" s="65">
        <f t="shared" si="15"/>
        <v>2949.1559999999999</v>
      </c>
      <c r="AX138" s="65">
        <f t="shared" si="15"/>
        <v>3687.18</v>
      </c>
      <c r="AY138" s="65">
        <f t="shared" si="14"/>
        <v>40.277999999999999</v>
      </c>
      <c r="AZ138" s="19">
        <v>26122</v>
      </c>
      <c r="BA138" s="19">
        <v>27096</v>
      </c>
      <c r="BB138" s="19">
        <v>34056</v>
      </c>
      <c r="BC138" s="19">
        <v>1261</v>
      </c>
      <c r="BD138" s="19">
        <v>148</v>
      </c>
      <c r="BE138" s="62"/>
      <c r="BF138" s="62"/>
      <c r="BG138" s="62"/>
      <c r="BH138" s="62"/>
      <c r="BI138" s="62"/>
      <c r="BJ138" s="62"/>
      <c r="BK138" s="62"/>
      <c r="BL138" s="62"/>
      <c r="BM138" s="62"/>
      <c r="BN138" s="62"/>
      <c r="BO138" s="62"/>
      <c r="BP138" s="62"/>
      <c r="BQ138" s="62"/>
      <c r="BR138" s="62"/>
      <c r="BS138" s="62"/>
      <c r="BT138" s="62"/>
      <c r="BU138" s="62"/>
      <c r="BV138" s="62"/>
      <c r="BW138" s="62"/>
      <c r="BX138" s="62"/>
      <c r="BY138" s="62"/>
      <c r="BZ138" s="62"/>
      <c r="CA138" s="62"/>
      <c r="CB138" s="62"/>
      <c r="CC138" s="62"/>
      <c r="CD138" s="62"/>
      <c r="CE138" s="62"/>
      <c r="CF138" s="62"/>
      <c r="CG138" s="62"/>
      <c r="CH138" s="62"/>
      <c r="CI138" s="62"/>
      <c r="CJ138" s="62"/>
      <c r="CK138" s="62"/>
      <c r="CL138" s="62"/>
      <c r="CM138" s="62"/>
      <c r="CN138" s="62"/>
      <c r="CO138" s="62"/>
      <c r="CP138" s="62"/>
      <c r="CQ138" s="62"/>
      <c r="CR138" s="62"/>
      <c r="CS138" s="62"/>
      <c r="CT138" s="62"/>
      <c r="CU138" s="62"/>
      <c r="CV138" s="62"/>
      <c r="CW138" s="62"/>
      <c r="CX138" s="62"/>
      <c r="CY138" s="62"/>
      <c r="CZ138" s="62"/>
      <c r="DA138" s="62"/>
      <c r="DB138" s="62"/>
      <c r="DC138" s="62"/>
      <c r="DD138" s="62"/>
      <c r="DE138" s="62"/>
      <c r="DF138" s="62"/>
      <c r="DG138" s="62"/>
      <c r="DH138" s="62"/>
      <c r="DI138" s="62"/>
      <c r="DJ138" s="62"/>
      <c r="DK138" s="62"/>
      <c r="DL138" s="62"/>
    </row>
    <row r="139" spans="1:116" hidden="1" x14ac:dyDescent="0.2">
      <c r="A139" s="57">
        <v>30803</v>
      </c>
      <c r="B139" s="58"/>
      <c r="C139" s="66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6"/>
      <c r="P139" s="61"/>
      <c r="Q139" s="62"/>
      <c r="R139" s="62"/>
      <c r="S139" s="62"/>
      <c r="T139" s="62"/>
      <c r="U139" s="62"/>
      <c r="V139" s="62"/>
      <c r="W139" s="62"/>
      <c r="X139" s="62"/>
      <c r="Y139" s="61"/>
      <c r="Z139" s="63"/>
      <c r="AA139" s="64" t="e">
        <v>#N/A</v>
      </c>
      <c r="AB139" s="62" t="e">
        <v>#N/A</v>
      </c>
      <c r="AC139" s="62" t="e">
        <v>#N/A</v>
      </c>
      <c r="AD139" s="62" t="e">
        <v>#N/A</v>
      </c>
      <c r="AE139" s="62" t="e">
        <v>#N/A</v>
      </c>
      <c r="AF139" s="62" t="e">
        <v>#N/A</v>
      </c>
      <c r="AG139" s="62" t="e">
        <v>#N/A</v>
      </c>
      <c r="AH139" s="62" t="e">
        <v>#N/A</v>
      </c>
      <c r="AI139" s="62" t="e">
        <v>#N/A</v>
      </c>
      <c r="AJ139" s="62" t="e">
        <v>#N/A</v>
      </c>
      <c r="AK139" s="64" t="e">
        <v>#N/A</v>
      </c>
      <c r="AL139" s="19">
        <v>81298</v>
      </c>
      <c r="AM139" s="19">
        <v>87223</v>
      </c>
      <c r="AN139" s="23">
        <v>7836</v>
      </c>
      <c r="AO139" s="19">
        <v>98144</v>
      </c>
      <c r="AP139" s="19">
        <v>1498</v>
      </c>
      <c r="AQ139" s="62"/>
      <c r="AR139" s="63"/>
      <c r="AS139" s="63"/>
      <c r="AT139" s="65">
        <f t="shared" si="11"/>
        <v>4122.0479999999998</v>
      </c>
      <c r="AU139" s="65">
        <f t="shared" si="12"/>
        <v>329.11200000000002</v>
      </c>
      <c r="AV139" s="65">
        <f t="shared" si="13"/>
        <v>62.915999999999997</v>
      </c>
      <c r="AW139" s="65">
        <f t="shared" si="15"/>
        <v>3414.5160000000001</v>
      </c>
      <c r="AX139" s="65">
        <f t="shared" si="15"/>
        <v>3663.366</v>
      </c>
      <c r="AY139" s="65">
        <f t="shared" si="14"/>
        <v>62.915999999999997</v>
      </c>
      <c r="AZ139" s="19">
        <v>27600</v>
      </c>
      <c r="BA139" s="19">
        <v>28054</v>
      </c>
      <c r="BB139" s="19">
        <v>34488</v>
      </c>
      <c r="BC139" s="19">
        <v>908</v>
      </c>
      <c r="BD139" s="19">
        <v>22</v>
      </c>
      <c r="BE139" s="62"/>
      <c r="BF139" s="62"/>
      <c r="BG139" s="62"/>
      <c r="BH139" s="62"/>
      <c r="BI139" s="62"/>
      <c r="BJ139" s="62"/>
      <c r="BK139" s="62"/>
      <c r="BL139" s="62"/>
      <c r="BM139" s="62"/>
      <c r="BN139" s="62"/>
      <c r="BO139" s="62"/>
      <c r="BP139" s="62"/>
      <c r="BQ139" s="62"/>
      <c r="BR139" s="62"/>
      <c r="BS139" s="62"/>
      <c r="BT139" s="62"/>
      <c r="BU139" s="62"/>
      <c r="BV139" s="62"/>
      <c r="BW139" s="62"/>
      <c r="BX139" s="62"/>
      <c r="BY139" s="62"/>
      <c r="BZ139" s="62"/>
      <c r="CA139" s="62"/>
      <c r="CB139" s="62"/>
      <c r="CC139" s="62"/>
      <c r="CD139" s="62"/>
      <c r="CE139" s="62"/>
      <c r="CF139" s="62"/>
      <c r="CG139" s="62"/>
      <c r="CH139" s="62"/>
      <c r="CI139" s="62"/>
      <c r="CJ139" s="62"/>
      <c r="CK139" s="62"/>
      <c r="CL139" s="62"/>
      <c r="CM139" s="62"/>
      <c r="CN139" s="62"/>
      <c r="CO139" s="62"/>
      <c r="CP139" s="62"/>
      <c r="CQ139" s="62"/>
      <c r="CR139" s="62"/>
      <c r="CS139" s="62"/>
      <c r="CT139" s="62"/>
      <c r="CU139" s="62"/>
      <c r="CV139" s="62"/>
      <c r="CW139" s="62"/>
      <c r="CX139" s="62"/>
      <c r="CY139" s="62"/>
      <c r="CZ139" s="62"/>
      <c r="DA139" s="62"/>
      <c r="DB139" s="62"/>
      <c r="DC139" s="62"/>
      <c r="DD139" s="62"/>
      <c r="DE139" s="62"/>
      <c r="DF139" s="62"/>
      <c r="DG139" s="62"/>
      <c r="DH139" s="62"/>
      <c r="DI139" s="62"/>
      <c r="DJ139" s="62"/>
      <c r="DK139" s="62"/>
      <c r="DL139" s="62"/>
    </row>
    <row r="140" spans="1:116" hidden="1" x14ac:dyDescent="0.2">
      <c r="A140" s="57">
        <v>30834</v>
      </c>
      <c r="B140" s="58"/>
      <c r="C140" s="66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6"/>
      <c r="P140" s="61"/>
      <c r="Q140" s="62"/>
      <c r="R140" s="62"/>
      <c r="S140" s="62"/>
      <c r="T140" s="62"/>
      <c r="U140" s="62"/>
      <c r="V140" s="62"/>
      <c r="W140" s="62"/>
      <c r="X140" s="62"/>
      <c r="Y140" s="61"/>
      <c r="Z140" s="63"/>
      <c r="AA140" s="64" t="e">
        <v>#N/A</v>
      </c>
      <c r="AB140" s="62" t="e">
        <v>#N/A</v>
      </c>
      <c r="AC140" s="62" t="e">
        <v>#N/A</v>
      </c>
      <c r="AD140" s="62" t="e">
        <v>#N/A</v>
      </c>
      <c r="AE140" s="62" t="e">
        <v>#N/A</v>
      </c>
      <c r="AF140" s="62" t="e">
        <v>#N/A</v>
      </c>
      <c r="AG140" s="62" t="e">
        <v>#N/A</v>
      </c>
      <c r="AH140" s="62" t="e">
        <v>#N/A</v>
      </c>
      <c r="AI140" s="62" t="e">
        <v>#N/A</v>
      </c>
      <c r="AJ140" s="62" t="e">
        <v>#N/A</v>
      </c>
      <c r="AK140" s="64" t="e">
        <v>#N/A</v>
      </c>
      <c r="AL140" s="19">
        <v>86366</v>
      </c>
      <c r="AM140" s="19">
        <v>77803</v>
      </c>
      <c r="AN140" s="23">
        <v>7691</v>
      </c>
      <c r="AO140" s="19">
        <v>112849</v>
      </c>
      <c r="AP140" s="19">
        <v>1589</v>
      </c>
      <c r="AQ140" s="62"/>
      <c r="AR140" s="63"/>
      <c r="AS140" s="63"/>
      <c r="AT140" s="65">
        <f t="shared" si="11"/>
        <v>4739.6580000000004</v>
      </c>
      <c r="AU140" s="65">
        <f t="shared" si="12"/>
        <v>323.02199999999999</v>
      </c>
      <c r="AV140" s="65">
        <f t="shared" si="13"/>
        <v>66.738</v>
      </c>
      <c r="AW140" s="65">
        <f t="shared" si="15"/>
        <v>3627.3719999999998</v>
      </c>
      <c r="AX140" s="65">
        <f t="shared" si="15"/>
        <v>3267.7260000000001</v>
      </c>
      <c r="AY140" s="65">
        <f t="shared" si="14"/>
        <v>66.738</v>
      </c>
      <c r="AZ140" s="19">
        <v>27480</v>
      </c>
      <c r="BA140" s="19">
        <v>26764</v>
      </c>
      <c r="BB140" s="19">
        <v>36089</v>
      </c>
      <c r="BC140" s="19">
        <v>1076</v>
      </c>
      <c r="BD140" s="19">
        <v>191</v>
      </c>
      <c r="BE140" s="62"/>
      <c r="BF140" s="62"/>
      <c r="BG140" s="62"/>
      <c r="BH140" s="62"/>
      <c r="BI140" s="62"/>
      <c r="BJ140" s="62"/>
      <c r="BK140" s="62"/>
      <c r="BL140" s="62"/>
      <c r="BM140" s="62"/>
      <c r="BN140" s="62"/>
      <c r="BO140" s="62"/>
      <c r="BP140" s="62"/>
      <c r="BQ140" s="62"/>
      <c r="BR140" s="62"/>
      <c r="BS140" s="62"/>
      <c r="BT140" s="62"/>
      <c r="BU140" s="62"/>
      <c r="BV140" s="62"/>
      <c r="BW140" s="62"/>
      <c r="BX140" s="62"/>
      <c r="BY140" s="62"/>
      <c r="BZ140" s="62"/>
      <c r="CA140" s="62"/>
      <c r="CB140" s="62"/>
      <c r="CC140" s="62"/>
      <c r="CD140" s="62"/>
      <c r="CE140" s="62"/>
      <c r="CF140" s="62"/>
      <c r="CG140" s="62"/>
      <c r="CH140" s="62"/>
      <c r="CI140" s="62"/>
      <c r="CJ140" s="62"/>
      <c r="CK140" s="62"/>
      <c r="CL140" s="62"/>
      <c r="CM140" s="62"/>
      <c r="CN140" s="62"/>
      <c r="CO140" s="62"/>
      <c r="CP140" s="62"/>
      <c r="CQ140" s="62"/>
      <c r="CR140" s="62"/>
      <c r="CS140" s="62"/>
      <c r="CT140" s="62"/>
      <c r="CU140" s="62"/>
      <c r="CV140" s="62"/>
      <c r="CW140" s="62"/>
      <c r="CX140" s="62"/>
      <c r="CY140" s="62"/>
      <c r="CZ140" s="62"/>
      <c r="DA140" s="62"/>
      <c r="DB140" s="62"/>
      <c r="DC140" s="62"/>
      <c r="DD140" s="62"/>
      <c r="DE140" s="62"/>
      <c r="DF140" s="62"/>
      <c r="DG140" s="62"/>
      <c r="DH140" s="62"/>
      <c r="DI140" s="62"/>
      <c r="DJ140" s="62"/>
      <c r="DK140" s="62"/>
      <c r="DL140" s="62"/>
    </row>
    <row r="141" spans="1:116" hidden="1" x14ac:dyDescent="0.2">
      <c r="A141" s="57">
        <v>30864</v>
      </c>
      <c r="B141" s="58"/>
      <c r="C141" s="66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6"/>
      <c r="P141" s="61"/>
      <c r="Q141" s="62"/>
      <c r="R141" s="62"/>
      <c r="S141" s="62"/>
      <c r="T141" s="62"/>
      <c r="U141" s="62"/>
      <c r="V141" s="62"/>
      <c r="W141" s="62"/>
      <c r="X141" s="62"/>
      <c r="Y141" s="61"/>
      <c r="Z141" s="63"/>
      <c r="AA141" s="64" t="e">
        <v>#N/A</v>
      </c>
      <c r="AB141" s="62" t="e">
        <v>#N/A</v>
      </c>
      <c r="AC141" s="62" t="e">
        <v>#N/A</v>
      </c>
      <c r="AD141" s="62" t="e">
        <v>#N/A</v>
      </c>
      <c r="AE141" s="62" t="e">
        <v>#N/A</v>
      </c>
      <c r="AF141" s="62" t="e">
        <v>#N/A</v>
      </c>
      <c r="AG141" s="62" t="e">
        <v>#N/A</v>
      </c>
      <c r="AH141" s="62" t="e">
        <v>#N/A</v>
      </c>
      <c r="AI141" s="62" t="e">
        <v>#N/A</v>
      </c>
      <c r="AJ141" s="62" t="e">
        <v>#N/A</v>
      </c>
      <c r="AK141" s="64" t="e">
        <v>#N/A</v>
      </c>
      <c r="AL141" s="19">
        <v>84245</v>
      </c>
      <c r="AM141" s="19">
        <v>77622</v>
      </c>
      <c r="AN141" s="23">
        <v>6156</v>
      </c>
      <c r="AO141" s="19">
        <v>124421</v>
      </c>
      <c r="AP141" s="19">
        <v>1245</v>
      </c>
      <c r="AQ141" s="62"/>
      <c r="AR141" s="63"/>
      <c r="AS141" s="63"/>
      <c r="AT141" s="65">
        <f t="shared" si="11"/>
        <v>5225.6819999999998</v>
      </c>
      <c r="AU141" s="65">
        <f t="shared" si="12"/>
        <v>258.55200000000002</v>
      </c>
      <c r="AV141" s="65">
        <f t="shared" si="13"/>
        <v>52.29</v>
      </c>
      <c r="AW141" s="65">
        <f t="shared" si="15"/>
        <v>3538.29</v>
      </c>
      <c r="AX141" s="65">
        <f t="shared" si="15"/>
        <v>3260.1239999999998</v>
      </c>
      <c r="AY141" s="65">
        <f t="shared" si="14"/>
        <v>52.29</v>
      </c>
      <c r="AZ141" s="19">
        <v>29395</v>
      </c>
      <c r="BA141" s="19">
        <v>29645</v>
      </c>
      <c r="BB141" s="19">
        <v>36780</v>
      </c>
      <c r="BC141" s="19">
        <v>1247</v>
      </c>
      <c r="BD141" s="19">
        <v>306</v>
      </c>
      <c r="BE141" s="62"/>
      <c r="BF141" s="62"/>
      <c r="BG141" s="62"/>
      <c r="BH141" s="62"/>
      <c r="BI141" s="62"/>
      <c r="BJ141" s="62"/>
      <c r="BK141" s="62"/>
      <c r="BL141" s="62"/>
      <c r="BM141" s="62"/>
      <c r="BN141" s="62"/>
      <c r="BO141" s="62"/>
      <c r="BP141" s="62"/>
      <c r="BQ141" s="62"/>
      <c r="BR141" s="62"/>
      <c r="BS141" s="62"/>
      <c r="BT141" s="62"/>
      <c r="BU141" s="62"/>
      <c r="BV141" s="62"/>
      <c r="BW141" s="62"/>
      <c r="BX141" s="62"/>
      <c r="BY141" s="62"/>
      <c r="BZ141" s="62"/>
      <c r="CA141" s="62"/>
      <c r="CB141" s="62"/>
      <c r="CC141" s="62"/>
      <c r="CD141" s="62"/>
      <c r="CE141" s="62"/>
      <c r="CF141" s="62"/>
      <c r="CG141" s="62"/>
      <c r="CH141" s="62"/>
      <c r="CI141" s="62"/>
      <c r="CJ141" s="62"/>
      <c r="CK141" s="62"/>
      <c r="CL141" s="62"/>
      <c r="CM141" s="62"/>
      <c r="CN141" s="62"/>
      <c r="CO141" s="62"/>
      <c r="CP141" s="62"/>
      <c r="CQ141" s="62"/>
      <c r="CR141" s="62"/>
      <c r="CS141" s="62"/>
      <c r="CT141" s="62"/>
      <c r="CU141" s="62"/>
      <c r="CV141" s="62"/>
      <c r="CW141" s="62"/>
      <c r="CX141" s="62"/>
      <c r="CY141" s="62"/>
      <c r="CZ141" s="62"/>
      <c r="DA141" s="62"/>
      <c r="DB141" s="62"/>
      <c r="DC141" s="62"/>
      <c r="DD141" s="62"/>
      <c r="DE141" s="62"/>
      <c r="DF141" s="62"/>
      <c r="DG141" s="62"/>
      <c r="DH141" s="62"/>
      <c r="DI141" s="62"/>
      <c r="DJ141" s="62"/>
      <c r="DK141" s="62"/>
      <c r="DL141" s="62"/>
    </row>
    <row r="142" spans="1:116" hidden="1" x14ac:dyDescent="0.2">
      <c r="A142" s="57">
        <v>30895</v>
      </c>
      <c r="B142" s="58"/>
      <c r="C142" s="66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6"/>
      <c r="P142" s="61"/>
      <c r="Q142" s="62"/>
      <c r="R142" s="62"/>
      <c r="S142" s="62"/>
      <c r="T142" s="62"/>
      <c r="U142" s="62"/>
      <c r="V142" s="62"/>
      <c r="W142" s="62"/>
      <c r="X142" s="62"/>
      <c r="Y142" s="61"/>
      <c r="Z142" s="63"/>
      <c r="AA142" s="64" t="e">
        <v>#N/A</v>
      </c>
      <c r="AB142" s="62" t="e">
        <v>#N/A</v>
      </c>
      <c r="AC142" s="62" t="e">
        <v>#N/A</v>
      </c>
      <c r="AD142" s="62" t="e">
        <v>#N/A</v>
      </c>
      <c r="AE142" s="62" t="e">
        <v>#N/A</v>
      </c>
      <c r="AF142" s="62" t="e">
        <v>#N/A</v>
      </c>
      <c r="AG142" s="62" t="e">
        <v>#N/A</v>
      </c>
      <c r="AH142" s="62" t="e">
        <v>#N/A</v>
      </c>
      <c r="AI142" s="62" t="e">
        <v>#N/A</v>
      </c>
      <c r="AJ142" s="62" t="e">
        <v>#N/A</v>
      </c>
      <c r="AK142" s="64" t="e">
        <v>#N/A</v>
      </c>
      <c r="AL142" s="19">
        <v>82447</v>
      </c>
      <c r="AM142" s="19">
        <v>79322</v>
      </c>
      <c r="AN142" s="23">
        <v>8034</v>
      </c>
      <c r="AO142" s="19">
        <v>133317</v>
      </c>
      <c r="AP142" s="19">
        <v>2305</v>
      </c>
      <c r="AQ142" s="62"/>
      <c r="AR142" s="63"/>
      <c r="AS142" s="63"/>
      <c r="AT142" s="65">
        <f t="shared" si="11"/>
        <v>5599.3140000000003</v>
      </c>
      <c r="AU142" s="65">
        <f t="shared" si="12"/>
        <v>337.428</v>
      </c>
      <c r="AV142" s="65">
        <f t="shared" si="13"/>
        <v>96.81</v>
      </c>
      <c r="AW142" s="65">
        <f t="shared" si="15"/>
        <v>3462.7739999999999</v>
      </c>
      <c r="AX142" s="65">
        <f t="shared" si="15"/>
        <v>3331.5239999999999</v>
      </c>
      <c r="AY142" s="65">
        <f t="shared" si="14"/>
        <v>96.81</v>
      </c>
      <c r="AZ142" s="19">
        <v>30156</v>
      </c>
      <c r="BA142" s="19">
        <v>30751</v>
      </c>
      <c r="BB142" s="19">
        <v>38526</v>
      </c>
      <c r="BC142" s="19">
        <v>2392</v>
      </c>
      <c r="BD142" s="19">
        <v>52</v>
      </c>
      <c r="BE142" s="62"/>
      <c r="BF142" s="62"/>
      <c r="BG142" s="62"/>
      <c r="BH142" s="62"/>
      <c r="BI142" s="62"/>
      <c r="BJ142" s="62"/>
      <c r="BK142" s="62"/>
      <c r="BL142" s="62"/>
      <c r="BM142" s="62"/>
      <c r="BN142" s="62"/>
      <c r="BO142" s="62"/>
      <c r="BP142" s="62"/>
      <c r="BQ142" s="62"/>
      <c r="BR142" s="62"/>
      <c r="BS142" s="62"/>
      <c r="BT142" s="62"/>
      <c r="BU142" s="62"/>
      <c r="BV142" s="62"/>
      <c r="BW142" s="62"/>
      <c r="BX142" s="62"/>
      <c r="BY142" s="62"/>
      <c r="BZ142" s="62"/>
      <c r="CA142" s="62"/>
      <c r="CB142" s="62"/>
      <c r="CC142" s="62"/>
      <c r="CD142" s="62"/>
      <c r="CE142" s="62"/>
      <c r="CF142" s="62"/>
      <c r="CG142" s="62"/>
      <c r="CH142" s="62"/>
      <c r="CI142" s="62"/>
      <c r="CJ142" s="62"/>
      <c r="CK142" s="62"/>
      <c r="CL142" s="62"/>
      <c r="CM142" s="62"/>
      <c r="CN142" s="62"/>
      <c r="CO142" s="62"/>
      <c r="CP142" s="62"/>
      <c r="CQ142" s="62"/>
      <c r="CR142" s="62"/>
      <c r="CS142" s="62"/>
      <c r="CT142" s="62"/>
      <c r="CU142" s="62"/>
      <c r="CV142" s="62"/>
      <c r="CW142" s="62"/>
      <c r="CX142" s="62"/>
      <c r="CY142" s="62"/>
      <c r="CZ142" s="62"/>
      <c r="DA142" s="62"/>
      <c r="DB142" s="62"/>
      <c r="DC142" s="62"/>
      <c r="DD142" s="62"/>
      <c r="DE142" s="62"/>
      <c r="DF142" s="62"/>
      <c r="DG142" s="62"/>
      <c r="DH142" s="62"/>
      <c r="DI142" s="62"/>
      <c r="DJ142" s="62"/>
      <c r="DK142" s="62"/>
      <c r="DL142" s="62"/>
    </row>
    <row r="143" spans="1:116" hidden="1" x14ac:dyDescent="0.2">
      <c r="A143" s="57">
        <v>30926</v>
      </c>
      <c r="B143" s="58"/>
      <c r="C143" s="66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6"/>
      <c r="P143" s="61"/>
      <c r="Q143" s="62"/>
      <c r="R143" s="62"/>
      <c r="S143" s="62"/>
      <c r="T143" s="62"/>
      <c r="U143" s="62"/>
      <c r="V143" s="62"/>
      <c r="W143" s="62"/>
      <c r="X143" s="62"/>
      <c r="Y143" s="61"/>
      <c r="Z143" s="63"/>
      <c r="AA143" s="64" t="e">
        <v>#N/A</v>
      </c>
      <c r="AB143" s="62" t="e">
        <v>#N/A</v>
      </c>
      <c r="AC143" s="62" t="e">
        <v>#N/A</v>
      </c>
      <c r="AD143" s="62" t="e">
        <v>#N/A</v>
      </c>
      <c r="AE143" s="62" t="e">
        <v>#N/A</v>
      </c>
      <c r="AF143" s="62" t="e">
        <v>#N/A</v>
      </c>
      <c r="AG143" s="62" t="e">
        <v>#N/A</v>
      </c>
      <c r="AH143" s="62" t="e">
        <v>#N/A</v>
      </c>
      <c r="AI143" s="62" t="e">
        <v>#N/A</v>
      </c>
      <c r="AJ143" s="62" t="e">
        <v>#N/A</v>
      </c>
      <c r="AK143" s="64" t="e">
        <v>#N/A</v>
      </c>
      <c r="AL143" s="19">
        <v>81148</v>
      </c>
      <c r="AM143" s="19">
        <v>79634</v>
      </c>
      <c r="AN143" s="23">
        <v>8720</v>
      </c>
      <c r="AO143" s="19">
        <v>142943</v>
      </c>
      <c r="AP143" s="19">
        <v>655</v>
      </c>
      <c r="AQ143" s="62"/>
      <c r="AR143" s="63"/>
      <c r="AS143" s="63"/>
      <c r="AT143" s="65">
        <f t="shared" si="11"/>
        <v>6003.6059999999998</v>
      </c>
      <c r="AU143" s="65">
        <f t="shared" si="12"/>
        <v>366.24</v>
      </c>
      <c r="AV143" s="65">
        <f t="shared" si="13"/>
        <v>27.51</v>
      </c>
      <c r="AW143" s="65">
        <f t="shared" si="15"/>
        <v>3408.2159999999999</v>
      </c>
      <c r="AX143" s="65">
        <f t="shared" si="15"/>
        <v>3344.6280000000002</v>
      </c>
      <c r="AY143" s="65">
        <f t="shared" si="14"/>
        <v>27.51</v>
      </c>
      <c r="AZ143" s="19">
        <v>27788</v>
      </c>
      <c r="BA143" s="19">
        <v>29300</v>
      </c>
      <c r="BB143" s="19">
        <v>37989</v>
      </c>
      <c r="BC143" s="19">
        <v>1003</v>
      </c>
      <c r="BD143" s="19">
        <v>27</v>
      </c>
      <c r="BE143" s="62"/>
      <c r="BF143" s="62"/>
      <c r="BG143" s="62"/>
      <c r="BH143" s="62"/>
      <c r="BI143" s="62"/>
      <c r="BJ143" s="62"/>
      <c r="BK143" s="62"/>
      <c r="BL143" s="62"/>
      <c r="BM143" s="62"/>
      <c r="BN143" s="62"/>
      <c r="BO143" s="62"/>
      <c r="BP143" s="62"/>
      <c r="BQ143" s="62"/>
      <c r="BR143" s="62"/>
      <c r="BS143" s="62"/>
      <c r="BT143" s="62"/>
      <c r="BU143" s="62"/>
      <c r="BV143" s="62"/>
      <c r="BW143" s="62"/>
      <c r="BX143" s="62"/>
      <c r="BY143" s="62"/>
      <c r="BZ143" s="62"/>
      <c r="CA143" s="62"/>
      <c r="CB143" s="62"/>
      <c r="CC143" s="62"/>
      <c r="CD143" s="62"/>
      <c r="CE143" s="62"/>
      <c r="CF143" s="62"/>
      <c r="CG143" s="62"/>
      <c r="CH143" s="62"/>
      <c r="CI143" s="62"/>
      <c r="CJ143" s="62"/>
      <c r="CK143" s="62"/>
      <c r="CL143" s="62"/>
      <c r="CM143" s="62"/>
      <c r="CN143" s="62"/>
      <c r="CO143" s="62"/>
      <c r="CP143" s="62"/>
      <c r="CQ143" s="62"/>
      <c r="CR143" s="62"/>
      <c r="CS143" s="62"/>
      <c r="CT143" s="62"/>
      <c r="CU143" s="62"/>
      <c r="CV143" s="62"/>
      <c r="CW143" s="62"/>
      <c r="CX143" s="62"/>
      <c r="CY143" s="62"/>
      <c r="CZ143" s="62"/>
      <c r="DA143" s="62"/>
      <c r="DB143" s="62"/>
      <c r="DC143" s="62"/>
      <c r="DD143" s="62"/>
      <c r="DE143" s="62"/>
      <c r="DF143" s="62"/>
      <c r="DG143" s="62"/>
      <c r="DH143" s="62"/>
      <c r="DI143" s="62"/>
      <c r="DJ143" s="62"/>
      <c r="DK143" s="62"/>
      <c r="DL143" s="62"/>
    </row>
    <row r="144" spans="1:116" hidden="1" x14ac:dyDescent="0.2">
      <c r="A144" s="57">
        <v>30956</v>
      </c>
      <c r="B144" s="58"/>
      <c r="C144" s="66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6"/>
      <c r="P144" s="61"/>
      <c r="Q144" s="62"/>
      <c r="R144" s="62"/>
      <c r="S144" s="62"/>
      <c r="T144" s="62"/>
      <c r="U144" s="62"/>
      <c r="V144" s="62"/>
      <c r="W144" s="62"/>
      <c r="X144" s="62"/>
      <c r="Y144" s="61"/>
      <c r="Z144" s="63"/>
      <c r="AA144" s="64" t="e">
        <v>#N/A</v>
      </c>
      <c r="AB144" s="62" t="e">
        <v>#N/A</v>
      </c>
      <c r="AC144" s="62" t="e">
        <v>#N/A</v>
      </c>
      <c r="AD144" s="62" t="e">
        <v>#N/A</v>
      </c>
      <c r="AE144" s="62" t="e">
        <v>#N/A</v>
      </c>
      <c r="AF144" s="62" t="e">
        <v>#N/A</v>
      </c>
      <c r="AG144" s="62" t="e">
        <v>#N/A</v>
      </c>
      <c r="AH144" s="62" t="e">
        <v>#N/A</v>
      </c>
      <c r="AI144" s="62" t="e">
        <v>#N/A</v>
      </c>
      <c r="AJ144" s="62" t="e">
        <v>#N/A</v>
      </c>
      <c r="AK144" s="64" t="e">
        <v>#N/A</v>
      </c>
      <c r="AL144" s="19">
        <v>83388</v>
      </c>
      <c r="AM144" s="19">
        <v>85719</v>
      </c>
      <c r="AN144" s="23">
        <v>13037</v>
      </c>
      <c r="AO144" s="19">
        <v>152236</v>
      </c>
      <c r="AP144" s="19">
        <v>1460</v>
      </c>
      <c r="AQ144" s="62"/>
      <c r="AR144" s="63"/>
      <c r="AS144" s="63"/>
      <c r="AT144" s="65">
        <f t="shared" si="11"/>
        <v>6393.9120000000003</v>
      </c>
      <c r="AU144" s="65">
        <f t="shared" si="12"/>
        <v>547.55399999999997</v>
      </c>
      <c r="AV144" s="65">
        <f t="shared" si="13"/>
        <v>61.32</v>
      </c>
      <c r="AW144" s="65">
        <f t="shared" si="15"/>
        <v>3502.2959999999998</v>
      </c>
      <c r="AX144" s="65">
        <f t="shared" si="15"/>
        <v>3600.1979999999999</v>
      </c>
      <c r="AY144" s="65">
        <f t="shared" si="14"/>
        <v>61.32</v>
      </c>
      <c r="AZ144" s="19">
        <v>29703</v>
      </c>
      <c r="BA144" s="19">
        <v>31057</v>
      </c>
      <c r="BB144" s="19">
        <v>38214</v>
      </c>
      <c r="BC144" s="19">
        <v>1737</v>
      </c>
      <c r="BD144" s="19">
        <v>158</v>
      </c>
      <c r="BE144" s="62"/>
      <c r="BF144" s="62"/>
      <c r="BG144" s="62"/>
      <c r="BH144" s="62"/>
      <c r="BI144" s="62"/>
      <c r="BJ144" s="62"/>
      <c r="BK144" s="62"/>
      <c r="BL144" s="62"/>
      <c r="BM144" s="62"/>
      <c r="BN144" s="62"/>
      <c r="BO144" s="62"/>
      <c r="BP144" s="62"/>
      <c r="BQ144" s="62"/>
      <c r="BR144" s="62"/>
      <c r="BS144" s="62"/>
      <c r="BT144" s="62"/>
      <c r="BU144" s="62"/>
      <c r="BV144" s="62"/>
      <c r="BW144" s="62"/>
      <c r="BX144" s="62"/>
      <c r="BY144" s="62"/>
      <c r="BZ144" s="62"/>
      <c r="CA144" s="62"/>
      <c r="CB144" s="62"/>
      <c r="CC144" s="62"/>
      <c r="CD144" s="62"/>
      <c r="CE144" s="62"/>
      <c r="CF144" s="62"/>
      <c r="CG144" s="62"/>
      <c r="CH144" s="62"/>
      <c r="CI144" s="62"/>
      <c r="CJ144" s="62"/>
      <c r="CK144" s="62"/>
      <c r="CL144" s="62"/>
      <c r="CM144" s="62"/>
      <c r="CN144" s="62"/>
      <c r="CO144" s="62"/>
      <c r="CP144" s="62"/>
      <c r="CQ144" s="62"/>
      <c r="CR144" s="62"/>
      <c r="CS144" s="62"/>
      <c r="CT144" s="62"/>
      <c r="CU144" s="62"/>
      <c r="CV144" s="62"/>
      <c r="CW144" s="62"/>
      <c r="CX144" s="62"/>
      <c r="CY144" s="62"/>
      <c r="CZ144" s="62"/>
      <c r="DA144" s="62"/>
      <c r="DB144" s="62"/>
      <c r="DC144" s="62"/>
      <c r="DD144" s="62"/>
      <c r="DE144" s="62"/>
      <c r="DF144" s="62"/>
      <c r="DG144" s="62"/>
      <c r="DH144" s="62"/>
      <c r="DI144" s="62"/>
      <c r="DJ144" s="62"/>
      <c r="DK144" s="62"/>
      <c r="DL144" s="62"/>
    </row>
    <row r="145" spans="1:116" hidden="1" x14ac:dyDescent="0.2">
      <c r="A145" s="57">
        <v>30987</v>
      </c>
      <c r="B145" s="58"/>
      <c r="C145" s="66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6"/>
      <c r="P145" s="61"/>
      <c r="Q145" s="62"/>
      <c r="R145" s="62"/>
      <c r="S145" s="62"/>
      <c r="T145" s="62"/>
      <c r="U145" s="62"/>
      <c r="V145" s="62"/>
      <c r="W145" s="62"/>
      <c r="X145" s="62"/>
      <c r="Y145" s="61"/>
      <c r="Z145" s="63"/>
      <c r="AA145" s="64" t="e">
        <v>#N/A</v>
      </c>
      <c r="AB145" s="62" t="e">
        <v>#N/A</v>
      </c>
      <c r="AC145" s="62" t="e">
        <v>#N/A</v>
      </c>
      <c r="AD145" s="62" t="e">
        <v>#N/A</v>
      </c>
      <c r="AE145" s="62" t="e">
        <v>#N/A</v>
      </c>
      <c r="AF145" s="62" t="e">
        <v>#N/A</v>
      </c>
      <c r="AG145" s="62" t="e">
        <v>#N/A</v>
      </c>
      <c r="AH145" s="62" t="e">
        <v>#N/A</v>
      </c>
      <c r="AI145" s="62" t="e">
        <v>#N/A</v>
      </c>
      <c r="AJ145" s="62" t="e">
        <v>#N/A</v>
      </c>
      <c r="AK145" s="64" t="e">
        <v>#N/A</v>
      </c>
      <c r="AL145" s="19">
        <v>84743</v>
      </c>
      <c r="AM145" s="19">
        <v>84799</v>
      </c>
      <c r="AN145" s="23">
        <v>9465</v>
      </c>
      <c r="AO145" s="19">
        <v>160970</v>
      </c>
      <c r="AP145" s="19">
        <v>715</v>
      </c>
      <c r="AQ145" s="62"/>
      <c r="AR145" s="63"/>
      <c r="AS145" s="63"/>
      <c r="AT145" s="65">
        <f t="shared" si="11"/>
        <v>6760.74</v>
      </c>
      <c r="AU145" s="65">
        <f t="shared" si="12"/>
        <v>397.53</v>
      </c>
      <c r="AV145" s="65">
        <f t="shared" si="13"/>
        <v>30.03</v>
      </c>
      <c r="AW145" s="65">
        <f t="shared" si="15"/>
        <v>3559.2060000000001</v>
      </c>
      <c r="AX145" s="65">
        <f t="shared" si="15"/>
        <v>3561.558</v>
      </c>
      <c r="AY145" s="65">
        <f t="shared" si="14"/>
        <v>30.03</v>
      </c>
      <c r="AZ145" s="19">
        <v>27586</v>
      </c>
      <c r="BA145" s="19">
        <v>27726</v>
      </c>
      <c r="BB145" s="19">
        <v>38401</v>
      </c>
      <c r="BC145" s="19">
        <v>656</v>
      </c>
      <c r="BD145" s="19">
        <v>329</v>
      </c>
      <c r="BE145" s="62"/>
      <c r="BF145" s="62"/>
      <c r="BG145" s="62"/>
      <c r="BH145" s="62"/>
      <c r="BI145" s="62"/>
      <c r="BJ145" s="62"/>
      <c r="BK145" s="62"/>
      <c r="BL145" s="62"/>
      <c r="BM145" s="62"/>
      <c r="BN145" s="62"/>
      <c r="BO145" s="62"/>
      <c r="BP145" s="62"/>
      <c r="BQ145" s="62"/>
      <c r="BR145" s="62"/>
      <c r="BS145" s="62"/>
      <c r="BT145" s="62"/>
      <c r="BU145" s="62"/>
      <c r="BV145" s="62"/>
      <c r="BW145" s="62"/>
      <c r="BX145" s="62"/>
      <c r="BY145" s="62"/>
      <c r="BZ145" s="62"/>
      <c r="CA145" s="62"/>
      <c r="CB145" s="62"/>
      <c r="CC145" s="62"/>
      <c r="CD145" s="62"/>
      <c r="CE145" s="62"/>
      <c r="CF145" s="62"/>
      <c r="CG145" s="62"/>
      <c r="CH145" s="62"/>
      <c r="CI145" s="62"/>
      <c r="CJ145" s="62"/>
      <c r="CK145" s="62"/>
      <c r="CL145" s="62"/>
      <c r="CM145" s="62"/>
      <c r="CN145" s="62"/>
      <c r="CO145" s="62"/>
      <c r="CP145" s="62"/>
      <c r="CQ145" s="62"/>
      <c r="CR145" s="62"/>
      <c r="CS145" s="62"/>
      <c r="CT145" s="62"/>
      <c r="CU145" s="62"/>
      <c r="CV145" s="62"/>
      <c r="CW145" s="62"/>
      <c r="CX145" s="62"/>
      <c r="CY145" s="62"/>
      <c r="CZ145" s="62"/>
      <c r="DA145" s="62"/>
      <c r="DB145" s="62"/>
      <c r="DC145" s="62"/>
      <c r="DD145" s="62"/>
      <c r="DE145" s="62"/>
      <c r="DF145" s="62"/>
      <c r="DG145" s="62"/>
      <c r="DH145" s="62"/>
      <c r="DI145" s="62"/>
      <c r="DJ145" s="62"/>
      <c r="DK145" s="62"/>
      <c r="DL145" s="62"/>
    </row>
    <row r="146" spans="1:116" hidden="1" x14ac:dyDescent="0.2">
      <c r="A146" s="57">
        <v>31017</v>
      </c>
      <c r="B146" s="58"/>
      <c r="C146" s="66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6"/>
      <c r="P146" s="61"/>
      <c r="Q146" s="62"/>
      <c r="R146" s="62"/>
      <c r="S146" s="62"/>
      <c r="T146" s="62"/>
      <c r="U146" s="62"/>
      <c r="V146" s="62"/>
      <c r="W146" s="62"/>
      <c r="X146" s="62"/>
      <c r="Y146" s="61"/>
      <c r="Z146" s="63"/>
      <c r="AA146" s="64" t="e">
        <v>#N/A</v>
      </c>
      <c r="AB146" s="62" t="e">
        <v>#N/A</v>
      </c>
      <c r="AC146" s="62" t="e">
        <v>#N/A</v>
      </c>
      <c r="AD146" s="62" t="e">
        <v>#N/A</v>
      </c>
      <c r="AE146" s="62" t="e">
        <v>#N/A</v>
      </c>
      <c r="AF146" s="62" t="e">
        <v>#N/A</v>
      </c>
      <c r="AG146" s="62" t="e">
        <v>#N/A</v>
      </c>
      <c r="AH146" s="62" t="e">
        <v>#N/A</v>
      </c>
      <c r="AI146" s="62" t="e">
        <v>#N/A</v>
      </c>
      <c r="AJ146" s="62" t="e">
        <v>#N/A</v>
      </c>
      <c r="AK146" s="64" t="e">
        <v>#N/A</v>
      </c>
      <c r="AL146" s="19">
        <v>86687</v>
      </c>
      <c r="AM146" s="19">
        <v>88806</v>
      </c>
      <c r="AN146" s="23">
        <v>5900</v>
      </c>
      <c r="AO146" s="19">
        <v>161072</v>
      </c>
      <c r="AP146" s="19">
        <v>3724</v>
      </c>
      <c r="AQ146" s="62"/>
      <c r="AR146" s="63"/>
      <c r="AS146" s="63"/>
      <c r="AT146" s="65">
        <f t="shared" si="11"/>
        <v>6765.0240000000003</v>
      </c>
      <c r="AU146" s="65">
        <f t="shared" si="12"/>
        <v>247.8</v>
      </c>
      <c r="AV146" s="65">
        <f t="shared" si="13"/>
        <v>156.40799999999999</v>
      </c>
      <c r="AW146" s="65">
        <f t="shared" si="15"/>
        <v>3640.8539999999998</v>
      </c>
      <c r="AX146" s="65">
        <f t="shared" si="15"/>
        <v>3729.8519999999999</v>
      </c>
      <c r="AY146" s="65">
        <f t="shared" si="14"/>
        <v>156.40799999999999</v>
      </c>
      <c r="AZ146" s="19">
        <v>28857</v>
      </c>
      <c r="BA146" s="19">
        <v>32567</v>
      </c>
      <c r="BB146" s="19">
        <v>35118</v>
      </c>
      <c r="BC146" s="19">
        <v>1165</v>
      </c>
      <c r="BD146" s="19">
        <v>738</v>
      </c>
      <c r="BE146" s="62"/>
      <c r="BF146" s="62"/>
      <c r="BG146" s="62"/>
      <c r="BH146" s="62"/>
      <c r="BI146" s="62"/>
      <c r="BJ146" s="62"/>
      <c r="BK146" s="62"/>
      <c r="BL146" s="62"/>
      <c r="BM146" s="62"/>
      <c r="BN146" s="62"/>
      <c r="BO146" s="62"/>
      <c r="BP146" s="62"/>
      <c r="BQ146" s="62"/>
      <c r="BR146" s="62"/>
      <c r="BS146" s="62"/>
      <c r="BT146" s="62"/>
      <c r="BU146" s="62"/>
      <c r="BV146" s="62"/>
      <c r="BW146" s="62"/>
      <c r="BX146" s="62"/>
      <c r="BY146" s="62"/>
      <c r="BZ146" s="62"/>
      <c r="CA146" s="62"/>
      <c r="CB146" s="62"/>
      <c r="CC146" s="62"/>
      <c r="CD146" s="62"/>
      <c r="CE146" s="62"/>
      <c r="CF146" s="62"/>
      <c r="CG146" s="62"/>
      <c r="CH146" s="62"/>
      <c r="CI146" s="62"/>
      <c r="CJ146" s="62"/>
      <c r="CK146" s="62"/>
      <c r="CL146" s="62"/>
      <c r="CM146" s="62"/>
      <c r="CN146" s="62"/>
      <c r="CO146" s="62"/>
      <c r="CP146" s="62"/>
      <c r="CQ146" s="62"/>
      <c r="CR146" s="62"/>
      <c r="CS146" s="62"/>
      <c r="CT146" s="62"/>
      <c r="CU146" s="62"/>
      <c r="CV146" s="62"/>
      <c r="CW146" s="62"/>
      <c r="CX146" s="62"/>
      <c r="CY146" s="62"/>
      <c r="CZ146" s="62"/>
      <c r="DA146" s="62"/>
      <c r="DB146" s="62"/>
      <c r="DC146" s="62"/>
      <c r="DD146" s="62"/>
      <c r="DE146" s="62"/>
      <c r="DF146" s="62"/>
      <c r="DG146" s="62"/>
      <c r="DH146" s="62"/>
      <c r="DI146" s="62"/>
      <c r="DJ146" s="62"/>
      <c r="DK146" s="62"/>
      <c r="DL146" s="62"/>
    </row>
    <row r="147" spans="1:116" hidden="1" x14ac:dyDescent="0.2">
      <c r="A147" s="57">
        <v>31048</v>
      </c>
      <c r="B147" s="58"/>
      <c r="C147" s="66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6"/>
      <c r="P147" s="61"/>
      <c r="Q147" s="62"/>
      <c r="R147" s="62"/>
      <c r="S147" s="62"/>
      <c r="T147" s="62"/>
      <c r="U147" s="62"/>
      <c r="V147" s="62"/>
      <c r="W147" s="62"/>
      <c r="X147" s="62"/>
      <c r="Y147" s="61"/>
      <c r="Z147" s="63"/>
      <c r="AA147" s="64" t="e">
        <v>#N/A</v>
      </c>
      <c r="AB147" s="62" t="e">
        <v>#N/A</v>
      </c>
      <c r="AC147" s="62" t="e">
        <v>#N/A</v>
      </c>
      <c r="AD147" s="62" t="e">
        <v>#N/A</v>
      </c>
      <c r="AE147" s="62" t="e">
        <v>#N/A</v>
      </c>
      <c r="AF147" s="62" t="e">
        <v>#N/A</v>
      </c>
      <c r="AG147" s="62" t="e">
        <v>#N/A</v>
      </c>
      <c r="AH147" s="62" t="e">
        <v>#N/A</v>
      </c>
      <c r="AI147" s="62" t="e">
        <v>#N/A</v>
      </c>
      <c r="AJ147" s="62" t="e">
        <v>#N/A</v>
      </c>
      <c r="AK147" s="64" t="e">
        <v>#N/A</v>
      </c>
      <c r="AL147" s="19">
        <v>81531</v>
      </c>
      <c r="AM147" s="19">
        <v>107419</v>
      </c>
      <c r="AN147" s="23">
        <v>8418</v>
      </c>
      <c r="AO147" s="19">
        <v>142384</v>
      </c>
      <c r="AP147" s="19">
        <v>1260</v>
      </c>
      <c r="AQ147" s="62"/>
      <c r="AR147" s="63"/>
      <c r="AS147" s="63"/>
      <c r="AT147" s="65">
        <f t="shared" si="11"/>
        <v>5980.1279999999997</v>
      </c>
      <c r="AU147" s="65">
        <f t="shared" si="12"/>
        <v>353.55599999999998</v>
      </c>
      <c r="AV147" s="65">
        <f t="shared" si="13"/>
        <v>52.92</v>
      </c>
      <c r="AW147" s="65">
        <f t="shared" si="15"/>
        <v>3424.3020000000001</v>
      </c>
      <c r="AX147" s="65">
        <f t="shared" si="15"/>
        <v>4511.598</v>
      </c>
      <c r="AY147" s="65">
        <f t="shared" si="14"/>
        <v>52.92</v>
      </c>
      <c r="AZ147" s="19">
        <v>29703</v>
      </c>
      <c r="BA147" s="19">
        <v>31560</v>
      </c>
      <c r="BB147" s="19">
        <v>34691</v>
      </c>
      <c r="BC147" s="19">
        <v>1509</v>
      </c>
      <c r="BD147" s="19">
        <v>79</v>
      </c>
      <c r="BE147" s="62"/>
      <c r="BF147" s="62"/>
      <c r="BG147" s="62"/>
      <c r="BH147" s="62"/>
      <c r="BI147" s="62"/>
      <c r="BJ147" s="62"/>
      <c r="BK147" s="62"/>
      <c r="BL147" s="62"/>
      <c r="BM147" s="62"/>
      <c r="BN147" s="62"/>
      <c r="BO147" s="62"/>
      <c r="BP147" s="62"/>
      <c r="BQ147" s="62"/>
      <c r="BR147" s="62"/>
      <c r="BS147" s="62"/>
      <c r="BT147" s="62"/>
      <c r="BU147" s="62"/>
      <c r="BV147" s="62"/>
      <c r="BW147" s="62"/>
      <c r="BX147" s="62"/>
      <c r="BY147" s="62"/>
      <c r="BZ147" s="62"/>
      <c r="CA147" s="62"/>
      <c r="CB147" s="62"/>
      <c r="CC147" s="62"/>
      <c r="CD147" s="62"/>
      <c r="CE147" s="62"/>
      <c r="CF147" s="62"/>
      <c r="CG147" s="62"/>
      <c r="CH147" s="62"/>
      <c r="CI147" s="62"/>
      <c r="CJ147" s="62"/>
      <c r="CK147" s="62"/>
      <c r="CL147" s="62"/>
      <c r="CM147" s="62"/>
      <c r="CN147" s="62"/>
      <c r="CO147" s="62"/>
      <c r="CP147" s="62"/>
      <c r="CQ147" s="62"/>
      <c r="CR147" s="62"/>
      <c r="CS147" s="62"/>
      <c r="CT147" s="62"/>
      <c r="CU147" s="62"/>
      <c r="CV147" s="62"/>
      <c r="CW147" s="62"/>
      <c r="CX147" s="62"/>
      <c r="CY147" s="62"/>
      <c r="CZ147" s="62"/>
      <c r="DA147" s="62"/>
      <c r="DB147" s="62"/>
      <c r="DC147" s="62"/>
      <c r="DD147" s="62"/>
      <c r="DE147" s="62"/>
      <c r="DF147" s="62"/>
      <c r="DG147" s="62"/>
      <c r="DH147" s="62"/>
      <c r="DI147" s="62"/>
      <c r="DJ147" s="62"/>
      <c r="DK147" s="62"/>
      <c r="DL147" s="62"/>
    </row>
    <row r="148" spans="1:116" hidden="1" x14ac:dyDescent="0.2">
      <c r="A148" s="57">
        <v>31079</v>
      </c>
      <c r="B148" s="58"/>
      <c r="C148" s="66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6"/>
      <c r="P148" s="61"/>
      <c r="Q148" s="62"/>
      <c r="R148" s="62"/>
      <c r="S148" s="62"/>
      <c r="T148" s="62"/>
      <c r="U148" s="62"/>
      <c r="V148" s="62"/>
      <c r="W148" s="62"/>
      <c r="X148" s="62"/>
      <c r="Y148" s="61"/>
      <c r="Z148" s="63"/>
      <c r="AA148" s="64" t="e">
        <v>#N/A</v>
      </c>
      <c r="AB148" s="62" t="e">
        <v>#N/A</v>
      </c>
      <c r="AC148" s="62" t="e">
        <v>#N/A</v>
      </c>
      <c r="AD148" s="62" t="e">
        <v>#N/A</v>
      </c>
      <c r="AE148" s="62" t="e">
        <v>#N/A</v>
      </c>
      <c r="AF148" s="62" t="e">
        <v>#N/A</v>
      </c>
      <c r="AG148" s="62" t="e">
        <v>#N/A</v>
      </c>
      <c r="AH148" s="62" t="e">
        <v>#N/A</v>
      </c>
      <c r="AI148" s="62" t="e">
        <v>#N/A</v>
      </c>
      <c r="AJ148" s="62" t="e">
        <v>#N/A</v>
      </c>
      <c r="AK148" s="64" t="e">
        <v>#N/A</v>
      </c>
      <c r="AL148" s="19">
        <v>70058</v>
      </c>
      <c r="AM148" s="19">
        <v>93248</v>
      </c>
      <c r="AN148" s="23">
        <v>4004</v>
      </c>
      <c r="AO148" s="19">
        <v>121439</v>
      </c>
      <c r="AP148" s="19">
        <v>1800</v>
      </c>
      <c r="AQ148" s="62"/>
      <c r="AR148" s="63"/>
      <c r="AS148" s="63"/>
      <c r="AT148" s="65">
        <f t="shared" si="11"/>
        <v>5100.4380000000001</v>
      </c>
      <c r="AU148" s="65">
        <f t="shared" si="12"/>
        <v>168.16800000000001</v>
      </c>
      <c r="AV148" s="65">
        <f t="shared" si="13"/>
        <v>75.599999999999994</v>
      </c>
      <c r="AW148" s="65">
        <f t="shared" si="15"/>
        <v>2942.4360000000001</v>
      </c>
      <c r="AX148" s="65">
        <f t="shared" si="15"/>
        <v>3916.4160000000002</v>
      </c>
      <c r="AY148" s="65">
        <f t="shared" si="14"/>
        <v>75.599999999999994</v>
      </c>
      <c r="AZ148" s="19">
        <v>27475</v>
      </c>
      <c r="BA148" s="19">
        <v>27049</v>
      </c>
      <c r="BB148" s="19">
        <v>35302</v>
      </c>
      <c r="BC148" s="19">
        <v>810</v>
      </c>
      <c r="BD148" s="19">
        <v>624</v>
      </c>
      <c r="BE148" s="62"/>
      <c r="BF148" s="62"/>
      <c r="BG148" s="62"/>
      <c r="BH148" s="62"/>
      <c r="BI148" s="62"/>
      <c r="BJ148" s="62"/>
      <c r="BK148" s="62"/>
      <c r="BL148" s="62"/>
      <c r="BM148" s="62"/>
      <c r="BN148" s="62"/>
      <c r="BO148" s="62"/>
      <c r="BP148" s="62"/>
      <c r="BQ148" s="62"/>
      <c r="BR148" s="62"/>
      <c r="BS148" s="62"/>
      <c r="BT148" s="62"/>
      <c r="BU148" s="62"/>
      <c r="BV148" s="62"/>
      <c r="BW148" s="62"/>
      <c r="BX148" s="62"/>
      <c r="BY148" s="62"/>
      <c r="BZ148" s="62"/>
      <c r="CA148" s="62"/>
      <c r="CB148" s="62"/>
      <c r="CC148" s="62"/>
      <c r="CD148" s="62"/>
      <c r="CE148" s="62"/>
      <c r="CF148" s="62"/>
      <c r="CG148" s="62"/>
      <c r="CH148" s="62"/>
      <c r="CI148" s="62"/>
      <c r="CJ148" s="62"/>
      <c r="CK148" s="62"/>
      <c r="CL148" s="62"/>
      <c r="CM148" s="62"/>
      <c r="CN148" s="62"/>
      <c r="CO148" s="62"/>
      <c r="CP148" s="62"/>
      <c r="CQ148" s="62"/>
      <c r="CR148" s="62"/>
      <c r="CS148" s="62"/>
      <c r="CT148" s="62"/>
      <c r="CU148" s="62"/>
      <c r="CV148" s="62"/>
      <c r="CW148" s="62"/>
      <c r="CX148" s="62"/>
      <c r="CY148" s="62"/>
      <c r="CZ148" s="62"/>
      <c r="DA148" s="62"/>
      <c r="DB148" s="62"/>
      <c r="DC148" s="62"/>
      <c r="DD148" s="62"/>
      <c r="DE148" s="62"/>
      <c r="DF148" s="62"/>
      <c r="DG148" s="62"/>
      <c r="DH148" s="62"/>
      <c r="DI148" s="62"/>
      <c r="DJ148" s="62"/>
      <c r="DK148" s="62"/>
      <c r="DL148" s="62"/>
    </row>
    <row r="149" spans="1:116" hidden="1" x14ac:dyDescent="0.2">
      <c r="A149" s="57">
        <v>31107</v>
      </c>
      <c r="B149" s="58"/>
      <c r="C149" s="66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6"/>
      <c r="P149" s="61"/>
      <c r="Q149" s="62"/>
      <c r="R149" s="62"/>
      <c r="S149" s="62"/>
      <c r="T149" s="62"/>
      <c r="U149" s="62"/>
      <c r="V149" s="62"/>
      <c r="W149" s="62"/>
      <c r="X149" s="62"/>
      <c r="Y149" s="61"/>
      <c r="Z149" s="63"/>
      <c r="AA149" s="64" t="e">
        <v>#N/A</v>
      </c>
      <c r="AB149" s="62" t="e">
        <v>#N/A</v>
      </c>
      <c r="AC149" s="62" t="e">
        <v>#N/A</v>
      </c>
      <c r="AD149" s="62" t="e">
        <v>#N/A</v>
      </c>
      <c r="AE149" s="62" t="e">
        <v>#N/A</v>
      </c>
      <c r="AF149" s="62" t="e">
        <v>#N/A</v>
      </c>
      <c r="AG149" s="62" t="e">
        <v>#N/A</v>
      </c>
      <c r="AH149" s="62" t="e">
        <v>#N/A</v>
      </c>
      <c r="AI149" s="62" t="e">
        <v>#N/A</v>
      </c>
      <c r="AJ149" s="62" t="e">
        <v>#N/A</v>
      </c>
      <c r="AK149" s="64" t="e">
        <v>#N/A</v>
      </c>
      <c r="AL149" s="19">
        <v>70214</v>
      </c>
      <c r="AM149" s="19">
        <v>95890</v>
      </c>
      <c r="AN149" s="23">
        <v>4834</v>
      </c>
      <c r="AO149" s="19">
        <v>99293</v>
      </c>
      <c r="AP149" s="19">
        <v>1354</v>
      </c>
      <c r="AQ149" s="62"/>
      <c r="AR149" s="63"/>
      <c r="AS149" s="63"/>
      <c r="AT149" s="65">
        <f t="shared" si="11"/>
        <v>4170.3059999999996</v>
      </c>
      <c r="AU149" s="65">
        <f t="shared" si="12"/>
        <v>203.02799999999999</v>
      </c>
      <c r="AV149" s="65">
        <f t="shared" si="13"/>
        <v>56.868000000000002</v>
      </c>
      <c r="AW149" s="65">
        <f t="shared" si="15"/>
        <v>2948.9879999999998</v>
      </c>
      <c r="AX149" s="65">
        <f t="shared" si="15"/>
        <v>4027.38</v>
      </c>
      <c r="AY149" s="65">
        <f t="shared" si="14"/>
        <v>56.868000000000002</v>
      </c>
      <c r="AZ149" s="19">
        <v>31083</v>
      </c>
      <c r="BA149" s="19">
        <v>30269</v>
      </c>
      <c r="BB149" s="19">
        <v>36865</v>
      </c>
      <c r="BC149" s="19">
        <v>931</v>
      </c>
      <c r="BD149" s="19">
        <v>182</v>
      </c>
      <c r="BE149" s="62"/>
      <c r="BF149" s="62"/>
      <c r="BG149" s="62"/>
      <c r="BH149" s="62"/>
      <c r="BI149" s="62"/>
      <c r="BJ149" s="62"/>
      <c r="BK149" s="62"/>
      <c r="BL149" s="62"/>
      <c r="BM149" s="62"/>
      <c r="BN149" s="62"/>
      <c r="BO149" s="62"/>
      <c r="BP149" s="62"/>
      <c r="BQ149" s="62"/>
      <c r="BR149" s="62"/>
      <c r="BS149" s="62"/>
      <c r="BT149" s="62"/>
      <c r="BU149" s="62"/>
      <c r="BV149" s="62"/>
      <c r="BW149" s="62"/>
      <c r="BX149" s="62"/>
      <c r="BY149" s="62"/>
      <c r="BZ149" s="62"/>
      <c r="CA149" s="62"/>
      <c r="CB149" s="62"/>
      <c r="CC149" s="62"/>
      <c r="CD149" s="62"/>
      <c r="CE149" s="62"/>
      <c r="CF149" s="62"/>
      <c r="CG149" s="62"/>
      <c r="CH149" s="62"/>
      <c r="CI149" s="62"/>
      <c r="CJ149" s="62"/>
      <c r="CK149" s="62"/>
      <c r="CL149" s="62"/>
      <c r="CM149" s="62"/>
      <c r="CN149" s="62"/>
      <c r="CO149" s="62"/>
      <c r="CP149" s="62"/>
      <c r="CQ149" s="62"/>
      <c r="CR149" s="62"/>
      <c r="CS149" s="62"/>
      <c r="CT149" s="62"/>
      <c r="CU149" s="62"/>
      <c r="CV149" s="62"/>
      <c r="CW149" s="62"/>
      <c r="CX149" s="62"/>
      <c r="CY149" s="62"/>
      <c r="CZ149" s="62"/>
      <c r="DA149" s="62"/>
      <c r="DB149" s="62"/>
      <c r="DC149" s="62"/>
      <c r="DD149" s="62"/>
      <c r="DE149" s="62"/>
      <c r="DF149" s="62"/>
      <c r="DG149" s="62"/>
      <c r="DH149" s="62"/>
      <c r="DI149" s="62"/>
      <c r="DJ149" s="62"/>
      <c r="DK149" s="62"/>
      <c r="DL149" s="62"/>
    </row>
    <row r="150" spans="1:116" hidden="1" x14ac:dyDescent="0.2">
      <c r="A150" s="57">
        <v>31138</v>
      </c>
      <c r="B150" s="58"/>
      <c r="C150" s="66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6"/>
      <c r="P150" s="61"/>
      <c r="Q150" s="62"/>
      <c r="R150" s="62"/>
      <c r="S150" s="62"/>
      <c r="T150" s="62"/>
      <c r="U150" s="62"/>
      <c r="V150" s="62"/>
      <c r="W150" s="62"/>
      <c r="X150" s="62"/>
      <c r="Y150" s="61"/>
      <c r="Z150" s="63"/>
      <c r="AA150" s="64" t="e">
        <v>#N/A</v>
      </c>
      <c r="AB150" s="62" t="e">
        <v>#N/A</v>
      </c>
      <c r="AC150" s="62" t="e">
        <v>#N/A</v>
      </c>
      <c r="AD150" s="62" t="e">
        <v>#N/A</v>
      </c>
      <c r="AE150" s="62" t="e">
        <v>#N/A</v>
      </c>
      <c r="AF150" s="62" t="e">
        <v>#N/A</v>
      </c>
      <c r="AG150" s="62" t="e">
        <v>#N/A</v>
      </c>
      <c r="AH150" s="62" t="e">
        <v>#N/A</v>
      </c>
      <c r="AI150" s="62" t="e">
        <v>#N/A</v>
      </c>
      <c r="AJ150" s="62" t="e">
        <v>#N/A</v>
      </c>
      <c r="AK150" s="64" t="e">
        <v>#N/A</v>
      </c>
      <c r="AL150" s="19">
        <v>74645</v>
      </c>
      <c r="AM150" s="19">
        <v>83934</v>
      </c>
      <c r="AN150" s="23">
        <v>7600</v>
      </c>
      <c r="AO150" s="19">
        <v>96845</v>
      </c>
      <c r="AP150" s="19">
        <v>808</v>
      </c>
      <c r="AQ150" s="62"/>
      <c r="AR150" s="63"/>
      <c r="AS150" s="63"/>
      <c r="AT150" s="65">
        <f t="shared" si="11"/>
        <v>4067.49</v>
      </c>
      <c r="AU150" s="65">
        <f t="shared" si="12"/>
        <v>319.2</v>
      </c>
      <c r="AV150" s="65">
        <f t="shared" si="13"/>
        <v>33.936</v>
      </c>
      <c r="AW150" s="65">
        <f t="shared" si="15"/>
        <v>3135.09</v>
      </c>
      <c r="AX150" s="65">
        <f t="shared" si="15"/>
        <v>3525.2280000000001</v>
      </c>
      <c r="AY150" s="65">
        <f t="shared" si="14"/>
        <v>33.936</v>
      </c>
      <c r="AZ150" s="19">
        <v>28121</v>
      </c>
      <c r="BA150" s="19">
        <v>30209</v>
      </c>
      <c r="BB150" s="19">
        <v>35041</v>
      </c>
      <c r="BC150" s="19">
        <v>413</v>
      </c>
      <c r="BD150" s="19">
        <v>149</v>
      </c>
      <c r="BE150" s="62"/>
      <c r="BF150" s="62"/>
      <c r="BG150" s="62"/>
      <c r="BH150" s="62"/>
      <c r="BI150" s="62"/>
      <c r="BJ150" s="62"/>
      <c r="BK150" s="62"/>
      <c r="BL150" s="62"/>
      <c r="BM150" s="62"/>
      <c r="BN150" s="62"/>
      <c r="BO150" s="62"/>
      <c r="BP150" s="62"/>
      <c r="BQ150" s="62"/>
      <c r="BR150" s="62"/>
      <c r="BS150" s="62"/>
      <c r="BT150" s="62"/>
      <c r="BU150" s="62"/>
      <c r="BV150" s="62"/>
      <c r="BW150" s="62"/>
      <c r="BX150" s="62"/>
      <c r="BY150" s="62"/>
      <c r="BZ150" s="62"/>
      <c r="CA150" s="62"/>
      <c r="CB150" s="62"/>
      <c r="CC150" s="62"/>
      <c r="CD150" s="62"/>
      <c r="CE150" s="62"/>
      <c r="CF150" s="62"/>
      <c r="CG150" s="62"/>
      <c r="CH150" s="62"/>
      <c r="CI150" s="62"/>
      <c r="CJ150" s="62"/>
      <c r="CK150" s="62"/>
      <c r="CL150" s="62"/>
      <c r="CM150" s="62"/>
      <c r="CN150" s="62"/>
      <c r="CO150" s="62"/>
      <c r="CP150" s="62"/>
      <c r="CQ150" s="62"/>
      <c r="CR150" s="62"/>
      <c r="CS150" s="62"/>
      <c r="CT150" s="62"/>
      <c r="CU150" s="62"/>
      <c r="CV150" s="62"/>
      <c r="CW150" s="62"/>
      <c r="CX150" s="62"/>
      <c r="CY150" s="62"/>
      <c r="CZ150" s="62"/>
      <c r="DA150" s="62"/>
      <c r="DB150" s="62"/>
      <c r="DC150" s="62"/>
      <c r="DD150" s="62"/>
      <c r="DE150" s="62"/>
      <c r="DF150" s="62"/>
      <c r="DG150" s="62"/>
      <c r="DH150" s="62"/>
      <c r="DI150" s="62"/>
      <c r="DJ150" s="62"/>
      <c r="DK150" s="62"/>
      <c r="DL150" s="62"/>
    </row>
    <row r="151" spans="1:116" hidden="1" x14ac:dyDescent="0.2">
      <c r="A151" s="57">
        <v>31168</v>
      </c>
      <c r="B151" s="58"/>
      <c r="C151" s="66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6"/>
      <c r="P151" s="61"/>
      <c r="Q151" s="62"/>
      <c r="R151" s="62"/>
      <c r="S151" s="62"/>
      <c r="T151" s="62"/>
      <c r="U151" s="62"/>
      <c r="V151" s="62"/>
      <c r="W151" s="62"/>
      <c r="X151" s="62"/>
      <c r="Y151" s="61"/>
      <c r="Z151" s="63"/>
      <c r="AA151" s="64" t="e">
        <v>#N/A</v>
      </c>
      <c r="AB151" s="62" t="e">
        <v>#N/A</v>
      </c>
      <c r="AC151" s="62" t="e">
        <v>#N/A</v>
      </c>
      <c r="AD151" s="62" t="e">
        <v>#N/A</v>
      </c>
      <c r="AE151" s="62" t="e">
        <v>#N/A</v>
      </c>
      <c r="AF151" s="62" t="e">
        <v>#N/A</v>
      </c>
      <c r="AG151" s="62" t="e">
        <v>#N/A</v>
      </c>
      <c r="AH151" s="62" t="e">
        <v>#N/A</v>
      </c>
      <c r="AI151" s="62" t="e">
        <v>#N/A</v>
      </c>
      <c r="AJ151" s="62" t="e">
        <v>#N/A</v>
      </c>
      <c r="AK151" s="64" t="e">
        <v>#N/A</v>
      </c>
      <c r="AL151" s="19">
        <v>83198</v>
      </c>
      <c r="AM151" s="19">
        <v>80820</v>
      </c>
      <c r="AN151" s="23">
        <v>6110</v>
      </c>
      <c r="AO151" s="19">
        <v>104432</v>
      </c>
      <c r="AP151" s="19">
        <v>957</v>
      </c>
      <c r="AQ151" s="62"/>
      <c r="AR151" s="63"/>
      <c r="AS151" s="63"/>
      <c r="AT151" s="65">
        <f t="shared" si="11"/>
        <v>4386.1440000000002</v>
      </c>
      <c r="AU151" s="65">
        <f t="shared" si="12"/>
        <v>256.62</v>
      </c>
      <c r="AV151" s="65">
        <f t="shared" si="13"/>
        <v>40.194000000000003</v>
      </c>
      <c r="AW151" s="65">
        <f t="shared" si="15"/>
        <v>3494.3159999999998</v>
      </c>
      <c r="AX151" s="65">
        <f t="shared" si="15"/>
        <v>3394.44</v>
      </c>
      <c r="AY151" s="65">
        <f t="shared" si="14"/>
        <v>40.194000000000003</v>
      </c>
      <c r="AZ151" s="19">
        <v>28370</v>
      </c>
      <c r="BA151" s="19">
        <v>28085</v>
      </c>
      <c r="BB151" s="19">
        <v>35924</v>
      </c>
      <c r="BC151" s="19">
        <v>745</v>
      </c>
      <c r="BD151" s="19">
        <v>147</v>
      </c>
      <c r="BE151" s="62"/>
      <c r="BF151" s="62"/>
      <c r="BG151" s="62"/>
      <c r="BH151" s="62"/>
      <c r="BI151" s="62"/>
      <c r="BJ151" s="62"/>
      <c r="BK151" s="62"/>
      <c r="BL151" s="62"/>
      <c r="BM151" s="62"/>
      <c r="BN151" s="62"/>
      <c r="BO151" s="62"/>
      <c r="BP151" s="62"/>
      <c r="BQ151" s="62"/>
      <c r="BR151" s="62"/>
      <c r="BS151" s="62"/>
      <c r="BT151" s="62"/>
      <c r="BU151" s="62"/>
      <c r="BV151" s="62"/>
      <c r="BW151" s="62"/>
      <c r="BX151" s="62"/>
      <c r="BY151" s="62"/>
      <c r="BZ151" s="62"/>
      <c r="CA151" s="62"/>
      <c r="CB151" s="62"/>
      <c r="CC151" s="62"/>
      <c r="CD151" s="62"/>
      <c r="CE151" s="62"/>
      <c r="CF151" s="62"/>
      <c r="CG151" s="62"/>
      <c r="CH151" s="62"/>
      <c r="CI151" s="62"/>
      <c r="CJ151" s="62"/>
      <c r="CK151" s="62"/>
      <c r="CL151" s="62"/>
      <c r="CM151" s="62"/>
      <c r="CN151" s="62"/>
      <c r="CO151" s="62"/>
      <c r="CP151" s="62"/>
      <c r="CQ151" s="62"/>
      <c r="CR151" s="62"/>
      <c r="CS151" s="62"/>
      <c r="CT151" s="62"/>
      <c r="CU151" s="62"/>
      <c r="CV151" s="62"/>
      <c r="CW151" s="62"/>
      <c r="CX151" s="62"/>
      <c r="CY151" s="62"/>
      <c r="CZ151" s="62"/>
      <c r="DA151" s="62"/>
      <c r="DB151" s="62"/>
      <c r="DC151" s="62"/>
      <c r="DD151" s="62"/>
      <c r="DE151" s="62"/>
      <c r="DF151" s="62"/>
      <c r="DG151" s="62"/>
      <c r="DH151" s="62"/>
      <c r="DI151" s="62"/>
      <c r="DJ151" s="62"/>
      <c r="DK151" s="62"/>
      <c r="DL151" s="62"/>
    </row>
    <row r="152" spans="1:116" hidden="1" x14ac:dyDescent="0.2">
      <c r="A152" s="57">
        <v>31199</v>
      </c>
      <c r="B152" s="58"/>
      <c r="C152" s="66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6"/>
      <c r="P152" s="61"/>
      <c r="Q152" s="62"/>
      <c r="R152" s="62"/>
      <c r="S152" s="62"/>
      <c r="T152" s="62"/>
      <c r="U152" s="62"/>
      <c r="V152" s="62"/>
      <c r="W152" s="62"/>
      <c r="X152" s="62"/>
      <c r="Y152" s="61"/>
      <c r="Z152" s="63"/>
      <c r="AA152" s="64" t="e">
        <v>#N/A</v>
      </c>
      <c r="AB152" s="62" t="e">
        <v>#N/A</v>
      </c>
      <c r="AC152" s="62" t="e">
        <v>#N/A</v>
      </c>
      <c r="AD152" s="62" t="e">
        <v>#N/A</v>
      </c>
      <c r="AE152" s="62" t="e">
        <v>#N/A</v>
      </c>
      <c r="AF152" s="62" t="e">
        <v>#N/A</v>
      </c>
      <c r="AG152" s="62" t="e">
        <v>#N/A</v>
      </c>
      <c r="AH152" s="62" t="e">
        <v>#N/A</v>
      </c>
      <c r="AI152" s="62" t="e">
        <v>#N/A</v>
      </c>
      <c r="AJ152" s="62" t="e">
        <v>#N/A</v>
      </c>
      <c r="AK152" s="64" t="e">
        <v>#N/A</v>
      </c>
      <c r="AL152" s="19">
        <v>79351</v>
      </c>
      <c r="AM152" s="19">
        <v>77816</v>
      </c>
      <c r="AN152" s="23">
        <v>4558</v>
      </c>
      <c r="AO152" s="19">
        <v>109688</v>
      </c>
      <c r="AP152" s="19">
        <v>894</v>
      </c>
      <c r="AQ152" s="62"/>
      <c r="AR152" s="63"/>
      <c r="AS152" s="63"/>
      <c r="AT152" s="65">
        <f t="shared" si="11"/>
        <v>4606.8959999999997</v>
      </c>
      <c r="AU152" s="65">
        <f t="shared" si="12"/>
        <v>191.43600000000001</v>
      </c>
      <c r="AV152" s="65">
        <f t="shared" si="13"/>
        <v>37.548000000000002</v>
      </c>
      <c r="AW152" s="65">
        <f t="shared" si="15"/>
        <v>3332.7420000000002</v>
      </c>
      <c r="AX152" s="65">
        <f t="shared" si="15"/>
        <v>3268.2719999999999</v>
      </c>
      <c r="AY152" s="65">
        <f t="shared" si="14"/>
        <v>37.548000000000002</v>
      </c>
      <c r="AZ152" s="19">
        <v>27419</v>
      </c>
      <c r="BA152" s="19">
        <v>27307</v>
      </c>
      <c r="BB152" s="19">
        <v>36537</v>
      </c>
      <c r="BC152" s="19">
        <v>602</v>
      </c>
      <c r="BD152" s="19">
        <v>102</v>
      </c>
      <c r="BE152" s="62"/>
      <c r="BF152" s="62"/>
      <c r="BG152" s="62"/>
      <c r="BH152" s="62"/>
      <c r="BI152" s="62"/>
      <c r="BJ152" s="62"/>
      <c r="BK152" s="62"/>
      <c r="BL152" s="62"/>
      <c r="BM152" s="62"/>
      <c r="BN152" s="62"/>
      <c r="BO152" s="62"/>
      <c r="BP152" s="62"/>
      <c r="BQ152" s="62"/>
      <c r="BR152" s="62"/>
      <c r="BS152" s="62"/>
      <c r="BT152" s="62"/>
      <c r="BU152" s="62"/>
      <c r="BV152" s="62"/>
      <c r="BW152" s="62"/>
      <c r="BX152" s="62"/>
      <c r="BY152" s="62"/>
      <c r="BZ152" s="62"/>
      <c r="CA152" s="62"/>
      <c r="CB152" s="62"/>
      <c r="CC152" s="62"/>
      <c r="CD152" s="62"/>
      <c r="CE152" s="62"/>
      <c r="CF152" s="62"/>
      <c r="CG152" s="62"/>
      <c r="CH152" s="62"/>
      <c r="CI152" s="62"/>
      <c r="CJ152" s="62"/>
      <c r="CK152" s="62"/>
      <c r="CL152" s="62"/>
      <c r="CM152" s="62"/>
      <c r="CN152" s="62"/>
      <c r="CO152" s="62"/>
      <c r="CP152" s="62"/>
      <c r="CQ152" s="62"/>
      <c r="CR152" s="62"/>
      <c r="CS152" s="62"/>
      <c r="CT152" s="62"/>
      <c r="CU152" s="62"/>
      <c r="CV152" s="62"/>
      <c r="CW152" s="62"/>
      <c r="CX152" s="62"/>
      <c r="CY152" s="62"/>
      <c r="CZ152" s="62"/>
      <c r="DA152" s="62"/>
      <c r="DB152" s="62"/>
      <c r="DC152" s="62"/>
      <c r="DD152" s="62"/>
      <c r="DE152" s="62"/>
      <c r="DF152" s="62"/>
      <c r="DG152" s="62"/>
      <c r="DH152" s="62"/>
      <c r="DI152" s="62"/>
      <c r="DJ152" s="62"/>
      <c r="DK152" s="62"/>
      <c r="DL152" s="62"/>
    </row>
    <row r="153" spans="1:116" hidden="1" x14ac:dyDescent="0.2">
      <c r="A153" s="57">
        <v>31229</v>
      </c>
      <c r="B153" s="58"/>
      <c r="C153" s="66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6"/>
      <c r="P153" s="61"/>
      <c r="Q153" s="62"/>
      <c r="R153" s="62"/>
      <c r="S153" s="62"/>
      <c r="T153" s="62"/>
      <c r="U153" s="62"/>
      <c r="V153" s="62"/>
      <c r="W153" s="62"/>
      <c r="X153" s="62"/>
      <c r="Y153" s="61"/>
      <c r="Z153" s="63"/>
      <c r="AA153" s="64" t="e">
        <v>#N/A</v>
      </c>
      <c r="AB153" s="62" t="e">
        <v>#N/A</v>
      </c>
      <c r="AC153" s="62" t="e">
        <v>#N/A</v>
      </c>
      <c r="AD153" s="62" t="e">
        <v>#N/A</v>
      </c>
      <c r="AE153" s="62" t="e">
        <v>#N/A</v>
      </c>
      <c r="AF153" s="62" t="e">
        <v>#N/A</v>
      </c>
      <c r="AG153" s="62" t="e">
        <v>#N/A</v>
      </c>
      <c r="AH153" s="62" t="e">
        <v>#N/A</v>
      </c>
      <c r="AI153" s="62" t="e">
        <v>#N/A</v>
      </c>
      <c r="AJ153" s="62" t="e">
        <v>#N/A</v>
      </c>
      <c r="AK153" s="64" t="e">
        <v>#N/A</v>
      </c>
      <c r="AL153" s="19">
        <v>81973</v>
      </c>
      <c r="AM153" s="19">
        <v>75518</v>
      </c>
      <c r="AN153" s="23">
        <v>2954</v>
      </c>
      <c r="AO153" s="19">
        <v>115683</v>
      </c>
      <c r="AP153" s="19">
        <v>3460</v>
      </c>
      <c r="AQ153" s="62"/>
      <c r="AR153" s="63"/>
      <c r="AS153" s="63"/>
      <c r="AT153" s="65">
        <f t="shared" si="11"/>
        <v>4858.6859999999997</v>
      </c>
      <c r="AU153" s="65">
        <f t="shared" si="12"/>
        <v>124.068</v>
      </c>
      <c r="AV153" s="65">
        <f t="shared" si="13"/>
        <v>145.32</v>
      </c>
      <c r="AW153" s="65">
        <f t="shared" si="15"/>
        <v>3442.866</v>
      </c>
      <c r="AX153" s="65">
        <f t="shared" si="15"/>
        <v>3171.7559999999999</v>
      </c>
      <c r="AY153" s="65">
        <f t="shared" si="14"/>
        <v>145.32</v>
      </c>
      <c r="AZ153" s="19">
        <v>29566</v>
      </c>
      <c r="BA153" s="19">
        <v>31287</v>
      </c>
      <c r="BB153" s="19">
        <v>36037</v>
      </c>
      <c r="BC153" s="19">
        <v>1327</v>
      </c>
      <c r="BD153" s="19">
        <v>106</v>
      </c>
      <c r="BE153" s="62"/>
      <c r="BF153" s="62"/>
      <c r="BG153" s="62"/>
      <c r="BH153" s="62"/>
      <c r="BI153" s="62"/>
      <c r="BJ153" s="62"/>
      <c r="BK153" s="62"/>
      <c r="BL153" s="62"/>
      <c r="BM153" s="62"/>
      <c r="BN153" s="62"/>
      <c r="BO153" s="62"/>
      <c r="BP153" s="62"/>
      <c r="BQ153" s="62"/>
      <c r="BR153" s="62"/>
      <c r="BS153" s="62"/>
      <c r="BT153" s="62"/>
      <c r="BU153" s="62"/>
      <c r="BV153" s="62"/>
      <c r="BW153" s="62"/>
      <c r="BX153" s="62"/>
      <c r="BY153" s="62"/>
      <c r="BZ153" s="62"/>
      <c r="CA153" s="62"/>
      <c r="CB153" s="62"/>
      <c r="CC153" s="62"/>
      <c r="CD153" s="62"/>
      <c r="CE153" s="62"/>
      <c r="CF153" s="62"/>
      <c r="CG153" s="62"/>
      <c r="CH153" s="62"/>
      <c r="CI153" s="62"/>
      <c r="CJ153" s="62"/>
      <c r="CK153" s="62"/>
      <c r="CL153" s="62"/>
      <c r="CM153" s="62"/>
      <c r="CN153" s="62"/>
      <c r="CO153" s="62"/>
      <c r="CP153" s="62"/>
      <c r="CQ153" s="62"/>
      <c r="CR153" s="62"/>
      <c r="CS153" s="62"/>
      <c r="CT153" s="62"/>
      <c r="CU153" s="62"/>
      <c r="CV153" s="62"/>
      <c r="CW153" s="62"/>
      <c r="CX153" s="62"/>
      <c r="CY153" s="62"/>
      <c r="CZ153" s="62"/>
      <c r="DA153" s="62"/>
      <c r="DB153" s="62"/>
      <c r="DC153" s="62"/>
      <c r="DD153" s="62"/>
      <c r="DE153" s="62"/>
      <c r="DF153" s="62"/>
      <c r="DG153" s="62"/>
      <c r="DH153" s="62"/>
      <c r="DI153" s="62"/>
      <c r="DJ153" s="62"/>
      <c r="DK153" s="62"/>
      <c r="DL153" s="62"/>
    </row>
    <row r="154" spans="1:116" hidden="1" x14ac:dyDescent="0.2">
      <c r="A154" s="57">
        <v>31260</v>
      </c>
      <c r="B154" s="58"/>
      <c r="C154" s="66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6"/>
      <c r="P154" s="61"/>
      <c r="Q154" s="62"/>
      <c r="R154" s="62"/>
      <c r="S154" s="62"/>
      <c r="T154" s="62"/>
      <c r="U154" s="62"/>
      <c r="V154" s="62"/>
      <c r="W154" s="62"/>
      <c r="X154" s="62"/>
      <c r="Y154" s="61"/>
      <c r="Z154" s="63"/>
      <c r="AA154" s="64" t="e">
        <v>#N/A</v>
      </c>
      <c r="AB154" s="62" t="e">
        <v>#N/A</v>
      </c>
      <c r="AC154" s="62" t="e">
        <v>#N/A</v>
      </c>
      <c r="AD154" s="62" t="e">
        <v>#N/A</v>
      </c>
      <c r="AE154" s="62" t="e">
        <v>#N/A</v>
      </c>
      <c r="AF154" s="62" t="e">
        <v>#N/A</v>
      </c>
      <c r="AG154" s="62" t="e">
        <v>#N/A</v>
      </c>
      <c r="AH154" s="62" t="e">
        <v>#N/A</v>
      </c>
      <c r="AI154" s="62" t="e">
        <v>#N/A</v>
      </c>
      <c r="AJ154" s="62" t="e">
        <v>#N/A</v>
      </c>
      <c r="AK154" s="64" t="e">
        <v>#N/A</v>
      </c>
      <c r="AL154" s="19">
        <v>80306</v>
      </c>
      <c r="AM154" s="19">
        <v>81719</v>
      </c>
      <c r="AN154" s="23">
        <v>2526</v>
      </c>
      <c r="AO154" s="19">
        <v>113755</v>
      </c>
      <c r="AP154" s="19">
        <v>3087</v>
      </c>
      <c r="AQ154" s="62"/>
      <c r="AR154" s="63"/>
      <c r="AS154" s="63"/>
      <c r="AT154" s="65">
        <f t="shared" si="11"/>
        <v>4777.71</v>
      </c>
      <c r="AU154" s="65">
        <f t="shared" si="12"/>
        <v>106.092</v>
      </c>
      <c r="AV154" s="65">
        <f t="shared" si="13"/>
        <v>129.654</v>
      </c>
      <c r="AW154" s="65">
        <f t="shared" si="15"/>
        <v>3372.8519999999999</v>
      </c>
      <c r="AX154" s="65">
        <f t="shared" si="15"/>
        <v>3432.1979999999999</v>
      </c>
      <c r="AY154" s="65">
        <f t="shared" si="14"/>
        <v>129.654</v>
      </c>
      <c r="AZ154" s="19">
        <v>29945</v>
      </c>
      <c r="BA154" s="19">
        <v>30936</v>
      </c>
      <c r="BB154" s="19">
        <v>34681</v>
      </c>
      <c r="BC154" s="19">
        <v>294</v>
      </c>
      <c r="BD154" s="19">
        <v>660</v>
      </c>
      <c r="BE154" s="62"/>
      <c r="BF154" s="62"/>
      <c r="BG154" s="62"/>
      <c r="BH154" s="62"/>
      <c r="BI154" s="62"/>
      <c r="BJ154" s="62"/>
      <c r="BK154" s="62"/>
      <c r="BL154" s="62"/>
      <c r="BM154" s="62"/>
      <c r="BN154" s="62"/>
      <c r="BO154" s="62"/>
      <c r="BP154" s="62"/>
      <c r="BQ154" s="62"/>
      <c r="BR154" s="62"/>
      <c r="BS154" s="62"/>
      <c r="BT154" s="62"/>
      <c r="BU154" s="62"/>
      <c r="BV154" s="62"/>
      <c r="BW154" s="62"/>
      <c r="BX154" s="62"/>
      <c r="BY154" s="62"/>
      <c r="BZ154" s="62"/>
      <c r="CA154" s="62"/>
      <c r="CB154" s="62"/>
      <c r="CC154" s="62"/>
      <c r="CD154" s="62"/>
      <c r="CE154" s="62"/>
      <c r="CF154" s="62"/>
      <c r="CG154" s="62"/>
      <c r="CH154" s="62"/>
      <c r="CI154" s="62"/>
      <c r="CJ154" s="62"/>
      <c r="CK154" s="62"/>
      <c r="CL154" s="62"/>
      <c r="CM154" s="62"/>
      <c r="CN154" s="62"/>
      <c r="CO154" s="62"/>
      <c r="CP154" s="62"/>
      <c r="CQ154" s="62"/>
      <c r="CR154" s="62"/>
      <c r="CS154" s="62"/>
      <c r="CT154" s="62"/>
      <c r="CU154" s="62"/>
      <c r="CV154" s="62"/>
      <c r="CW154" s="62"/>
      <c r="CX154" s="62"/>
      <c r="CY154" s="62"/>
      <c r="CZ154" s="62"/>
      <c r="DA154" s="62"/>
      <c r="DB154" s="62"/>
      <c r="DC154" s="62"/>
      <c r="DD154" s="62"/>
      <c r="DE154" s="62"/>
      <c r="DF154" s="62"/>
      <c r="DG154" s="62"/>
      <c r="DH154" s="62"/>
      <c r="DI154" s="62"/>
      <c r="DJ154" s="62"/>
      <c r="DK154" s="62"/>
      <c r="DL154" s="62"/>
    </row>
    <row r="155" spans="1:116" hidden="1" x14ac:dyDescent="0.2">
      <c r="A155" s="57">
        <v>31291</v>
      </c>
      <c r="B155" s="58"/>
      <c r="C155" s="66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6"/>
      <c r="P155" s="61"/>
      <c r="Q155" s="62"/>
      <c r="R155" s="62"/>
      <c r="S155" s="62"/>
      <c r="T155" s="62"/>
      <c r="U155" s="62"/>
      <c r="V155" s="62"/>
      <c r="W155" s="62"/>
      <c r="X155" s="62"/>
      <c r="Y155" s="61"/>
      <c r="Z155" s="63"/>
      <c r="AA155" s="64" t="e">
        <v>#N/A</v>
      </c>
      <c r="AB155" s="62" t="e">
        <v>#N/A</v>
      </c>
      <c r="AC155" s="62" t="e">
        <v>#N/A</v>
      </c>
      <c r="AD155" s="62" t="e">
        <v>#N/A</v>
      </c>
      <c r="AE155" s="62" t="e">
        <v>#N/A</v>
      </c>
      <c r="AF155" s="62" t="e">
        <v>#N/A</v>
      </c>
      <c r="AG155" s="62" t="e">
        <v>#N/A</v>
      </c>
      <c r="AH155" s="62" t="e">
        <v>#N/A</v>
      </c>
      <c r="AI155" s="62" t="e">
        <v>#N/A</v>
      </c>
      <c r="AJ155" s="62" t="e">
        <v>#N/A</v>
      </c>
      <c r="AK155" s="64" t="e">
        <v>#N/A</v>
      </c>
      <c r="AL155" s="19">
        <v>77759</v>
      </c>
      <c r="AM155" s="19">
        <v>77251</v>
      </c>
      <c r="AN155" s="23">
        <v>6675</v>
      </c>
      <c r="AO155" s="19">
        <v>117367</v>
      </c>
      <c r="AP155" s="19">
        <v>3619</v>
      </c>
      <c r="AQ155" s="62"/>
      <c r="AR155" s="63"/>
      <c r="AS155" s="63"/>
      <c r="AT155" s="65">
        <f t="shared" si="11"/>
        <v>4929.4139999999998</v>
      </c>
      <c r="AU155" s="65">
        <f t="shared" si="12"/>
        <v>280.35000000000002</v>
      </c>
      <c r="AV155" s="65">
        <f t="shared" si="13"/>
        <v>151.99799999999999</v>
      </c>
      <c r="AW155" s="65">
        <f t="shared" si="15"/>
        <v>3265.8780000000002</v>
      </c>
      <c r="AX155" s="65">
        <f t="shared" si="15"/>
        <v>3244.5419999999999</v>
      </c>
      <c r="AY155" s="65">
        <f t="shared" si="14"/>
        <v>151.99799999999999</v>
      </c>
      <c r="AZ155" s="19">
        <v>29669</v>
      </c>
      <c r="BA155" s="19">
        <v>30050</v>
      </c>
      <c r="BB155" s="19">
        <v>35187</v>
      </c>
      <c r="BC155" s="19">
        <v>1020</v>
      </c>
      <c r="BD155" s="19">
        <v>133</v>
      </c>
      <c r="BE155" s="62"/>
      <c r="BF155" s="62"/>
      <c r="BG155" s="62"/>
      <c r="BH155" s="62"/>
      <c r="BI155" s="62"/>
      <c r="BJ155" s="62"/>
      <c r="BK155" s="62"/>
      <c r="BL155" s="62"/>
      <c r="BM155" s="62"/>
      <c r="BN155" s="62"/>
      <c r="BO155" s="62"/>
      <c r="BP155" s="62"/>
      <c r="BQ155" s="62"/>
      <c r="BR155" s="62"/>
      <c r="BS155" s="62"/>
      <c r="BT155" s="62"/>
      <c r="BU155" s="62"/>
      <c r="BV155" s="62"/>
      <c r="BW155" s="62"/>
      <c r="BX155" s="62"/>
      <c r="BY155" s="62"/>
      <c r="BZ155" s="62"/>
      <c r="CA155" s="62"/>
      <c r="CB155" s="62"/>
      <c r="CC155" s="62"/>
      <c r="CD155" s="62"/>
      <c r="CE155" s="62"/>
      <c r="CF155" s="62"/>
      <c r="CG155" s="62"/>
      <c r="CH155" s="62"/>
      <c r="CI155" s="62"/>
      <c r="CJ155" s="62"/>
      <c r="CK155" s="62"/>
      <c r="CL155" s="62"/>
      <c r="CM155" s="62"/>
      <c r="CN155" s="62"/>
      <c r="CO155" s="62"/>
      <c r="CP155" s="62"/>
      <c r="CQ155" s="62"/>
      <c r="CR155" s="62"/>
      <c r="CS155" s="62"/>
      <c r="CT155" s="62"/>
      <c r="CU155" s="62"/>
      <c r="CV155" s="62"/>
      <c r="CW155" s="62"/>
      <c r="CX155" s="62"/>
      <c r="CY155" s="62"/>
      <c r="CZ155" s="62"/>
      <c r="DA155" s="62"/>
      <c r="DB155" s="62"/>
      <c r="DC155" s="62"/>
      <c r="DD155" s="62"/>
      <c r="DE155" s="62"/>
      <c r="DF155" s="62"/>
      <c r="DG155" s="62"/>
      <c r="DH155" s="62"/>
      <c r="DI155" s="62"/>
      <c r="DJ155" s="62"/>
      <c r="DK155" s="62"/>
      <c r="DL155" s="62"/>
    </row>
    <row r="156" spans="1:116" hidden="1" x14ac:dyDescent="0.2">
      <c r="A156" s="57">
        <v>31321</v>
      </c>
      <c r="B156" s="58"/>
      <c r="C156" s="66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6"/>
      <c r="P156" s="61"/>
      <c r="Q156" s="62"/>
      <c r="R156" s="62"/>
      <c r="S156" s="62"/>
      <c r="T156" s="62"/>
      <c r="U156" s="62"/>
      <c r="V156" s="62"/>
      <c r="W156" s="62"/>
      <c r="X156" s="62"/>
      <c r="Y156" s="61"/>
      <c r="Z156" s="63"/>
      <c r="AA156" s="64" t="e">
        <v>#N/A</v>
      </c>
      <c r="AB156" s="62" t="e">
        <v>#N/A</v>
      </c>
      <c r="AC156" s="62" t="e">
        <v>#N/A</v>
      </c>
      <c r="AD156" s="62" t="e">
        <v>#N/A</v>
      </c>
      <c r="AE156" s="62" t="e">
        <v>#N/A</v>
      </c>
      <c r="AF156" s="62" t="e">
        <v>#N/A</v>
      </c>
      <c r="AG156" s="62" t="e">
        <v>#N/A</v>
      </c>
      <c r="AH156" s="62" t="e">
        <v>#N/A</v>
      </c>
      <c r="AI156" s="62" t="e">
        <v>#N/A</v>
      </c>
      <c r="AJ156" s="62" t="e">
        <v>#N/A</v>
      </c>
      <c r="AK156" s="64" t="e">
        <v>#N/A</v>
      </c>
      <c r="AL156" s="19">
        <v>89904</v>
      </c>
      <c r="AM156" s="19">
        <v>89927</v>
      </c>
      <c r="AN156" s="23">
        <v>8107</v>
      </c>
      <c r="AO156" s="19">
        <v>123417</v>
      </c>
      <c r="AP156" s="19">
        <v>2085</v>
      </c>
      <c r="AQ156" s="62"/>
      <c r="AR156" s="63"/>
      <c r="AS156" s="63"/>
      <c r="AT156" s="65">
        <f t="shared" si="11"/>
        <v>5183.5140000000001</v>
      </c>
      <c r="AU156" s="65">
        <f t="shared" si="12"/>
        <v>340.49400000000003</v>
      </c>
      <c r="AV156" s="65">
        <f t="shared" si="13"/>
        <v>87.57</v>
      </c>
      <c r="AW156" s="65">
        <f t="shared" si="15"/>
        <v>3775.9679999999998</v>
      </c>
      <c r="AX156" s="65">
        <f t="shared" si="15"/>
        <v>3776.9340000000002</v>
      </c>
      <c r="AY156" s="65">
        <f t="shared" si="14"/>
        <v>87.57</v>
      </c>
      <c r="AZ156" s="19">
        <v>32116</v>
      </c>
      <c r="BA156" s="19">
        <v>32263</v>
      </c>
      <c r="BB156" s="19">
        <v>35558</v>
      </c>
      <c r="BC156" s="19">
        <v>1291</v>
      </c>
      <c r="BD156" s="19">
        <v>773</v>
      </c>
      <c r="BE156" s="62"/>
      <c r="BF156" s="62"/>
      <c r="BG156" s="62"/>
      <c r="BH156" s="62"/>
      <c r="BI156" s="62"/>
      <c r="BJ156" s="62"/>
      <c r="BK156" s="62"/>
      <c r="BL156" s="62"/>
      <c r="BM156" s="62"/>
      <c r="BN156" s="62"/>
      <c r="BO156" s="62"/>
      <c r="BP156" s="62"/>
      <c r="BQ156" s="62"/>
      <c r="BR156" s="62"/>
      <c r="BS156" s="62"/>
      <c r="BT156" s="62"/>
      <c r="BU156" s="62"/>
      <c r="BV156" s="62"/>
      <c r="BW156" s="62"/>
      <c r="BX156" s="62"/>
      <c r="BY156" s="62"/>
      <c r="BZ156" s="62"/>
      <c r="CA156" s="62"/>
      <c r="CB156" s="62"/>
      <c r="CC156" s="62"/>
      <c r="CD156" s="62"/>
      <c r="CE156" s="62"/>
      <c r="CF156" s="62"/>
      <c r="CG156" s="62"/>
      <c r="CH156" s="62"/>
      <c r="CI156" s="62"/>
      <c r="CJ156" s="62"/>
      <c r="CK156" s="62"/>
      <c r="CL156" s="62"/>
      <c r="CM156" s="62"/>
      <c r="CN156" s="62"/>
      <c r="CO156" s="62"/>
      <c r="CP156" s="62"/>
      <c r="CQ156" s="62"/>
      <c r="CR156" s="62"/>
      <c r="CS156" s="62"/>
      <c r="CT156" s="62"/>
      <c r="CU156" s="62"/>
      <c r="CV156" s="62"/>
      <c r="CW156" s="62"/>
      <c r="CX156" s="62"/>
      <c r="CY156" s="62"/>
      <c r="CZ156" s="62"/>
      <c r="DA156" s="62"/>
      <c r="DB156" s="62"/>
      <c r="DC156" s="62"/>
      <c r="DD156" s="62"/>
      <c r="DE156" s="62"/>
      <c r="DF156" s="62"/>
      <c r="DG156" s="62"/>
      <c r="DH156" s="62"/>
      <c r="DI156" s="62"/>
      <c r="DJ156" s="62"/>
      <c r="DK156" s="62"/>
      <c r="DL156" s="62"/>
    </row>
    <row r="157" spans="1:116" hidden="1" x14ac:dyDescent="0.2">
      <c r="A157" s="57">
        <v>31352</v>
      </c>
      <c r="B157" s="58"/>
      <c r="C157" s="66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6"/>
      <c r="P157" s="61"/>
      <c r="Q157" s="62"/>
      <c r="R157" s="62"/>
      <c r="S157" s="62"/>
      <c r="T157" s="62"/>
      <c r="U157" s="62"/>
      <c r="V157" s="62"/>
      <c r="W157" s="62"/>
      <c r="X157" s="62"/>
      <c r="Y157" s="61"/>
      <c r="Z157" s="63"/>
      <c r="AA157" s="64" t="e">
        <v>#N/A</v>
      </c>
      <c r="AB157" s="62" t="e">
        <v>#N/A</v>
      </c>
      <c r="AC157" s="62" t="e">
        <v>#N/A</v>
      </c>
      <c r="AD157" s="62" t="e">
        <v>#N/A</v>
      </c>
      <c r="AE157" s="62" t="e">
        <v>#N/A</v>
      </c>
      <c r="AF157" s="62" t="e">
        <v>#N/A</v>
      </c>
      <c r="AG157" s="62" t="e">
        <v>#N/A</v>
      </c>
      <c r="AH157" s="62" t="e">
        <v>#N/A</v>
      </c>
      <c r="AI157" s="62" t="e">
        <v>#N/A</v>
      </c>
      <c r="AJ157" s="62" t="e">
        <v>#N/A</v>
      </c>
      <c r="AK157" s="64" t="e">
        <v>#N/A</v>
      </c>
      <c r="AL157" s="19">
        <v>93015</v>
      </c>
      <c r="AM157" s="19">
        <v>82413</v>
      </c>
      <c r="AN157" s="23">
        <v>8413</v>
      </c>
      <c r="AO157" s="19">
        <v>139719</v>
      </c>
      <c r="AP157" s="19">
        <v>2765</v>
      </c>
      <c r="AQ157" s="62"/>
      <c r="AR157" s="63"/>
      <c r="AS157" s="63"/>
      <c r="AT157" s="65">
        <f t="shared" si="11"/>
        <v>5868.1980000000003</v>
      </c>
      <c r="AU157" s="65">
        <f t="shared" si="12"/>
        <v>353.346</v>
      </c>
      <c r="AV157" s="65">
        <f t="shared" si="13"/>
        <v>116.13</v>
      </c>
      <c r="AW157" s="65">
        <f t="shared" si="15"/>
        <v>3906.63</v>
      </c>
      <c r="AX157" s="65">
        <f t="shared" si="15"/>
        <v>3461.346</v>
      </c>
      <c r="AY157" s="65">
        <f t="shared" si="14"/>
        <v>116.13</v>
      </c>
      <c r="AZ157" s="19">
        <v>32692</v>
      </c>
      <c r="BA157" s="19">
        <v>31965</v>
      </c>
      <c r="BB157" s="19">
        <v>36408</v>
      </c>
      <c r="BC157" s="19">
        <v>971</v>
      </c>
      <c r="BD157" s="19">
        <v>848</v>
      </c>
      <c r="BE157" s="62"/>
      <c r="BF157" s="62"/>
      <c r="BG157" s="62"/>
      <c r="BH157" s="62"/>
      <c r="BI157" s="62"/>
      <c r="BJ157" s="62"/>
      <c r="BK157" s="62"/>
      <c r="BL157" s="62"/>
      <c r="BM157" s="62"/>
      <c r="BN157" s="62"/>
      <c r="BO157" s="62"/>
      <c r="BP157" s="62"/>
      <c r="BQ157" s="62"/>
      <c r="BR157" s="62"/>
      <c r="BS157" s="62"/>
      <c r="BT157" s="62"/>
      <c r="BU157" s="62"/>
      <c r="BV157" s="62"/>
      <c r="BW157" s="62"/>
      <c r="BX157" s="62"/>
      <c r="BY157" s="62"/>
      <c r="BZ157" s="62"/>
      <c r="CA157" s="62"/>
      <c r="CB157" s="62"/>
      <c r="CC157" s="62"/>
      <c r="CD157" s="62"/>
      <c r="CE157" s="62"/>
      <c r="CF157" s="62"/>
      <c r="CG157" s="62"/>
      <c r="CH157" s="62"/>
      <c r="CI157" s="62"/>
      <c r="CJ157" s="62"/>
      <c r="CK157" s="62"/>
      <c r="CL157" s="62"/>
      <c r="CM157" s="62"/>
      <c r="CN157" s="62"/>
      <c r="CO157" s="62"/>
      <c r="CP157" s="62"/>
      <c r="CQ157" s="62"/>
      <c r="CR157" s="62"/>
      <c r="CS157" s="62"/>
      <c r="CT157" s="62"/>
      <c r="CU157" s="62"/>
      <c r="CV157" s="62"/>
      <c r="CW157" s="62"/>
      <c r="CX157" s="62"/>
      <c r="CY157" s="62"/>
      <c r="CZ157" s="62"/>
      <c r="DA157" s="62"/>
      <c r="DB157" s="62"/>
      <c r="DC157" s="62"/>
      <c r="DD157" s="62"/>
      <c r="DE157" s="62"/>
      <c r="DF157" s="62"/>
      <c r="DG157" s="62"/>
      <c r="DH157" s="62"/>
      <c r="DI157" s="62"/>
      <c r="DJ157" s="62"/>
      <c r="DK157" s="62"/>
      <c r="DL157" s="62"/>
    </row>
    <row r="158" spans="1:116" hidden="1" x14ac:dyDescent="0.2">
      <c r="A158" s="57">
        <v>31382</v>
      </c>
      <c r="B158" s="58"/>
      <c r="C158" s="66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6"/>
      <c r="P158" s="61"/>
      <c r="Q158" s="62"/>
      <c r="R158" s="62"/>
      <c r="S158" s="62"/>
      <c r="T158" s="62"/>
      <c r="U158" s="62"/>
      <c r="V158" s="62"/>
      <c r="W158" s="62"/>
      <c r="X158" s="62"/>
      <c r="Y158" s="61"/>
      <c r="Z158" s="63"/>
      <c r="AA158" s="64" t="e">
        <v>#N/A</v>
      </c>
      <c r="AB158" s="62" t="e">
        <v>#N/A</v>
      </c>
      <c r="AC158" s="62" t="e">
        <v>#N/A</v>
      </c>
      <c r="AD158" s="62" t="e">
        <v>#N/A</v>
      </c>
      <c r="AE158" s="62" t="e">
        <v>#N/A</v>
      </c>
      <c r="AF158" s="62" t="e">
        <v>#N/A</v>
      </c>
      <c r="AG158" s="62" t="e">
        <v>#N/A</v>
      </c>
      <c r="AH158" s="62" t="e">
        <v>#N/A</v>
      </c>
      <c r="AI158" s="62" t="e">
        <v>#N/A</v>
      </c>
      <c r="AJ158" s="62" t="e">
        <v>#N/A</v>
      </c>
      <c r="AK158" s="64" t="e">
        <v>#N/A</v>
      </c>
      <c r="AL158" s="19">
        <v>98397</v>
      </c>
      <c r="AM158" s="19">
        <v>100870</v>
      </c>
      <c r="AN158" s="23">
        <v>8889</v>
      </c>
      <c r="AO158" s="19">
        <v>143673</v>
      </c>
      <c r="AP158" s="19">
        <v>2508</v>
      </c>
      <c r="AQ158" s="62"/>
      <c r="AR158" s="63"/>
      <c r="AS158" s="63"/>
      <c r="AT158" s="65">
        <f t="shared" si="11"/>
        <v>6034.2659999999996</v>
      </c>
      <c r="AU158" s="65">
        <f t="shared" si="12"/>
        <v>373.33800000000002</v>
      </c>
      <c r="AV158" s="65">
        <f t="shared" si="13"/>
        <v>105.336</v>
      </c>
      <c r="AW158" s="65">
        <f t="shared" si="15"/>
        <v>4132.674</v>
      </c>
      <c r="AX158" s="65">
        <f t="shared" si="15"/>
        <v>4236.54</v>
      </c>
      <c r="AY158" s="65">
        <f t="shared" si="14"/>
        <v>105.336</v>
      </c>
      <c r="AZ158" s="19">
        <v>32594</v>
      </c>
      <c r="BA158" s="19">
        <v>35717</v>
      </c>
      <c r="BB158" s="19">
        <v>33825</v>
      </c>
      <c r="BC158" s="19">
        <v>1098</v>
      </c>
      <c r="BD158" s="19">
        <v>559</v>
      </c>
      <c r="BE158" s="62"/>
      <c r="BF158" s="62"/>
      <c r="BG158" s="62"/>
      <c r="BH158" s="62"/>
      <c r="BI158" s="62"/>
      <c r="BJ158" s="62"/>
      <c r="BK158" s="62"/>
      <c r="BL158" s="62"/>
      <c r="BM158" s="62"/>
      <c r="BN158" s="62"/>
      <c r="BO158" s="62"/>
      <c r="BP158" s="62"/>
      <c r="BQ158" s="62"/>
      <c r="BR158" s="62"/>
      <c r="BS158" s="62"/>
      <c r="BT158" s="62"/>
      <c r="BU158" s="62"/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/>
      <c r="CP158" s="62"/>
      <c r="CQ158" s="62"/>
      <c r="CR158" s="62"/>
      <c r="CS158" s="62"/>
      <c r="CT158" s="62"/>
      <c r="CU158" s="62"/>
      <c r="CV158" s="62"/>
      <c r="CW158" s="62"/>
      <c r="CX158" s="62"/>
      <c r="CY158" s="62"/>
      <c r="CZ158" s="62"/>
      <c r="DA158" s="62"/>
      <c r="DB158" s="62"/>
      <c r="DC158" s="62"/>
      <c r="DD158" s="62"/>
      <c r="DE158" s="62"/>
      <c r="DF158" s="62"/>
      <c r="DG158" s="62"/>
      <c r="DH158" s="62"/>
      <c r="DI158" s="62"/>
      <c r="DJ158" s="62"/>
      <c r="DK158" s="62"/>
      <c r="DL158" s="62"/>
    </row>
    <row r="159" spans="1:116" hidden="1" x14ac:dyDescent="0.2">
      <c r="A159" s="57">
        <v>31413</v>
      </c>
      <c r="B159" s="58"/>
      <c r="C159" s="66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6"/>
      <c r="P159" s="61"/>
      <c r="Q159" s="62"/>
      <c r="R159" s="62"/>
      <c r="S159" s="62"/>
      <c r="T159" s="62"/>
      <c r="U159" s="62"/>
      <c r="V159" s="62"/>
      <c r="W159" s="62"/>
      <c r="X159" s="62"/>
      <c r="Y159" s="61"/>
      <c r="Z159" s="63"/>
      <c r="AA159" s="64" t="e">
        <v>#N/A</v>
      </c>
      <c r="AB159" s="62" t="e">
        <v>#N/A</v>
      </c>
      <c r="AC159" s="62" t="e">
        <v>#N/A</v>
      </c>
      <c r="AD159" s="62" t="e">
        <v>#N/A</v>
      </c>
      <c r="AE159" s="62" t="e">
        <v>#N/A</v>
      </c>
      <c r="AF159" s="62" t="e">
        <v>#N/A</v>
      </c>
      <c r="AG159" s="62" t="e">
        <v>#N/A</v>
      </c>
      <c r="AH159" s="62" t="e">
        <v>#N/A</v>
      </c>
      <c r="AI159" s="62" t="e">
        <v>#N/A</v>
      </c>
      <c r="AJ159" s="62" t="e">
        <v>#N/A</v>
      </c>
      <c r="AK159" s="64" t="e">
        <v>#N/A</v>
      </c>
      <c r="AL159" s="19">
        <v>89812</v>
      </c>
      <c r="AM159" s="19">
        <v>103223</v>
      </c>
      <c r="AN159" s="23">
        <v>10071</v>
      </c>
      <c r="AO159" s="19">
        <v>136490</v>
      </c>
      <c r="AP159" s="19">
        <v>3891</v>
      </c>
      <c r="AQ159" s="62"/>
      <c r="AR159" s="63"/>
      <c r="AS159" s="63"/>
      <c r="AT159" s="65">
        <f t="shared" si="11"/>
        <v>5732.58</v>
      </c>
      <c r="AU159" s="65">
        <f t="shared" si="12"/>
        <v>422.98200000000003</v>
      </c>
      <c r="AV159" s="65">
        <f t="shared" si="13"/>
        <v>163.422</v>
      </c>
      <c r="AW159" s="65">
        <f t="shared" si="15"/>
        <v>3772.1039999999998</v>
      </c>
      <c r="AX159" s="65">
        <f t="shared" si="15"/>
        <v>4335.366</v>
      </c>
      <c r="AY159" s="65">
        <f t="shared" si="14"/>
        <v>163.422</v>
      </c>
      <c r="AZ159" s="19">
        <v>35438</v>
      </c>
      <c r="BA159" s="19">
        <v>33800</v>
      </c>
      <c r="BB159" s="19">
        <v>35051</v>
      </c>
      <c r="BC159" s="19">
        <v>776</v>
      </c>
      <c r="BD159" s="19">
        <v>1188</v>
      </c>
      <c r="BE159" s="62"/>
      <c r="BF159" s="62"/>
      <c r="BG159" s="62"/>
      <c r="BH159" s="62"/>
      <c r="BI159" s="62"/>
      <c r="BJ159" s="62"/>
      <c r="BK159" s="62"/>
      <c r="BL159" s="62"/>
      <c r="BM159" s="62"/>
      <c r="BN159" s="62"/>
      <c r="BO159" s="62"/>
      <c r="BP159" s="62"/>
      <c r="BQ159" s="62"/>
      <c r="BR159" s="62"/>
      <c r="BS159" s="62"/>
      <c r="BT159" s="62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62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  <c r="DK159" s="62"/>
      <c r="DL159" s="62"/>
    </row>
    <row r="160" spans="1:116" hidden="1" x14ac:dyDescent="0.2">
      <c r="A160" s="57">
        <v>31444</v>
      </c>
      <c r="B160" s="58"/>
      <c r="C160" s="66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6"/>
      <c r="P160" s="61"/>
      <c r="Q160" s="62"/>
      <c r="R160" s="62"/>
      <c r="S160" s="62"/>
      <c r="T160" s="62"/>
      <c r="U160" s="62"/>
      <c r="V160" s="62"/>
      <c r="W160" s="62"/>
      <c r="X160" s="62"/>
      <c r="Y160" s="61"/>
      <c r="Z160" s="63"/>
      <c r="AA160" s="64" t="e">
        <v>#N/A</v>
      </c>
      <c r="AB160" s="62" t="e">
        <v>#N/A</v>
      </c>
      <c r="AC160" s="62" t="e">
        <v>#N/A</v>
      </c>
      <c r="AD160" s="62" t="e">
        <v>#N/A</v>
      </c>
      <c r="AE160" s="62" t="e">
        <v>#N/A</v>
      </c>
      <c r="AF160" s="62" t="e">
        <v>#N/A</v>
      </c>
      <c r="AG160" s="62" t="e">
        <v>#N/A</v>
      </c>
      <c r="AH160" s="62" t="e">
        <v>#N/A</v>
      </c>
      <c r="AI160" s="62" t="e">
        <v>#N/A</v>
      </c>
      <c r="AJ160" s="62" t="e">
        <v>#N/A</v>
      </c>
      <c r="AK160" s="64" t="e">
        <v>#N/A</v>
      </c>
      <c r="AL160" s="19">
        <v>71716</v>
      </c>
      <c r="AM160" s="19">
        <v>95652</v>
      </c>
      <c r="AN160" s="23">
        <v>4727</v>
      </c>
      <c r="AO160" s="19">
        <v>112402</v>
      </c>
      <c r="AP160" s="19">
        <v>4927</v>
      </c>
      <c r="AQ160" s="62"/>
      <c r="AR160" s="63"/>
      <c r="AS160" s="63"/>
      <c r="AT160" s="65">
        <f t="shared" si="11"/>
        <v>4720.884</v>
      </c>
      <c r="AU160" s="65">
        <f t="shared" si="12"/>
        <v>198.53399999999999</v>
      </c>
      <c r="AV160" s="65">
        <f t="shared" si="13"/>
        <v>206.934</v>
      </c>
      <c r="AW160" s="65">
        <f t="shared" si="15"/>
        <v>3012.0720000000001</v>
      </c>
      <c r="AX160" s="65">
        <f t="shared" si="15"/>
        <v>4017.384</v>
      </c>
      <c r="AY160" s="65">
        <f t="shared" si="14"/>
        <v>206.934</v>
      </c>
      <c r="AZ160" s="19">
        <v>32891</v>
      </c>
      <c r="BA160" s="19">
        <v>30611</v>
      </c>
      <c r="BB160" s="19">
        <v>37829</v>
      </c>
      <c r="BC160" s="19">
        <v>928</v>
      </c>
      <c r="BD160" s="19">
        <v>429</v>
      </c>
      <c r="BE160" s="62"/>
      <c r="BF160" s="62"/>
      <c r="BG160" s="62"/>
      <c r="BH160" s="62"/>
      <c r="BI160" s="62"/>
      <c r="BJ160" s="62"/>
      <c r="BK160" s="62"/>
      <c r="BL160" s="62"/>
      <c r="BM160" s="62"/>
      <c r="BN160" s="62"/>
      <c r="BO160" s="62"/>
      <c r="BP160" s="62"/>
      <c r="BQ160" s="62"/>
      <c r="BR160" s="62"/>
      <c r="BS160" s="62"/>
      <c r="BT160" s="62"/>
      <c r="BU160" s="62"/>
      <c r="BV160" s="62"/>
      <c r="BW160" s="62"/>
      <c r="BX160" s="62"/>
      <c r="BY160" s="62"/>
      <c r="BZ160" s="62"/>
      <c r="CA160" s="62"/>
      <c r="CB160" s="62"/>
      <c r="CC160" s="62"/>
      <c r="CD160" s="62"/>
      <c r="CE160" s="62"/>
      <c r="CF160" s="62"/>
      <c r="CG160" s="62"/>
      <c r="CH160" s="62"/>
      <c r="CI160" s="62"/>
      <c r="CJ160" s="62"/>
      <c r="CK160" s="62"/>
      <c r="CL160" s="62"/>
      <c r="CM160" s="62"/>
      <c r="CN160" s="62"/>
      <c r="CO160" s="62"/>
      <c r="CP160" s="62"/>
      <c r="CQ160" s="62"/>
      <c r="CR160" s="62"/>
      <c r="CS160" s="62"/>
      <c r="CT160" s="62"/>
      <c r="CU160" s="62"/>
      <c r="CV160" s="62"/>
      <c r="CW160" s="62"/>
      <c r="CX160" s="62"/>
      <c r="CY160" s="62"/>
      <c r="CZ160" s="62"/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  <c r="DK160" s="62"/>
      <c r="DL160" s="62"/>
    </row>
    <row r="161" spans="1:116" hidden="1" x14ac:dyDescent="0.2">
      <c r="A161" s="57">
        <v>31472</v>
      </c>
      <c r="B161" s="58"/>
      <c r="C161" s="66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6"/>
      <c r="P161" s="61"/>
      <c r="Q161" s="62"/>
      <c r="R161" s="62"/>
      <c r="S161" s="62"/>
      <c r="T161" s="62"/>
      <c r="U161" s="62"/>
      <c r="V161" s="62"/>
      <c r="W161" s="62"/>
      <c r="X161" s="62"/>
      <c r="Y161" s="61"/>
      <c r="Z161" s="63"/>
      <c r="AA161" s="64" t="e">
        <v>#N/A</v>
      </c>
      <c r="AB161" s="62" t="e">
        <v>#N/A</v>
      </c>
      <c r="AC161" s="62" t="e">
        <v>#N/A</v>
      </c>
      <c r="AD161" s="62" t="e">
        <v>#N/A</v>
      </c>
      <c r="AE161" s="62" t="e">
        <v>#N/A</v>
      </c>
      <c r="AF161" s="62" t="e">
        <v>#N/A</v>
      </c>
      <c r="AG161" s="62" t="e">
        <v>#N/A</v>
      </c>
      <c r="AH161" s="62" t="e">
        <v>#N/A</v>
      </c>
      <c r="AI161" s="62" t="e">
        <v>#N/A</v>
      </c>
      <c r="AJ161" s="62" t="e">
        <v>#N/A</v>
      </c>
      <c r="AK161" s="64" t="e">
        <v>#N/A</v>
      </c>
      <c r="AL161" s="19">
        <v>81897</v>
      </c>
      <c r="AM161" s="19">
        <v>98216</v>
      </c>
      <c r="AN161" s="23">
        <v>6736</v>
      </c>
      <c r="AO161" s="19">
        <v>98811</v>
      </c>
      <c r="AP161" s="19">
        <v>4049</v>
      </c>
      <c r="AQ161" s="62"/>
      <c r="AR161" s="63"/>
      <c r="AS161" s="63"/>
      <c r="AT161" s="65">
        <f t="shared" si="11"/>
        <v>4150.0619999999999</v>
      </c>
      <c r="AU161" s="65">
        <f t="shared" si="12"/>
        <v>282.91199999999998</v>
      </c>
      <c r="AV161" s="65">
        <f t="shared" si="13"/>
        <v>170.05799999999999</v>
      </c>
      <c r="AW161" s="65">
        <f t="shared" si="15"/>
        <v>3439.674</v>
      </c>
      <c r="AX161" s="65">
        <f t="shared" si="15"/>
        <v>4125.0720000000001</v>
      </c>
      <c r="AY161" s="65">
        <f t="shared" si="14"/>
        <v>170.05799999999999</v>
      </c>
      <c r="AZ161" s="19">
        <v>34700</v>
      </c>
      <c r="BA161" s="19">
        <v>31225</v>
      </c>
      <c r="BB161" s="19">
        <v>41729</v>
      </c>
      <c r="BC161" s="19">
        <v>758</v>
      </c>
      <c r="BD161" s="19">
        <v>333</v>
      </c>
      <c r="BE161" s="62"/>
      <c r="BF161" s="62"/>
      <c r="BG161" s="62"/>
      <c r="BH161" s="62"/>
      <c r="BI161" s="62"/>
      <c r="BJ161" s="62"/>
      <c r="BK161" s="62"/>
      <c r="BL161" s="62"/>
      <c r="BM161" s="62"/>
      <c r="BN161" s="62"/>
      <c r="BO161" s="62"/>
      <c r="BP161" s="62"/>
      <c r="BQ161" s="62"/>
      <c r="BR161" s="62"/>
      <c r="BS161" s="62"/>
      <c r="BT161" s="62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62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  <c r="DK161" s="62"/>
      <c r="DL161" s="62"/>
    </row>
    <row r="162" spans="1:116" hidden="1" x14ac:dyDescent="0.2">
      <c r="A162" s="57">
        <v>31503</v>
      </c>
      <c r="B162" s="58"/>
      <c r="C162" s="66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6"/>
      <c r="P162" s="61"/>
      <c r="Q162" s="62"/>
      <c r="R162" s="62"/>
      <c r="S162" s="62"/>
      <c r="T162" s="62"/>
      <c r="U162" s="62"/>
      <c r="V162" s="62"/>
      <c r="W162" s="62"/>
      <c r="X162" s="62"/>
      <c r="Y162" s="61"/>
      <c r="Z162" s="63"/>
      <c r="AA162" s="64" t="e">
        <v>#N/A</v>
      </c>
      <c r="AB162" s="62" t="e">
        <v>#N/A</v>
      </c>
      <c r="AC162" s="62" t="e">
        <v>#N/A</v>
      </c>
      <c r="AD162" s="62" t="e">
        <v>#N/A</v>
      </c>
      <c r="AE162" s="62" t="e">
        <v>#N/A</v>
      </c>
      <c r="AF162" s="62" t="e">
        <v>#N/A</v>
      </c>
      <c r="AG162" s="62" t="e">
        <v>#N/A</v>
      </c>
      <c r="AH162" s="62" t="e">
        <v>#N/A</v>
      </c>
      <c r="AI162" s="62" t="e">
        <v>#N/A</v>
      </c>
      <c r="AJ162" s="62" t="e">
        <v>#N/A</v>
      </c>
      <c r="AK162" s="64" t="e">
        <v>#N/A</v>
      </c>
      <c r="AL162" s="19">
        <v>83590</v>
      </c>
      <c r="AM162" s="19">
        <v>87119</v>
      </c>
      <c r="AN162" s="23">
        <v>4417</v>
      </c>
      <c r="AO162" s="19">
        <v>95907</v>
      </c>
      <c r="AP162" s="19">
        <v>3836</v>
      </c>
      <c r="AQ162" s="62"/>
      <c r="AR162" s="63"/>
      <c r="AS162" s="63"/>
      <c r="AT162" s="65">
        <f t="shared" si="11"/>
        <v>4028.0940000000001</v>
      </c>
      <c r="AU162" s="65">
        <f t="shared" si="12"/>
        <v>185.51400000000001</v>
      </c>
      <c r="AV162" s="65">
        <f t="shared" si="13"/>
        <v>161.11199999999999</v>
      </c>
      <c r="AW162" s="65">
        <f t="shared" si="15"/>
        <v>3510.78</v>
      </c>
      <c r="AX162" s="65">
        <f t="shared" si="15"/>
        <v>3658.998</v>
      </c>
      <c r="AY162" s="65">
        <f t="shared" si="14"/>
        <v>161.11199999999999</v>
      </c>
      <c r="AZ162" s="19">
        <v>28899</v>
      </c>
      <c r="BA162" s="19">
        <v>32593</v>
      </c>
      <c r="BB162" s="19">
        <v>38831</v>
      </c>
      <c r="BC162" s="19">
        <v>1167</v>
      </c>
      <c r="BD162" s="19">
        <v>371</v>
      </c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62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  <c r="DK162" s="62"/>
      <c r="DL162" s="62"/>
    </row>
    <row r="163" spans="1:116" hidden="1" x14ac:dyDescent="0.2">
      <c r="A163" s="57">
        <v>31533</v>
      </c>
      <c r="B163" s="58"/>
      <c r="C163" s="66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6"/>
      <c r="P163" s="61"/>
      <c r="Q163" s="62"/>
      <c r="R163" s="62"/>
      <c r="S163" s="62"/>
      <c r="T163" s="62"/>
      <c r="U163" s="62"/>
      <c r="V163" s="62"/>
      <c r="W163" s="62"/>
      <c r="X163" s="62"/>
      <c r="Y163" s="61"/>
      <c r="Z163" s="63"/>
      <c r="AA163" s="64" t="e">
        <v>#N/A</v>
      </c>
      <c r="AB163" s="62" t="e">
        <v>#N/A</v>
      </c>
      <c r="AC163" s="62" t="e">
        <v>#N/A</v>
      </c>
      <c r="AD163" s="62" t="e">
        <v>#N/A</v>
      </c>
      <c r="AE163" s="62" t="e">
        <v>#N/A</v>
      </c>
      <c r="AF163" s="62" t="e">
        <v>#N/A</v>
      </c>
      <c r="AG163" s="62" t="e">
        <v>#N/A</v>
      </c>
      <c r="AH163" s="62" t="e">
        <v>#N/A</v>
      </c>
      <c r="AI163" s="62" t="e">
        <v>#N/A</v>
      </c>
      <c r="AJ163" s="62" t="e">
        <v>#N/A</v>
      </c>
      <c r="AK163" s="64" t="e">
        <v>#N/A</v>
      </c>
      <c r="AL163" s="19">
        <v>88565</v>
      </c>
      <c r="AM163" s="19">
        <v>85637</v>
      </c>
      <c r="AN163" s="23">
        <v>4615</v>
      </c>
      <c r="AO163" s="19">
        <v>98857</v>
      </c>
      <c r="AP163" s="19">
        <v>4634</v>
      </c>
      <c r="AQ163" s="62"/>
      <c r="AR163" s="63"/>
      <c r="AS163" s="63"/>
      <c r="AT163" s="65">
        <f t="shared" si="11"/>
        <v>4151.9939999999997</v>
      </c>
      <c r="AU163" s="65">
        <f t="shared" si="12"/>
        <v>193.83</v>
      </c>
      <c r="AV163" s="65">
        <f t="shared" si="13"/>
        <v>194.62799999999999</v>
      </c>
      <c r="AW163" s="65">
        <f t="shared" si="15"/>
        <v>3719.73</v>
      </c>
      <c r="AX163" s="65">
        <f t="shared" si="15"/>
        <v>3596.7539999999999</v>
      </c>
      <c r="AY163" s="65">
        <f t="shared" si="14"/>
        <v>194.62799999999999</v>
      </c>
      <c r="AZ163" s="19">
        <v>31129</v>
      </c>
      <c r="BA163" s="19">
        <v>31924</v>
      </c>
      <c r="BB163" s="19">
        <v>38807</v>
      </c>
      <c r="BC163" s="19">
        <v>1199</v>
      </c>
      <c r="BD163" s="19">
        <v>428</v>
      </c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62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  <c r="DK163" s="62"/>
      <c r="DL163" s="62"/>
    </row>
    <row r="164" spans="1:116" hidden="1" x14ac:dyDescent="0.2">
      <c r="A164" s="57">
        <v>31564</v>
      </c>
      <c r="B164" s="58"/>
      <c r="C164" s="66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6"/>
      <c r="P164" s="61"/>
      <c r="Q164" s="62"/>
      <c r="R164" s="62"/>
      <c r="S164" s="62"/>
      <c r="T164" s="62"/>
      <c r="U164" s="62"/>
      <c r="V164" s="62"/>
      <c r="W164" s="62"/>
      <c r="X164" s="62"/>
      <c r="Y164" s="61"/>
      <c r="Z164" s="63"/>
      <c r="AA164" s="64" t="e">
        <v>#N/A</v>
      </c>
      <c r="AB164" s="62" t="e">
        <v>#N/A</v>
      </c>
      <c r="AC164" s="62" t="e">
        <v>#N/A</v>
      </c>
      <c r="AD164" s="62" t="e">
        <v>#N/A</v>
      </c>
      <c r="AE164" s="62" t="e">
        <v>#N/A</v>
      </c>
      <c r="AF164" s="62" t="e">
        <v>#N/A</v>
      </c>
      <c r="AG164" s="62" t="e">
        <v>#N/A</v>
      </c>
      <c r="AH164" s="62" t="e">
        <v>#N/A</v>
      </c>
      <c r="AI164" s="62" t="e">
        <v>#N/A</v>
      </c>
      <c r="AJ164" s="62" t="e">
        <v>#N/A</v>
      </c>
      <c r="AK164" s="64" t="e">
        <v>#N/A</v>
      </c>
      <c r="AL164" s="19">
        <v>81841</v>
      </c>
      <c r="AM164" s="19">
        <v>76313</v>
      </c>
      <c r="AN164" s="23">
        <v>5057</v>
      </c>
      <c r="AO164" s="19">
        <v>107895</v>
      </c>
      <c r="AP164" s="19">
        <v>1587</v>
      </c>
      <c r="AQ164" s="62"/>
      <c r="AR164" s="63"/>
      <c r="AS164" s="63"/>
      <c r="AT164" s="65">
        <f t="shared" si="11"/>
        <v>4531.59</v>
      </c>
      <c r="AU164" s="65">
        <f t="shared" si="12"/>
        <v>212.39400000000001</v>
      </c>
      <c r="AV164" s="65">
        <f t="shared" si="13"/>
        <v>66.653999999999996</v>
      </c>
      <c r="AW164" s="65">
        <f t="shared" si="15"/>
        <v>3437.3220000000001</v>
      </c>
      <c r="AX164" s="65">
        <f t="shared" si="15"/>
        <v>3205.1460000000002</v>
      </c>
      <c r="AY164" s="65">
        <f t="shared" si="14"/>
        <v>66.653999999999996</v>
      </c>
      <c r="AZ164" s="19">
        <v>31987</v>
      </c>
      <c r="BA164" s="19">
        <v>33194</v>
      </c>
      <c r="BB164" s="19">
        <v>39703</v>
      </c>
      <c r="BC164" s="19">
        <v>2287</v>
      </c>
      <c r="BD164" s="19">
        <v>184</v>
      </c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62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  <c r="DK164" s="62"/>
      <c r="DL164" s="62"/>
    </row>
    <row r="165" spans="1:116" hidden="1" x14ac:dyDescent="0.2">
      <c r="A165" s="57">
        <v>31594</v>
      </c>
      <c r="B165" s="58"/>
      <c r="C165" s="66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6"/>
      <c r="P165" s="61"/>
      <c r="Q165" s="62"/>
      <c r="R165" s="62"/>
      <c r="S165" s="62"/>
      <c r="T165" s="62"/>
      <c r="U165" s="62"/>
      <c r="V165" s="62"/>
      <c r="W165" s="62"/>
      <c r="X165" s="62"/>
      <c r="Y165" s="61"/>
      <c r="Z165" s="63"/>
      <c r="AA165" s="64" t="e">
        <v>#N/A</v>
      </c>
      <c r="AB165" s="62" t="e">
        <v>#N/A</v>
      </c>
      <c r="AC165" s="62" t="e">
        <v>#N/A</v>
      </c>
      <c r="AD165" s="62" t="e">
        <v>#N/A</v>
      </c>
      <c r="AE165" s="62" t="e">
        <v>#N/A</v>
      </c>
      <c r="AF165" s="62" t="e">
        <v>#N/A</v>
      </c>
      <c r="AG165" s="62" t="e">
        <v>#N/A</v>
      </c>
      <c r="AH165" s="62" t="e">
        <v>#N/A</v>
      </c>
      <c r="AI165" s="62" t="e">
        <v>#N/A</v>
      </c>
      <c r="AJ165" s="62" t="e">
        <v>#N/A</v>
      </c>
      <c r="AK165" s="64" t="e">
        <v>#N/A</v>
      </c>
      <c r="AL165" s="19">
        <v>83978</v>
      </c>
      <c r="AM165" s="19">
        <v>80364</v>
      </c>
      <c r="AN165" s="23">
        <v>9692</v>
      </c>
      <c r="AO165" s="19">
        <v>118905</v>
      </c>
      <c r="AP165" s="19">
        <v>2337</v>
      </c>
      <c r="AQ165" s="62"/>
      <c r="AR165" s="63"/>
      <c r="AS165" s="63"/>
      <c r="AT165" s="65">
        <f t="shared" si="11"/>
        <v>4994.01</v>
      </c>
      <c r="AU165" s="65">
        <f t="shared" si="12"/>
        <v>407.06400000000002</v>
      </c>
      <c r="AV165" s="65">
        <f t="shared" si="13"/>
        <v>98.153999999999996</v>
      </c>
      <c r="AW165" s="65">
        <f t="shared" si="15"/>
        <v>3527.076</v>
      </c>
      <c r="AX165" s="65">
        <f t="shared" si="15"/>
        <v>3375.288</v>
      </c>
      <c r="AY165" s="65">
        <f t="shared" si="14"/>
        <v>98.153999999999996</v>
      </c>
      <c r="AZ165" s="19">
        <v>33615</v>
      </c>
      <c r="BA165" s="19">
        <v>33810</v>
      </c>
      <c r="BB165" s="19">
        <v>42481</v>
      </c>
      <c r="BC165" s="19">
        <v>3273</v>
      </c>
      <c r="BD165" s="19">
        <v>300</v>
      </c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62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  <c r="DK165" s="62"/>
      <c r="DL165" s="62"/>
    </row>
    <row r="166" spans="1:116" hidden="1" x14ac:dyDescent="0.2">
      <c r="A166" s="57">
        <v>31625</v>
      </c>
      <c r="B166" s="58"/>
      <c r="C166" s="66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6"/>
      <c r="P166" s="61"/>
      <c r="Q166" s="62"/>
      <c r="R166" s="62"/>
      <c r="S166" s="62"/>
      <c r="T166" s="62"/>
      <c r="U166" s="62"/>
      <c r="V166" s="62"/>
      <c r="W166" s="62"/>
      <c r="X166" s="62"/>
      <c r="Y166" s="61"/>
      <c r="Z166" s="63"/>
      <c r="AA166" s="64" t="e">
        <v>#N/A</v>
      </c>
      <c r="AB166" s="62" t="e">
        <v>#N/A</v>
      </c>
      <c r="AC166" s="62" t="e">
        <v>#N/A</v>
      </c>
      <c r="AD166" s="62" t="e">
        <v>#N/A</v>
      </c>
      <c r="AE166" s="62" t="e">
        <v>#N/A</v>
      </c>
      <c r="AF166" s="62" t="e">
        <v>#N/A</v>
      </c>
      <c r="AG166" s="62" t="e">
        <v>#N/A</v>
      </c>
      <c r="AH166" s="62" t="e">
        <v>#N/A</v>
      </c>
      <c r="AI166" s="62" t="e">
        <v>#N/A</v>
      </c>
      <c r="AJ166" s="62" t="e">
        <v>#N/A</v>
      </c>
      <c r="AK166" s="64" t="e">
        <v>#N/A</v>
      </c>
      <c r="AL166" s="19">
        <v>90557</v>
      </c>
      <c r="AM166" s="19">
        <v>81246</v>
      </c>
      <c r="AN166" s="23">
        <v>11474</v>
      </c>
      <c r="AO166" s="19">
        <v>137737</v>
      </c>
      <c r="AP166" s="19">
        <v>1989</v>
      </c>
      <c r="AQ166" s="62"/>
      <c r="AR166" s="63"/>
      <c r="AS166" s="63"/>
      <c r="AT166" s="65">
        <f t="shared" si="11"/>
        <v>5784.9539999999997</v>
      </c>
      <c r="AU166" s="65">
        <f t="shared" si="12"/>
        <v>481.90800000000002</v>
      </c>
      <c r="AV166" s="65">
        <f t="shared" si="13"/>
        <v>83.537999999999997</v>
      </c>
      <c r="AW166" s="65">
        <f t="shared" si="15"/>
        <v>3803.3939999999998</v>
      </c>
      <c r="AX166" s="65">
        <f t="shared" si="15"/>
        <v>3412.3319999999999</v>
      </c>
      <c r="AY166" s="65">
        <f t="shared" si="14"/>
        <v>83.537999999999997</v>
      </c>
      <c r="AZ166" s="19">
        <v>33237</v>
      </c>
      <c r="BA166" s="19">
        <v>36073</v>
      </c>
      <c r="BB166" s="19">
        <v>41884</v>
      </c>
      <c r="BC166" s="19">
        <v>2377</v>
      </c>
      <c r="BD166" s="19">
        <v>138</v>
      </c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62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  <c r="DK166" s="62"/>
      <c r="DL166" s="62"/>
    </row>
    <row r="167" spans="1:116" hidden="1" x14ac:dyDescent="0.2">
      <c r="A167" s="57">
        <v>31656</v>
      </c>
      <c r="B167" s="58"/>
      <c r="C167" s="66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6"/>
      <c r="P167" s="61"/>
      <c r="Q167" s="62"/>
      <c r="R167" s="62"/>
      <c r="S167" s="62"/>
      <c r="T167" s="62"/>
      <c r="U167" s="62"/>
      <c r="V167" s="62"/>
      <c r="W167" s="62"/>
      <c r="X167" s="62"/>
      <c r="Y167" s="61"/>
      <c r="Z167" s="63"/>
      <c r="AA167" s="64" t="e">
        <v>#N/A</v>
      </c>
      <c r="AB167" s="62" t="e">
        <v>#N/A</v>
      </c>
      <c r="AC167" s="62" t="e">
        <v>#N/A</v>
      </c>
      <c r="AD167" s="62" t="e">
        <v>#N/A</v>
      </c>
      <c r="AE167" s="62" t="e">
        <v>#N/A</v>
      </c>
      <c r="AF167" s="62" t="e">
        <v>#N/A</v>
      </c>
      <c r="AG167" s="62" t="e">
        <v>#N/A</v>
      </c>
      <c r="AH167" s="62" t="e">
        <v>#N/A</v>
      </c>
      <c r="AI167" s="62" t="e">
        <v>#N/A</v>
      </c>
      <c r="AJ167" s="62" t="e">
        <v>#N/A</v>
      </c>
      <c r="AK167" s="64" t="e">
        <v>#N/A</v>
      </c>
      <c r="AL167" s="19">
        <v>85922</v>
      </c>
      <c r="AM167" s="19">
        <v>76205</v>
      </c>
      <c r="AN167" s="23">
        <v>7850</v>
      </c>
      <c r="AO167" s="19">
        <v>152403</v>
      </c>
      <c r="AP167" s="19">
        <v>2940</v>
      </c>
      <c r="AQ167" s="62"/>
      <c r="AR167" s="63"/>
      <c r="AS167" s="63"/>
      <c r="AT167" s="65">
        <f t="shared" si="11"/>
        <v>6400.9260000000004</v>
      </c>
      <c r="AU167" s="65">
        <f t="shared" si="12"/>
        <v>329.7</v>
      </c>
      <c r="AV167" s="65">
        <f t="shared" si="13"/>
        <v>123.48</v>
      </c>
      <c r="AW167" s="65">
        <f t="shared" si="15"/>
        <v>3608.7240000000002</v>
      </c>
      <c r="AX167" s="65">
        <f t="shared" si="15"/>
        <v>3200.61</v>
      </c>
      <c r="AY167" s="65">
        <f t="shared" si="14"/>
        <v>123.48</v>
      </c>
      <c r="AZ167" s="19">
        <v>32782</v>
      </c>
      <c r="BA167" s="19">
        <v>33645</v>
      </c>
      <c r="BB167" s="19">
        <v>42233</v>
      </c>
      <c r="BC167" s="19">
        <v>1632</v>
      </c>
      <c r="BD167" s="19">
        <v>420</v>
      </c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62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  <c r="DK167" s="62"/>
      <c r="DL167" s="62"/>
    </row>
    <row r="168" spans="1:116" hidden="1" x14ac:dyDescent="0.2">
      <c r="A168" s="57">
        <v>31686</v>
      </c>
      <c r="B168" s="58"/>
      <c r="C168" s="66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6"/>
      <c r="P168" s="61"/>
      <c r="Q168" s="62"/>
      <c r="R168" s="62"/>
      <c r="S168" s="62"/>
      <c r="T168" s="62"/>
      <c r="U168" s="62"/>
      <c r="V168" s="62"/>
      <c r="W168" s="62"/>
      <c r="X168" s="62"/>
      <c r="Y168" s="61"/>
      <c r="Z168" s="63"/>
      <c r="AA168" s="64" t="e">
        <v>#N/A</v>
      </c>
      <c r="AB168" s="62" t="e">
        <v>#N/A</v>
      </c>
      <c r="AC168" s="62" t="e">
        <v>#N/A</v>
      </c>
      <c r="AD168" s="62" t="e">
        <v>#N/A</v>
      </c>
      <c r="AE168" s="62" t="e">
        <v>#N/A</v>
      </c>
      <c r="AF168" s="62" t="e">
        <v>#N/A</v>
      </c>
      <c r="AG168" s="62" t="e">
        <v>#N/A</v>
      </c>
      <c r="AH168" s="62" t="e">
        <v>#N/A</v>
      </c>
      <c r="AI168" s="62" t="e">
        <v>#N/A</v>
      </c>
      <c r="AJ168" s="62" t="e">
        <v>#N/A</v>
      </c>
      <c r="AK168" s="64" t="e">
        <v>#N/A</v>
      </c>
      <c r="AL168" s="19">
        <v>84199</v>
      </c>
      <c r="AM168" s="19">
        <v>90271</v>
      </c>
      <c r="AN168" s="23">
        <v>7534</v>
      </c>
      <c r="AO168" s="19">
        <v>151617</v>
      </c>
      <c r="AP168" s="19">
        <v>2285</v>
      </c>
      <c r="AQ168" s="62"/>
      <c r="AR168" s="63"/>
      <c r="AS168" s="63"/>
      <c r="AT168" s="65">
        <f t="shared" si="11"/>
        <v>6367.9139999999998</v>
      </c>
      <c r="AU168" s="65">
        <f t="shared" si="12"/>
        <v>316.428</v>
      </c>
      <c r="AV168" s="65">
        <f t="shared" si="13"/>
        <v>95.97</v>
      </c>
      <c r="AW168" s="65">
        <f t="shared" si="15"/>
        <v>3536.3580000000002</v>
      </c>
      <c r="AX168" s="65">
        <f t="shared" si="15"/>
        <v>3791.3820000000001</v>
      </c>
      <c r="AY168" s="65">
        <f t="shared" si="14"/>
        <v>95.97</v>
      </c>
      <c r="AZ168" s="19">
        <v>34478</v>
      </c>
      <c r="BA168" s="19">
        <v>33034</v>
      </c>
      <c r="BB168" s="19">
        <v>43853</v>
      </c>
      <c r="BC168" s="19">
        <v>954</v>
      </c>
      <c r="BD168" s="19">
        <v>778</v>
      </c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62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  <c r="DK168" s="62"/>
      <c r="DL168" s="62"/>
    </row>
    <row r="169" spans="1:116" hidden="1" x14ac:dyDescent="0.2">
      <c r="A169" s="57">
        <v>31717</v>
      </c>
      <c r="B169" s="58"/>
      <c r="C169" s="66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6"/>
      <c r="P169" s="61"/>
      <c r="Q169" s="62"/>
      <c r="R169" s="62"/>
      <c r="S169" s="62"/>
      <c r="T169" s="62"/>
      <c r="U169" s="62"/>
      <c r="V169" s="62"/>
      <c r="W169" s="62"/>
      <c r="X169" s="62"/>
      <c r="Y169" s="61"/>
      <c r="Z169" s="63"/>
      <c r="AA169" s="64" t="e">
        <v>#N/A</v>
      </c>
      <c r="AB169" s="62" t="e">
        <v>#N/A</v>
      </c>
      <c r="AC169" s="62" t="e">
        <v>#N/A</v>
      </c>
      <c r="AD169" s="62" t="e">
        <v>#N/A</v>
      </c>
      <c r="AE169" s="62" t="e">
        <v>#N/A</v>
      </c>
      <c r="AF169" s="62" t="e">
        <v>#N/A</v>
      </c>
      <c r="AG169" s="62" t="e">
        <v>#N/A</v>
      </c>
      <c r="AH169" s="62" t="e">
        <v>#N/A</v>
      </c>
      <c r="AI169" s="62" t="e">
        <v>#N/A</v>
      </c>
      <c r="AJ169" s="62" t="e">
        <v>#N/A</v>
      </c>
      <c r="AK169" s="64" t="e">
        <v>#N/A</v>
      </c>
      <c r="AL169" s="19">
        <v>87456</v>
      </c>
      <c r="AM169" s="19">
        <v>86309</v>
      </c>
      <c r="AN169" s="23">
        <v>7622</v>
      </c>
      <c r="AO169" s="19">
        <v>158263</v>
      </c>
      <c r="AP169" s="19">
        <v>2165</v>
      </c>
      <c r="AQ169" s="62"/>
      <c r="AR169" s="63"/>
      <c r="AS169" s="63"/>
      <c r="AT169" s="65">
        <f t="shared" si="11"/>
        <v>6647.0460000000003</v>
      </c>
      <c r="AU169" s="65">
        <f t="shared" si="12"/>
        <v>320.12400000000002</v>
      </c>
      <c r="AV169" s="65">
        <f t="shared" si="13"/>
        <v>90.93</v>
      </c>
      <c r="AW169" s="65">
        <f t="shared" si="15"/>
        <v>3673.152</v>
      </c>
      <c r="AX169" s="65">
        <f t="shared" si="15"/>
        <v>3624.9780000000001</v>
      </c>
      <c r="AY169" s="65">
        <f t="shared" si="14"/>
        <v>90.93</v>
      </c>
      <c r="AZ169" s="19">
        <v>33756</v>
      </c>
      <c r="BA169" s="19">
        <v>35129</v>
      </c>
      <c r="BB169" s="19">
        <v>43237</v>
      </c>
      <c r="BC169" s="19">
        <v>1425</v>
      </c>
      <c r="BD169" s="19">
        <v>668</v>
      </c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62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  <c r="DK169" s="62"/>
      <c r="DL169" s="62"/>
    </row>
    <row r="170" spans="1:116" hidden="1" x14ac:dyDescent="0.2">
      <c r="A170" s="57">
        <v>31747</v>
      </c>
      <c r="B170" s="58"/>
      <c r="C170" s="66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6"/>
      <c r="P170" s="61"/>
      <c r="Q170" s="62"/>
      <c r="R170" s="62"/>
      <c r="S170" s="62"/>
      <c r="T170" s="62"/>
      <c r="U170" s="62"/>
      <c r="V170" s="62"/>
      <c r="W170" s="62"/>
      <c r="X170" s="62"/>
      <c r="Y170" s="61"/>
      <c r="Z170" s="63"/>
      <c r="AA170" s="64" t="e">
        <v>#N/A</v>
      </c>
      <c r="AB170" s="62" t="e">
        <v>#N/A</v>
      </c>
      <c r="AC170" s="62" t="e">
        <v>#N/A</v>
      </c>
      <c r="AD170" s="62" t="e">
        <v>#N/A</v>
      </c>
      <c r="AE170" s="62" t="e">
        <v>#N/A</v>
      </c>
      <c r="AF170" s="62" t="e">
        <v>#N/A</v>
      </c>
      <c r="AG170" s="62" t="e">
        <v>#N/A</v>
      </c>
      <c r="AH170" s="62" t="e">
        <v>#N/A</v>
      </c>
      <c r="AI170" s="62" t="e">
        <v>#N/A</v>
      </c>
      <c r="AJ170" s="62" t="e">
        <v>#N/A</v>
      </c>
      <c r="AK170" s="64" t="e">
        <v>#N/A</v>
      </c>
      <c r="AL170" s="19">
        <v>91183</v>
      </c>
      <c r="AM170" s="19">
        <v>103184</v>
      </c>
      <c r="AN170" s="23">
        <v>10501</v>
      </c>
      <c r="AO170" s="19">
        <v>155097</v>
      </c>
      <c r="AP170" s="19">
        <v>1716</v>
      </c>
      <c r="AQ170" s="62"/>
      <c r="AR170" s="63"/>
      <c r="AS170" s="63"/>
      <c r="AT170" s="65">
        <f t="shared" si="11"/>
        <v>6514.0739999999996</v>
      </c>
      <c r="AU170" s="65">
        <f t="shared" si="12"/>
        <v>441.04199999999997</v>
      </c>
      <c r="AV170" s="65">
        <f t="shared" si="13"/>
        <v>72.072000000000003</v>
      </c>
      <c r="AW170" s="65">
        <f t="shared" si="15"/>
        <v>3829.6860000000001</v>
      </c>
      <c r="AX170" s="65">
        <f t="shared" si="15"/>
        <v>4333.7280000000001</v>
      </c>
      <c r="AY170" s="65">
        <f t="shared" si="14"/>
        <v>72.072000000000003</v>
      </c>
      <c r="AZ170" s="19">
        <v>37521</v>
      </c>
      <c r="BA170" s="19">
        <v>38309</v>
      </c>
      <c r="BB170" s="19">
        <v>42677</v>
      </c>
      <c r="BC170" s="19">
        <v>854</v>
      </c>
      <c r="BD170" s="19">
        <v>626</v>
      </c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62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  <c r="DK170" s="62"/>
      <c r="DL170" s="62"/>
    </row>
    <row r="171" spans="1:116" hidden="1" x14ac:dyDescent="0.2">
      <c r="A171" s="57">
        <v>31778</v>
      </c>
      <c r="B171" s="58"/>
      <c r="C171" s="66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6"/>
      <c r="P171" s="61"/>
      <c r="Q171" s="62"/>
      <c r="R171" s="62"/>
      <c r="S171" s="62"/>
      <c r="T171" s="62"/>
      <c r="U171" s="62"/>
      <c r="V171" s="62"/>
      <c r="W171" s="62"/>
      <c r="X171" s="62"/>
      <c r="Y171" s="61"/>
      <c r="Z171" s="63"/>
      <c r="AA171" s="64" t="e">
        <v>#N/A</v>
      </c>
      <c r="AB171" s="62" t="e">
        <v>#N/A</v>
      </c>
      <c r="AC171" s="62" t="e">
        <v>#N/A</v>
      </c>
      <c r="AD171" s="62" t="e">
        <v>#N/A</v>
      </c>
      <c r="AE171" s="62" t="e">
        <v>#N/A</v>
      </c>
      <c r="AF171" s="62" t="e">
        <v>#N/A</v>
      </c>
      <c r="AG171" s="62" t="e">
        <v>#N/A</v>
      </c>
      <c r="AH171" s="62" t="e">
        <v>#N/A</v>
      </c>
      <c r="AI171" s="62" t="e">
        <v>#N/A</v>
      </c>
      <c r="AJ171" s="62" t="e">
        <v>#N/A</v>
      </c>
      <c r="AK171" s="64" t="e">
        <v>#N/A</v>
      </c>
      <c r="AL171" s="19">
        <v>85487</v>
      </c>
      <c r="AM171" s="19">
        <v>102618</v>
      </c>
      <c r="AN171" s="23">
        <v>6888</v>
      </c>
      <c r="AO171" s="19">
        <v>141342</v>
      </c>
      <c r="AP171" s="19">
        <v>3562</v>
      </c>
      <c r="AQ171" s="62"/>
      <c r="AR171" s="63"/>
      <c r="AS171" s="63"/>
      <c r="AT171" s="65">
        <f t="shared" si="11"/>
        <v>5936.3639999999996</v>
      </c>
      <c r="AU171" s="65">
        <f t="shared" si="12"/>
        <v>289.29599999999999</v>
      </c>
      <c r="AV171" s="65">
        <f t="shared" si="13"/>
        <v>149.60400000000001</v>
      </c>
      <c r="AW171" s="65">
        <f t="shared" si="15"/>
        <v>3590.4540000000002</v>
      </c>
      <c r="AX171" s="65">
        <f t="shared" si="15"/>
        <v>4309.9560000000001</v>
      </c>
      <c r="AY171" s="65">
        <f t="shared" si="14"/>
        <v>149.60400000000001</v>
      </c>
      <c r="AZ171" s="19">
        <v>36943</v>
      </c>
      <c r="BA171" s="19">
        <v>37249</v>
      </c>
      <c r="BB171" s="19">
        <v>42116</v>
      </c>
      <c r="BC171" s="19">
        <v>1148</v>
      </c>
      <c r="BD171" s="19">
        <v>1404</v>
      </c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62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  <c r="DK171" s="62"/>
      <c r="DL171" s="62"/>
    </row>
    <row r="172" spans="1:116" hidden="1" x14ac:dyDescent="0.2">
      <c r="A172" s="57">
        <v>31809</v>
      </c>
      <c r="B172" s="58"/>
      <c r="C172" s="66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6"/>
      <c r="P172" s="61"/>
      <c r="Q172" s="62"/>
      <c r="R172" s="62"/>
      <c r="S172" s="62"/>
      <c r="T172" s="62"/>
      <c r="U172" s="62"/>
      <c r="V172" s="62"/>
      <c r="W172" s="62"/>
      <c r="X172" s="62"/>
      <c r="Y172" s="61"/>
      <c r="Z172" s="63"/>
      <c r="AA172" s="64" t="e">
        <v>#N/A</v>
      </c>
      <c r="AB172" s="62" t="e">
        <v>#N/A</v>
      </c>
      <c r="AC172" s="62" t="e">
        <v>#N/A</v>
      </c>
      <c r="AD172" s="62" t="e">
        <v>#N/A</v>
      </c>
      <c r="AE172" s="62" t="e">
        <v>#N/A</v>
      </c>
      <c r="AF172" s="62" t="e">
        <v>#N/A</v>
      </c>
      <c r="AG172" s="62" t="e">
        <v>#N/A</v>
      </c>
      <c r="AH172" s="62" t="e">
        <v>#N/A</v>
      </c>
      <c r="AI172" s="62" t="e">
        <v>#N/A</v>
      </c>
      <c r="AJ172" s="62" t="e">
        <v>#N/A</v>
      </c>
      <c r="AK172" s="64" t="e">
        <v>#N/A</v>
      </c>
      <c r="AL172" s="19">
        <v>71524</v>
      </c>
      <c r="AM172" s="19">
        <v>93671</v>
      </c>
      <c r="AN172" s="23">
        <v>7084</v>
      </c>
      <c r="AO172" s="19">
        <v>123730</v>
      </c>
      <c r="AP172" s="19">
        <v>2593</v>
      </c>
      <c r="AQ172" s="62"/>
      <c r="AR172" s="63"/>
      <c r="AS172" s="63"/>
      <c r="AT172" s="65">
        <f t="shared" si="11"/>
        <v>5196.66</v>
      </c>
      <c r="AU172" s="65">
        <f t="shared" si="12"/>
        <v>297.52800000000002</v>
      </c>
      <c r="AV172" s="65">
        <f t="shared" si="13"/>
        <v>108.90600000000001</v>
      </c>
      <c r="AW172" s="65">
        <f t="shared" si="15"/>
        <v>3004.0079999999998</v>
      </c>
      <c r="AX172" s="65">
        <f t="shared" si="15"/>
        <v>3934.1819999999998</v>
      </c>
      <c r="AY172" s="65">
        <f t="shared" si="14"/>
        <v>108.90600000000001</v>
      </c>
      <c r="AZ172" s="19">
        <v>31773</v>
      </c>
      <c r="BA172" s="19">
        <v>33960</v>
      </c>
      <c r="BB172" s="19">
        <v>41154</v>
      </c>
      <c r="BC172" s="19">
        <v>1790</v>
      </c>
      <c r="BD172" s="19">
        <v>565</v>
      </c>
      <c r="BE172" s="62"/>
      <c r="BF172" s="62"/>
      <c r="BG172" s="62"/>
      <c r="BH172" s="62"/>
      <c r="BI172" s="62"/>
      <c r="BJ172" s="62"/>
      <c r="BK172" s="62"/>
      <c r="BL172" s="62"/>
      <c r="BM172" s="62"/>
      <c r="BN172" s="62"/>
      <c r="BO172" s="62"/>
      <c r="BP172" s="62"/>
      <c r="BQ172" s="62"/>
      <c r="BR172" s="62"/>
      <c r="BS172" s="62"/>
      <c r="BT172" s="62"/>
      <c r="BU172" s="62"/>
      <c r="BV172" s="62"/>
      <c r="BW172" s="62"/>
      <c r="BX172" s="62"/>
      <c r="BY172" s="62"/>
      <c r="BZ172" s="62"/>
      <c r="CA172" s="62"/>
      <c r="CB172" s="62"/>
      <c r="CC172" s="62"/>
      <c r="CD172" s="62"/>
      <c r="CE172" s="62"/>
      <c r="CF172" s="62"/>
      <c r="CG172" s="62"/>
      <c r="CH172" s="62"/>
      <c r="CI172" s="62"/>
      <c r="CJ172" s="62"/>
      <c r="CK172" s="62"/>
      <c r="CL172" s="62"/>
      <c r="CM172" s="62"/>
      <c r="CN172" s="62"/>
      <c r="CO172" s="62"/>
      <c r="CP172" s="62"/>
      <c r="CQ172" s="62"/>
      <c r="CR172" s="62"/>
      <c r="CS172" s="62"/>
      <c r="CT172" s="62"/>
      <c r="CU172" s="62"/>
      <c r="CV172" s="62"/>
      <c r="CW172" s="62"/>
      <c r="CX172" s="62"/>
      <c r="CY172" s="62"/>
      <c r="CZ172" s="62"/>
      <c r="DA172" s="62"/>
      <c r="DB172" s="62"/>
      <c r="DC172" s="62"/>
      <c r="DD172" s="62"/>
      <c r="DE172" s="62"/>
      <c r="DF172" s="62"/>
      <c r="DG172" s="62"/>
      <c r="DH172" s="62"/>
      <c r="DI172" s="62"/>
      <c r="DJ172" s="62"/>
      <c r="DK172" s="62"/>
      <c r="DL172" s="62"/>
    </row>
    <row r="173" spans="1:116" hidden="1" x14ac:dyDescent="0.2">
      <c r="A173" s="57">
        <v>31837</v>
      </c>
      <c r="B173" s="58"/>
      <c r="C173" s="66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6"/>
      <c r="P173" s="61"/>
      <c r="Q173" s="62"/>
      <c r="R173" s="62"/>
      <c r="S173" s="62"/>
      <c r="T173" s="62"/>
      <c r="U173" s="62"/>
      <c r="V173" s="62"/>
      <c r="W173" s="62"/>
      <c r="X173" s="62"/>
      <c r="Y173" s="61"/>
      <c r="Z173" s="63"/>
      <c r="AA173" s="64" t="e">
        <v>#N/A</v>
      </c>
      <c r="AB173" s="62" t="e">
        <v>#N/A</v>
      </c>
      <c r="AC173" s="62" t="e">
        <v>#N/A</v>
      </c>
      <c r="AD173" s="62" t="e">
        <v>#N/A</v>
      </c>
      <c r="AE173" s="62" t="e">
        <v>#N/A</v>
      </c>
      <c r="AF173" s="62" t="e">
        <v>#N/A</v>
      </c>
      <c r="AG173" s="62" t="e">
        <v>#N/A</v>
      </c>
      <c r="AH173" s="62" t="e">
        <v>#N/A</v>
      </c>
      <c r="AI173" s="62" t="e">
        <v>#N/A</v>
      </c>
      <c r="AJ173" s="62" t="e">
        <v>#N/A</v>
      </c>
      <c r="AK173" s="64" t="e">
        <v>#N/A</v>
      </c>
      <c r="AL173" s="19">
        <v>75012</v>
      </c>
      <c r="AM173" s="19">
        <v>96590</v>
      </c>
      <c r="AN173" s="23">
        <v>9203</v>
      </c>
      <c r="AO173" s="19">
        <v>109332</v>
      </c>
      <c r="AP173" s="19">
        <v>2073</v>
      </c>
      <c r="AQ173" s="62"/>
      <c r="AR173" s="63"/>
      <c r="AS173" s="63"/>
      <c r="AT173" s="65">
        <f t="shared" si="11"/>
        <v>4591.9440000000004</v>
      </c>
      <c r="AU173" s="65">
        <f t="shared" si="12"/>
        <v>386.52600000000001</v>
      </c>
      <c r="AV173" s="65">
        <f t="shared" si="13"/>
        <v>87.066000000000003</v>
      </c>
      <c r="AW173" s="65">
        <f t="shared" si="15"/>
        <v>3150.5039999999999</v>
      </c>
      <c r="AX173" s="65">
        <f t="shared" si="15"/>
        <v>4056.78</v>
      </c>
      <c r="AY173" s="65">
        <f t="shared" si="14"/>
        <v>87.066000000000003</v>
      </c>
      <c r="AZ173" s="19">
        <v>33945</v>
      </c>
      <c r="BA173" s="19">
        <v>36227</v>
      </c>
      <c r="BB173" s="19">
        <v>41044</v>
      </c>
      <c r="BC173" s="19">
        <v>2386</v>
      </c>
      <c r="BD173" s="19">
        <v>214</v>
      </c>
      <c r="BE173" s="62"/>
      <c r="BF173" s="62"/>
      <c r="BG173" s="62"/>
      <c r="BH173" s="62"/>
      <c r="BI173" s="62"/>
      <c r="BJ173" s="62"/>
      <c r="BK173" s="62"/>
      <c r="BL173" s="62"/>
      <c r="BM173" s="62"/>
      <c r="BN173" s="62"/>
      <c r="BO173" s="62"/>
      <c r="BP173" s="62"/>
      <c r="BQ173" s="62"/>
      <c r="BR173" s="62"/>
      <c r="BS173" s="62"/>
      <c r="BT173" s="62"/>
      <c r="BU173" s="62"/>
      <c r="BV173" s="62"/>
      <c r="BW173" s="62"/>
      <c r="BX173" s="62"/>
      <c r="BY173" s="62"/>
      <c r="BZ173" s="62"/>
      <c r="CA173" s="62"/>
      <c r="CB173" s="62"/>
      <c r="CC173" s="62"/>
      <c r="CD173" s="62"/>
      <c r="CE173" s="62"/>
      <c r="CF173" s="62"/>
      <c r="CG173" s="62"/>
      <c r="CH173" s="62"/>
      <c r="CI173" s="62"/>
      <c r="CJ173" s="62"/>
      <c r="CK173" s="62"/>
      <c r="CL173" s="62"/>
      <c r="CM173" s="62"/>
      <c r="CN173" s="62"/>
      <c r="CO173" s="62"/>
      <c r="CP173" s="62"/>
      <c r="CQ173" s="62"/>
      <c r="CR173" s="62"/>
      <c r="CS173" s="62"/>
      <c r="CT173" s="62"/>
      <c r="CU173" s="62"/>
      <c r="CV173" s="62"/>
      <c r="CW173" s="62"/>
      <c r="CX173" s="62"/>
      <c r="CY173" s="62"/>
      <c r="CZ173" s="62"/>
      <c r="DA173" s="62"/>
      <c r="DB173" s="62"/>
      <c r="DC173" s="62"/>
      <c r="DD173" s="62"/>
      <c r="DE173" s="62"/>
      <c r="DF173" s="62"/>
      <c r="DG173" s="62"/>
      <c r="DH173" s="62"/>
      <c r="DI173" s="62"/>
      <c r="DJ173" s="62"/>
      <c r="DK173" s="62"/>
      <c r="DL173" s="62"/>
    </row>
    <row r="174" spans="1:116" hidden="1" x14ac:dyDescent="0.2">
      <c r="A174" s="57">
        <v>31868</v>
      </c>
      <c r="B174" s="58"/>
      <c r="C174" s="66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6"/>
      <c r="P174" s="61"/>
      <c r="Q174" s="62"/>
      <c r="R174" s="62"/>
      <c r="S174" s="62"/>
      <c r="T174" s="62"/>
      <c r="U174" s="62"/>
      <c r="V174" s="62"/>
      <c r="W174" s="62"/>
      <c r="X174" s="62"/>
      <c r="Y174" s="61"/>
      <c r="Z174" s="63"/>
      <c r="AA174" s="64" t="e">
        <v>#N/A</v>
      </c>
      <c r="AB174" s="62" t="e">
        <v>#N/A</v>
      </c>
      <c r="AC174" s="62" t="e">
        <v>#N/A</v>
      </c>
      <c r="AD174" s="62" t="e">
        <v>#N/A</v>
      </c>
      <c r="AE174" s="62" t="e">
        <v>#N/A</v>
      </c>
      <c r="AF174" s="62" t="e">
        <v>#N/A</v>
      </c>
      <c r="AG174" s="62" t="e">
        <v>#N/A</v>
      </c>
      <c r="AH174" s="62" t="e">
        <v>#N/A</v>
      </c>
      <c r="AI174" s="62" t="e">
        <v>#N/A</v>
      </c>
      <c r="AJ174" s="62" t="e">
        <v>#N/A</v>
      </c>
      <c r="AK174" s="64" t="e">
        <v>#N/A</v>
      </c>
      <c r="AL174" s="19">
        <v>76541</v>
      </c>
      <c r="AM174" s="19">
        <v>89736</v>
      </c>
      <c r="AN174" s="23">
        <v>5745</v>
      </c>
      <c r="AO174" s="19">
        <v>100338</v>
      </c>
      <c r="AP174" s="19">
        <v>1588</v>
      </c>
      <c r="AQ174" s="62"/>
      <c r="AR174" s="63"/>
      <c r="AS174" s="63"/>
      <c r="AT174" s="65">
        <f t="shared" si="11"/>
        <v>4214.1959999999999</v>
      </c>
      <c r="AU174" s="65">
        <f t="shared" si="12"/>
        <v>241.29</v>
      </c>
      <c r="AV174" s="65">
        <f t="shared" si="13"/>
        <v>66.695999999999998</v>
      </c>
      <c r="AW174" s="65">
        <f t="shared" si="15"/>
        <v>3214.7220000000002</v>
      </c>
      <c r="AX174" s="65">
        <f t="shared" si="15"/>
        <v>3768.9119999999998</v>
      </c>
      <c r="AY174" s="65">
        <f t="shared" si="14"/>
        <v>66.695999999999998</v>
      </c>
      <c r="AZ174" s="19">
        <v>31554</v>
      </c>
      <c r="BA174" s="19">
        <v>34372</v>
      </c>
      <c r="BB174" s="19">
        <v>39977</v>
      </c>
      <c r="BC174" s="19">
        <v>1872</v>
      </c>
      <c r="BD174" s="19">
        <v>121</v>
      </c>
      <c r="BE174" s="62"/>
      <c r="BF174" s="62"/>
      <c r="BG174" s="62"/>
      <c r="BH174" s="62"/>
      <c r="BI174" s="62"/>
      <c r="BJ174" s="62"/>
      <c r="BK174" s="62"/>
      <c r="BL174" s="62"/>
      <c r="BM174" s="62"/>
      <c r="BN174" s="62"/>
      <c r="BO174" s="62"/>
      <c r="BP174" s="62"/>
      <c r="BQ174" s="62"/>
      <c r="BR174" s="62"/>
      <c r="BS174" s="62"/>
      <c r="BT174" s="62"/>
      <c r="BU174" s="62"/>
      <c r="BV174" s="62"/>
      <c r="BW174" s="62"/>
      <c r="BX174" s="62"/>
      <c r="BY174" s="62"/>
      <c r="BZ174" s="62"/>
      <c r="CA174" s="62"/>
      <c r="CB174" s="62"/>
      <c r="CC174" s="62"/>
      <c r="CD174" s="62"/>
      <c r="CE174" s="62"/>
      <c r="CF174" s="62"/>
      <c r="CG174" s="62"/>
      <c r="CH174" s="62"/>
      <c r="CI174" s="62"/>
      <c r="CJ174" s="62"/>
      <c r="CK174" s="62"/>
      <c r="CL174" s="62"/>
      <c r="CM174" s="62"/>
      <c r="CN174" s="62"/>
      <c r="CO174" s="62"/>
      <c r="CP174" s="62"/>
      <c r="CQ174" s="62"/>
      <c r="CR174" s="62"/>
      <c r="CS174" s="62"/>
      <c r="CT174" s="62"/>
      <c r="CU174" s="62"/>
      <c r="CV174" s="62"/>
      <c r="CW174" s="62"/>
      <c r="CX174" s="62"/>
      <c r="CY174" s="62"/>
      <c r="CZ174" s="62"/>
      <c r="DA174" s="62"/>
      <c r="DB174" s="62"/>
      <c r="DC174" s="62"/>
      <c r="DD174" s="62"/>
      <c r="DE174" s="62"/>
      <c r="DF174" s="62"/>
      <c r="DG174" s="62"/>
      <c r="DH174" s="62"/>
      <c r="DI174" s="62"/>
      <c r="DJ174" s="62"/>
      <c r="DK174" s="62"/>
      <c r="DL174" s="62"/>
    </row>
    <row r="175" spans="1:116" hidden="1" x14ac:dyDescent="0.2">
      <c r="A175" s="57">
        <v>31898</v>
      </c>
      <c r="B175" s="58"/>
      <c r="C175" s="66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6"/>
      <c r="P175" s="61"/>
      <c r="Q175" s="62"/>
      <c r="R175" s="62"/>
      <c r="S175" s="62"/>
      <c r="T175" s="62"/>
      <c r="U175" s="62"/>
      <c r="V175" s="62"/>
      <c r="W175" s="62"/>
      <c r="X175" s="62"/>
      <c r="Y175" s="61"/>
      <c r="Z175" s="63"/>
      <c r="AA175" s="64" t="e">
        <v>#N/A</v>
      </c>
      <c r="AB175" s="62" t="e">
        <v>#N/A</v>
      </c>
      <c r="AC175" s="62" t="e">
        <v>#N/A</v>
      </c>
      <c r="AD175" s="62" t="e">
        <v>#N/A</v>
      </c>
      <c r="AE175" s="62" t="e">
        <v>#N/A</v>
      </c>
      <c r="AF175" s="62" t="e">
        <v>#N/A</v>
      </c>
      <c r="AG175" s="62" t="e">
        <v>#N/A</v>
      </c>
      <c r="AH175" s="62" t="e">
        <v>#N/A</v>
      </c>
      <c r="AI175" s="62" t="e">
        <v>#N/A</v>
      </c>
      <c r="AJ175" s="62" t="e">
        <v>#N/A</v>
      </c>
      <c r="AK175" s="64" t="e">
        <v>#N/A</v>
      </c>
      <c r="AL175" s="19">
        <v>79406</v>
      </c>
      <c r="AM175" s="19">
        <v>83198</v>
      </c>
      <c r="AN175" s="23">
        <v>6288</v>
      </c>
      <c r="AO175" s="19">
        <v>101286</v>
      </c>
      <c r="AP175" s="19">
        <v>1595</v>
      </c>
      <c r="AQ175" s="62"/>
      <c r="AR175" s="63"/>
      <c r="AS175" s="63"/>
      <c r="AT175" s="65">
        <f t="shared" si="11"/>
        <v>4254.0119999999997</v>
      </c>
      <c r="AU175" s="65">
        <f t="shared" si="12"/>
        <v>264.096</v>
      </c>
      <c r="AV175" s="65">
        <f t="shared" si="13"/>
        <v>66.989999999999995</v>
      </c>
      <c r="AW175" s="65">
        <f t="shared" si="15"/>
        <v>3335.0520000000001</v>
      </c>
      <c r="AX175" s="65">
        <f t="shared" si="15"/>
        <v>3494.3159999999998</v>
      </c>
      <c r="AY175" s="65">
        <f t="shared" si="14"/>
        <v>66.989999999999995</v>
      </c>
      <c r="AZ175" s="19">
        <v>32081</v>
      </c>
      <c r="BA175" s="19">
        <v>34665</v>
      </c>
      <c r="BB175" s="19">
        <v>39277</v>
      </c>
      <c r="BC175" s="19">
        <v>2002</v>
      </c>
      <c r="BD175" s="19">
        <v>117</v>
      </c>
      <c r="BE175" s="62"/>
      <c r="BF175" s="62"/>
      <c r="BG175" s="62"/>
      <c r="BH175" s="62"/>
      <c r="BI175" s="62"/>
      <c r="BJ175" s="62"/>
      <c r="BK175" s="62"/>
      <c r="BL175" s="62"/>
      <c r="BM175" s="62"/>
      <c r="BN175" s="62"/>
      <c r="BO175" s="62"/>
      <c r="BP175" s="62"/>
      <c r="BQ175" s="62"/>
      <c r="BR175" s="62"/>
      <c r="BS175" s="62"/>
      <c r="BT175" s="62"/>
      <c r="BU175" s="62"/>
      <c r="BV175" s="62"/>
      <c r="BW175" s="62"/>
      <c r="BX175" s="62"/>
      <c r="BY175" s="62"/>
      <c r="BZ175" s="62"/>
      <c r="CA175" s="62"/>
      <c r="CB175" s="62"/>
      <c r="CC175" s="62"/>
      <c r="CD175" s="62"/>
      <c r="CE175" s="62"/>
      <c r="CF175" s="62"/>
      <c r="CG175" s="62"/>
      <c r="CH175" s="62"/>
      <c r="CI175" s="62"/>
      <c r="CJ175" s="62"/>
      <c r="CK175" s="62"/>
      <c r="CL175" s="62"/>
      <c r="CM175" s="62"/>
      <c r="CN175" s="62"/>
      <c r="CO175" s="62"/>
      <c r="CP175" s="62"/>
      <c r="CQ175" s="62"/>
      <c r="CR175" s="62"/>
      <c r="CS175" s="62"/>
      <c r="CT175" s="62"/>
      <c r="CU175" s="62"/>
      <c r="CV175" s="62"/>
      <c r="CW175" s="62"/>
      <c r="CX175" s="62"/>
      <c r="CY175" s="62"/>
      <c r="CZ175" s="62"/>
      <c r="DA175" s="62"/>
      <c r="DB175" s="62"/>
      <c r="DC175" s="62"/>
      <c r="DD175" s="62"/>
      <c r="DE175" s="62"/>
      <c r="DF175" s="62"/>
      <c r="DG175" s="62"/>
      <c r="DH175" s="62"/>
      <c r="DI175" s="62"/>
      <c r="DJ175" s="62"/>
      <c r="DK175" s="62"/>
      <c r="DL175" s="62"/>
    </row>
    <row r="176" spans="1:116" hidden="1" x14ac:dyDescent="0.2">
      <c r="A176" s="57">
        <v>31929</v>
      </c>
      <c r="B176" s="58"/>
      <c r="C176" s="66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6"/>
      <c r="P176" s="61"/>
      <c r="Q176" s="62"/>
      <c r="R176" s="62"/>
      <c r="S176" s="62"/>
      <c r="T176" s="62"/>
      <c r="U176" s="62"/>
      <c r="V176" s="62"/>
      <c r="W176" s="62"/>
      <c r="X176" s="62"/>
      <c r="Y176" s="61"/>
      <c r="Z176" s="63"/>
      <c r="AA176" s="64" t="e">
        <v>#N/A</v>
      </c>
      <c r="AB176" s="62" t="e">
        <v>#N/A</v>
      </c>
      <c r="AC176" s="62" t="e">
        <v>#N/A</v>
      </c>
      <c r="AD176" s="62" t="e">
        <v>#N/A</v>
      </c>
      <c r="AE176" s="62" t="e">
        <v>#N/A</v>
      </c>
      <c r="AF176" s="62" t="e">
        <v>#N/A</v>
      </c>
      <c r="AG176" s="62" t="e">
        <v>#N/A</v>
      </c>
      <c r="AH176" s="62" t="e">
        <v>#N/A</v>
      </c>
      <c r="AI176" s="62" t="e">
        <v>#N/A</v>
      </c>
      <c r="AJ176" s="62" t="e">
        <v>#N/A</v>
      </c>
      <c r="AK176" s="64" t="e">
        <v>#N/A</v>
      </c>
      <c r="AL176" s="19">
        <v>80621</v>
      </c>
      <c r="AM176" s="19">
        <v>83690</v>
      </c>
      <c r="AN176" s="23">
        <v>7963</v>
      </c>
      <c r="AO176" s="19">
        <v>104391</v>
      </c>
      <c r="AP176" s="19">
        <v>1834</v>
      </c>
      <c r="AQ176" s="62"/>
      <c r="AR176" s="63"/>
      <c r="AS176" s="63"/>
      <c r="AT176" s="65">
        <f t="shared" si="11"/>
        <v>4384.4219999999996</v>
      </c>
      <c r="AU176" s="65">
        <f t="shared" si="12"/>
        <v>334.44600000000003</v>
      </c>
      <c r="AV176" s="65">
        <f t="shared" si="13"/>
        <v>77.028000000000006</v>
      </c>
      <c r="AW176" s="65">
        <f t="shared" si="15"/>
        <v>3386.0819999999999</v>
      </c>
      <c r="AX176" s="65">
        <f t="shared" si="15"/>
        <v>3514.98</v>
      </c>
      <c r="AY176" s="65">
        <f t="shared" si="14"/>
        <v>77.028000000000006</v>
      </c>
      <c r="AZ176" s="19">
        <v>31444</v>
      </c>
      <c r="BA176" s="19">
        <v>33813</v>
      </c>
      <c r="BB176" s="19">
        <v>38677</v>
      </c>
      <c r="BC176" s="19">
        <v>1915</v>
      </c>
      <c r="BD176" s="19">
        <v>146</v>
      </c>
      <c r="BE176" s="62"/>
      <c r="BF176" s="62"/>
      <c r="BG176" s="62"/>
      <c r="BH176" s="62"/>
      <c r="BI176" s="62"/>
      <c r="BJ176" s="62"/>
      <c r="BK176" s="62"/>
      <c r="BL176" s="62"/>
      <c r="BM176" s="62"/>
      <c r="BN176" s="62"/>
      <c r="BO176" s="62"/>
      <c r="BP176" s="62"/>
      <c r="BQ176" s="62"/>
      <c r="BR176" s="62"/>
      <c r="BS176" s="62"/>
      <c r="BT176" s="62"/>
      <c r="BU176" s="62"/>
      <c r="BV176" s="62"/>
      <c r="BW176" s="62"/>
      <c r="BX176" s="62"/>
      <c r="BY176" s="62"/>
      <c r="BZ176" s="62"/>
      <c r="CA176" s="62"/>
      <c r="CB176" s="62"/>
      <c r="CC176" s="62"/>
      <c r="CD176" s="62"/>
      <c r="CE176" s="62"/>
      <c r="CF176" s="62"/>
      <c r="CG176" s="62"/>
      <c r="CH176" s="62"/>
      <c r="CI176" s="62"/>
      <c r="CJ176" s="62"/>
      <c r="CK176" s="62"/>
      <c r="CL176" s="62"/>
      <c r="CM176" s="62"/>
      <c r="CN176" s="62"/>
      <c r="CO176" s="62"/>
      <c r="CP176" s="62"/>
      <c r="CQ176" s="62"/>
      <c r="CR176" s="62"/>
      <c r="CS176" s="62"/>
      <c r="CT176" s="62"/>
      <c r="CU176" s="62"/>
      <c r="CV176" s="62"/>
      <c r="CW176" s="62"/>
      <c r="CX176" s="62"/>
      <c r="CY176" s="62"/>
      <c r="CZ176" s="62"/>
      <c r="DA176" s="62"/>
      <c r="DB176" s="62"/>
      <c r="DC176" s="62"/>
      <c r="DD176" s="62"/>
      <c r="DE176" s="62"/>
      <c r="DF176" s="62"/>
      <c r="DG176" s="62"/>
      <c r="DH176" s="62"/>
      <c r="DI176" s="62"/>
      <c r="DJ176" s="62"/>
      <c r="DK176" s="62"/>
      <c r="DL176" s="62"/>
    </row>
    <row r="177" spans="1:116" hidden="1" x14ac:dyDescent="0.2">
      <c r="A177" s="57">
        <v>31959</v>
      </c>
      <c r="B177" s="58"/>
      <c r="C177" s="66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6"/>
      <c r="P177" s="61"/>
      <c r="Q177" s="62"/>
      <c r="R177" s="62"/>
      <c r="S177" s="62"/>
      <c r="T177" s="62"/>
      <c r="U177" s="62"/>
      <c r="V177" s="62"/>
      <c r="W177" s="62"/>
      <c r="X177" s="62"/>
      <c r="Y177" s="61"/>
      <c r="Z177" s="63"/>
      <c r="AA177" s="64" t="e">
        <v>#N/A</v>
      </c>
      <c r="AB177" s="62" t="e">
        <v>#N/A</v>
      </c>
      <c r="AC177" s="62" t="e">
        <v>#N/A</v>
      </c>
      <c r="AD177" s="62" t="e">
        <v>#N/A</v>
      </c>
      <c r="AE177" s="62" t="e">
        <v>#N/A</v>
      </c>
      <c r="AF177" s="62" t="e">
        <v>#N/A</v>
      </c>
      <c r="AG177" s="62" t="e">
        <v>#N/A</v>
      </c>
      <c r="AH177" s="62" t="e">
        <v>#N/A</v>
      </c>
      <c r="AI177" s="62" t="e">
        <v>#N/A</v>
      </c>
      <c r="AJ177" s="62" t="e">
        <v>#N/A</v>
      </c>
      <c r="AK177" s="64" t="e">
        <v>#N/A</v>
      </c>
      <c r="AL177" s="19">
        <v>83677</v>
      </c>
      <c r="AM177" s="19">
        <v>84113</v>
      </c>
      <c r="AN177" s="23">
        <v>11800</v>
      </c>
      <c r="AO177" s="19">
        <v>114602</v>
      </c>
      <c r="AP177" s="19">
        <v>1189</v>
      </c>
      <c r="AQ177" s="62"/>
      <c r="AR177" s="63"/>
      <c r="AS177" s="63"/>
      <c r="AT177" s="65">
        <f t="shared" si="11"/>
        <v>4813.2839999999997</v>
      </c>
      <c r="AU177" s="65">
        <f t="shared" si="12"/>
        <v>495.6</v>
      </c>
      <c r="AV177" s="65">
        <f t="shared" si="13"/>
        <v>49.938000000000002</v>
      </c>
      <c r="AW177" s="65">
        <f t="shared" si="15"/>
        <v>3514.4340000000002</v>
      </c>
      <c r="AX177" s="65">
        <f t="shared" si="15"/>
        <v>3532.7460000000001</v>
      </c>
      <c r="AY177" s="65">
        <f t="shared" si="14"/>
        <v>49.938000000000002</v>
      </c>
      <c r="AZ177" s="19">
        <v>34901</v>
      </c>
      <c r="BA177" s="19">
        <v>36128</v>
      </c>
      <c r="BB177" s="19">
        <v>39479</v>
      </c>
      <c r="BC177" s="19">
        <v>2168</v>
      </c>
      <c r="BD177" s="19">
        <v>139</v>
      </c>
      <c r="BE177" s="62"/>
      <c r="BF177" s="62"/>
      <c r="BG177" s="62"/>
      <c r="BH177" s="62"/>
      <c r="BI177" s="62"/>
      <c r="BJ177" s="62"/>
      <c r="BK177" s="62"/>
      <c r="BL177" s="62"/>
      <c r="BM177" s="62"/>
      <c r="BN177" s="62"/>
      <c r="BO177" s="62"/>
      <c r="BP177" s="62"/>
      <c r="BQ177" s="62"/>
      <c r="BR177" s="62"/>
      <c r="BS177" s="62"/>
      <c r="BT177" s="62"/>
      <c r="BU177" s="62"/>
      <c r="BV177" s="62"/>
      <c r="BW177" s="62"/>
      <c r="BX177" s="62"/>
      <c r="BY177" s="62"/>
      <c r="BZ177" s="62"/>
      <c r="CA177" s="62"/>
      <c r="CB177" s="62"/>
      <c r="CC177" s="62"/>
      <c r="CD177" s="62"/>
      <c r="CE177" s="62"/>
      <c r="CF177" s="62"/>
      <c r="CG177" s="62"/>
      <c r="CH177" s="62"/>
      <c r="CI177" s="62"/>
      <c r="CJ177" s="62"/>
      <c r="CK177" s="62"/>
      <c r="CL177" s="62"/>
      <c r="CM177" s="62"/>
      <c r="CN177" s="62"/>
      <c r="CO177" s="62"/>
      <c r="CP177" s="62"/>
      <c r="CQ177" s="62"/>
      <c r="CR177" s="62"/>
      <c r="CS177" s="62"/>
      <c r="CT177" s="62"/>
      <c r="CU177" s="62"/>
      <c r="CV177" s="62"/>
      <c r="CW177" s="62"/>
      <c r="CX177" s="62"/>
      <c r="CY177" s="62"/>
      <c r="CZ177" s="62"/>
      <c r="DA177" s="62"/>
      <c r="DB177" s="62"/>
      <c r="DC177" s="62"/>
      <c r="DD177" s="62"/>
      <c r="DE177" s="62"/>
      <c r="DF177" s="62"/>
      <c r="DG177" s="62"/>
      <c r="DH177" s="62"/>
      <c r="DI177" s="62"/>
      <c r="DJ177" s="62"/>
      <c r="DK177" s="62"/>
      <c r="DL177" s="62"/>
    </row>
    <row r="178" spans="1:116" hidden="1" x14ac:dyDescent="0.2">
      <c r="A178" s="57">
        <v>31990</v>
      </c>
      <c r="B178" s="58"/>
      <c r="C178" s="66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6"/>
      <c r="P178" s="61"/>
      <c r="Q178" s="62"/>
      <c r="R178" s="62"/>
      <c r="S178" s="62"/>
      <c r="T178" s="62"/>
      <c r="U178" s="62"/>
      <c r="V178" s="62"/>
      <c r="W178" s="62"/>
      <c r="X178" s="62"/>
      <c r="Y178" s="61"/>
      <c r="Z178" s="63"/>
      <c r="AA178" s="64" t="e">
        <v>#N/A</v>
      </c>
      <c r="AB178" s="62" t="e">
        <v>#N/A</v>
      </c>
      <c r="AC178" s="62" t="e">
        <v>#N/A</v>
      </c>
      <c r="AD178" s="62" t="e">
        <v>#N/A</v>
      </c>
      <c r="AE178" s="62" t="e">
        <v>#N/A</v>
      </c>
      <c r="AF178" s="62" t="e">
        <v>#N/A</v>
      </c>
      <c r="AG178" s="62" t="e">
        <v>#N/A</v>
      </c>
      <c r="AH178" s="62" t="e">
        <v>#N/A</v>
      </c>
      <c r="AI178" s="62" t="e">
        <v>#N/A</v>
      </c>
      <c r="AJ178" s="62" t="e">
        <v>#N/A</v>
      </c>
      <c r="AK178" s="64" t="e">
        <v>#N/A</v>
      </c>
      <c r="AL178" s="19">
        <v>83831</v>
      </c>
      <c r="AM178" s="19">
        <v>79154</v>
      </c>
      <c r="AN178" s="23">
        <v>6882</v>
      </c>
      <c r="AO178" s="19">
        <v>124735</v>
      </c>
      <c r="AP178" s="19">
        <v>1466</v>
      </c>
      <c r="AQ178" s="62"/>
      <c r="AR178" s="63"/>
      <c r="AS178" s="63"/>
      <c r="AT178" s="65">
        <f t="shared" si="11"/>
        <v>5238.87</v>
      </c>
      <c r="AU178" s="65">
        <f t="shared" si="12"/>
        <v>289.04399999999998</v>
      </c>
      <c r="AV178" s="65">
        <f t="shared" si="13"/>
        <v>61.572000000000003</v>
      </c>
      <c r="AW178" s="65">
        <f t="shared" si="15"/>
        <v>3520.902</v>
      </c>
      <c r="AX178" s="65">
        <f t="shared" si="15"/>
        <v>3324.4679999999998</v>
      </c>
      <c r="AY178" s="65">
        <f t="shared" si="14"/>
        <v>61.572000000000003</v>
      </c>
      <c r="AZ178" s="19">
        <v>36916</v>
      </c>
      <c r="BA178" s="19">
        <v>37156</v>
      </c>
      <c r="BB178" s="19">
        <v>40762</v>
      </c>
      <c r="BC178" s="19">
        <v>1597</v>
      </c>
      <c r="BD178" s="19">
        <v>74</v>
      </c>
      <c r="BE178" s="62"/>
      <c r="BF178" s="62"/>
      <c r="BG178" s="62"/>
      <c r="BH178" s="62"/>
      <c r="BI178" s="62"/>
      <c r="BJ178" s="62"/>
      <c r="BK178" s="62"/>
      <c r="BL178" s="62"/>
      <c r="BM178" s="62"/>
      <c r="BN178" s="62"/>
      <c r="BO178" s="62"/>
      <c r="BP178" s="62"/>
      <c r="BQ178" s="62"/>
      <c r="BR178" s="62"/>
      <c r="BS178" s="62"/>
      <c r="BT178" s="62"/>
      <c r="BU178" s="62"/>
      <c r="BV178" s="62"/>
      <c r="BW178" s="62"/>
      <c r="BX178" s="62"/>
      <c r="BY178" s="62"/>
      <c r="BZ178" s="62"/>
      <c r="CA178" s="62"/>
      <c r="CB178" s="62"/>
      <c r="CC178" s="62"/>
      <c r="CD178" s="62"/>
      <c r="CE178" s="62"/>
      <c r="CF178" s="62"/>
      <c r="CG178" s="62"/>
      <c r="CH178" s="62"/>
      <c r="CI178" s="62"/>
      <c r="CJ178" s="62"/>
      <c r="CK178" s="62"/>
      <c r="CL178" s="62"/>
      <c r="CM178" s="62"/>
      <c r="CN178" s="62"/>
      <c r="CO178" s="62"/>
      <c r="CP178" s="62"/>
      <c r="CQ178" s="62"/>
      <c r="CR178" s="62"/>
      <c r="CS178" s="62"/>
      <c r="CT178" s="62"/>
      <c r="CU178" s="62"/>
      <c r="CV178" s="62"/>
      <c r="CW178" s="62"/>
      <c r="CX178" s="62"/>
      <c r="CY178" s="62"/>
      <c r="CZ178" s="62"/>
      <c r="DA178" s="62"/>
      <c r="DB178" s="62"/>
      <c r="DC178" s="62"/>
      <c r="DD178" s="62"/>
      <c r="DE178" s="62"/>
      <c r="DF178" s="62"/>
      <c r="DG178" s="62"/>
      <c r="DH178" s="62"/>
      <c r="DI178" s="62"/>
      <c r="DJ178" s="62"/>
      <c r="DK178" s="62"/>
      <c r="DL178" s="62"/>
    </row>
    <row r="179" spans="1:116" hidden="1" x14ac:dyDescent="0.2">
      <c r="A179" s="57">
        <v>32021</v>
      </c>
      <c r="B179" s="58"/>
      <c r="C179" s="66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6"/>
      <c r="P179" s="61"/>
      <c r="Q179" s="62"/>
      <c r="R179" s="62"/>
      <c r="S179" s="62"/>
      <c r="T179" s="62"/>
      <c r="U179" s="62"/>
      <c r="V179" s="62"/>
      <c r="W179" s="62"/>
      <c r="X179" s="62"/>
      <c r="Y179" s="61"/>
      <c r="Z179" s="63"/>
      <c r="AA179" s="64" t="e">
        <v>#N/A</v>
      </c>
      <c r="AB179" s="62" t="e">
        <v>#N/A</v>
      </c>
      <c r="AC179" s="62" t="e">
        <v>#N/A</v>
      </c>
      <c r="AD179" s="62" t="e">
        <v>#N/A</v>
      </c>
      <c r="AE179" s="62" t="e">
        <v>#N/A</v>
      </c>
      <c r="AF179" s="62" t="e">
        <v>#N/A</v>
      </c>
      <c r="AG179" s="62" t="e">
        <v>#N/A</v>
      </c>
      <c r="AH179" s="62" t="e">
        <v>#N/A</v>
      </c>
      <c r="AI179" s="62" t="e">
        <v>#N/A</v>
      </c>
      <c r="AJ179" s="62" t="e">
        <v>#N/A</v>
      </c>
      <c r="AK179" s="64" t="e">
        <v>#N/A</v>
      </c>
      <c r="AL179" s="19">
        <v>82401</v>
      </c>
      <c r="AM179" s="19">
        <v>85130</v>
      </c>
      <c r="AN179" s="23">
        <v>6646</v>
      </c>
      <c r="AO179" s="19">
        <v>126762</v>
      </c>
      <c r="AP179" s="19">
        <v>1924</v>
      </c>
      <c r="AQ179" s="62"/>
      <c r="AR179" s="63"/>
      <c r="AS179" s="63"/>
      <c r="AT179" s="65">
        <f t="shared" si="11"/>
        <v>5324.0039999999999</v>
      </c>
      <c r="AU179" s="65">
        <f t="shared" si="12"/>
        <v>279.13200000000001</v>
      </c>
      <c r="AV179" s="65">
        <f t="shared" si="13"/>
        <v>80.808000000000007</v>
      </c>
      <c r="AW179" s="65">
        <f t="shared" si="15"/>
        <v>3460.8420000000001</v>
      </c>
      <c r="AX179" s="65">
        <f t="shared" si="15"/>
        <v>3575.46</v>
      </c>
      <c r="AY179" s="65">
        <f t="shared" si="14"/>
        <v>80.808000000000007</v>
      </c>
      <c r="AZ179" s="19">
        <v>35697</v>
      </c>
      <c r="BA179" s="19">
        <v>34184</v>
      </c>
      <c r="BB179" s="19">
        <v>43684</v>
      </c>
      <c r="BC179" s="19">
        <v>2438</v>
      </c>
      <c r="BD179" s="19">
        <v>1029</v>
      </c>
      <c r="BE179" s="62"/>
      <c r="BF179" s="62"/>
      <c r="BG179" s="62"/>
      <c r="BH179" s="62"/>
      <c r="BI179" s="62"/>
      <c r="BJ179" s="62"/>
      <c r="BK179" s="62"/>
      <c r="BL179" s="62"/>
      <c r="BM179" s="62"/>
      <c r="BN179" s="62"/>
      <c r="BO179" s="62"/>
      <c r="BP179" s="62"/>
      <c r="BQ179" s="62"/>
      <c r="BR179" s="62"/>
      <c r="BS179" s="62"/>
      <c r="BT179" s="62"/>
      <c r="BU179" s="62"/>
      <c r="BV179" s="62"/>
      <c r="BW179" s="62"/>
      <c r="BX179" s="62"/>
      <c r="BY179" s="62"/>
      <c r="BZ179" s="62"/>
      <c r="CA179" s="62"/>
      <c r="CB179" s="62"/>
      <c r="CC179" s="62"/>
      <c r="CD179" s="62"/>
      <c r="CE179" s="62"/>
      <c r="CF179" s="62"/>
      <c r="CG179" s="62"/>
      <c r="CH179" s="62"/>
      <c r="CI179" s="62"/>
      <c r="CJ179" s="62"/>
      <c r="CK179" s="62"/>
      <c r="CL179" s="62"/>
      <c r="CM179" s="62"/>
      <c r="CN179" s="62"/>
      <c r="CO179" s="62"/>
      <c r="CP179" s="62"/>
      <c r="CQ179" s="62"/>
      <c r="CR179" s="62"/>
      <c r="CS179" s="62"/>
      <c r="CT179" s="62"/>
      <c r="CU179" s="62"/>
      <c r="CV179" s="62"/>
      <c r="CW179" s="62"/>
      <c r="CX179" s="62"/>
      <c r="CY179" s="62"/>
      <c r="CZ179" s="62"/>
      <c r="DA179" s="62"/>
      <c r="DB179" s="62"/>
      <c r="DC179" s="62"/>
      <c r="DD179" s="62"/>
      <c r="DE179" s="62"/>
      <c r="DF179" s="62"/>
      <c r="DG179" s="62"/>
      <c r="DH179" s="62"/>
      <c r="DI179" s="62"/>
      <c r="DJ179" s="62"/>
      <c r="DK179" s="62"/>
      <c r="DL179" s="62"/>
    </row>
    <row r="180" spans="1:116" hidden="1" x14ac:dyDescent="0.2">
      <c r="A180" s="57">
        <v>32051</v>
      </c>
      <c r="B180" s="58"/>
      <c r="C180" s="66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6"/>
      <c r="P180" s="61"/>
      <c r="Q180" s="62"/>
      <c r="R180" s="62"/>
      <c r="S180" s="62"/>
      <c r="T180" s="62"/>
      <c r="U180" s="62"/>
      <c r="V180" s="62"/>
      <c r="W180" s="62"/>
      <c r="X180" s="62"/>
      <c r="Y180" s="61"/>
      <c r="Z180" s="63"/>
      <c r="AA180" s="64" t="e">
        <v>#N/A</v>
      </c>
      <c r="AB180" s="62" t="e">
        <v>#N/A</v>
      </c>
      <c r="AC180" s="62" t="e">
        <v>#N/A</v>
      </c>
      <c r="AD180" s="62" t="e">
        <v>#N/A</v>
      </c>
      <c r="AE180" s="62" t="e">
        <v>#N/A</v>
      </c>
      <c r="AF180" s="62" t="e">
        <v>#N/A</v>
      </c>
      <c r="AG180" s="62" t="e">
        <v>#N/A</v>
      </c>
      <c r="AH180" s="62" t="e">
        <v>#N/A</v>
      </c>
      <c r="AI180" s="62" t="e">
        <v>#N/A</v>
      </c>
      <c r="AJ180" s="62" t="e">
        <v>#N/A</v>
      </c>
      <c r="AK180" s="64" t="e">
        <v>#N/A</v>
      </c>
      <c r="AL180" s="19">
        <v>86157</v>
      </c>
      <c r="AM180" s="19">
        <v>97691</v>
      </c>
      <c r="AN180" s="23">
        <v>7348</v>
      </c>
      <c r="AO180" s="19">
        <v>120974</v>
      </c>
      <c r="AP180" s="19">
        <v>1640</v>
      </c>
      <c r="AQ180" s="62"/>
      <c r="AR180" s="63"/>
      <c r="AS180" s="63"/>
      <c r="AT180" s="65">
        <f t="shared" si="11"/>
        <v>5080.9080000000004</v>
      </c>
      <c r="AU180" s="65">
        <f t="shared" si="12"/>
        <v>308.61599999999999</v>
      </c>
      <c r="AV180" s="65">
        <f t="shared" si="13"/>
        <v>68.88</v>
      </c>
      <c r="AW180" s="65">
        <f t="shared" si="15"/>
        <v>3618.5940000000001</v>
      </c>
      <c r="AX180" s="65">
        <f t="shared" si="15"/>
        <v>4103.0219999999999</v>
      </c>
      <c r="AY180" s="65">
        <f t="shared" si="14"/>
        <v>68.88</v>
      </c>
      <c r="AZ180" s="19">
        <v>36870</v>
      </c>
      <c r="BA180" s="19">
        <v>39172</v>
      </c>
      <c r="BB180" s="19">
        <v>42740</v>
      </c>
      <c r="BC180" s="19">
        <v>2444</v>
      </c>
      <c r="BD180" s="19">
        <v>1086</v>
      </c>
      <c r="BE180" s="62"/>
      <c r="BF180" s="62"/>
      <c r="BG180" s="62"/>
      <c r="BH180" s="62"/>
      <c r="BI180" s="62"/>
      <c r="BJ180" s="62"/>
      <c r="BK180" s="62"/>
      <c r="BL180" s="62"/>
      <c r="BM180" s="62"/>
      <c r="BN180" s="62"/>
      <c r="BO180" s="62"/>
      <c r="BP180" s="62"/>
      <c r="BQ180" s="62"/>
      <c r="BR180" s="62"/>
      <c r="BS180" s="62"/>
      <c r="BT180" s="62"/>
      <c r="BU180" s="62"/>
      <c r="BV180" s="62"/>
      <c r="BW180" s="62"/>
      <c r="BX180" s="62"/>
      <c r="BY180" s="62"/>
      <c r="BZ180" s="62"/>
      <c r="CA180" s="62"/>
      <c r="CB180" s="62"/>
      <c r="CC180" s="62"/>
      <c r="CD180" s="62"/>
      <c r="CE180" s="62"/>
      <c r="CF180" s="62"/>
      <c r="CG180" s="62"/>
      <c r="CH180" s="62"/>
      <c r="CI180" s="62"/>
      <c r="CJ180" s="62"/>
      <c r="CK180" s="62"/>
      <c r="CL180" s="62"/>
      <c r="CM180" s="62"/>
      <c r="CN180" s="62"/>
      <c r="CO180" s="62"/>
      <c r="CP180" s="62"/>
      <c r="CQ180" s="62"/>
      <c r="CR180" s="62"/>
      <c r="CS180" s="62"/>
      <c r="CT180" s="62"/>
      <c r="CU180" s="62"/>
      <c r="CV180" s="62"/>
      <c r="CW180" s="62"/>
      <c r="CX180" s="62"/>
      <c r="CY180" s="62"/>
      <c r="CZ180" s="62"/>
      <c r="DA180" s="62"/>
      <c r="DB180" s="62"/>
      <c r="DC180" s="62"/>
      <c r="DD180" s="62"/>
      <c r="DE180" s="62"/>
      <c r="DF180" s="62"/>
      <c r="DG180" s="62"/>
      <c r="DH180" s="62"/>
      <c r="DI180" s="62"/>
      <c r="DJ180" s="62"/>
      <c r="DK180" s="62"/>
      <c r="DL180" s="62"/>
    </row>
    <row r="181" spans="1:116" hidden="1" x14ac:dyDescent="0.2">
      <c r="A181" s="57">
        <v>32082</v>
      </c>
      <c r="B181" s="58"/>
      <c r="C181" s="66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6"/>
      <c r="P181" s="61"/>
      <c r="Q181" s="62"/>
      <c r="R181" s="62"/>
      <c r="S181" s="62"/>
      <c r="T181" s="62"/>
      <c r="U181" s="62"/>
      <c r="V181" s="62"/>
      <c r="W181" s="62"/>
      <c r="X181" s="62"/>
      <c r="Y181" s="61"/>
      <c r="Z181" s="63"/>
      <c r="AA181" s="64" t="e">
        <v>#N/A</v>
      </c>
      <c r="AB181" s="62" t="e">
        <v>#N/A</v>
      </c>
      <c r="AC181" s="62" t="e">
        <v>#N/A</v>
      </c>
      <c r="AD181" s="62" t="e">
        <v>#N/A</v>
      </c>
      <c r="AE181" s="62" t="e">
        <v>#N/A</v>
      </c>
      <c r="AF181" s="62" t="e">
        <v>#N/A</v>
      </c>
      <c r="AG181" s="62" t="e">
        <v>#N/A</v>
      </c>
      <c r="AH181" s="62" t="e">
        <v>#N/A</v>
      </c>
      <c r="AI181" s="62" t="e">
        <v>#N/A</v>
      </c>
      <c r="AJ181" s="62" t="e">
        <v>#N/A</v>
      </c>
      <c r="AK181" s="64" t="e">
        <v>#N/A</v>
      </c>
      <c r="AL181" s="19">
        <v>91012</v>
      </c>
      <c r="AM181" s="19">
        <v>87966</v>
      </c>
      <c r="AN181" s="23">
        <v>5624</v>
      </c>
      <c r="AO181" s="19">
        <v>128004</v>
      </c>
      <c r="AP181" s="19">
        <v>1686</v>
      </c>
      <c r="AQ181" s="62"/>
      <c r="AR181" s="63"/>
      <c r="AS181" s="63"/>
      <c r="AT181" s="65">
        <f t="shared" si="11"/>
        <v>5376.1679999999997</v>
      </c>
      <c r="AU181" s="65">
        <f t="shared" si="12"/>
        <v>236.208</v>
      </c>
      <c r="AV181" s="65">
        <f t="shared" si="13"/>
        <v>70.811999999999998</v>
      </c>
      <c r="AW181" s="65">
        <f t="shared" si="15"/>
        <v>3822.5039999999999</v>
      </c>
      <c r="AX181" s="65">
        <f t="shared" si="15"/>
        <v>3694.5720000000001</v>
      </c>
      <c r="AY181" s="65">
        <f t="shared" si="14"/>
        <v>70.811999999999998</v>
      </c>
      <c r="AZ181" s="19">
        <v>35126</v>
      </c>
      <c r="BA181" s="19">
        <v>34132</v>
      </c>
      <c r="BB181" s="19">
        <v>43937</v>
      </c>
      <c r="BC181" s="19">
        <v>1539</v>
      </c>
      <c r="BD181" s="19">
        <v>1336</v>
      </c>
      <c r="BE181" s="62"/>
      <c r="BF181" s="62"/>
      <c r="BG181" s="62"/>
      <c r="BH181" s="62"/>
      <c r="BI181" s="62"/>
      <c r="BJ181" s="62"/>
      <c r="BK181" s="62"/>
      <c r="BL181" s="62"/>
      <c r="BM181" s="62"/>
      <c r="BN181" s="62"/>
      <c r="BO181" s="62"/>
      <c r="BP181" s="62"/>
      <c r="BQ181" s="62"/>
      <c r="BR181" s="62"/>
      <c r="BS181" s="62"/>
      <c r="BT181" s="62"/>
      <c r="BU181" s="62"/>
      <c r="BV181" s="62"/>
      <c r="BW181" s="62"/>
      <c r="BX181" s="62"/>
      <c r="BY181" s="62"/>
      <c r="BZ181" s="62"/>
      <c r="CA181" s="62"/>
      <c r="CB181" s="62"/>
      <c r="CC181" s="62"/>
      <c r="CD181" s="62"/>
      <c r="CE181" s="62"/>
      <c r="CF181" s="62"/>
      <c r="CG181" s="62"/>
      <c r="CH181" s="62"/>
      <c r="CI181" s="62"/>
      <c r="CJ181" s="62"/>
      <c r="CK181" s="62"/>
      <c r="CL181" s="62"/>
      <c r="CM181" s="62"/>
      <c r="CN181" s="62"/>
      <c r="CO181" s="62"/>
      <c r="CP181" s="62"/>
      <c r="CQ181" s="62"/>
      <c r="CR181" s="62"/>
      <c r="CS181" s="62"/>
      <c r="CT181" s="62"/>
      <c r="CU181" s="62"/>
      <c r="CV181" s="62"/>
      <c r="CW181" s="62"/>
      <c r="CX181" s="62"/>
      <c r="CY181" s="62"/>
      <c r="CZ181" s="62"/>
      <c r="DA181" s="62"/>
      <c r="DB181" s="62"/>
      <c r="DC181" s="62"/>
      <c r="DD181" s="62"/>
      <c r="DE181" s="62"/>
      <c r="DF181" s="62"/>
      <c r="DG181" s="62"/>
      <c r="DH181" s="62"/>
      <c r="DI181" s="62"/>
      <c r="DJ181" s="62"/>
      <c r="DK181" s="62"/>
      <c r="DL181" s="62"/>
    </row>
    <row r="182" spans="1:116" hidden="1" x14ac:dyDescent="0.2">
      <c r="A182" s="57">
        <v>32112</v>
      </c>
      <c r="B182" s="58"/>
      <c r="C182" s="66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6"/>
      <c r="P182" s="61"/>
      <c r="Q182" s="62"/>
      <c r="R182" s="62"/>
      <c r="S182" s="62"/>
      <c r="T182" s="62"/>
      <c r="U182" s="62"/>
      <c r="V182" s="62"/>
      <c r="W182" s="62"/>
      <c r="X182" s="62"/>
      <c r="Y182" s="61"/>
      <c r="Z182" s="63"/>
      <c r="AA182" s="64" t="e">
        <v>#N/A</v>
      </c>
      <c r="AB182" s="62" t="e">
        <v>#N/A</v>
      </c>
      <c r="AC182" s="62" t="e">
        <v>#N/A</v>
      </c>
      <c r="AD182" s="62" t="e">
        <v>#N/A</v>
      </c>
      <c r="AE182" s="62" t="e">
        <v>#N/A</v>
      </c>
      <c r="AF182" s="62" t="e">
        <v>#N/A</v>
      </c>
      <c r="AG182" s="62" t="e">
        <v>#N/A</v>
      </c>
      <c r="AH182" s="62" t="e">
        <v>#N/A</v>
      </c>
      <c r="AI182" s="62" t="e">
        <v>#N/A</v>
      </c>
      <c r="AJ182" s="62" t="e">
        <v>#N/A</v>
      </c>
      <c r="AK182" s="64" t="e">
        <v>#N/A</v>
      </c>
      <c r="AL182" s="19">
        <v>100450</v>
      </c>
      <c r="AM182" s="19">
        <v>102857</v>
      </c>
      <c r="AN182" s="23">
        <v>11705</v>
      </c>
      <c r="AO182" s="19">
        <v>134485</v>
      </c>
      <c r="AP182" s="19">
        <v>2859</v>
      </c>
      <c r="AQ182" s="62"/>
      <c r="AR182" s="63"/>
      <c r="AS182" s="63"/>
      <c r="AT182" s="65">
        <f t="shared" si="11"/>
        <v>5648.37</v>
      </c>
      <c r="AU182" s="65">
        <f t="shared" si="12"/>
        <v>491.61</v>
      </c>
      <c r="AV182" s="65">
        <f t="shared" si="13"/>
        <v>120.078</v>
      </c>
      <c r="AW182" s="65">
        <f t="shared" si="15"/>
        <v>4218.8999999999996</v>
      </c>
      <c r="AX182" s="65">
        <f t="shared" si="15"/>
        <v>4319.9939999999997</v>
      </c>
      <c r="AY182" s="65">
        <f t="shared" si="14"/>
        <v>120.078</v>
      </c>
      <c r="AZ182" s="19">
        <v>38220</v>
      </c>
      <c r="BA182" s="19">
        <v>39924</v>
      </c>
      <c r="BB182" s="19">
        <v>41973</v>
      </c>
      <c r="BC182" s="19">
        <v>2027</v>
      </c>
      <c r="BD182" s="19">
        <v>2287</v>
      </c>
      <c r="BE182" s="62"/>
      <c r="BF182" s="62"/>
      <c r="BG182" s="62"/>
      <c r="BH182" s="62"/>
      <c r="BI182" s="62"/>
      <c r="BJ182" s="62"/>
      <c r="BK182" s="62"/>
      <c r="BL182" s="62"/>
      <c r="BM182" s="62"/>
      <c r="BN182" s="62"/>
      <c r="BO182" s="62"/>
      <c r="BP182" s="62"/>
      <c r="BQ182" s="62"/>
      <c r="BR182" s="62"/>
      <c r="BS182" s="62"/>
      <c r="BT182" s="62"/>
      <c r="BU182" s="62"/>
      <c r="BV182" s="62"/>
      <c r="BW182" s="62"/>
      <c r="BX182" s="62"/>
      <c r="BY182" s="62"/>
      <c r="BZ182" s="62"/>
      <c r="CA182" s="62"/>
      <c r="CB182" s="62"/>
      <c r="CC182" s="62"/>
      <c r="CD182" s="62"/>
      <c r="CE182" s="62"/>
      <c r="CF182" s="62"/>
      <c r="CG182" s="62"/>
      <c r="CH182" s="62"/>
      <c r="CI182" s="62"/>
      <c r="CJ182" s="62"/>
      <c r="CK182" s="62"/>
      <c r="CL182" s="62"/>
      <c r="CM182" s="62"/>
      <c r="CN182" s="62"/>
      <c r="CO182" s="62"/>
      <c r="CP182" s="62"/>
      <c r="CQ182" s="62"/>
      <c r="CR182" s="62"/>
      <c r="CS182" s="62"/>
      <c r="CT182" s="62"/>
      <c r="CU182" s="62"/>
      <c r="CV182" s="62"/>
      <c r="CW182" s="62"/>
      <c r="CX182" s="62"/>
      <c r="CY182" s="62"/>
      <c r="CZ182" s="62"/>
      <c r="DA182" s="62"/>
      <c r="DB182" s="62"/>
      <c r="DC182" s="62"/>
      <c r="DD182" s="62"/>
      <c r="DE182" s="62"/>
      <c r="DF182" s="62"/>
      <c r="DG182" s="62"/>
      <c r="DH182" s="62"/>
      <c r="DI182" s="62"/>
      <c r="DJ182" s="62"/>
      <c r="DK182" s="62"/>
      <c r="DL182" s="62"/>
    </row>
    <row r="183" spans="1:116" hidden="1" x14ac:dyDescent="0.2">
      <c r="A183" s="57">
        <v>32143</v>
      </c>
      <c r="B183" s="58"/>
      <c r="C183" s="66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6"/>
      <c r="P183" s="61"/>
      <c r="Q183" s="62"/>
      <c r="R183" s="62"/>
      <c r="S183" s="62"/>
      <c r="T183" s="62"/>
      <c r="U183" s="62"/>
      <c r="V183" s="62"/>
      <c r="W183" s="62"/>
      <c r="X183" s="62"/>
      <c r="Y183" s="61"/>
      <c r="Z183" s="63"/>
      <c r="AA183" s="64" t="e">
        <v>#N/A</v>
      </c>
      <c r="AB183" s="62" t="e">
        <v>#N/A</v>
      </c>
      <c r="AC183" s="62" t="e">
        <v>#N/A</v>
      </c>
      <c r="AD183" s="62" t="e">
        <v>#N/A</v>
      </c>
      <c r="AE183" s="62" t="e">
        <v>#N/A</v>
      </c>
      <c r="AF183" s="62" t="e">
        <v>#N/A</v>
      </c>
      <c r="AG183" s="62" t="e">
        <v>#N/A</v>
      </c>
      <c r="AH183" s="62" t="e">
        <v>#N/A</v>
      </c>
      <c r="AI183" s="62" t="e">
        <v>#N/A</v>
      </c>
      <c r="AJ183" s="62" t="e">
        <v>#N/A</v>
      </c>
      <c r="AK183" s="64" t="e">
        <v>#N/A</v>
      </c>
      <c r="AL183" s="19">
        <v>93258</v>
      </c>
      <c r="AM183" s="19">
        <v>110302</v>
      </c>
      <c r="AN183" s="23">
        <v>13154</v>
      </c>
      <c r="AO183" s="19">
        <v>128098</v>
      </c>
      <c r="AP183" s="19">
        <v>2541</v>
      </c>
      <c r="AQ183" s="62"/>
      <c r="AR183" s="63"/>
      <c r="AS183" s="63"/>
      <c r="AT183" s="65">
        <f t="shared" si="11"/>
        <v>5380.116</v>
      </c>
      <c r="AU183" s="65">
        <f t="shared" si="12"/>
        <v>552.46799999999996</v>
      </c>
      <c r="AV183" s="65">
        <f t="shared" si="13"/>
        <v>106.72199999999999</v>
      </c>
      <c r="AW183" s="65">
        <f t="shared" si="15"/>
        <v>3916.8359999999998</v>
      </c>
      <c r="AX183" s="65">
        <f t="shared" si="15"/>
        <v>4632.6840000000002</v>
      </c>
      <c r="AY183" s="65">
        <f t="shared" si="14"/>
        <v>106.72199999999999</v>
      </c>
      <c r="AZ183" s="19">
        <v>38153</v>
      </c>
      <c r="BA183" s="19">
        <v>42174</v>
      </c>
      <c r="BB183" s="19">
        <v>37976</v>
      </c>
      <c r="BC183" s="19">
        <v>2549</v>
      </c>
      <c r="BD183" s="19">
        <v>2524</v>
      </c>
      <c r="BE183" s="62"/>
      <c r="BF183" s="62"/>
      <c r="BG183" s="62"/>
      <c r="BH183" s="62"/>
      <c r="BI183" s="62"/>
      <c r="BJ183" s="62"/>
      <c r="BK183" s="62"/>
      <c r="BL183" s="62"/>
      <c r="BM183" s="62"/>
      <c r="BN183" s="62"/>
      <c r="BO183" s="62"/>
      <c r="BP183" s="62"/>
      <c r="BQ183" s="62"/>
      <c r="BR183" s="62"/>
      <c r="BS183" s="62"/>
      <c r="BT183" s="62"/>
      <c r="BU183" s="62"/>
      <c r="BV183" s="62"/>
      <c r="BW183" s="62"/>
      <c r="BX183" s="62"/>
      <c r="BY183" s="62"/>
      <c r="BZ183" s="62"/>
      <c r="CA183" s="62"/>
      <c r="CB183" s="62"/>
      <c r="CC183" s="62"/>
      <c r="CD183" s="62"/>
      <c r="CE183" s="62"/>
      <c r="CF183" s="62"/>
      <c r="CG183" s="62"/>
      <c r="CH183" s="62"/>
      <c r="CI183" s="62"/>
      <c r="CJ183" s="62"/>
      <c r="CK183" s="62"/>
      <c r="CL183" s="62"/>
      <c r="CM183" s="62"/>
      <c r="CN183" s="62"/>
      <c r="CO183" s="62"/>
      <c r="CP183" s="62"/>
      <c r="CQ183" s="62"/>
      <c r="CR183" s="62"/>
      <c r="CS183" s="62"/>
      <c r="CT183" s="62"/>
      <c r="CU183" s="62"/>
      <c r="CV183" s="62"/>
      <c r="CW183" s="62"/>
      <c r="CX183" s="62"/>
      <c r="CY183" s="62"/>
      <c r="CZ183" s="62"/>
      <c r="DA183" s="62"/>
      <c r="DB183" s="62"/>
      <c r="DC183" s="62"/>
      <c r="DD183" s="62"/>
      <c r="DE183" s="62"/>
      <c r="DF183" s="62"/>
      <c r="DG183" s="62"/>
      <c r="DH183" s="62"/>
      <c r="DI183" s="62"/>
      <c r="DJ183" s="62"/>
      <c r="DK183" s="62"/>
      <c r="DL183" s="62"/>
    </row>
    <row r="184" spans="1:116" hidden="1" x14ac:dyDescent="0.2">
      <c r="A184" s="57">
        <v>32174</v>
      </c>
      <c r="B184" s="58"/>
      <c r="C184" s="66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6"/>
      <c r="P184" s="61"/>
      <c r="Q184" s="62"/>
      <c r="R184" s="62"/>
      <c r="S184" s="62"/>
      <c r="T184" s="62"/>
      <c r="U184" s="62"/>
      <c r="V184" s="62"/>
      <c r="W184" s="62"/>
      <c r="X184" s="62"/>
      <c r="Y184" s="61"/>
      <c r="Z184" s="63"/>
      <c r="AA184" s="64" t="e">
        <v>#N/A</v>
      </c>
      <c r="AB184" s="62" t="e">
        <v>#N/A</v>
      </c>
      <c r="AC184" s="62" t="e">
        <v>#N/A</v>
      </c>
      <c r="AD184" s="62" t="e">
        <v>#N/A</v>
      </c>
      <c r="AE184" s="62" t="e">
        <v>#N/A</v>
      </c>
      <c r="AF184" s="62" t="e">
        <v>#N/A</v>
      </c>
      <c r="AG184" s="62" t="e">
        <v>#N/A</v>
      </c>
      <c r="AH184" s="62" t="e">
        <v>#N/A</v>
      </c>
      <c r="AI184" s="62" t="e">
        <v>#N/A</v>
      </c>
      <c r="AJ184" s="62" t="e">
        <v>#N/A</v>
      </c>
      <c r="AK184" s="64" t="e">
        <v>#N/A</v>
      </c>
      <c r="AL184" s="19">
        <v>77303</v>
      </c>
      <c r="AM184" s="19">
        <v>103153</v>
      </c>
      <c r="AN184" s="23">
        <v>11107</v>
      </c>
      <c r="AO184" s="19">
        <v>110301</v>
      </c>
      <c r="AP184" s="19">
        <v>3095</v>
      </c>
      <c r="AQ184" s="62"/>
      <c r="AR184" s="63"/>
      <c r="AS184" s="63"/>
      <c r="AT184" s="65">
        <f t="shared" si="11"/>
        <v>4632.6419999999998</v>
      </c>
      <c r="AU184" s="65">
        <f t="shared" si="12"/>
        <v>466.49400000000003</v>
      </c>
      <c r="AV184" s="65">
        <f t="shared" si="13"/>
        <v>129.99</v>
      </c>
      <c r="AW184" s="65">
        <f t="shared" si="15"/>
        <v>3246.7260000000001</v>
      </c>
      <c r="AX184" s="65">
        <f t="shared" si="15"/>
        <v>4332.4260000000004</v>
      </c>
      <c r="AY184" s="65">
        <f t="shared" si="14"/>
        <v>129.99</v>
      </c>
      <c r="AZ184" s="19">
        <v>34937</v>
      </c>
      <c r="BA184" s="19">
        <v>37161</v>
      </c>
      <c r="BB184" s="19">
        <v>36738</v>
      </c>
      <c r="BC184" s="19">
        <v>1960</v>
      </c>
      <c r="BD184" s="19">
        <v>974</v>
      </c>
      <c r="BE184" s="62"/>
      <c r="BF184" s="62"/>
      <c r="BG184" s="62"/>
      <c r="BH184" s="62"/>
      <c r="BI184" s="62"/>
      <c r="BJ184" s="62"/>
      <c r="BK184" s="62"/>
      <c r="BL184" s="62"/>
      <c r="BM184" s="62"/>
      <c r="BN184" s="62"/>
      <c r="BO184" s="62"/>
      <c r="BP184" s="62"/>
      <c r="BQ184" s="62"/>
      <c r="BR184" s="62"/>
      <c r="BS184" s="62"/>
      <c r="BT184" s="62"/>
      <c r="BU184" s="62"/>
      <c r="BV184" s="62"/>
      <c r="BW184" s="62"/>
      <c r="BX184" s="62"/>
      <c r="BY184" s="62"/>
      <c r="BZ184" s="62"/>
      <c r="CA184" s="62"/>
      <c r="CB184" s="62"/>
      <c r="CC184" s="62"/>
      <c r="CD184" s="62"/>
      <c r="CE184" s="62"/>
      <c r="CF184" s="62"/>
      <c r="CG184" s="62"/>
      <c r="CH184" s="62"/>
      <c r="CI184" s="62"/>
      <c r="CJ184" s="62"/>
      <c r="CK184" s="62"/>
      <c r="CL184" s="62"/>
      <c r="CM184" s="62"/>
      <c r="CN184" s="62"/>
      <c r="CO184" s="62"/>
      <c r="CP184" s="62"/>
      <c r="CQ184" s="62"/>
      <c r="CR184" s="62"/>
      <c r="CS184" s="62"/>
      <c r="CT184" s="62"/>
      <c r="CU184" s="62"/>
      <c r="CV184" s="62"/>
      <c r="CW184" s="62"/>
      <c r="CX184" s="62"/>
      <c r="CY184" s="62"/>
      <c r="CZ184" s="62"/>
      <c r="DA184" s="62"/>
      <c r="DB184" s="62"/>
      <c r="DC184" s="62"/>
      <c r="DD184" s="62"/>
      <c r="DE184" s="62"/>
      <c r="DF184" s="62"/>
      <c r="DG184" s="62"/>
      <c r="DH184" s="62"/>
      <c r="DI184" s="62"/>
      <c r="DJ184" s="62"/>
      <c r="DK184" s="62"/>
      <c r="DL184" s="62"/>
    </row>
    <row r="185" spans="1:116" hidden="1" x14ac:dyDescent="0.2">
      <c r="A185" s="57">
        <v>32203</v>
      </c>
      <c r="B185" s="58"/>
      <c r="C185" s="66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6"/>
      <c r="P185" s="61"/>
      <c r="Q185" s="62"/>
      <c r="R185" s="62"/>
      <c r="S185" s="62"/>
      <c r="T185" s="62"/>
      <c r="U185" s="62"/>
      <c r="V185" s="62"/>
      <c r="W185" s="62"/>
      <c r="X185" s="62"/>
      <c r="Y185" s="61"/>
      <c r="Z185" s="63"/>
      <c r="AA185" s="64" t="e">
        <v>#N/A</v>
      </c>
      <c r="AB185" s="62" t="e">
        <v>#N/A</v>
      </c>
      <c r="AC185" s="62" t="e">
        <v>#N/A</v>
      </c>
      <c r="AD185" s="62" t="e">
        <v>#N/A</v>
      </c>
      <c r="AE185" s="62" t="e">
        <v>#N/A</v>
      </c>
      <c r="AF185" s="62" t="e">
        <v>#N/A</v>
      </c>
      <c r="AG185" s="62" t="e">
        <v>#N/A</v>
      </c>
      <c r="AH185" s="62" t="e">
        <v>#N/A</v>
      </c>
      <c r="AI185" s="62" t="e">
        <v>#N/A</v>
      </c>
      <c r="AJ185" s="62" t="e">
        <v>#N/A</v>
      </c>
      <c r="AK185" s="64" t="e">
        <v>#N/A</v>
      </c>
      <c r="AL185" s="19">
        <v>83855</v>
      </c>
      <c r="AM185" s="19">
        <v>109695</v>
      </c>
      <c r="AN185" s="23">
        <v>7648</v>
      </c>
      <c r="AO185" s="19">
        <v>89843</v>
      </c>
      <c r="AP185" s="19">
        <v>2309</v>
      </c>
      <c r="AQ185" s="62"/>
      <c r="AR185" s="63"/>
      <c r="AS185" s="63"/>
      <c r="AT185" s="65">
        <f t="shared" si="11"/>
        <v>3773.4059999999999</v>
      </c>
      <c r="AU185" s="65">
        <f t="shared" si="12"/>
        <v>321.21600000000001</v>
      </c>
      <c r="AV185" s="65">
        <f t="shared" si="13"/>
        <v>96.977999999999994</v>
      </c>
      <c r="AW185" s="65">
        <f t="shared" si="15"/>
        <v>3521.91</v>
      </c>
      <c r="AX185" s="65">
        <f t="shared" si="15"/>
        <v>4607.1899999999996</v>
      </c>
      <c r="AY185" s="65">
        <f t="shared" si="14"/>
        <v>96.977999999999994</v>
      </c>
      <c r="AZ185" s="19">
        <v>38512</v>
      </c>
      <c r="BA185" s="19">
        <v>37039</v>
      </c>
      <c r="BB185" s="19">
        <v>39527</v>
      </c>
      <c r="BC185" s="19">
        <v>2940</v>
      </c>
      <c r="BD185" s="19">
        <v>1624</v>
      </c>
      <c r="BE185" s="62"/>
      <c r="BF185" s="62"/>
      <c r="BG185" s="62"/>
      <c r="BH185" s="62"/>
      <c r="BI185" s="62"/>
      <c r="BJ185" s="62"/>
      <c r="BK185" s="62"/>
      <c r="BL185" s="62"/>
      <c r="BM185" s="62"/>
      <c r="BN185" s="62"/>
      <c r="BO185" s="62"/>
      <c r="BP185" s="62"/>
      <c r="BQ185" s="62"/>
      <c r="BR185" s="62"/>
      <c r="BS185" s="62"/>
      <c r="BT185" s="62"/>
      <c r="BU185" s="62"/>
      <c r="BV185" s="62"/>
      <c r="BW185" s="62"/>
      <c r="BX185" s="62"/>
      <c r="BY185" s="62"/>
      <c r="BZ185" s="62"/>
      <c r="CA185" s="62"/>
      <c r="CB185" s="62"/>
      <c r="CC185" s="62"/>
      <c r="CD185" s="62"/>
      <c r="CE185" s="62"/>
      <c r="CF185" s="62"/>
      <c r="CG185" s="62"/>
      <c r="CH185" s="62"/>
      <c r="CI185" s="62"/>
      <c r="CJ185" s="62"/>
      <c r="CK185" s="62"/>
      <c r="CL185" s="62"/>
      <c r="CM185" s="62"/>
      <c r="CN185" s="62"/>
      <c r="CO185" s="62"/>
      <c r="CP185" s="62"/>
      <c r="CQ185" s="62"/>
      <c r="CR185" s="62"/>
      <c r="CS185" s="62"/>
      <c r="CT185" s="62"/>
      <c r="CU185" s="62"/>
      <c r="CV185" s="62"/>
      <c r="CW185" s="62"/>
      <c r="CX185" s="62"/>
      <c r="CY185" s="62"/>
      <c r="CZ185" s="62"/>
      <c r="DA185" s="62"/>
      <c r="DB185" s="62"/>
      <c r="DC185" s="62"/>
      <c r="DD185" s="62"/>
      <c r="DE185" s="62"/>
      <c r="DF185" s="62"/>
      <c r="DG185" s="62"/>
      <c r="DH185" s="62"/>
      <c r="DI185" s="62"/>
      <c r="DJ185" s="62"/>
      <c r="DK185" s="62"/>
      <c r="DL185" s="62"/>
    </row>
    <row r="186" spans="1:116" hidden="1" x14ac:dyDescent="0.2">
      <c r="A186" s="57">
        <v>32234</v>
      </c>
      <c r="B186" s="58"/>
      <c r="C186" s="66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6"/>
      <c r="P186" s="61"/>
      <c r="Q186" s="62"/>
      <c r="R186" s="62"/>
      <c r="S186" s="62"/>
      <c r="T186" s="62"/>
      <c r="U186" s="62"/>
      <c r="V186" s="62"/>
      <c r="W186" s="62"/>
      <c r="X186" s="62"/>
      <c r="Y186" s="61"/>
      <c r="Z186" s="63"/>
      <c r="AA186" s="64" t="e">
        <v>#N/A</v>
      </c>
      <c r="AB186" s="62" t="e">
        <v>#N/A</v>
      </c>
      <c r="AC186" s="62" t="e">
        <v>#N/A</v>
      </c>
      <c r="AD186" s="62" t="e">
        <v>#N/A</v>
      </c>
      <c r="AE186" s="62" t="e">
        <v>#N/A</v>
      </c>
      <c r="AF186" s="62" t="e">
        <v>#N/A</v>
      </c>
      <c r="AG186" s="62" t="e">
        <v>#N/A</v>
      </c>
      <c r="AH186" s="62" t="e">
        <v>#N/A</v>
      </c>
      <c r="AI186" s="62" t="e">
        <v>#N/A</v>
      </c>
      <c r="AJ186" s="62" t="e">
        <v>#N/A</v>
      </c>
      <c r="AK186" s="64" t="e">
        <v>#N/A</v>
      </c>
      <c r="AL186" s="19">
        <v>85952</v>
      </c>
      <c r="AM186" s="19">
        <v>85921</v>
      </c>
      <c r="AN186" s="23">
        <v>6313</v>
      </c>
      <c r="AO186" s="19">
        <v>94972</v>
      </c>
      <c r="AP186" s="19">
        <v>1268</v>
      </c>
      <c r="AQ186" s="62"/>
      <c r="AR186" s="63"/>
      <c r="AS186" s="63"/>
      <c r="AT186" s="65">
        <f t="shared" si="11"/>
        <v>3988.8240000000001</v>
      </c>
      <c r="AU186" s="65">
        <f t="shared" si="12"/>
        <v>265.14600000000002</v>
      </c>
      <c r="AV186" s="65">
        <f t="shared" si="13"/>
        <v>53.256</v>
      </c>
      <c r="AW186" s="65">
        <f t="shared" si="15"/>
        <v>3609.9839999999999</v>
      </c>
      <c r="AX186" s="65">
        <f t="shared" si="15"/>
        <v>3608.6819999999998</v>
      </c>
      <c r="AY186" s="65">
        <f t="shared" si="14"/>
        <v>53.256</v>
      </c>
      <c r="AZ186" s="19">
        <v>32641</v>
      </c>
      <c r="BA186" s="19">
        <v>35178</v>
      </c>
      <c r="BB186" s="19">
        <v>39020</v>
      </c>
      <c r="BC186" s="19">
        <v>2422</v>
      </c>
      <c r="BD186" s="19">
        <v>392</v>
      </c>
      <c r="BE186" s="62"/>
      <c r="BF186" s="62"/>
      <c r="BG186" s="62"/>
      <c r="BH186" s="62"/>
      <c r="BI186" s="62"/>
      <c r="BJ186" s="62"/>
      <c r="BK186" s="62"/>
      <c r="BL186" s="62"/>
      <c r="BM186" s="62"/>
      <c r="BN186" s="62"/>
      <c r="BO186" s="62"/>
      <c r="BP186" s="62"/>
      <c r="BQ186" s="62"/>
      <c r="BR186" s="62"/>
      <c r="BS186" s="62"/>
      <c r="BT186" s="62"/>
      <c r="BU186" s="62"/>
      <c r="BV186" s="62"/>
      <c r="BW186" s="62"/>
      <c r="BX186" s="62"/>
      <c r="BY186" s="62"/>
      <c r="BZ186" s="62"/>
      <c r="CA186" s="62"/>
      <c r="CB186" s="62"/>
      <c r="CC186" s="62"/>
      <c r="CD186" s="62"/>
      <c r="CE186" s="62"/>
      <c r="CF186" s="62"/>
      <c r="CG186" s="62"/>
      <c r="CH186" s="62"/>
      <c r="CI186" s="62"/>
      <c r="CJ186" s="62"/>
      <c r="CK186" s="62"/>
      <c r="CL186" s="62"/>
      <c r="CM186" s="62"/>
      <c r="CN186" s="62"/>
      <c r="CO186" s="62"/>
      <c r="CP186" s="62"/>
      <c r="CQ186" s="62"/>
      <c r="CR186" s="62"/>
      <c r="CS186" s="62"/>
      <c r="CT186" s="62"/>
      <c r="CU186" s="62"/>
      <c r="CV186" s="62"/>
      <c r="CW186" s="62"/>
      <c r="CX186" s="62"/>
      <c r="CY186" s="62"/>
      <c r="CZ186" s="62"/>
      <c r="DA186" s="62"/>
      <c r="DB186" s="62"/>
      <c r="DC186" s="62"/>
      <c r="DD186" s="62"/>
      <c r="DE186" s="62"/>
      <c r="DF186" s="62"/>
      <c r="DG186" s="62"/>
      <c r="DH186" s="62"/>
      <c r="DI186" s="62"/>
      <c r="DJ186" s="62"/>
      <c r="DK186" s="62"/>
      <c r="DL186" s="62"/>
    </row>
    <row r="187" spans="1:116" hidden="1" x14ac:dyDescent="0.2">
      <c r="A187" s="57">
        <v>32264</v>
      </c>
      <c r="B187" s="58"/>
      <c r="C187" s="66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6"/>
      <c r="P187" s="61"/>
      <c r="Q187" s="62"/>
      <c r="R187" s="62"/>
      <c r="S187" s="62"/>
      <c r="T187" s="62"/>
      <c r="U187" s="62"/>
      <c r="V187" s="62"/>
      <c r="W187" s="62"/>
      <c r="X187" s="62"/>
      <c r="Y187" s="61"/>
      <c r="Z187" s="63"/>
      <c r="AA187" s="64" t="e">
        <v>#N/A</v>
      </c>
      <c r="AB187" s="62" t="e">
        <v>#N/A</v>
      </c>
      <c r="AC187" s="62" t="e">
        <v>#N/A</v>
      </c>
      <c r="AD187" s="62" t="e">
        <v>#N/A</v>
      </c>
      <c r="AE187" s="62" t="e">
        <v>#N/A</v>
      </c>
      <c r="AF187" s="62" t="e">
        <v>#N/A</v>
      </c>
      <c r="AG187" s="62" t="e">
        <v>#N/A</v>
      </c>
      <c r="AH187" s="62" t="e">
        <v>#N/A</v>
      </c>
      <c r="AI187" s="62" t="e">
        <v>#N/A</v>
      </c>
      <c r="AJ187" s="62" t="e">
        <v>#N/A</v>
      </c>
      <c r="AK187" s="64" t="e">
        <v>#N/A</v>
      </c>
      <c r="AL187" s="19">
        <v>90978</v>
      </c>
      <c r="AM187" s="19">
        <v>86658</v>
      </c>
      <c r="AN187" s="23">
        <v>7838</v>
      </c>
      <c r="AO187" s="19">
        <v>104879</v>
      </c>
      <c r="AP187" s="19">
        <v>2295</v>
      </c>
      <c r="AQ187" s="62"/>
      <c r="AR187" s="63"/>
      <c r="AS187" s="63"/>
      <c r="AT187" s="65">
        <f t="shared" si="11"/>
        <v>4404.9179999999997</v>
      </c>
      <c r="AU187" s="65">
        <f t="shared" si="12"/>
        <v>329.19600000000003</v>
      </c>
      <c r="AV187" s="65">
        <f t="shared" si="13"/>
        <v>96.39</v>
      </c>
      <c r="AW187" s="65">
        <f t="shared" si="15"/>
        <v>3821.076</v>
      </c>
      <c r="AX187" s="65">
        <f t="shared" si="15"/>
        <v>3639.636</v>
      </c>
      <c r="AY187" s="65">
        <f t="shared" si="14"/>
        <v>96.39</v>
      </c>
      <c r="AZ187" s="19">
        <v>32828</v>
      </c>
      <c r="BA187" s="19">
        <v>35876</v>
      </c>
      <c r="BB187" s="19">
        <v>39210</v>
      </c>
      <c r="BC187" s="19">
        <v>3357</v>
      </c>
      <c r="BD187" s="19">
        <v>119</v>
      </c>
      <c r="BE187" s="62"/>
      <c r="BF187" s="62"/>
      <c r="BG187" s="62"/>
      <c r="BH187" s="62"/>
      <c r="BI187" s="62"/>
      <c r="BJ187" s="62"/>
      <c r="BK187" s="62"/>
      <c r="BL187" s="62"/>
      <c r="BM187" s="62"/>
      <c r="BN187" s="62"/>
      <c r="BO187" s="62"/>
      <c r="BP187" s="62"/>
      <c r="BQ187" s="62"/>
      <c r="BR187" s="62"/>
      <c r="BS187" s="62"/>
      <c r="BT187" s="62"/>
      <c r="BU187" s="62"/>
      <c r="BV187" s="62"/>
      <c r="BW187" s="62"/>
      <c r="BX187" s="62"/>
      <c r="BY187" s="62"/>
      <c r="BZ187" s="62"/>
      <c r="CA187" s="62"/>
      <c r="CB187" s="62"/>
      <c r="CC187" s="62"/>
      <c r="CD187" s="62"/>
      <c r="CE187" s="62"/>
      <c r="CF187" s="62"/>
      <c r="CG187" s="62"/>
      <c r="CH187" s="62"/>
      <c r="CI187" s="62"/>
      <c r="CJ187" s="62"/>
      <c r="CK187" s="62"/>
      <c r="CL187" s="62"/>
      <c r="CM187" s="62"/>
      <c r="CN187" s="62"/>
      <c r="CO187" s="62"/>
      <c r="CP187" s="62"/>
      <c r="CQ187" s="62"/>
      <c r="CR187" s="62"/>
      <c r="CS187" s="62"/>
      <c r="CT187" s="62"/>
      <c r="CU187" s="62"/>
      <c r="CV187" s="62"/>
      <c r="CW187" s="62"/>
      <c r="CX187" s="62"/>
      <c r="CY187" s="62"/>
      <c r="CZ187" s="62"/>
      <c r="DA187" s="62"/>
      <c r="DB187" s="62"/>
      <c r="DC187" s="62"/>
      <c r="DD187" s="62"/>
      <c r="DE187" s="62"/>
      <c r="DF187" s="62"/>
      <c r="DG187" s="62"/>
      <c r="DH187" s="62"/>
      <c r="DI187" s="62"/>
      <c r="DJ187" s="62"/>
      <c r="DK187" s="62"/>
      <c r="DL187" s="62"/>
    </row>
    <row r="188" spans="1:116" hidden="1" x14ac:dyDescent="0.2">
      <c r="A188" s="57">
        <v>32295</v>
      </c>
      <c r="B188" s="58"/>
      <c r="C188" s="66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6"/>
      <c r="P188" s="61"/>
      <c r="Q188" s="62"/>
      <c r="R188" s="62"/>
      <c r="S188" s="62"/>
      <c r="T188" s="62"/>
      <c r="U188" s="62"/>
      <c r="V188" s="62"/>
      <c r="W188" s="62"/>
      <c r="X188" s="62"/>
      <c r="Y188" s="61"/>
      <c r="Z188" s="63"/>
      <c r="AA188" s="64" t="e">
        <v>#N/A</v>
      </c>
      <c r="AB188" s="62" t="e">
        <v>#N/A</v>
      </c>
      <c r="AC188" s="62" t="e">
        <v>#N/A</v>
      </c>
      <c r="AD188" s="62" t="e">
        <v>#N/A</v>
      </c>
      <c r="AE188" s="62" t="e">
        <v>#N/A</v>
      </c>
      <c r="AF188" s="62" t="e">
        <v>#N/A</v>
      </c>
      <c r="AG188" s="62" t="e">
        <v>#N/A</v>
      </c>
      <c r="AH188" s="62" t="e">
        <v>#N/A</v>
      </c>
      <c r="AI188" s="62" t="e">
        <v>#N/A</v>
      </c>
      <c r="AJ188" s="62" t="e">
        <v>#N/A</v>
      </c>
      <c r="AK188" s="64" t="e">
        <v>#N/A</v>
      </c>
      <c r="AL188" s="19">
        <v>86736</v>
      </c>
      <c r="AM188" s="19">
        <v>85628</v>
      </c>
      <c r="AN188" s="23">
        <v>6649</v>
      </c>
      <c r="AO188" s="19">
        <v>110418</v>
      </c>
      <c r="AP188" s="19">
        <v>2267</v>
      </c>
      <c r="AQ188" s="62"/>
      <c r="AR188" s="63"/>
      <c r="AS188" s="63"/>
      <c r="AT188" s="65">
        <f t="shared" si="11"/>
        <v>4637.5559999999996</v>
      </c>
      <c r="AU188" s="65">
        <f t="shared" si="12"/>
        <v>279.25799999999998</v>
      </c>
      <c r="AV188" s="65">
        <f t="shared" si="13"/>
        <v>95.213999999999999</v>
      </c>
      <c r="AW188" s="65">
        <f t="shared" si="15"/>
        <v>3642.9119999999998</v>
      </c>
      <c r="AX188" s="65">
        <f t="shared" si="15"/>
        <v>3596.3760000000002</v>
      </c>
      <c r="AY188" s="65">
        <f t="shared" si="14"/>
        <v>95.213999999999999</v>
      </c>
      <c r="AZ188" s="19">
        <v>34002</v>
      </c>
      <c r="BA188" s="19">
        <v>36178</v>
      </c>
      <c r="BB188" s="19">
        <v>38811</v>
      </c>
      <c r="BC188" s="19">
        <v>2240</v>
      </c>
      <c r="BD188" s="19">
        <v>463</v>
      </c>
      <c r="BE188" s="62"/>
      <c r="BF188" s="62"/>
      <c r="BG188" s="62"/>
      <c r="BH188" s="62"/>
      <c r="BI188" s="62"/>
      <c r="BJ188" s="62"/>
      <c r="BK188" s="62"/>
      <c r="BL188" s="62"/>
      <c r="BM188" s="62"/>
      <c r="BN188" s="62"/>
      <c r="BO188" s="62"/>
      <c r="BP188" s="62"/>
      <c r="BQ188" s="62"/>
      <c r="BR188" s="62"/>
      <c r="BS188" s="62"/>
      <c r="BT188" s="62"/>
      <c r="BU188" s="62"/>
      <c r="BV188" s="62"/>
      <c r="BW188" s="62"/>
      <c r="BX188" s="62"/>
      <c r="BY188" s="62"/>
      <c r="BZ188" s="62"/>
      <c r="CA188" s="62"/>
      <c r="CB188" s="62"/>
      <c r="CC188" s="62"/>
      <c r="CD188" s="62"/>
      <c r="CE188" s="62"/>
      <c r="CF188" s="62"/>
      <c r="CG188" s="62"/>
      <c r="CH188" s="62"/>
      <c r="CI188" s="62"/>
      <c r="CJ188" s="62"/>
      <c r="CK188" s="62"/>
      <c r="CL188" s="62"/>
      <c r="CM188" s="62"/>
      <c r="CN188" s="62"/>
      <c r="CO188" s="62"/>
      <c r="CP188" s="62"/>
      <c r="CQ188" s="62"/>
      <c r="CR188" s="62"/>
      <c r="CS188" s="62"/>
      <c r="CT188" s="62"/>
      <c r="CU188" s="62"/>
      <c r="CV188" s="62"/>
      <c r="CW188" s="62"/>
      <c r="CX188" s="62"/>
      <c r="CY188" s="62"/>
      <c r="CZ188" s="62"/>
      <c r="DA188" s="62"/>
      <c r="DB188" s="62"/>
      <c r="DC188" s="62"/>
      <c r="DD188" s="62"/>
      <c r="DE188" s="62"/>
      <c r="DF188" s="62"/>
      <c r="DG188" s="62"/>
      <c r="DH188" s="62"/>
      <c r="DI188" s="62"/>
      <c r="DJ188" s="62"/>
      <c r="DK188" s="62"/>
      <c r="DL188" s="62"/>
    </row>
    <row r="189" spans="1:116" hidden="1" x14ac:dyDescent="0.2">
      <c r="A189" s="57">
        <v>32325</v>
      </c>
      <c r="B189" s="58"/>
      <c r="C189" s="66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6"/>
      <c r="P189" s="61"/>
      <c r="Q189" s="62"/>
      <c r="R189" s="62"/>
      <c r="S189" s="62"/>
      <c r="T189" s="62"/>
      <c r="U189" s="62"/>
      <c r="V189" s="62"/>
      <c r="W189" s="62"/>
      <c r="X189" s="62"/>
      <c r="Y189" s="61"/>
      <c r="Z189" s="63"/>
      <c r="AA189" s="64" t="e">
        <v>#N/A</v>
      </c>
      <c r="AB189" s="62" t="e">
        <v>#N/A</v>
      </c>
      <c r="AC189" s="62" t="e">
        <v>#N/A</v>
      </c>
      <c r="AD189" s="62" t="e">
        <v>#N/A</v>
      </c>
      <c r="AE189" s="62" t="e">
        <v>#N/A</v>
      </c>
      <c r="AF189" s="62" t="e">
        <v>#N/A</v>
      </c>
      <c r="AG189" s="62" t="e">
        <v>#N/A</v>
      </c>
      <c r="AH189" s="62" t="e">
        <v>#N/A</v>
      </c>
      <c r="AI189" s="62" t="e">
        <v>#N/A</v>
      </c>
      <c r="AJ189" s="62" t="e">
        <v>#N/A</v>
      </c>
      <c r="AK189" s="64" t="e">
        <v>#N/A</v>
      </c>
      <c r="AL189" s="19">
        <v>86260</v>
      </c>
      <c r="AM189" s="19">
        <v>81841</v>
      </c>
      <c r="AN189" s="23">
        <v>6872</v>
      </c>
      <c r="AO189" s="19">
        <v>119955</v>
      </c>
      <c r="AP189" s="19">
        <v>1796</v>
      </c>
      <c r="AQ189" s="62"/>
      <c r="AR189" s="63"/>
      <c r="AS189" s="63"/>
      <c r="AT189" s="65">
        <f t="shared" si="11"/>
        <v>5038.1099999999997</v>
      </c>
      <c r="AU189" s="65">
        <f t="shared" si="12"/>
        <v>288.62400000000002</v>
      </c>
      <c r="AV189" s="65">
        <f t="shared" si="13"/>
        <v>75.432000000000002</v>
      </c>
      <c r="AW189" s="65">
        <f t="shared" si="15"/>
        <v>3622.92</v>
      </c>
      <c r="AX189" s="65">
        <f t="shared" si="15"/>
        <v>3437.3220000000001</v>
      </c>
      <c r="AY189" s="65">
        <f t="shared" si="14"/>
        <v>75.432000000000002</v>
      </c>
      <c r="AZ189" s="19">
        <v>35787</v>
      </c>
      <c r="BA189" s="19">
        <v>36968</v>
      </c>
      <c r="BB189" s="19">
        <v>40148</v>
      </c>
      <c r="BC189" s="19">
        <v>2625</v>
      </c>
      <c r="BD189" s="19">
        <v>107</v>
      </c>
      <c r="BE189" s="62"/>
      <c r="BF189" s="62"/>
      <c r="BG189" s="62"/>
      <c r="BH189" s="62"/>
      <c r="BI189" s="62"/>
      <c r="BJ189" s="62"/>
      <c r="BK189" s="62"/>
      <c r="BL189" s="62"/>
      <c r="BM189" s="62"/>
      <c r="BN189" s="62"/>
      <c r="BO189" s="62"/>
      <c r="BP189" s="62"/>
      <c r="BQ189" s="62"/>
      <c r="BR189" s="62"/>
      <c r="BS189" s="62"/>
      <c r="BT189" s="62"/>
      <c r="BU189" s="62"/>
      <c r="BV189" s="62"/>
      <c r="BW189" s="62"/>
      <c r="BX189" s="62"/>
      <c r="BY189" s="62"/>
      <c r="BZ189" s="62"/>
      <c r="CA189" s="62"/>
      <c r="CB189" s="62"/>
      <c r="CC189" s="62"/>
      <c r="CD189" s="62"/>
      <c r="CE189" s="62"/>
      <c r="CF189" s="62"/>
      <c r="CG189" s="62"/>
      <c r="CH189" s="62"/>
      <c r="CI189" s="62"/>
      <c r="CJ189" s="62"/>
      <c r="CK189" s="62"/>
      <c r="CL189" s="62"/>
      <c r="CM189" s="62"/>
      <c r="CN189" s="62"/>
      <c r="CO189" s="62"/>
      <c r="CP189" s="62"/>
      <c r="CQ189" s="62"/>
      <c r="CR189" s="62"/>
      <c r="CS189" s="62"/>
      <c r="CT189" s="62"/>
      <c r="CU189" s="62"/>
      <c r="CV189" s="62"/>
      <c r="CW189" s="62"/>
      <c r="CX189" s="62"/>
      <c r="CY189" s="62"/>
      <c r="CZ189" s="62"/>
      <c r="DA189" s="62"/>
      <c r="DB189" s="62"/>
      <c r="DC189" s="62"/>
      <c r="DD189" s="62"/>
      <c r="DE189" s="62"/>
      <c r="DF189" s="62"/>
      <c r="DG189" s="62"/>
      <c r="DH189" s="62"/>
      <c r="DI189" s="62"/>
      <c r="DJ189" s="62"/>
      <c r="DK189" s="62"/>
      <c r="DL189" s="62"/>
    </row>
    <row r="190" spans="1:116" hidden="1" x14ac:dyDescent="0.2">
      <c r="A190" s="57">
        <v>32356</v>
      </c>
      <c r="B190" s="58"/>
      <c r="C190" s="66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6"/>
      <c r="P190" s="61"/>
      <c r="Q190" s="62"/>
      <c r="R190" s="62"/>
      <c r="S190" s="62"/>
      <c r="T190" s="62"/>
      <c r="U190" s="62"/>
      <c r="V190" s="62"/>
      <c r="W190" s="62"/>
      <c r="X190" s="62"/>
      <c r="Y190" s="61"/>
      <c r="Z190" s="63"/>
      <c r="AA190" s="64" t="e">
        <v>#N/A</v>
      </c>
      <c r="AB190" s="62" t="e">
        <v>#N/A</v>
      </c>
      <c r="AC190" s="62" t="e">
        <v>#N/A</v>
      </c>
      <c r="AD190" s="62" t="e">
        <v>#N/A</v>
      </c>
      <c r="AE190" s="62" t="e">
        <v>#N/A</v>
      </c>
      <c r="AF190" s="62" t="e">
        <v>#N/A</v>
      </c>
      <c r="AG190" s="62" t="e">
        <v>#N/A</v>
      </c>
      <c r="AH190" s="62" t="e">
        <v>#N/A</v>
      </c>
      <c r="AI190" s="62" t="e">
        <v>#N/A</v>
      </c>
      <c r="AJ190" s="62" t="e">
        <v>#N/A</v>
      </c>
      <c r="AK190" s="64" t="e">
        <v>#N/A</v>
      </c>
      <c r="AL190" s="19">
        <v>88255</v>
      </c>
      <c r="AM190" s="19">
        <v>89052</v>
      </c>
      <c r="AN190" s="23">
        <v>8648</v>
      </c>
      <c r="AO190" s="19">
        <v>125689</v>
      </c>
      <c r="AP190" s="19">
        <v>2158</v>
      </c>
      <c r="AQ190" s="62"/>
      <c r="AR190" s="63"/>
      <c r="AS190" s="63"/>
      <c r="AT190" s="65">
        <f t="shared" si="11"/>
        <v>5278.9380000000001</v>
      </c>
      <c r="AU190" s="65">
        <f t="shared" si="12"/>
        <v>363.21600000000001</v>
      </c>
      <c r="AV190" s="65">
        <f t="shared" si="13"/>
        <v>90.635999999999996</v>
      </c>
      <c r="AW190" s="65">
        <f t="shared" si="15"/>
        <v>3706.71</v>
      </c>
      <c r="AX190" s="65">
        <f t="shared" si="15"/>
        <v>3740.1840000000002</v>
      </c>
      <c r="AY190" s="65">
        <f t="shared" si="14"/>
        <v>90.635999999999996</v>
      </c>
      <c r="AZ190" s="19">
        <v>35292</v>
      </c>
      <c r="BA190" s="19">
        <v>38341</v>
      </c>
      <c r="BB190" s="19">
        <v>39746</v>
      </c>
      <c r="BC190" s="19">
        <v>3087</v>
      </c>
      <c r="BD190" s="19">
        <v>440</v>
      </c>
      <c r="BE190" s="62"/>
      <c r="BF190" s="62"/>
      <c r="BG190" s="62"/>
      <c r="BH190" s="62"/>
      <c r="BI190" s="62"/>
      <c r="BJ190" s="62"/>
      <c r="BK190" s="62"/>
      <c r="BL190" s="62"/>
      <c r="BM190" s="62"/>
      <c r="BN190" s="62"/>
      <c r="BO190" s="62"/>
      <c r="BP190" s="62"/>
      <c r="BQ190" s="62"/>
      <c r="BR190" s="62"/>
      <c r="BS190" s="62"/>
      <c r="BT190" s="62"/>
      <c r="BU190" s="62"/>
      <c r="BV190" s="62"/>
      <c r="BW190" s="62"/>
      <c r="BX190" s="62"/>
      <c r="BY190" s="62"/>
      <c r="BZ190" s="62"/>
      <c r="CA190" s="62"/>
      <c r="CB190" s="62"/>
      <c r="CC190" s="62"/>
      <c r="CD190" s="62"/>
      <c r="CE190" s="62"/>
      <c r="CF190" s="62"/>
      <c r="CG190" s="62"/>
      <c r="CH190" s="62"/>
      <c r="CI190" s="62"/>
      <c r="CJ190" s="62"/>
      <c r="CK190" s="62"/>
      <c r="CL190" s="62"/>
      <c r="CM190" s="62"/>
      <c r="CN190" s="62"/>
      <c r="CO190" s="62"/>
      <c r="CP190" s="62"/>
      <c r="CQ190" s="62"/>
      <c r="CR190" s="62"/>
      <c r="CS190" s="62"/>
      <c r="CT190" s="62"/>
      <c r="CU190" s="62"/>
      <c r="CV190" s="62"/>
      <c r="CW190" s="62"/>
      <c r="CX190" s="62"/>
      <c r="CY190" s="62"/>
      <c r="CZ190" s="62"/>
      <c r="DA190" s="62"/>
      <c r="DB190" s="62"/>
      <c r="DC190" s="62"/>
      <c r="DD190" s="62"/>
      <c r="DE190" s="62"/>
      <c r="DF190" s="62"/>
      <c r="DG190" s="62"/>
      <c r="DH190" s="62"/>
      <c r="DI190" s="62"/>
      <c r="DJ190" s="62"/>
      <c r="DK190" s="62"/>
      <c r="DL190" s="62"/>
    </row>
    <row r="191" spans="1:116" hidden="1" x14ac:dyDescent="0.2">
      <c r="A191" s="57">
        <v>32387</v>
      </c>
      <c r="B191" s="58"/>
      <c r="C191" s="66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6"/>
      <c r="P191" s="61"/>
      <c r="Q191" s="62"/>
      <c r="R191" s="62"/>
      <c r="S191" s="62"/>
      <c r="T191" s="62"/>
      <c r="U191" s="62"/>
      <c r="V191" s="62"/>
      <c r="W191" s="62"/>
      <c r="X191" s="62"/>
      <c r="Y191" s="61"/>
      <c r="Z191" s="63"/>
      <c r="AA191" s="64" t="e">
        <v>#N/A</v>
      </c>
      <c r="AB191" s="62" t="e">
        <v>#N/A</v>
      </c>
      <c r="AC191" s="62" t="e">
        <v>#N/A</v>
      </c>
      <c r="AD191" s="62" t="e">
        <v>#N/A</v>
      </c>
      <c r="AE191" s="62" t="e">
        <v>#N/A</v>
      </c>
      <c r="AF191" s="62" t="e">
        <v>#N/A</v>
      </c>
      <c r="AG191" s="62" t="e">
        <v>#N/A</v>
      </c>
      <c r="AH191" s="62" t="e">
        <v>#N/A</v>
      </c>
      <c r="AI191" s="62" t="e">
        <v>#N/A</v>
      </c>
      <c r="AJ191" s="62" t="e">
        <v>#N/A</v>
      </c>
      <c r="AK191" s="64" t="e">
        <v>#N/A</v>
      </c>
      <c r="AL191" s="19">
        <v>83310</v>
      </c>
      <c r="AM191" s="19">
        <v>84629</v>
      </c>
      <c r="AN191" s="23">
        <v>9204</v>
      </c>
      <c r="AO191" s="19">
        <v>131451</v>
      </c>
      <c r="AP191" s="19">
        <v>2156</v>
      </c>
      <c r="AQ191" s="62"/>
      <c r="AR191" s="63"/>
      <c r="AS191" s="63"/>
      <c r="AT191" s="65">
        <f t="shared" si="11"/>
        <v>5520.942</v>
      </c>
      <c r="AU191" s="65">
        <f t="shared" si="12"/>
        <v>386.56799999999998</v>
      </c>
      <c r="AV191" s="65">
        <f t="shared" si="13"/>
        <v>90.552000000000007</v>
      </c>
      <c r="AW191" s="65">
        <f t="shared" si="15"/>
        <v>3499.02</v>
      </c>
      <c r="AX191" s="65">
        <f t="shared" si="15"/>
        <v>3554.4180000000001</v>
      </c>
      <c r="AY191" s="65">
        <f t="shared" si="14"/>
        <v>90.552000000000007</v>
      </c>
      <c r="AZ191" s="19">
        <v>35306</v>
      </c>
      <c r="BA191" s="19">
        <v>36484</v>
      </c>
      <c r="BB191" s="19">
        <v>40060</v>
      </c>
      <c r="BC191" s="19">
        <v>1757</v>
      </c>
      <c r="BD191" s="19">
        <v>265</v>
      </c>
      <c r="BE191" s="62"/>
      <c r="BF191" s="62"/>
      <c r="BG191" s="62"/>
      <c r="BH191" s="62"/>
      <c r="BI191" s="62"/>
      <c r="BJ191" s="62"/>
      <c r="BK191" s="62"/>
      <c r="BL191" s="62"/>
      <c r="BM191" s="62"/>
      <c r="BN191" s="62"/>
      <c r="BO191" s="62"/>
      <c r="BP191" s="62"/>
      <c r="BQ191" s="62"/>
      <c r="BR191" s="62"/>
      <c r="BS191" s="62"/>
      <c r="BT191" s="62"/>
      <c r="BU191" s="62"/>
      <c r="BV191" s="62"/>
      <c r="BW191" s="62"/>
      <c r="BX191" s="62"/>
      <c r="BY191" s="62"/>
      <c r="BZ191" s="62"/>
      <c r="CA191" s="62"/>
      <c r="CB191" s="62"/>
      <c r="CC191" s="62"/>
      <c r="CD191" s="62"/>
      <c r="CE191" s="62"/>
      <c r="CF191" s="62"/>
      <c r="CG191" s="62"/>
      <c r="CH191" s="62"/>
      <c r="CI191" s="62"/>
      <c r="CJ191" s="62"/>
      <c r="CK191" s="62"/>
      <c r="CL191" s="62"/>
      <c r="CM191" s="62"/>
      <c r="CN191" s="62"/>
      <c r="CO191" s="62"/>
      <c r="CP191" s="62"/>
      <c r="CQ191" s="62"/>
      <c r="CR191" s="62"/>
      <c r="CS191" s="62"/>
      <c r="CT191" s="62"/>
      <c r="CU191" s="62"/>
      <c r="CV191" s="62"/>
      <c r="CW191" s="62"/>
      <c r="CX191" s="62"/>
      <c r="CY191" s="62"/>
      <c r="CZ191" s="62"/>
      <c r="DA191" s="62"/>
      <c r="DB191" s="62"/>
      <c r="DC191" s="62"/>
      <c r="DD191" s="62"/>
      <c r="DE191" s="62"/>
      <c r="DF191" s="62"/>
      <c r="DG191" s="62"/>
      <c r="DH191" s="62"/>
      <c r="DI191" s="62"/>
      <c r="DJ191" s="62"/>
      <c r="DK191" s="62"/>
      <c r="DL191" s="62"/>
    </row>
    <row r="192" spans="1:116" hidden="1" x14ac:dyDescent="0.2">
      <c r="A192" s="57">
        <v>32417</v>
      </c>
      <c r="B192" s="58"/>
      <c r="C192" s="66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6"/>
      <c r="P192" s="61"/>
      <c r="Q192" s="62"/>
      <c r="R192" s="62"/>
      <c r="S192" s="62"/>
      <c r="T192" s="62"/>
      <c r="U192" s="62"/>
      <c r="V192" s="62"/>
      <c r="W192" s="62"/>
      <c r="X192" s="62"/>
      <c r="Y192" s="61"/>
      <c r="Z192" s="63"/>
      <c r="AA192" s="64" t="e">
        <v>#N/A</v>
      </c>
      <c r="AB192" s="62" t="e">
        <v>#N/A</v>
      </c>
      <c r="AC192" s="62" t="e">
        <v>#N/A</v>
      </c>
      <c r="AD192" s="62" t="e">
        <v>#N/A</v>
      </c>
      <c r="AE192" s="62" t="e">
        <v>#N/A</v>
      </c>
      <c r="AF192" s="62" t="e">
        <v>#N/A</v>
      </c>
      <c r="AG192" s="62" t="e">
        <v>#N/A</v>
      </c>
      <c r="AH192" s="62" t="e">
        <v>#N/A</v>
      </c>
      <c r="AI192" s="62" t="e">
        <v>#N/A</v>
      </c>
      <c r="AJ192" s="62" t="e">
        <v>#N/A</v>
      </c>
      <c r="AK192" s="64" t="e">
        <v>#N/A</v>
      </c>
      <c r="AL192" s="19">
        <v>87591</v>
      </c>
      <c r="AM192" s="19">
        <v>99767</v>
      </c>
      <c r="AN192" s="23">
        <v>10423</v>
      </c>
      <c r="AO192" s="19">
        <v>128248</v>
      </c>
      <c r="AP192" s="19">
        <v>1489</v>
      </c>
      <c r="AQ192" s="62"/>
      <c r="AR192" s="63"/>
      <c r="AS192" s="63"/>
      <c r="AT192" s="65">
        <f t="shared" si="11"/>
        <v>5386.4160000000002</v>
      </c>
      <c r="AU192" s="65">
        <f t="shared" si="12"/>
        <v>437.76600000000002</v>
      </c>
      <c r="AV192" s="65">
        <f t="shared" si="13"/>
        <v>62.537999999999997</v>
      </c>
      <c r="AW192" s="65">
        <f t="shared" si="15"/>
        <v>3678.8220000000001</v>
      </c>
      <c r="AX192" s="65">
        <f t="shared" si="15"/>
        <v>4190.2139999999999</v>
      </c>
      <c r="AY192" s="65">
        <f t="shared" si="14"/>
        <v>62.537999999999997</v>
      </c>
      <c r="AZ192" s="19">
        <v>35908</v>
      </c>
      <c r="BA192" s="19">
        <v>39593</v>
      </c>
      <c r="BB192" s="19">
        <v>40755</v>
      </c>
      <c r="BC192" s="19">
        <v>4434</v>
      </c>
      <c r="BD192" s="19">
        <v>54</v>
      </c>
      <c r="BE192" s="62"/>
      <c r="BF192" s="62"/>
      <c r="BG192" s="62"/>
      <c r="BH192" s="62"/>
      <c r="BI192" s="62"/>
      <c r="BJ192" s="62"/>
      <c r="BK192" s="62"/>
      <c r="BL192" s="62"/>
      <c r="BM192" s="62"/>
      <c r="BN192" s="62"/>
      <c r="BO192" s="62"/>
      <c r="BP192" s="62"/>
      <c r="BQ192" s="62"/>
      <c r="BR192" s="62"/>
      <c r="BS192" s="62"/>
      <c r="BT192" s="62"/>
      <c r="BU192" s="62"/>
      <c r="BV192" s="62"/>
      <c r="BW192" s="62"/>
      <c r="BX192" s="62"/>
      <c r="BY192" s="62"/>
      <c r="BZ192" s="62"/>
      <c r="CA192" s="62"/>
      <c r="CB192" s="62"/>
      <c r="CC192" s="62"/>
      <c r="CD192" s="62"/>
      <c r="CE192" s="62"/>
      <c r="CF192" s="62"/>
      <c r="CG192" s="62"/>
      <c r="CH192" s="62"/>
      <c r="CI192" s="62"/>
      <c r="CJ192" s="62"/>
      <c r="CK192" s="62"/>
      <c r="CL192" s="62"/>
      <c r="CM192" s="62"/>
      <c r="CN192" s="62"/>
      <c r="CO192" s="62"/>
      <c r="CP192" s="62"/>
      <c r="CQ192" s="62"/>
      <c r="CR192" s="62"/>
      <c r="CS192" s="62"/>
      <c r="CT192" s="62"/>
      <c r="CU192" s="62"/>
      <c r="CV192" s="62"/>
      <c r="CW192" s="62"/>
      <c r="CX192" s="62"/>
      <c r="CY192" s="62"/>
      <c r="CZ192" s="62"/>
      <c r="DA192" s="62"/>
      <c r="DB192" s="62"/>
      <c r="DC192" s="62"/>
      <c r="DD192" s="62"/>
      <c r="DE192" s="62"/>
      <c r="DF192" s="62"/>
      <c r="DG192" s="62"/>
      <c r="DH192" s="62"/>
      <c r="DI192" s="62"/>
      <c r="DJ192" s="62"/>
      <c r="DK192" s="62"/>
      <c r="DL192" s="62"/>
    </row>
    <row r="193" spans="1:116" hidden="1" x14ac:dyDescent="0.2">
      <c r="A193" s="57">
        <v>32448</v>
      </c>
      <c r="B193" s="58"/>
      <c r="C193" s="66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6"/>
      <c r="P193" s="61"/>
      <c r="Q193" s="62"/>
      <c r="R193" s="62"/>
      <c r="S193" s="62"/>
      <c r="T193" s="62"/>
      <c r="U193" s="62"/>
      <c r="V193" s="62"/>
      <c r="W193" s="62"/>
      <c r="X193" s="62"/>
      <c r="Y193" s="61"/>
      <c r="Z193" s="63"/>
      <c r="AA193" s="64" t="e">
        <v>#N/A</v>
      </c>
      <c r="AB193" s="62" t="e">
        <v>#N/A</v>
      </c>
      <c r="AC193" s="62" t="e">
        <v>#N/A</v>
      </c>
      <c r="AD193" s="62" t="e">
        <v>#N/A</v>
      </c>
      <c r="AE193" s="62" t="e">
        <v>#N/A</v>
      </c>
      <c r="AF193" s="62" t="e">
        <v>#N/A</v>
      </c>
      <c r="AG193" s="62" t="e">
        <v>#N/A</v>
      </c>
      <c r="AH193" s="62" t="e">
        <v>#N/A</v>
      </c>
      <c r="AI193" s="62" t="e">
        <v>#N/A</v>
      </c>
      <c r="AJ193" s="62" t="e">
        <v>#N/A</v>
      </c>
      <c r="AK193" s="64" t="e">
        <v>#N/A</v>
      </c>
      <c r="AL193" s="19">
        <v>87225</v>
      </c>
      <c r="AM193" s="19">
        <v>95488</v>
      </c>
      <c r="AN193" s="23">
        <v>9817</v>
      </c>
      <c r="AO193" s="19">
        <v>128805</v>
      </c>
      <c r="AP193" s="19">
        <v>1033</v>
      </c>
      <c r="AQ193" s="62"/>
      <c r="AR193" s="63"/>
      <c r="AS193" s="63"/>
      <c r="AT193" s="65">
        <f t="shared" si="11"/>
        <v>5409.81</v>
      </c>
      <c r="AU193" s="65">
        <f t="shared" si="12"/>
        <v>412.31400000000002</v>
      </c>
      <c r="AV193" s="65">
        <f t="shared" si="13"/>
        <v>43.386000000000003</v>
      </c>
      <c r="AW193" s="65">
        <f t="shared" si="15"/>
        <v>3663.45</v>
      </c>
      <c r="AX193" s="65">
        <f t="shared" si="15"/>
        <v>4010.4960000000001</v>
      </c>
      <c r="AY193" s="65">
        <f t="shared" si="14"/>
        <v>43.386000000000003</v>
      </c>
      <c r="AZ193" s="19">
        <v>33541</v>
      </c>
      <c r="BA193" s="19">
        <v>36640</v>
      </c>
      <c r="BB193" s="19">
        <v>39668</v>
      </c>
      <c r="BC193" s="19">
        <v>2283</v>
      </c>
      <c r="BD193" s="19">
        <v>271</v>
      </c>
      <c r="BE193" s="62"/>
      <c r="BF193" s="62"/>
      <c r="BG193" s="62"/>
      <c r="BH193" s="62"/>
      <c r="BI193" s="62"/>
      <c r="BJ193" s="62"/>
      <c r="BK193" s="62"/>
      <c r="BL193" s="62"/>
      <c r="BM193" s="62"/>
      <c r="BN193" s="62"/>
      <c r="BO193" s="62"/>
      <c r="BP193" s="62"/>
      <c r="BQ193" s="62"/>
      <c r="BR193" s="62"/>
      <c r="BS193" s="62"/>
      <c r="BT193" s="62"/>
      <c r="BU193" s="62"/>
      <c r="BV193" s="62"/>
      <c r="BW193" s="62"/>
      <c r="BX193" s="62"/>
      <c r="BY193" s="62"/>
      <c r="BZ193" s="62"/>
      <c r="CA193" s="62"/>
      <c r="CB193" s="62"/>
      <c r="CC193" s="62"/>
      <c r="CD193" s="62"/>
      <c r="CE193" s="62"/>
      <c r="CF193" s="62"/>
      <c r="CG193" s="62"/>
      <c r="CH193" s="62"/>
      <c r="CI193" s="62"/>
      <c r="CJ193" s="62"/>
      <c r="CK193" s="62"/>
      <c r="CL193" s="62"/>
      <c r="CM193" s="62"/>
      <c r="CN193" s="62"/>
      <c r="CO193" s="62"/>
      <c r="CP193" s="62"/>
      <c r="CQ193" s="62"/>
      <c r="CR193" s="62"/>
      <c r="CS193" s="62"/>
      <c r="CT193" s="62"/>
      <c r="CU193" s="62"/>
      <c r="CV193" s="62"/>
      <c r="CW193" s="62"/>
      <c r="CX193" s="62"/>
      <c r="CY193" s="62"/>
      <c r="CZ193" s="62"/>
      <c r="DA193" s="62"/>
      <c r="DB193" s="62"/>
      <c r="DC193" s="62"/>
      <c r="DD193" s="62"/>
      <c r="DE193" s="62"/>
      <c r="DF193" s="62"/>
      <c r="DG193" s="62"/>
      <c r="DH193" s="62"/>
      <c r="DI193" s="62"/>
      <c r="DJ193" s="62"/>
      <c r="DK193" s="62"/>
      <c r="DL193" s="62"/>
    </row>
    <row r="194" spans="1:116" hidden="1" x14ac:dyDescent="0.2">
      <c r="A194" s="57">
        <v>32478</v>
      </c>
      <c r="B194" s="58"/>
      <c r="C194" s="66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6"/>
      <c r="P194" s="61"/>
      <c r="Q194" s="62"/>
      <c r="R194" s="62"/>
      <c r="S194" s="62"/>
      <c r="T194" s="62"/>
      <c r="U194" s="62"/>
      <c r="V194" s="62"/>
      <c r="W194" s="62"/>
      <c r="X194" s="62"/>
      <c r="Y194" s="61"/>
      <c r="Z194" s="63"/>
      <c r="AA194" s="64" t="e">
        <v>#N/A</v>
      </c>
      <c r="AB194" s="62" t="e">
        <v>#N/A</v>
      </c>
      <c r="AC194" s="62" t="e">
        <v>#N/A</v>
      </c>
      <c r="AD194" s="62" t="e">
        <v>#N/A</v>
      </c>
      <c r="AE194" s="62" t="e">
        <v>#N/A</v>
      </c>
      <c r="AF194" s="62" t="e">
        <v>#N/A</v>
      </c>
      <c r="AG194" s="62" t="e">
        <v>#N/A</v>
      </c>
      <c r="AH194" s="62" t="e">
        <v>#N/A</v>
      </c>
      <c r="AI194" s="62" t="e">
        <v>#N/A</v>
      </c>
      <c r="AJ194" s="62" t="e">
        <v>#N/A</v>
      </c>
      <c r="AK194" s="64" t="e">
        <v>#N/A</v>
      </c>
      <c r="AL194" s="19">
        <v>95063</v>
      </c>
      <c r="AM194" s="19">
        <v>110375</v>
      </c>
      <c r="AN194" s="23">
        <v>12681</v>
      </c>
      <c r="AO194" s="19">
        <v>123517</v>
      </c>
      <c r="AP194" s="19">
        <v>2694</v>
      </c>
      <c r="AQ194" s="62"/>
      <c r="AR194" s="63"/>
      <c r="AS194" s="63"/>
      <c r="AT194" s="65">
        <f t="shared" si="11"/>
        <v>5187.7139999999999</v>
      </c>
      <c r="AU194" s="65">
        <f t="shared" si="12"/>
        <v>532.60199999999998</v>
      </c>
      <c r="AV194" s="65">
        <f t="shared" si="13"/>
        <v>113.148</v>
      </c>
      <c r="AW194" s="65">
        <f t="shared" si="15"/>
        <v>3992.6460000000002</v>
      </c>
      <c r="AX194" s="65">
        <f t="shared" si="15"/>
        <v>4635.75</v>
      </c>
      <c r="AY194" s="65">
        <f t="shared" si="14"/>
        <v>113.148</v>
      </c>
      <c r="AZ194" s="19">
        <v>39023</v>
      </c>
      <c r="BA194" s="19">
        <v>40722</v>
      </c>
      <c r="BB194" s="19">
        <v>37723</v>
      </c>
      <c r="BC194" s="19">
        <v>2223</v>
      </c>
      <c r="BD194" s="19">
        <v>2470</v>
      </c>
      <c r="BE194" s="62"/>
      <c r="BF194" s="62"/>
      <c r="BG194" s="62"/>
      <c r="BH194" s="62"/>
      <c r="BI194" s="62"/>
      <c r="BJ194" s="62"/>
      <c r="BK194" s="62"/>
      <c r="BL194" s="62"/>
      <c r="BM194" s="62"/>
      <c r="BN194" s="62"/>
      <c r="BO194" s="62"/>
      <c r="BP194" s="62"/>
      <c r="BQ194" s="62"/>
      <c r="BR194" s="62"/>
      <c r="BS194" s="62"/>
      <c r="BT194" s="62"/>
      <c r="BU194" s="62"/>
      <c r="BV194" s="62"/>
      <c r="BW194" s="62"/>
      <c r="BX194" s="62"/>
      <c r="BY194" s="62"/>
      <c r="BZ194" s="62"/>
      <c r="CA194" s="62"/>
      <c r="CB194" s="62"/>
      <c r="CC194" s="62"/>
      <c r="CD194" s="62"/>
      <c r="CE194" s="62"/>
      <c r="CF194" s="62"/>
      <c r="CG194" s="62"/>
      <c r="CH194" s="62"/>
      <c r="CI194" s="62"/>
      <c r="CJ194" s="62"/>
      <c r="CK194" s="62"/>
      <c r="CL194" s="62"/>
      <c r="CM194" s="62"/>
      <c r="CN194" s="62"/>
      <c r="CO194" s="62"/>
      <c r="CP194" s="62"/>
      <c r="CQ194" s="62"/>
      <c r="CR194" s="62"/>
      <c r="CS194" s="62"/>
      <c r="CT194" s="62"/>
      <c r="CU194" s="62"/>
      <c r="CV194" s="62"/>
      <c r="CW194" s="62"/>
      <c r="CX194" s="62"/>
      <c r="CY194" s="62"/>
      <c r="CZ194" s="62"/>
      <c r="DA194" s="62"/>
      <c r="DB194" s="62"/>
      <c r="DC194" s="62"/>
      <c r="DD194" s="62"/>
      <c r="DE194" s="62"/>
      <c r="DF194" s="62"/>
      <c r="DG194" s="62"/>
      <c r="DH194" s="62"/>
      <c r="DI194" s="62"/>
      <c r="DJ194" s="62"/>
      <c r="DK194" s="62"/>
      <c r="DL194" s="62"/>
    </row>
    <row r="195" spans="1:116" hidden="1" x14ac:dyDescent="0.2">
      <c r="A195" s="57">
        <v>32509</v>
      </c>
      <c r="B195" s="58"/>
      <c r="C195" s="66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6"/>
      <c r="P195" s="61"/>
      <c r="Q195" s="62"/>
      <c r="R195" s="62"/>
      <c r="S195" s="62"/>
      <c r="T195" s="62"/>
      <c r="U195" s="62"/>
      <c r="V195" s="62"/>
      <c r="W195" s="62"/>
      <c r="X195" s="62"/>
      <c r="Y195" s="61"/>
      <c r="Z195" s="63"/>
      <c r="AA195" s="64" t="e">
        <v>#N/A</v>
      </c>
      <c r="AB195" s="62" t="e">
        <v>#N/A</v>
      </c>
      <c r="AC195" s="62" t="e">
        <v>#N/A</v>
      </c>
      <c r="AD195" s="62" t="e">
        <v>#N/A</v>
      </c>
      <c r="AE195" s="62" t="e">
        <v>#N/A</v>
      </c>
      <c r="AF195" s="62" t="e">
        <v>#N/A</v>
      </c>
      <c r="AG195" s="62" t="e">
        <v>#N/A</v>
      </c>
      <c r="AH195" s="62" t="e">
        <v>#N/A</v>
      </c>
      <c r="AI195" s="62" t="e">
        <v>#N/A</v>
      </c>
      <c r="AJ195" s="62" t="e">
        <v>#N/A</v>
      </c>
      <c r="AK195" s="64" t="e">
        <v>#N/A</v>
      </c>
      <c r="AL195" s="19">
        <v>92184</v>
      </c>
      <c r="AM195" s="19">
        <v>102405</v>
      </c>
      <c r="AN195" s="23">
        <v>10734</v>
      </c>
      <c r="AO195" s="19">
        <v>120620</v>
      </c>
      <c r="AP195" s="19">
        <v>3410</v>
      </c>
      <c r="AQ195" s="62"/>
      <c r="AR195" s="63"/>
      <c r="AS195" s="63"/>
      <c r="AT195" s="65">
        <f t="shared" ref="AT195:AT258" si="16">AO195*42/1000</f>
        <v>5066.04</v>
      </c>
      <c r="AU195" s="65">
        <f t="shared" ref="AU195:AU258" si="17">AN195*42/1000</f>
        <v>450.82799999999997</v>
      </c>
      <c r="AV195" s="65">
        <f t="shared" ref="AV195:AV258" si="18">AP195*42/1000</f>
        <v>143.22</v>
      </c>
      <c r="AW195" s="65">
        <f t="shared" si="15"/>
        <v>3871.7280000000001</v>
      </c>
      <c r="AX195" s="65">
        <f t="shared" si="15"/>
        <v>4301.01</v>
      </c>
      <c r="AY195" s="65">
        <f t="shared" si="14"/>
        <v>143.22</v>
      </c>
      <c r="AZ195" s="19">
        <v>40675</v>
      </c>
      <c r="BA195" s="19">
        <v>41348</v>
      </c>
      <c r="BB195" s="19">
        <v>37787</v>
      </c>
      <c r="BC195" s="19">
        <v>3034</v>
      </c>
      <c r="BD195" s="19">
        <v>2297</v>
      </c>
      <c r="BE195" s="62"/>
      <c r="BF195" s="62"/>
      <c r="BG195" s="62"/>
      <c r="BH195" s="62"/>
      <c r="BI195" s="62"/>
      <c r="BJ195" s="62"/>
      <c r="BK195" s="62"/>
      <c r="BL195" s="62"/>
      <c r="BM195" s="62"/>
      <c r="BN195" s="62"/>
      <c r="BO195" s="62"/>
      <c r="BP195" s="62"/>
      <c r="BQ195" s="62"/>
      <c r="BR195" s="62"/>
      <c r="BS195" s="62"/>
      <c r="BT195" s="62"/>
      <c r="BU195" s="62"/>
      <c r="BV195" s="62"/>
      <c r="BW195" s="62"/>
      <c r="BX195" s="62"/>
      <c r="BY195" s="62"/>
      <c r="BZ195" s="62"/>
      <c r="CA195" s="62"/>
      <c r="CB195" s="62"/>
      <c r="CC195" s="62"/>
      <c r="CD195" s="62"/>
      <c r="CE195" s="62"/>
      <c r="CF195" s="62"/>
      <c r="CG195" s="62"/>
      <c r="CH195" s="62"/>
      <c r="CI195" s="62"/>
      <c r="CJ195" s="62"/>
      <c r="CK195" s="62"/>
      <c r="CL195" s="62"/>
      <c r="CM195" s="62"/>
      <c r="CN195" s="62"/>
      <c r="CO195" s="62"/>
      <c r="CP195" s="62"/>
      <c r="CQ195" s="62"/>
      <c r="CR195" s="62"/>
      <c r="CS195" s="62"/>
      <c r="CT195" s="62"/>
      <c r="CU195" s="62"/>
      <c r="CV195" s="62"/>
      <c r="CW195" s="62"/>
      <c r="CX195" s="62"/>
      <c r="CY195" s="62"/>
      <c r="CZ195" s="62"/>
      <c r="DA195" s="62"/>
      <c r="DB195" s="62"/>
      <c r="DC195" s="62"/>
      <c r="DD195" s="62"/>
      <c r="DE195" s="62"/>
      <c r="DF195" s="62"/>
      <c r="DG195" s="62"/>
      <c r="DH195" s="62"/>
      <c r="DI195" s="62"/>
      <c r="DJ195" s="62"/>
      <c r="DK195" s="62"/>
      <c r="DL195" s="62"/>
    </row>
    <row r="196" spans="1:116" hidden="1" x14ac:dyDescent="0.2">
      <c r="A196" s="57">
        <v>32540</v>
      </c>
      <c r="B196" s="58"/>
      <c r="C196" s="66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6"/>
      <c r="P196" s="61"/>
      <c r="Q196" s="62"/>
      <c r="R196" s="62"/>
      <c r="S196" s="62"/>
      <c r="T196" s="62"/>
      <c r="U196" s="62"/>
      <c r="V196" s="62"/>
      <c r="W196" s="62"/>
      <c r="X196" s="62"/>
      <c r="Y196" s="61"/>
      <c r="Z196" s="63"/>
      <c r="AA196" s="64" t="e">
        <v>#N/A</v>
      </c>
      <c r="AB196" s="62" t="e">
        <v>#N/A</v>
      </c>
      <c r="AC196" s="62" t="e">
        <v>#N/A</v>
      </c>
      <c r="AD196" s="62" t="e">
        <v>#N/A</v>
      </c>
      <c r="AE196" s="62" t="e">
        <v>#N/A</v>
      </c>
      <c r="AF196" s="62" t="e">
        <v>#N/A</v>
      </c>
      <c r="AG196" s="62" t="e">
        <v>#N/A</v>
      </c>
      <c r="AH196" s="62" t="e">
        <v>#N/A</v>
      </c>
      <c r="AI196" s="62" t="e">
        <v>#N/A</v>
      </c>
      <c r="AJ196" s="62" t="e">
        <v>#N/A</v>
      </c>
      <c r="AK196" s="64" t="e">
        <v>#N/A</v>
      </c>
      <c r="AL196" s="19">
        <v>78318</v>
      </c>
      <c r="AM196" s="19">
        <v>95966</v>
      </c>
      <c r="AN196" s="23">
        <v>9257</v>
      </c>
      <c r="AO196" s="19">
        <v>107648</v>
      </c>
      <c r="AP196" s="19">
        <v>4581</v>
      </c>
      <c r="AQ196" s="62"/>
      <c r="AR196" s="63"/>
      <c r="AS196" s="63"/>
      <c r="AT196" s="65">
        <f t="shared" si="16"/>
        <v>4521.2160000000003</v>
      </c>
      <c r="AU196" s="65">
        <f t="shared" si="17"/>
        <v>388.79399999999998</v>
      </c>
      <c r="AV196" s="65">
        <f t="shared" si="18"/>
        <v>192.40199999999999</v>
      </c>
      <c r="AW196" s="65">
        <f t="shared" si="15"/>
        <v>3289.3560000000002</v>
      </c>
      <c r="AX196" s="65">
        <f t="shared" si="15"/>
        <v>4030.5720000000001</v>
      </c>
      <c r="AY196" s="65">
        <f t="shared" ref="AY196:AY259" si="19">AP196*42/1000</f>
        <v>192.40199999999999</v>
      </c>
      <c r="AZ196" s="19">
        <v>33992</v>
      </c>
      <c r="BA196" s="19">
        <v>37576</v>
      </c>
      <c r="BB196" s="19">
        <v>36917</v>
      </c>
      <c r="BC196" s="19">
        <v>3280</v>
      </c>
      <c r="BD196" s="19">
        <v>566</v>
      </c>
      <c r="BE196" s="62"/>
      <c r="BF196" s="62"/>
      <c r="BG196" s="62"/>
      <c r="BH196" s="62"/>
      <c r="BI196" s="62"/>
      <c r="BJ196" s="62"/>
      <c r="BK196" s="62"/>
      <c r="BL196" s="62"/>
      <c r="BM196" s="62"/>
      <c r="BN196" s="62"/>
      <c r="BO196" s="62"/>
      <c r="BP196" s="62"/>
      <c r="BQ196" s="62"/>
      <c r="BR196" s="62"/>
      <c r="BS196" s="62"/>
      <c r="BT196" s="62"/>
      <c r="BU196" s="62"/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/>
      <c r="CP196" s="62"/>
      <c r="CQ196" s="62"/>
      <c r="CR196" s="62"/>
      <c r="CS196" s="62"/>
      <c r="CT196" s="62"/>
      <c r="CU196" s="62"/>
      <c r="CV196" s="62"/>
      <c r="CW196" s="62"/>
      <c r="CX196" s="62"/>
      <c r="CY196" s="62"/>
      <c r="CZ196" s="62"/>
      <c r="DA196" s="62"/>
      <c r="DB196" s="62"/>
      <c r="DC196" s="62"/>
      <c r="DD196" s="62"/>
      <c r="DE196" s="62"/>
      <c r="DF196" s="62"/>
      <c r="DG196" s="62"/>
      <c r="DH196" s="62"/>
      <c r="DI196" s="62"/>
      <c r="DJ196" s="62"/>
      <c r="DK196" s="62"/>
      <c r="DL196" s="62"/>
    </row>
    <row r="197" spans="1:116" hidden="1" x14ac:dyDescent="0.2">
      <c r="A197" s="57">
        <v>32568</v>
      </c>
      <c r="B197" s="58"/>
      <c r="C197" s="66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6"/>
      <c r="P197" s="61"/>
      <c r="Q197" s="62"/>
      <c r="R197" s="62"/>
      <c r="S197" s="62"/>
      <c r="T197" s="62"/>
      <c r="U197" s="62"/>
      <c r="V197" s="62"/>
      <c r="W197" s="62"/>
      <c r="X197" s="62"/>
      <c r="Y197" s="61"/>
      <c r="Z197" s="63"/>
      <c r="AA197" s="64" t="e">
        <v>#N/A</v>
      </c>
      <c r="AB197" s="62" t="e">
        <v>#N/A</v>
      </c>
      <c r="AC197" s="62" t="e">
        <v>#N/A</v>
      </c>
      <c r="AD197" s="62" t="e">
        <v>#N/A</v>
      </c>
      <c r="AE197" s="62" t="e">
        <v>#N/A</v>
      </c>
      <c r="AF197" s="62" t="e">
        <v>#N/A</v>
      </c>
      <c r="AG197" s="62" t="e">
        <v>#N/A</v>
      </c>
      <c r="AH197" s="62" t="e">
        <v>#N/A</v>
      </c>
      <c r="AI197" s="62" t="e">
        <v>#N/A</v>
      </c>
      <c r="AJ197" s="62" t="e">
        <v>#N/A</v>
      </c>
      <c r="AK197" s="64" t="e">
        <v>#N/A</v>
      </c>
      <c r="AL197" s="19">
        <v>84107</v>
      </c>
      <c r="AM197" s="19">
        <v>106268</v>
      </c>
      <c r="AN197" s="23">
        <v>13606</v>
      </c>
      <c r="AO197" s="19">
        <v>96736</v>
      </c>
      <c r="AP197" s="19">
        <v>2357</v>
      </c>
      <c r="AQ197" s="62"/>
      <c r="AR197" s="63"/>
      <c r="AS197" s="63"/>
      <c r="AT197" s="65">
        <f t="shared" si="16"/>
        <v>4062.9119999999998</v>
      </c>
      <c r="AU197" s="65">
        <f t="shared" si="17"/>
        <v>571.452</v>
      </c>
      <c r="AV197" s="65">
        <f t="shared" si="18"/>
        <v>98.994</v>
      </c>
      <c r="AW197" s="65">
        <f t="shared" si="15"/>
        <v>3532.4940000000001</v>
      </c>
      <c r="AX197" s="65">
        <f t="shared" si="15"/>
        <v>4463.2560000000003</v>
      </c>
      <c r="AY197" s="65">
        <f t="shared" si="19"/>
        <v>98.994</v>
      </c>
      <c r="AZ197" s="19">
        <v>36817</v>
      </c>
      <c r="BA197" s="19">
        <v>39583</v>
      </c>
      <c r="BB197" s="19">
        <v>37125</v>
      </c>
      <c r="BC197" s="19">
        <v>2993</v>
      </c>
      <c r="BD197" s="19">
        <v>19</v>
      </c>
      <c r="BE197" s="62"/>
      <c r="BF197" s="62"/>
      <c r="BG197" s="62"/>
      <c r="BH197" s="62"/>
      <c r="BI197" s="62"/>
      <c r="BJ197" s="62"/>
      <c r="BK197" s="62"/>
      <c r="BL197" s="62"/>
      <c r="BM197" s="62"/>
      <c r="BN197" s="62"/>
      <c r="BO197" s="62"/>
      <c r="BP197" s="62"/>
      <c r="BQ197" s="62"/>
      <c r="BR197" s="62"/>
      <c r="BS197" s="62"/>
      <c r="BT197" s="62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62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  <c r="DK197" s="62"/>
      <c r="DL197" s="62"/>
    </row>
    <row r="198" spans="1:116" hidden="1" x14ac:dyDescent="0.2">
      <c r="A198" s="57">
        <v>32599</v>
      </c>
      <c r="B198" s="58"/>
      <c r="C198" s="66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6"/>
      <c r="P198" s="61"/>
      <c r="Q198" s="62"/>
      <c r="R198" s="62"/>
      <c r="S198" s="62"/>
      <c r="T198" s="62"/>
      <c r="U198" s="62"/>
      <c r="V198" s="62"/>
      <c r="W198" s="62"/>
      <c r="X198" s="62"/>
      <c r="Y198" s="61"/>
      <c r="Z198" s="63"/>
      <c r="AA198" s="64" t="e">
        <v>#N/A</v>
      </c>
      <c r="AB198" s="62" t="e">
        <v>#N/A</v>
      </c>
      <c r="AC198" s="62" t="e">
        <v>#N/A</v>
      </c>
      <c r="AD198" s="62" t="e">
        <v>#N/A</v>
      </c>
      <c r="AE198" s="62" t="e">
        <v>#N/A</v>
      </c>
      <c r="AF198" s="62" t="e">
        <v>#N/A</v>
      </c>
      <c r="AG198" s="62" t="e">
        <v>#N/A</v>
      </c>
      <c r="AH198" s="62" t="e">
        <v>#N/A</v>
      </c>
      <c r="AI198" s="62" t="e">
        <v>#N/A</v>
      </c>
      <c r="AJ198" s="62" t="e">
        <v>#N/A</v>
      </c>
      <c r="AK198" s="64" t="e">
        <v>#N/A</v>
      </c>
      <c r="AL198" s="19">
        <v>83679</v>
      </c>
      <c r="AM198" s="19">
        <v>89242</v>
      </c>
      <c r="AN198" s="23">
        <v>9039</v>
      </c>
      <c r="AO198" s="19">
        <v>98541</v>
      </c>
      <c r="AP198" s="19">
        <v>1671</v>
      </c>
      <c r="AQ198" s="62"/>
      <c r="AR198" s="63"/>
      <c r="AS198" s="63"/>
      <c r="AT198" s="65">
        <f t="shared" si="16"/>
        <v>4138.7219999999998</v>
      </c>
      <c r="AU198" s="65">
        <f t="shared" si="17"/>
        <v>379.63799999999998</v>
      </c>
      <c r="AV198" s="65">
        <f t="shared" si="18"/>
        <v>70.182000000000002</v>
      </c>
      <c r="AW198" s="65">
        <f t="shared" si="15"/>
        <v>3514.518</v>
      </c>
      <c r="AX198" s="65">
        <f t="shared" si="15"/>
        <v>3748.1640000000002</v>
      </c>
      <c r="AY198" s="65">
        <f t="shared" si="19"/>
        <v>70.182000000000002</v>
      </c>
      <c r="AZ198" s="19">
        <v>32226</v>
      </c>
      <c r="BA198" s="19">
        <v>34515</v>
      </c>
      <c r="BB198" s="19">
        <v>38101</v>
      </c>
      <c r="BC198" s="19">
        <v>3742</v>
      </c>
      <c r="BD198" s="19">
        <v>477</v>
      </c>
      <c r="BE198" s="62"/>
      <c r="BF198" s="62"/>
      <c r="BG198" s="62"/>
      <c r="BH198" s="62"/>
      <c r="BI198" s="62"/>
      <c r="BJ198" s="62"/>
      <c r="BK198" s="62"/>
      <c r="BL198" s="62"/>
      <c r="BM198" s="62"/>
      <c r="BN198" s="62"/>
      <c r="BO198" s="62"/>
      <c r="BP198" s="62"/>
      <c r="BQ198" s="62"/>
      <c r="BR198" s="62"/>
      <c r="BS198" s="62"/>
      <c r="BT198" s="62"/>
      <c r="BU198" s="62"/>
      <c r="BV198" s="62"/>
      <c r="BW198" s="62"/>
      <c r="BX198" s="62"/>
      <c r="BY198" s="62"/>
      <c r="BZ198" s="62"/>
      <c r="CA198" s="62"/>
      <c r="CB198" s="62"/>
      <c r="CC198" s="62"/>
      <c r="CD198" s="62"/>
      <c r="CE198" s="62"/>
      <c r="CF198" s="62"/>
      <c r="CG198" s="62"/>
      <c r="CH198" s="62"/>
      <c r="CI198" s="62"/>
      <c r="CJ198" s="62"/>
      <c r="CK198" s="62"/>
      <c r="CL198" s="62"/>
      <c r="CM198" s="62"/>
      <c r="CN198" s="62"/>
      <c r="CO198" s="62"/>
      <c r="CP198" s="62"/>
      <c r="CQ198" s="62"/>
      <c r="CR198" s="62"/>
      <c r="CS198" s="62"/>
      <c r="CT198" s="62"/>
      <c r="CU198" s="62"/>
      <c r="CV198" s="62"/>
      <c r="CW198" s="62"/>
      <c r="CX198" s="62"/>
      <c r="CY198" s="62"/>
      <c r="CZ198" s="62"/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  <c r="DK198" s="62"/>
      <c r="DL198" s="62"/>
    </row>
    <row r="199" spans="1:116" hidden="1" x14ac:dyDescent="0.2">
      <c r="A199" s="57">
        <v>32629</v>
      </c>
      <c r="B199" s="58"/>
      <c r="C199" s="66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6"/>
      <c r="P199" s="61"/>
      <c r="Q199" s="62"/>
      <c r="R199" s="62"/>
      <c r="S199" s="62"/>
      <c r="T199" s="62"/>
      <c r="U199" s="62"/>
      <c r="V199" s="62"/>
      <c r="W199" s="62"/>
      <c r="X199" s="62"/>
      <c r="Y199" s="61"/>
      <c r="Z199" s="63"/>
      <c r="AA199" s="64" t="e">
        <v>#N/A</v>
      </c>
      <c r="AB199" s="62" t="e">
        <v>#N/A</v>
      </c>
      <c r="AC199" s="62" t="e">
        <v>#N/A</v>
      </c>
      <c r="AD199" s="62" t="e">
        <v>#N/A</v>
      </c>
      <c r="AE199" s="62" t="e">
        <v>#N/A</v>
      </c>
      <c r="AF199" s="62" t="e">
        <v>#N/A</v>
      </c>
      <c r="AG199" s="62" t="e">
        <v>#N/A</v>
      </c>
      <c r="AH199" s="62" t="e">
        <v>#N/A</v>
      </c>
      <c r="AI199" s="62" t="e">
        <v>#N/A</v>
      </c>
      <c r="AJ199" s="62" t="e">
        <v>#N/A</v>
      </c>
      <c r="AK199" s="64" t="e">
        <v>#N/A</v>
      </c>
      <c r="AL199" s="19">
        <v>85239</v>
      </c>
      <c r="AM199" s="19">
        <v>91561</v>
      </c>
      <c r="AN199" s="23">
        <v>8975</v>
      </c>
      <c r="AO199" s="19">
        <v>99618</v>
      </c>
      <c r="AP199" s="19">
        <v>1576</v>
      </c>
      <c r="AQ199" s="62"/>
      <c r="AR199" s="63"/>
      <c r="AS199" s="63"/>
      <c r="AT199" s="65">
        <f t="shared" si="16"/>
        <v>4183.9560000000001</v>
      </c>
      <c r="AU199" s="65">
        <f t="shared" si="17"/>
        <v>376.95</v>
      </c>
      <c r="AV199" s="65">
        <f t="shared" si="18"/>
        <v>66.191999999999993</v>
      </c>
      <c r="AW199" s="65">
        <f t="shared" ref="AW199:AX262" si="20">AL199*42/1000</f>
        <v>3580.038</v>
      </c>
      <c r="AX199" s="65">
        <f t="shared" si="20"/>
        <v>3845.5619999999999</v>
      </c>
      <c r="AY199" s="65">
        <f t="shared" si="19"/>
        <v>66.191999999999993</v>
      </c>
      <c r="AZ199" s="19">
        <v>31974</v>
      </c>
      <c r="BA199" s="19">
        <v>34205</v>
      </c>
      <c r="BB199" s="19">
        <v>39243</v>
      </c>
      <c r="BC199" s="19">
        <v>3409</v>
      </c>
      <c r="BD199" s="19">
        <v>36</v>
      </c>
      <c r="BE199" s="62"/>
      <c r="BF199" s="62"/>
      <c r="BG199" s="62"/>
      <c r="BH199" s="62"/>
      <c r="BI199" s="62"/>
      <c r="BJ199" s="62"/>
      <c r="BK199" s="62"/>
      <c r="BL199" s="62"/>
      <c r="BM199" s="62"/>
      <c r="BN199" s="62"/>
      <c r="BO199" s="62"/>
      <c r="BP199" s="62"/>
      <c r="BQ199" s="62"/>
      <c r="BR199" s="62"/>
      <c r="BS199" s="62"/>
      <c r="BT199" s="62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62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  <c r="DK199" s="62"/>
      <c r="DL199" s="62"/>
    </row>
    <row r="200" spans="1:116" hidden="1" x14ac:dyDescent="0.2">
      <c r="A200" s="57">
        <v>32660</v>
      </c>
      <c r="B200" s="58"/>
      <c r="C200" s="66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6"/>
      <c r="P200" s="61"/>
      <c r="Q200" s="62"/>
      <c r="R200" s="62"/>
      <c r="S200" s="62"/>
      <c r="T200" s="62"/>
      <c r="U200" s="62"/>
      <c r="V200" s="62"/>
      <c r="W200" s="62"/>
      <c r="X200" s="62"/>
      <c r="Y200" s="61"/>
      <c r="Z200" s="63"/>
      <c r="AA200" s="64" t="e">
        <v>#N/A</v>
      </c>
      <c r="AB200" s="62" t="e">
        <v>#N/A</v>
      </c>
      <c r="AC200" s="62" t="e">
        <v>#N/A</v>
      </c>
      <c r="AD200" s="62" t="e">
        <v>#N/A</v>
      </c>
      <c r="AE200" s="62" t="e">
        <v>#N/A</v>
      </c>
      <c r="AF200" s="62" t="e">
        <v>#N/A</v>
      </c>
      <c r="AG200" s="62" t="e">
        <v>#N/A</v>
      </c>
      <c r="AH200" s="62" t="e">
        <v>#N/A</v>
      </c>
      <c r="AI200" s="62" t="e">
        <v>#N/A</v>
      </c>
      <c r="AJ200" s="62" t="e">
        <v>#N/A</v>
      </c>
      <c r="AK200" s="64" t="e">
        <v>#N/A</v>
      </c>
      <c r="AL200" s="19">
        <v>84265</v>
      </c>
      <c r="AM200" s="19">
        <v>90068</v>
      </c>
      <c r="AN200" s="23">
        <v>6981</v>
      </c>
      <c r="AO200" s="19">
        <v>99613</v>
      </c>
      <c r="AP200" s="19">
        <v>1183</v>
      </c>
      <c r="AQ200" s="62"/>
      <c r="AR200" s="63"/>
      <c r="AS200" s="63"/>
      <c r="AT200" s="65">
        <f t="shared" si="16"/>
        <v>4183.7460000000001</v>
      </c>
      <c r="AU200" s="65">
        <f t="shared" si="17"/>
        <v>293.202</v>
      </c>
      <c r="AV200" s="65">
        <f t="shared" si="18"/>
        <v>49.686</v>
      </c>
      <c r="AW200" s="65">
        <f t="shared" si="20"/>
        <v>3539.13</v>
      </c>
      <c r="AX200" s="65">
        <f t="shared" si="20"/>
        <v>3782.8560000000002</v>
      </c>
      <c r="AY200" s="65">
        <f t="shared" si="19"/>
        <v>49.686</v>
      </c>
      <c r="AZ200" s="19">
        <v>34166</v>
      </c>
      <c r="BA200" s="19">
        <v>38574</v>
      </c>
      <c r="BB200" s="19">
        <v>38408</v>
      </c>
      <c r="BC200" s="19">
        <v>3608</v>
      </c>
      <c r="BD200" s="19">
        <v>35</v>
      </c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62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  <c r="DK200" s="62"/>
      <c r="DL200" s="62"/>
    </row>
    <row r="201" spans="1:116" hidden="1" x14ac:dyDescent="0.2">
      <c r="A201" s="57">
        <v>32690</v>
      </c>
      <c r="B201" s="58"/>
      <c r="C201" s="66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6"/>
      <c r="P201" s="61"/>
      <c r="Q201" s="62"/>
      <c r="R201" s="62"/>
      <c r="S201" s="62"/>
      <c r="T201" s="62"/>
      <c r="U201" s="62"/>
      <c r="V201" s="62"/>
      <c r="W201" s="62"/>
      <c r="X201" s="62"/>
      <c r="Y201" s="61"/>
      <c r="Z201" s="63"/>
      <c r="AA201" s="64" t="e">
        <v>#N/A</v>
      </c>
      <c r="AB201" s="62" t="e">
        <v>#N/A</v>
      </c>
      <c r="AC201" s="62" t="e">
        <v>#N/A</v>
      </c>
      <c r="AD201" s="62" t="e">
        <v>#N/A</v>
      </c>
      <c r="AE201" s="62" t="e">
        <v>#N/A</v>
      </c>
      <c r="AF201" s="62" t="e">
        <v>#N/A</v>
      </c>
      <c r="AG201" s="62" t="e">
        <v>#N/A</v>
      </c>
      <c r="AH201" s="62" t="e">
        <v>#N/A</v>
      </c>
      <c r="AI201" s="62" t="e">
        <v>#N/A</v>
      </c>
      <c r="AJ201" s="62" t="e">
        <v>#N/A</v>
      </c>
      <c r="AK201" s="64" t="e">
        <v>#N/A</v>
      </c>
      <c r="AL201" s="19">
        <v>88285</v>
      </c>
      <c r="AM201" s="19">
        <v>80484</v>
      </c>
      <c r="AN201" s="23">
        <v>10366</v>
      </c>
      <c r="AO201" s="19">
        <v>115036</v>
      </c>
      <c r="AP201" s="19">
        <v>2744</v>
      </c>
      <c r="AQ201" s="62"/>
      <c r="AR201" s="63"/>
      <c r="AS201" s="63"/>
      <c r="AT201" s="65">
        <f t="shared" si="16"/>
        <v>4831.5119999999997</v>
      </c>
      <c r="AU201" s="65">
        <f t="shared" si="17"/>
        <v>435.37200000000001</v>
      </c>
      <c r="AV201" s="65">
        <f t="shared" si="18"/>
        <v>115.248</v>
      </c>
      <c r="AW201" s="65">
        <f t="shared" si="20"/>
        <v>3707.97</v>
      </c>
      <c r="AX201" s="65">
        <f t="shared" si="20"/>
        <v>3380.328</v>
      </c>
      <c r="AY201" s="65">
        <f t="shared" si="19"/>
        <v>115.248</v>
      </c>
      <c r="AZ201" s="19">
        <v>37010</v>
      </c>
      <c r="BA201" s="19">
        <v>37780</v>
      </c>
      <c r="BB201" s="19">
        <v>40783</v>
      </c>
      <c r="BC201" s="19">
        <v>3432</v>
      </c>
      <c r="BD201" s="19">
        <v>287</v>
      </c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62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  <c r="DK201" s="62"/>
      <c r="DL201" s="62"/>
    </row>
    <row r="202" spans="1:116" hidden="1" x14ac:dyDescent="0.2">
      <c r="A202" s="57">
        <v>32721</v>
      </c>
      <c r="B202" s="58"/>
      <c r="C202" s="66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6"/>
      <c r="P202" s="61"/>
      <c r="Q202" s="62"/>
      <c r="R202" s="62"/>
      <c r="S202" s="62"/>
      <c r="T202" s="62"/>
      <c r="U202" s="62"/>
      <c r="V202" s="62"/>
      <c r="W202" s="62"/>
      <c r="X202" s="62"/>
      <c r="Y202" s="61"/>
      <c r="Z202" s="63"/>
      <c r="AA202" s="64" t="e">
        <v>#N/A</v>
      </c>
      <c r="AB202" s="62" t="e">
        <v>#N/A</v>
      </c>
      <c r="AC202" s="62" t="e">
        <v>#N/A</v>
      </c>
      <c r="AD202" s="62" t="e">
        <v>#N/A</v>
      </c>
      <c r="AE202" s="62" t="e">
        <v>#N/A</v>
      </c>
      <c r="AF202" s="62" t="e">
        <v>#N/A</v>
      </c>
      <c r="AG202" s="62" t="e">
        <v>#N/A</v>
      </c>
      <c r="AH202" s="62" t="e">
        <v>#N/A</v>
      </c>
      <c r="AI202" s="62" t="e">
        <v>#N/A</v>
      </c>
      <c r="AJ202" s="62" t="e">
        <v>#N/A</v>
      </c>
      <c r="AK202" s="64" t="e">
        <v>#N/A</v>
      </c>
      <c r="AL202" s="19">
        <v>90103</v>
      </c>
      <c r="AM202" s="19">
        <v>91933</v>
      </c>
      <c r="AN202" s="23">
        <v>7888</v>
      </c>
      <c r="AO202" s="19">
        <v>116306</v>
      </c>
      <c r="AP202" s="19">
        <v>4788</v>
      </c>
      <c r="AQ202" s="62"/>
      <c r="AR202" s="63"/>
      <c r="AS202" s="63"/>
      <c r="AT202" s="65">
        <f t="shared" si="16"/>
        <v>4884.8519999999999</v>
      </c>
      <c r="AU202" s="65">
        <f t="shared" si="17"/>
        <v>331.29599999999999</v>
      </c>
      <c r="AV202" s="65">
        <f t="shared" si="18"/>
        <v>201.096</v>
      </c>
      <c r="AW202" s="65">
        <f t="shared" si="20"/>
        <v>3784.326</v>
      </c>
      <c r="AX202" s="65">
        <f t="shared" si="20"/>
        <v>3861.1860000000001</v>
      </c>
      <c r="AY202" s="65">
        <f t="shared" si="19"/>
        <v>201.096</v>
      </c>
      <c r="AZ202" s="19">
        <v>38347</v>
      </c>
      <c r="BA202" s="19">
        <v>39071</v>
      </c>
      <c r="BB202" s="19">
        <v>42271</v>
      </c>
      <c r="BC202" s="19">
        <v>2679</v>
      </c>
      <c r="BD202" s="19">
        <v>467</v>
      </c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62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  <c r="DK202" s="62"/>
      <c r="DL202" s="62"/>
    </row>
    <row r="203" spans="1:116" hidden="1" x14ac:dyDescent="0.2">
      <c r="A203" s="57">
        <v>32752</v>
      </c>
      <c r="B203" s="58"/>
      <c r="C203" s="66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6"/>
      <c r="P203" s="61"/>
      <c r="Q203" s="62"/>
      <c r="R203" s="62"/>
      <c r="S203" s="62"/>
      <c r="T203" s="62"/>
      <c r="U203" s="62"/>
      <c r="V203" s="62"/>
      <c r="W203" s="62"/>
      <c r="X203" s="62"/>
      <c r="Y203" s="61"/>
      <c r="Z203" s="63"/>
      <c r="AA203" s="64" t="e">
        <v>#N/A</v>
      </c>
      <c r="AB203" s="62" t="e">
        <v>#N/A</v>
      </c>
      <c r="AC203" s="62" t="e">
        <v>#N/A</v>
      </c>
      <c r="AD203" s="62" t="e">
        <v>#N/A</v>
      </c>
      <c r="AE203" s="62" t="e">
        <v>#N/A</v>
      </c>
      <c r="AF203" s="62" t="e">
        <v>#N/A</v>
      </c>
      <c r="AG203" s="62" t="e">
        <v>#N/A</v>
      </c>
      <c r="AH203" s="62" t="e">
        <v>#N/A</v>
      </c>
      <c r="AI203" s="62" t="e">
        <v>#N/A</v>
      </c>
      <c r="AJ203" s="62" t="e">
        <v>#N/A</v>
      </c>
      <c r="AK203" s="64" t="e">
        <v>#N/A</v>
      </c>
      <c r="AL203" s="19">
        <v>88551</v>
      </c>
      <c r="AM203" s="19">
        <v>86681</v>
      </c>
      <c r="AN203" s="23">
        <v>7475</v>
      </c>
      <c r="AO203" s="19">
        <v>123226</v>
      </c>
      <c r="AP203" s="19">
        <v>2425</v>
      </c>
      <c r="AQ203" s="62"/>
      <c r="AR203" s="63"/>
      <c r="AS203" s="63"/>
      <c r="AT203" s="65">
        <f t="shared" si="16"/>
        <v>5175.4920000000002</v>
      </c>
      <c r="AU203" s="65">
        <f t="shared" si="17"/>
        <v>313.95</v>
      </c>
      <c r="AV203" s="65">
        <f t="shared" si="18"/>
        <v>101.85</v>
      </c>
      <c r="AW203" s="65">
        <f t="shared" si="20"/>
        <v>3719.1419999999998</v>
      </c>
      <c r="AX203" s="65">
        <f t="shared" si="20"/>
        <v>3640.6019999999999</v>
      </c>
      <c r="AY203" s="65">
        <f t="shared" si="19"/>
        <v>101.85</v>
      </c>
      <c r="AZ203" s="19">
        <v>36550</v>
      </c>
      <c r="BA203" s="19">
        <v>39471</v>
      </c>
      <c r="BB203" s="19">
        <v>41079</v>
      </c>
      <c r="BC203" s="19">
        <v>2747</v>
      </c>
      <c r="BD203" s="19">
        <v>1018</v>
      </c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62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  <c r="DK203" s="62"/>
      <c r="DL203" s="62"/>
    </row>
    <row r="204" spans="1:116" hidden="1" x14ac:dyDescent="0.2">
      <c r="A204" s="57">
        <v>32782</v>
      </c>
      <c r="B204" s="58"/>
      <c r="C204" s="66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6"/>
      <c r="P204" s="61"/>
      <c r="Q204" s="62"/>
      <c r="R204" s="62"/>
      <c r="S204" s="62"/>
      <c r="T204" s="62"/>
      <c r="U204" s="62"/>
      <c r="V204" s="62"/>
      <c r="W204" s="62"/>
      <c r="X204" s="62"/>
      <c r="Y204" s="61"/>
      <c r="Z204" s="63"/>
      <c r="AA204" s="64" t="e">
        <v>#N/A</v>
      </c>
      <c r="AB204" s="62" t="e">
        <v>#N/A</v>
      </c>
      <c r="AC204" s="62" t="e">
        <v>#N/A</v>
      </c>
      <c r="AD204" s="62" t="e">
        <v>#N/A</v>
      </c>
      <c r="AE204" s="62" t="e">
        <v>#N/A</v>
      </c>
      <c r="AF204" s="62" t="e">
        <v>#N/A</v>
      </c>
      <c r="AG204" s="62" t="e">
        <v>#N/A</v>
      </c>
      <c r="AH204" s="62" t="e">
        <v>#N/A</v>
      </c>
      <c r="AI204" s="62" t="e">
        <v>#N/A</v>
      </c>
      <c r="AJ204" s="62" t="e">
        <v>#N/A</v>
      </c>
      <c r="AK204" s="64" t="e">
        <v>#N/A</v>
      </c>
      <c r="AL204" s="19">
        <v>90092</v>
      </c>
      <c r="AM204" s="19">
        <v>96930</v>
      </c>
      <c r="AN204" s="23">
        <v>8088</v>
      </c>
      <c r="AO204" s="19">
        <v>121691</v>
      </c>
      <c r="AP204" s="19">
        <v>2785</v>
      </c>
      <c r="AQ204" s="62"/>
      <c r="AR204" s="63"/>
      <c r="AS204" s="63"/>
      <c r="AT204" s="65">
        <f t="shared" si="16"/>
        <v>5111.0219999999999</v>
      </c>
      <c r="AU204" s="65">
        <f t="shared" si="17"/>
        <v>339.69600000000003</v>
      </c>
      <c r="AV204" s="65">
        <f t="shared" si="18"/>
        <v>116.97</v>
      </c>
      <c r="AW204" s="65">
        <f t="shared" si="20"/>
        <v>3783.864</v>
      </c>
      <c r="AX204" s="65">
        <f t="shared" si="20"/>
        <v>4071.06</v>
      </c>
      <c r="AY204" s="65">
        <f t="shared" si="19"/>
        <v>116.97</v>
      </c>
      <c r="AZ204" s="19">
        <v>40288</v>
      </c>
      <c r="BA204" s="19">
        <v>38827</v>
      </c>
      <c r="BB204" s="19">
        <v>43885</v>
      </c>
      <c r="BC204" s="19">
        <v>2194</v>
      </c>
      <c r="BD204" s="19">
        <v>849</v>
      </c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62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  <c r="DK204" s="62"/>
      <c r="DL204" s="62"/>
    </row>
    <row r="205" spans="1:116" hidden="1" x14ac:dyDescent="0.2">
      <c r="A205" s="57">
        <v>32813</v>
      </c>
      <c r="B205" s="58"/>
      <c r="C205" s="66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6"/>
      <c r="P205" s="61"/>
      <c r="Q205" s="62"/>
      <c r="R205" s="62"/>
      <c r="S205" s="62"/>
      <c r="T205" s="62"/>
      <c r="U205" s="62"/>
      <c r="V205" s="62"/>
      <c r="W205" s="62"/>
      <c r="X205" s="62"/>
      <c r="Y205" s="61"/>
      <c r="Z205" s="63"/>
      <c r="AA205" s="64" t="e">
        <v>#N/A</v>
      </c>
      <c r="AB205" s="62" t="e">
        <v>#N/A</v>
      </c>
      <c r="AC205" s="62" t="e">
        <v>#N/A</v>
      </c>
      <c r="AD205" s="62" t="e">
        <v>#N/A</v>
      </c>
      <c r="AE205" s="62" t="e">
        <v>#N/A</v>
      </c>
      <c r="AF205" s="62" t="e">
        <v>#N/A</v>
      </c>
      <c r="AG205" s="62" t="e">
        <v>#N/A</v>
      </c>
      <c r="AH205" s="62" t="e">
        <v>#N/A</v>
      </c>
      <c r="AI205" s="62" t="e">
        <v>#N/A</v>
      </c>
      <c r="AJ205" s="62" t="e">
        <v>#N/A</v>
      </c>
      <c r="AK205" s="64" t="e">
        <v>#N/A</v>
      </c>
      <c r="AL205" s="19">
        <v>91896</v>
      </c>
      <c r="AM205" s="19">
        <v>99338</v>
      </c>
      <c r="AN205" s="23">
        <v>9207</v>
      </c>
      <c r="AO205" s="19">
        <v>119764</v>
      </c>
      <c r="AP205" s="19">
        <v>3692</v>
      </c>
      <c r="AQ205" s="62"/>
      <c r="AR205" s="63"/>
      <c r="AS205" s="63"/>
      <c r="AT205" s="65">
        <f t="shared" si="16"/>
        <v>5030.0879999999997</v>
      </c>
      <c r="AU205" s="65">
        <f t="shared" si="17"/>
        <v>386.69400000000002</v>
      </c>
      <c r="AV205" s="65">
        <f t="shared" si="18"/>
        <v>155.06399999999999</v>
      </c>
      <c r="AW205" s="65">
        <f t="shared" si="20"/>
        <v>3859.6320000000001</v>
      </c>
      <c r="AX205" s="65">
        <f t="shared" si="20"/>
        <v>4172.1959999999999</v>
      </c>
      <c r="AY205" s="65">
        <f t="shared" si="19"/>
        <v>155.06399999999999</v>
      </c>
      <c r="AZ205" s="19">
        <v>39151</v>
      </c>
      <c r="BA205" s="19">
        <v>40119</v>
      </c>
      <c r="BB205" s="19">
        <v>44398</v>
      </c>
      <c r="BC205" s="19">
        <v>2664</v>
      </c>
      <c r="BD205" s="19">
        <v>1183</v>
      </c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62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  <c r="DK205" s="62"/>
      <c r="DL205" s="62"/>
    </row>
    <row r="206" spans="1:116" hidden="1" x14ac:dyDescent="0.2">
      <c r="A206" s="57">
        <v>32843</v>
      </c>
      <c r="B206" s="58"/>
      <c r="C206" s="66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6"/>
      <c r="P206" s="61"/>
      <c r="Q206" s="62"/>
      <c r="R206" s="62"/>
      <c r="S206" s="62"/>
      <c r="T206" s="62"/>
      <c r="U206" s="62"/>
      <c r="V206" s="62"/>
      <c r="W206" s="62"/>
      <c r="X206" s="62"/>
      <c r="Y206" s="61"/>
      <c r="Z206" s="63"/>
      <c r="AA206" s="64" t="e">
        <v>#N/A</v>
      </c>
      <c r="AB206" s="62" t="e">
        <v>#N/A</v>
      </c>
      <c r="AC206" s="62" t="e">
        <v>#N/A</v>
      </c>
      <c r="AD206" s="62" t="e">
        <v>#N/A</v>
      </c>
      <c r="AE206" s="62" t="e">
        <v>#N/A</v>
      </c>
      <c r="AF206" s="62" t="e">
        <v>#N/A</v>
      </c>
      <c r="AG206" s="62" t="e">
        <v>#N/A</v>
      </c>
      <c r="AH206" s="62" t="e">
        <v>#N/A</v>
      </c>
      <c r="AI206" s="62" t="e">
        <v>#N/A</v>
      </c>
      <c r="AJ206" s="62" t="e">
        <v>#N/A</v>
      </c>
      <c r="AK206" s="64" t="e">
        <v>#N/A</v>
      </c>
      <c r="AL206" s="19">
        <v>101256</v>
      </c>
      <c r="AM206" s="19">
        <v>121348</v>
      </c>
      <c r="AN206" s="23">
        <v>10058</v>
      </c>
      <c r="AO206" s="19">
        <v>105700</v>
      </c>
      <c r="AP206" s="19">
        <v>4030</v>
      </c>
      <c r="AQ206" s="62"/>
      <c r="AR206" s="63"/>
      <c r="AS206" s="63"/>
      <c r="AT206" s="65">
        <f t="shared" si="16"/>
        <v>4439.3999999999996</v>
      </c>
      <c r="AU206" s="65">
        <f t="shared" si="17"/>
        <v>422.43599999999998</v>
      </c>
      <c r="AV206" s="65">
        <f t="shared" si="18"/>
        <v>169.26</v>
      </c>
      <c r="AW206" s="65">
        <f t="shared" si="20"/>
        <v>4252.7520000000004</v>
      </c>
      <c r="AX206" s="65">
        <f t="shared" si="20"/>
        <v>5096.616</v>
      </c>
      <c r="AY206" s="65">
        <f t="shared" si="19"/>
        <v>169.26</v>
      </c>
      <c r="AZ206" s="19">
        <v>35621</v>
      </c>
      <c r="BA206" s="19">
        <v>47759</v>
      </c>
      <c r="BB206" s="19">
        <v>34471</v>
      </c>
      <c r="BC206" s="19">
        <v>3520</v>
      </c>
      <c r="BD206" s="19">
        <v>1309</v>
      </c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62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  <c r="DK206" s="62"/>
      <c r="DL206" s="62"/>
    </row>
    <row r="207" spans="1:116" hidden="1" x14ac:dyDescent="0.2">
      <c r="A207" s="57">
        <v>32874</v>
      </c>
      <c r="B207" s="58"/>
      <c r="C207" s="66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6"/>
      <c r="P207" s="61"/>
      <c r="Q207" s="62"/>
      <c r="R207" s="62"/>
      <c r="S207" s="62"/>
      <c r="T207" s="62"/>
      <c r="U207" s="62"/>
      <c r="V207" s="62"/>
      <c r="W207" s="62"/>
      <c r="X207" s="62"/>
      <c r="Y207" s="61"/>
      <c r="Z207" s="63"/>
      <c r="AA207" s="64" t="e">
        <v>#N/A</v>
      </c>
      <c r="AB207" s="62" t="e">
        <v>#N/A</v>
      </c>
      <c r="AC207" s="62" t="e">
        <v>#N/A</v>
      </c>
      <c r="AD207" s="62" t="e">
        <v>#N/A</v>
      </c>
      <c r="AE207" s="62" t="e">
        <v>#N/A</v>
      </c>
      <c r="AF207" s="62" t="e">
        <v>#N/A</v>
      </c>
      <c r="AG207" s="62" t="e">
        <v>#N/A</v>
      </c>
      <c r="AH207" s="62" t="e">
        <v>#N/A</v>
      </c>
      <c r="AI207" s="62" t="e">
        <v>#N/A</v>
      </c>
      <c r="AJ207" s="62" t="e">
        <v>#N/A</v>
      </c>
      <c r="AK207" s="64" t="e">
        <v>#N/A</v>
      </c>
      <c r="AL207" s="19">
        <v>97027</v>
      </c>
      <c r="AM207" s="19">
        <v>98734</v>
      </c>
      <c r="AN207" s="23">
        <v>15658</v>
      </c>
      <c r="AO207" s="19">
        <v>117729</v>
      </c>
      <c r="AP207" s="19">
        <v>1922</v>
      </c>
      <c r="AQ207" s="62"/>
      <c r="AR207" s="63"/>
      <c r="AS207" s="63"/>
      <c r="AT207" s="65">
        <f t="shared" si="16"/>
        <v>4944.6180000000004</v>
      </c>
      <c r="AU207" s="65">
        <f t="shared" si="17"/>
        <v>657.63599999999997</v>
      </c>
      <c r="AV207" s="65">
        <f t="shared" si="18"/>
        <v>80.724000000000004</v>
      </c>
      <c r="AW207" s="65">
        <f t="shared" si="20"/>
        <v>4075.134</v>
      </c>
      <c r="AX207" s="65">
        <f t="shared" si="20"/>
        <v>4146.8280000000004</v>
      </c>
      <c r="AY207" s="65">
        <f t="shared" si="19"/>
        <v>80.724000000000004</v>
      </c>
      <c r="AZ207" s="19">
        <v>41547</v>
      </c>
      <c r="BA207" s="19">
        <v>43535</v>
      </c>
      <c r="BB207" s="19">
        <v>36820</v>
      </c>
      <c r="BC207" s="19">
        <v>5005</v>
      </c>
      <c r="BD207" s="19">
        <v>668</v>
      </c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62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  <c r="DK207" s="62"/>
      <c r="DL207" s="62"/>
    </row>
    <row r="208" spans="1:116" hidden="1" x14ac:dyDescent="0.2">
      <c r="A208" s="57">
        <v>32905</v>
      </c>
      <c r="B208" s="58"/>
      <c r="C208" s="66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6"/>
      <c r="P208" s="61"/>
      <c r="Q208" s="62"/>
      <c r="R208" s="62"/>
      <c r="S208" s="62"/>
      <c r="T208" s="62"/>
      <c r="U208" s="62"/>
      <c r="V208" s="62"/>
      <c r="W208" s="62"/>
      <c r="X208" s="62"/>
      <c r="Y208" s="61"/>
      <c r="Z208" s="63"/>
      <c r="AA208" s="64" t="e">
        <v>#N/A</v>
      </c>
      <c r="AB208" s="62" t="e">
        <v>#N/A</v>
      </c>
      <c r="AC208" s="62" t="e">
        <v>#N/A</v>
      </c>
      <c r="AD208" s="62" t="e">
        <v>#N/A</v>
      </c>
      <c r="AE208" s="62" t="e">
        <v>#N/A</v>
      </c>
      <c r="AF208" s="62" t="e">
        <v>#N/A</v>
      </c>
      <c r="AG208" s="62" t="e">
        <v>#N/A</v>
      </c>
      <c r="AH208" s="62" t="e">
        <v>#N/A</v>
      </c>
      <c r="AI208" s="62" t="e">
        <v>#N/A</v>
      </c>
      <c r="AJ208" s="62" t="e">
        <v>#N/A</v>
      </c>
      <c r="AK208" s="64" t="e">
        <v>#N/A</v>
      </c>
      <c r="AL208" s="19">
        <v>77078</v>
      </c>
      <c r="AM208" s="19">
        <v>91274</v>
      </c>
      <c r="AN208" s="23">
        <v>10000</v>
      </c>
      <c r="AO208" s="19">
        <v>111718</v>
      </c>
      <c r="AP208" s="19">
        <v>1815</v>
      </c>
      <c r="AQ208" s="62"/>
      <c r="AR208" s="63"/>
      <c r="AS208" s="63"/>
      <c r="AT208" s="65">
        <f t="shared" si="16"/>
        <v>4692.1559999999999</v>
      </c>
      <c r="AU208" s="65">
        <f t="shared" si="17"/>
        <v>420</v>
      </c>
      <c r="AV208" s="65">
        <f t="shared" si="18"/>
        <v>76.23</v>
      </c>
      <c r="AW208" s="65">
        <f t="shared" si="20"/>
        <v>3237.2759999999998</v>
      </c>
      <c r="AX208" s="65">
        <f t="shared" si="20"/>
        <v>3833.5079999999998</v>
      </c>
      <c r="AY208" s="65">
        <f t="shared" si="19"/>
        <v>76.23</v>
      </c>
      <c r="AZ208" s="19">
        <v>37253</v>
      </c>
      <c r="BA208" s="19">
        <v>36854</v>
      </c>
      <c r="BB208" s="19">
        <v>40226</v>
      </c>
      <c r="BC208" s="19">
        <v>4400</v>
      </c>
      <c r="BD208" s="19">
        <v>1393</v>
      </c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62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  <c r="DK208" s="62"/>
      <c r="DL208" s="62"/>
    </row>
    <row r="209" spans="1:116" hidden="1" x14ac:dyDescent="0.2">
      <c r="A209" s="57">
        <v>32933</v>
      </c>
      <c r="B209" s="58"/>
      <c r="C209" s="66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6"/>
      <c r="P209" s="61"/>
      <c r="Q209" s="62"/>
      <c r="R209" s="62"/>
      <c r="S209" s="62"/>
      <c r="T209" s="62"/>
      <c r="U209" s="62"/>
      <c r="V209" s="62"/>
      <c r="W209" s="62"/>
      <c r="X209" s="62"/>
      <c r="Y209" s="61"/>
      <c r="Z209" s="63"/>
      <c r="AA209" s="64" t="e">
        <v>#N/A</v>
      </c>
      <c r="AB209" s="62" t="e">
        <v>#N/A</v>
      </c>
      <c r="AC209" s="62" t="e">
        <v>#N/A</v>
      </c>
      <c r="AD209" s="62" t="e">
        <v>#N/A</v>
      </c>
      <c r="AE209" s="62" t="e">
        <v>#N/A</v>
      </c>
      <c r="AF209" s="62" t="e">
        <v>#N/A</v>
      </c>
      <c r="AG209" s="62" t="e">
        <v>#N/A</v>
      </c>
      <c r="AH209" s="62" t="e">
        <v>#N/A</v>
      </c>
      <c r="AI209" s="62" t="e">
        <v>#N/A</v>
      </c>
      <c r="AJ209" s="62" t="e">
        <v>#N/A</v>
      </c>
      <c r="AK209" s="64" t="e">
        <v>#N/A</v>
      </c>
      <c r="AL209" s="19">
        <v>82360</v>
      </c>
      <c r="AM209" s="19">
        <v>101576</v>
      </c>
      <c r="AN209" s="23">
        <v>8698</v>
      </c>
      <c r="AO209" s="19">
        <v>98866</v>
      </c>
      <c r="AP209" s="19">
        <v>2334</v>
      </c>
      <c r="AQ209" s="62"/>
      <c r="AR209" s="63"/>
      <c r="AS209" s="63"/>
      <c r="AT209" s="65">
        <f t="shared" si="16"/>
        <v>4152.3720000000003</v>
      </c>
      <c r="AU209" s="65">
        <f t="shared" si="17"/>
        <v>365.31599999999997</v>
      </c>
      <c r="AV209" s="65">
        <f t="shared" si="18"/>
        <v>98.028000000000006</v>
      </c>
      <c r="AW209" s="65">
        <f t="shared" si="20"/>
        <v>3459.12</v>
      </c>
      <c r="AX209" s="65">
        <f t="shared" si="20"/>
        <v>4266.192</v>
      </c>
      <c r="AY209" s="65">
        <f t="shared" si="19"/>
        <v>98.028000000000006</v>
      </c>
      <c r="AZ209" s="19">
        <v>38925</v>
      </c>
      <c r="BA209" s="19">
        <v>39945</v>
      </c>
      <c r="BB209" s="19">
        <v>42364</v>
      </c>
      <c r="BC209" s="19">
        <v>3673</v>
      </c>
      <c r="BD209" s="19">
        <v>515</v>
      </c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62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  <c r="DK209" s="62"/>
      <c r="DL209" s="62"/>
    </row>
    <row r="210" spans="1:116" hidden="1" x14ac:dyDescent="0.2">
      <c r="A210" s="57">
        <v>32964</v>
      </c>
      <c r="B210" s="58"/>
      <c r="C210" s="66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6"/>
      <c r="P210" s="61"/>
      <c r="Q210" s="62"/>
      <c r="R210" s="62"/>
      <c r="S210" s="62"/>
      <c r="T210" s="62"/>
      <c r="U210" s="62"/>
      <c r="V210" s="62"/>
      <c r="W210" s="62"/>
      <c r="X210" s="62"/>
      <c r="Y210" s="61"/>
      <c r="Z210" s="63"/>
      <c r="AA210" s="64" t="e">
        <v>#N/A</v>
      </c>
      <c r="AB210" s="62" t="e">
        <v>#N/A</v>
      </c>
      <c r="AC210" s="62" t="e">
        <v>#N/A</v>
      </c>
      <c r="AD210" s="62" t="e">
        <v>#N/A</v>
      </c>
      <c r="AE210" s="62" t="e">
        <v>#N/A</v>
      </c>
      <c r="AF210" s="62" t="e">
        <v>#N/A</v>
      </c>
      <c r="AG210" s="62" t="e">
        <v>#N/A</v>
      </c>
      <c r="AH210" s="62" t="e">
        <v>#N/A</v>
      </c>
      <c r="AI210" s="62" t="e">
        <v>#N/A</v>
      </c>
      <c r="AJ210" s="62" t="e">
        <v>#N/A</v>
      </c>
      <c r="AK210" s="64" t="e">
        <v>#N/A</v>
      </c>
      <c r="AL210" s="19">
        <v>84075</v>
      </c>
      <c r="AM210" s="19">
        <v>91279</v>
      </c>
      <c r="AN210" s="23">
        <v>9252</v>
      </c>
      <c r="AO210" s="19">
        <v>99146</v>
      </c>
      <c r="AP210" s="19">
        <v>1768</v>
      </c>
      <c r="AQ210" s="62"/>
      <c r="AR210" s="63"/>
      <c r="AS210" s="63"/>
      <c r="AT210" s="65">
        <f t="shared" si="16"/>
        <v>4164.1319999999996</v>
      </c>
      <c r="AU210" s="65">
        <f t="shared" si="17"/>
        <v>388.584</v>
      </c>
      <c r="AV210" s="65">
        <f t="shared" si="18"/>
        <v>74.256</v>
      </c>
      <c r="AW210" s="65">
        <f t="shared" si="20"/>
        <v>3531.15</v>
      </c>
      <c r="AX210" s="65">
        <f t="shared" si="20"/>
        <v>3833.7179999999998</v>
      </c>
      <c r="AY210" s="65">
        <f t="shared" si="19"/>
        <v>74.256</v>
      </c>
      <c r="AZ210" s="19">
        <v>35359</v>
      </c>
      <c r="BA210" s="19">
        <v>40057</v>
      </c>
      <c r="BB210" s="19">
        <v>40387</v>
      </c>
      <c r="BC210" s="19">
        <v>3052</v>
      </c>
      <c r="BD210" s="19">
        <v>331</v>
      </c>
      <c r="BE210" s="62"/>
      <c r="BF210" s="62"/>
      <c r="BG210" s="62"/>
      <c r="BH210" s="62"/>
      <c r="BI210" s="62"/>
      <c r="BJ210" s="62"/>
      <c r="BK210" s="62"/>
      <c r="BL210" s="62"/>
      <c r="BM210" s="62"/>
      <c r="BN210" s="62"/>
      <c r="BO210" s="62"/>
      <c r="BP210" s="62"/>
      <c r="BQ210" s="62"/>
      <c r="BR210" s="62"/>
      <c r="BS210" s="62"/>
      <c r="BT210" s="62"/>
      <c r="BU210" s="62"/>
      <c r="BV210" s="62"/>
      <c r="BW210" s="62"/>
      <c r="BX210" s="62"/>
      <c r="BY210" s="62"/>
      <c r="BZ210" s="62"/>
      <c r="CA210" s="62"/>
      <c r="CB210" s="62"/>
      <c r="CC210" s="62"/>
      <c r="CD210" s="62"/>
      <c r="CE210" s="62"/>
      <c r="CF210" s="62"/>
      <c r="CG210" s="62"/>
      <c r="CH210" s="62"/>
      <c r="CI210" s="62"/>
      <c r="CJ210" s="62"/>
      <c r="CK210" s="62"/>
      <c r="CL210" s="62"/>
      <c r="CM210" s="62"/>
      <c r="CN210" s="62"/>
      <c r="CO210" s="62"/>
      <c r="CP210" s="62"/>
      <c r="CQ210" s="62"/>
      <c r="CR210" s="62"/>
      <c r="CS210" s="62"/>
      <c r="CT210" s="62"/>
      <c r="CU210" s="62"/>
      <c r="CV210" s="62"/>
      <c r="CW210" s="62"/>
      <c r="CX210" s="62"/>
      <c r="CY210" s="62"/>
      <c r="CZ210" s="62"/>
      <c r="DA210" s="62"/>
      <c r="DB210" s="62"/>
      <c r="DC210" s="62"/>
      <c r="DD210" s="62"/>
      <c r="DE210" s="62"/>
      <c r="DF210" s="62"/>
      <c r="DG210" s="62"/>
      <c r="DH210" s="62"/>
      <c r="DI210" s="62"/>
      <c r="DJ210" s="62"/>
      <c r="DK210" s="62"/>
      <c r="DL210" s="62"/>
    </row>
    <row r="211" spans="1:116" hidden="1" x14ac:dyDescent="0.2">
      <c r="A211" s="57">
        <v>32994</v>
      </c>
      <c r="B211" s="58"/>
      <c r="C211" s="66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6"/>
      <c r="P211" s="61"/>
      <c r="Q211" s="62"/>
      <c r="R211" s="62"/>
      <c r="S211" s="62"/>
      <c r="T211" s="62"/>
      <c r="U211" s="62"/>
      <c r="V211" s="62"/>
      <c r="W211" s="62"/>
      <c r="X211" s="62"/>
      <c r="Y211" s="61"/>
      <c r="Z211" s="63"/>
      <c r="AA211" s="64" t="e">
        <v>#N/A</v>
      </c>
      <c r="AB211" s="62" t="e">
        <v>#N/A</v>
      </c>
      <c r="AC211" s="62" t="e">
        <v>#N/A</v>
      </c>
      <c r="AD211" s="62" t="e">
        <v>#N/A</v>
      </c>
      <c r="AE211" s="62" t="e">
        <v>#N/A</v>
      </c>
      <c r="AF211" s="62" t="e">
        <v>#N/A</v>
      </c>
      <c r="AG211" s="62" t="e">
        <v>#N/A</v>
      </c>
      <c r="AH211" s="62" t="e">
        <v>#N/A</v>
      </c>
      <c r="AI211" s="62" t="e">
        <v>#N/A</v>
      </c>
      <c r="AJ211" s="62" t="e">
        <v>#N/A</v>
      </c>
      <c r="AK211" s="64" t="e">
        <v>#N/A</v>
      </c>
      <c r="AL211" s="19">
        <v>89097</v>
      </c>
      <c r="AM211" s="19">
        <v>89908</v>
      </c>
      <c r="AN211" s="23">
        <v>6485</v>
      </c>
      <c r="AO211" s="19">
        <v>102509</v>
      </c>
      <c r="AP211" s="19">
        <v>2311</v>
      </c>
      <c r="AQ211" s="62"/>
      <c r="AR211" s="63"/>
      <c r="AS211" s="63"/>
      <c r="AT211" s="65">
        <f t="shared" si="16"/>
        <v>4305.3779999999997</v>
      </c>
      <c r="AU211" s="65">
        <f t="shared" si="17"/>
        <v>272.37</v>
      </c>
      <c r="AV211" s="65">
        <f t="shared" si="18"/>
        <v>97.061999999999998</v>
      </c>
      <c r="AW211" s="65">
        <f t="shared" si="20"/>
        <v>3742.0740000000001</v>
      </c>
      <c r="AX211" s="65">
        <f t="shared" si="20"/>
        <v>3776.136</v>
      </c>
      <c r="AY211" s="65">
        <f t="shared" si="19"/>
        <v>97.061999999999998</v>
      </c>
      <c r="AZ211" s="19">
        <v>37022</v>
      </c>
      <c r="BA211" s="19">
        <v>40712</v>
      </c>
      <c r="BB211" s="19">
        <v>40074</v>
      </c>
      <c r="BC211" s="19">
        <v>3615</v>
      </c>
      <c r="BD211" s="19">
        <v>238</v>
      </c>
      <c r="BE211" s="62"/>
      <c r="BF211" s="62"/>
      <c r="BG211" s="62"/>
      <c r="BH211" s="62"/>
      <c r="BI211" s="62"/>
      <c r="BJ211" s="62"/>
      <c r="BK211" s="62"/>
      <c r="BL211" s="62"/>
      <c r="BM211" s="62"/>
      <c r="BN211" s="62"/>
      <c r="BO211" s="62"/>
      <c r="BP211" s="62"/>
      <c r="BQ211" s="62"/>
      <c r="BR211" s="62"/>
      <c r="BS211" s="62"/>
      <c r="BT211" s="62"/>
      <c r="BU211" s="62"/>
      <c r="BV211" s="62"/>
      <c r="BW211" s="62"/>
      <c r="BX211" s="62"/>
      <c r="BY211" s="62"/>
      <c r="BZ211" s="62"/>
      <c r="CA211" s="62"/>
      <c r="CB211" s="62"/>
      <c r="CC211" s="62"/>
      <c r="CD211" s="62"/>
      <c r="CE211" s="62"/>
      <c r="CF211" s="62"/>
      <c r="CG211" s="62"/>
      <c r="CH211" s="62"/>
      <c r="CI211" s="62"/>
      <c r="CJ211" s="62"/>
      <c r="CK211" s="62"/>
      <c r="CL211" s="62"/>
      <c r="CM211" s="62"/>
      <c r="CN211" s="62"/>
      <c r="CO211" s="62"/>
      <c r="CP211" s="62"/>
      <c r="CQ211" s="62"/>
      <c r="CR211" s="62"/>
      <c r="CS211" s="62"/>
      <c r="CT211" s="62"/>
      <c r="CU211" s="62"/>
      <c r="CV211" s="62"/>
      <c r="CW211" s="62"/>
      <c r="CX211" s="62"/>
      <c r="CY211" s="62"/>
      <c r="CZ211" s="62"/>
      <c r="DA211" s="62"/>
      <c r="DB211" s="62"/>
      <c r="DC211" s="62"/>
      <c r="DD211" s="62"/>
      <c r="DE211" s="62"/>
      <c r="DF211" s="62"/>
      <c r="DG211" s="62"/>
      <c r="DH211" s="62"/>
      <c r="DI211" s="62"/>
      <c r="DJ211" s="62"/>
      <c r="DK211" s="62"/>
      <c r="DL211" s="62"/>
    </row>
    <row r="212" spans="1:116" hidden="1" x14ac:dyDescent="0.2">
      <c r="A212" s="57">
        <v>33025</v>
      </c>
      <c r="B212" s="58"/>
      <c r="C212" s="66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6"/>
      <c r="P212" s="61"/>
      <c r="Q212" s="62"/>
      <c r="R212" s="62"/>
      <c r="S212" s="62"/>
      <c r="T212" s="62"/>
      <c r="U212" s="62"/>
      <c r="V212" s="62"/>
      <c r="W212" s="62"/>
      <c r="X212" s="62"/>
      <c r="Y212" s="61"/>
      <c r="Z212" s="63"/>
      <c r="AA212" s="64" t="e">
        <v>#N/A</v>
      </c>
      <c r="AB212" s="62" t="e">
        <v>#N/A</v>
      </c>
      <c r="AC212" s="62" t="e">
        <v>#N/A</v>
      </c>
      <c r="AD212" s="62" t="e">
        <v>#N/A</v>
      </c>
      <c r="AE212" s="62" t="e">
        <v>#N/A</v>
      </c>
      <c r="AF212" s="62" t="e">
        <v>#N/A</v>
      </c>
      <c r="AG212" s="62" t="e">
        <v>#N/A</v>
      </c>
      <c r="AH212" s="62" t="e">
        <v>#N/A</v>
      </c>
      <c r="AI212" s="62" t="e">
        <v>#N/A</v>
      </c>
      <c r="AJ212" s="62" t="e">
        <v>#N/A</v>
      </c>
      <c r="AK212" s="64" t="e">
        <v>#N/A</v>
      </c>
      <c r="AL212" s="19">
        <v>89865</v>
      </c>
      <c r="AM212" s="19">
        <v>87688</v>
      </c>
      <c r="AN212" s="23">
        <v>7710</v>
      </c>
      <c r="AO212" s="19">
        <v>109885</v>
      </c>
      <c r="AP212" s="19">
        <v>2511</v>
      </c>
      <c r="AQ212" s="62"/>
      <c r="AR212" s="63"/>
      <c r="AS212" s="63"/>
      <c r="AT212" s="65">
        <f t="shared" si="16"/>
        <v>4615.17</v>
      </c>
      <c r="AU212" s="65">
        <f t="shared" si="17"/>
        <v>323.82</v>
      </c>
      <c r="AV212" s="65">
        <f t="shared" si="18"/>
        <v>105.462</v>
      </c>
      <c r="AW212" s="65">
        <f t="shared" si="20"/>
        <v>3774.33</v>
      </c>
      <c r="AX212" s="65">
        <f t="shared" si="20"/>
        <v>3682.8960000000002</v>
      </c>
      <c r="AY212" s="65">
        <f t="shared" si="19"/>
        <v>105.462</v>
      </c>
      <c r="AZ212" s="19">
        <v>36405</v>
      </c>
      <c r="BA212" s="19">
        <v>39596</v>
      </c>
      <c r="BB212" s="19">
        <v>40357</v>
      </c>
      <c r="BC212" s="19">
        <v>3681</v>
      </c>
      <c r="BD212" s="19">
        <v>207</v>
      </c>
      <c r="BE212" s="62"/>
      <c r="BF212" s="62"/>
      <c r="BG212" s="62"/>
      <c r="BH212" s="62"/>
      <c r="BI212" s="62"/>
      <c r="BJ212" s="62"/>
      <c r="BK212" s="62"/>
      <c r="BL212" s="62"/>
      <c r="BM212" s="62"/>
      <c r="BN212" s="62"/>
      <c r="BO212" s="62"/>
      <c r="BP212" s="62"/>
      <c r="BQ212" s="62"/>
      <c r="BR212" s="62"/>
      <c r="BS212" s="62"/>
      <c r="BT212" s="62"/>
      <c r="BU212" s="62"/>
      <c r="BV212" s="62"/>
      <c r="BW212" s="62"/>
      <c r="BX212" s="62"/>
      <c r="BY212" s="62"/>
      <c r="BZ212" s="62"/>
      <c r="CA212" s="62"/>
      <c r="CB212" s="62"/>
      <c r="CC212" s="62"/>
      <c r="CD212" s="62"/>
      <c r="CE212" s="62"/>
      <c r="CF212" s="62"/>
      <c r="CG212" s="62"/>
      <c r="CH212" s="62"/>
      <c r="CI212" s="62"/>
      <c r="CJ212" s="62"/>
      <c r="CK212" s="62"/>
      <c r="CL212" s="62"/>
      <c r="CM212" s="62"/>
      <c r="CN212" s="62"/>
      <c r="CO212" s="62"/>
      <c r="CP212" s="62"/>
      <c r="CQ212" s="62"/>
      <c r="CR212" s="62"/>
      <c r="CS212" s="62"/>
      <c r="CT212" s="62"/>
      <c r="CU212" s="62"/>
      <c r="CV212" s="62"/>
      <c r="CW212" s="62"/>
      <c r="CX212" s="62"/>
      <c r="CY212" s="62"/>
      <c r="CZ212" s="62"/>
      <c r="DA212" s="62"/>
      <c r="DB212" s="62"/>
      <c r="DC212" s="62"/>
      <c r="DD212" s="62"/>
      <c r="DE212" s="62"/>
      <c r="DF212" s="62"/>
      <c r="DG212" s="62"/>
      <c r="DH212" s="62"/>
      <c r="DI212" s="62"/>
      <c r="DJ212" s="62"/>
      <c r="DK212" s="62"/>
      <c r="DL212" s="62"/>
    </row>
    <row r="213" spans="1:116" hidden="1" x14ac:dyDescent="0.2">
      <c r="A213" s="57">
        <v>33055</v>
      </c>
      <c r="B213" s="58"/>
      <c r="C213" s="66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6"/>
      <c r="P213" s="61"/>
      <c r="Q213" s="62"/>
      <c r="R213" s="62"/>
      <c r="S213" s="62"/>
      <c r="T213" s="62"/>
      <c r="U213" s="62"/>
      <c r="V213" s="62"/>
      <c r="W213" s="62"/>
      <c r="X213" s="62"/>
      <c r="Y213" s="61"/>
      <c r="Z213" s="63"/>
      <c r="AA213" s="64" t="e">
        <v>#N/A</v>
      </c>
      <c r="AB213" s="62" t="e">
        <v>#N/A</v>
      </c>
      <c r="AC213" s="62" t="e">
        <v>#N/A</v>
      </c>
      <c r="AD213" s="62" t="e">
        <v>#N/A</v>
      </c>
      <c r="AE213" s="62" t="e">
        <v>#N/A</v>
      </c>
      <c r="AF213" s="62" t="e">
        <v>#N/A</v>
      </c>
      <c r="AG213" s="62" t="e">
        <v>#N/A</v>
      </c>
      <c r="AH213" s="62" t="e">
        <v>#N/A</v>
      </c>
      <c r="AI213" s="62" t="e">
        <v>#N/A</v>
      </c>
      <c r="AJ213" s="62" t="e">
        <v>#N/A</v>
      </c>
      <c r="AK213" s="64" t="e">
        <v>#N/A</v>
      </c>
      <c r="AL213" s="19">
        <v>93233</v>
      </c>
      <c r="AM213" s="19">
        <v>84518</v>
      </c>
      <c r="AN213" s="23">
        <v>7324</v>
      </c>
      <c r="AO213" s="19">
        <v>124979</v>
      </c>
      <c r="AP213" s="19">
        <v>945</v>
      </c>
      <c r="AQ213" s="62"/>
      <c r="AR213" s="63"/>
      <c r="AS213" s="63"/>
      <c r="AT213" s="65">
        <f t="shared" si="16"/>
        <v>5249.1180000000004</v>
      </c>
      <c r="AU213" s="65">
        <f t="shared" si="17"/>
        <v>307.608</v>
      </c>
      <c r="AV213" s="65">
        <f t="shared" si="18"/>
        <v>39.69</v>
      </c>
      <c r="AW213" s="65">
        <f t="shared" si="20"/>
        <v>3915.7860000000001</v>
      </c>
      <c r="AX213" s="65">
        <f t="shared" si="20"/>
        <v>3549.7559999999999</v>
      </c>
      <c r="AY213" s="65">
        <f t="shared" si="19"/>
        <v>39.69</v>
      </c>
      <c r="AZ213" s="19">
        <v>40531</v>
      </c>
      <c r="BA213" s="19">
        <v>39018</v>
      </c>
      <c r="BB213" s="19">
        <v>44598</v>
      </c>
      <c r="BC213" s="19">
        <v>3030</v>
      </c>
      <c r="BD213" s="19">
        <v>302</v>
      </c>
      <c r="BE213" s="62"/>
      <c r="BF213" s="62"/>
      <c r="BG213" s="62"/>
      <c r="BH213" s="62"/>
      <c r="BI213" s="62"/>
      <c r="BJ213" s="62"/>
      <c r="BK213" s="62"/>
      <c r="BL213" s="62"/>
      <c r="BM213" s="62"/>
      <c r="BN213" s="62"/>
      <c r="BO213" s="62"/>
      <c r="BP213" s="62"/>
      <c r="BQ213" s="62"/>
      <c r="BR213" s="62"/>
      <c r="BS213" s="62"/>
      <c r="BT213" s="62"/>
      <c r="BU213" s="62"/>
      <c r="BV213" s="62"/>
      <c r="BW213" s="62"/>
      <c r="BX213" s="62"/>
      <c r="BY213" s="62"/>
      <c r="BZ213" s="62"/>
      <c r="CA213" s="62"/>
      <c r="CB213" s="62"/>
      <c r="CC213" s="62"/>
      <c r="CD213" s="62"/>
      <c r="CE213" s="62"/>
      <c r="CF213" s="62"/>
      <c r="CG213" s="62"/>
      <c r="CH213" s="62"/>
      <c r="CI213" s="62"/>
      <c r="CJ213" s="62"/>
      <c r="CK213" s="62"/>
      <c r="CL213" s="62"/>
      <c r="CM213" s="62"/>
      <c r="CN213" s="62"/>
      <c r="CO213" s="62"/>
      <c r="CP213" s="62"/>
      <c r="CQ213" s="62"/>
      <c r="CR213" s="62"/>
      <c r="CS213" s="62"/>
      <c r="CT213" s="62"/>
      <c r="CU213" s="62"/>
      <c r="CV213" s="62"/>
      <c r="CW213" s="62"/>
      <c r="CX213" s="62"/>
      <c r="CY213" s="62"/>
      <c r="CZ213" s="62"/>
      <c r="DA213" s="62"/>
      <c r="DB213" s="62"/>
      <c r="DC213" s="62"/>
      <c r="DD213" s="62"/>
      <c r="DE213" s="62"/>
      <c r="DF213" s="62"/>
      <c r="DG213" s="62"/>
      <c r="DH213" s="62"/>
      <c r="DI213" s="62"/>
      <c r="DJ213" s="62"/>
      <c r="DK213" s="62"/>
      <c r="DL213" s="62"/>
    </row>
    <row r="214" spans="1:116" hidden="1" x14ac:dyDescent="0.2">
      <c r="A214" s="57">
        <v>33086</v>
      </c>
      <c r="B214" s="58"/>
      <c r="C214" s="66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6"/>
      <c r="P214" s="61"/>
      <c r="Q214" s="62"/>
      <c r="R214" s="62"/>
      <c r="S214" s="62"/>
      <c r="T214" s="62"/>
      <c r="U214" s="62"/>
      <c r="V214" s="62"/>
      <c r="W214" s="62"/>
      <c r="X214" s="62"/>
      <c r="Y214" s="61"/>
      <c r="Z214" s="63"/>
      <c r="AA214" s="64" t="e">
        <v>#N/A</v>
      </c>
      <c r="AB214" s="62" t="e">
        <v>#N/A</v>
      </c>
      <c r="AC214" s="62" t="e">
        <v>#N/A</v>
      </c>
      <c r="AD214" s="62" t="e">
        <v>#N/A</v>
      </c>
      <c r="AE214" s="62" t="e">
        <v>#N/A</v>
      </c>
      <c r="AF214" s="62" t="e">
        <v>#N/A</v>
      </c>
      <c r="AG214" s="62" t="e">
        <v>#N/A</v>
      </c>
      <c r="AH214" s="62" t="e">
        <v>#N/A</v>
      </c>
      <c r="AI214" s="62" t="e">
        <v>#N/A</v>
      </c>
      <c r="AJ214" s="62" t="e">
        <v>#N/A</v>
      </c>
      <c r="AK214" s="64" t="e">
        <v>#N/A</v>
      </c>
      <c r="AL214" s="19">
        <v>97072</v>
      </c>
      <c r="AM214" s="19">
        <v>99747</v>
      </c>
      <c r="AN214" s="23">
        <v>9094</v>
      </c>
      <c r="AO214" s="19">
        <v>129808</v>
      </c>
      <c r="AP214" s="19">
        <v>1590</v>
      </c>
      <c r="AQ214" s="62"/>
      <c r="AR214" s="63"/>
      <c r="AS214" s="63"/>
      <c r="AT214" s="65">
        <f t="shared" si="16"/>
        <v>5451.9359999999997</v>
      </c>
      <c r="AU214" s="65">
        <f t="shared" si="17"/>
        <v>381.94799999999998</v>
      </c>
      <c r="AV214" s="65">
        <f t="shared" si="18"/>
        <v>66.78</v>
      </c>
      <c r="AW214" s="65">
        <f t="shared" si="20"/>
        <v>4077.0239999999999</v>
      </c>
      <c r="AX214" s="65">
        <f t="shared" si="20"/>
        <v>4189.3739999999998</v>
      </c>
      <c r="AY214" s="65">
        <f t="shared" si="19"/>
        <v>66.78</v>
      </c>
      <c r="AZ214" s="19">
        <v>38763</v>
      </c>
      <c r="BA214" s="19">
        <v>42261</v>
      </c>
      <c r="BB214" s="19">
        <v>42686</v>
      </c>
      <c r="BC214" s="19">
        <v>2513</v>
      </c>
      <c r="BD214" s="19">
        <v>927</v>
      </c>
      <c r="BE214" s="62"/>
      <c r="BF214" s="62"/>
      <c r="BG214" s="62"/>
      <c r="BH214" s="62"/>
      <c r="BI214" s="62"/>
      <c r="BJ214" s="62"/>
      <c r="BK214" s="62"/>
      <c r="BL214" s="62"/>
      <c r="BM214" s="62"/>
      <c r="BN214" s="62"/>
      <c r="BO214" s="62"/>
      <c r="BP214" s="62"/>
      <c r="BQ214" s="62"/>
      <c r="BR214" s="62"/>
      <c r="BS214" s="62"/>
      <c r="BT214" s="62"/>
      <c r="BU214" s="62"/>
      <c r="BV214" s="62"/>
      <c r="BW214" s="62"/>
      <c r="BX214" s="62"/>
      <c r="BY214" s="62"/>
      <c r="BZ214" s="62"/>
      <c r="CA214" s="62"/>
      <c r="CB214" s="62"/>
      <c r="CC214" s="62"/>
      <c r="CD214" s="62"/>
      <c r="CE214" s="62"/>
      <c r="CF214" s="62"/>
      <c r="CG214" s="62"/>
      <c r="CH214" s="62"/>
      <c r="CI214" s="62"/>
      <c r="CJ214" s="62"/>
      <c r="CK214" s="62"/>
      <c r="CL214" s="62"/>
      <c r="CM214" s="62"/>
      <c r="CN214" s="62"/>
      <c r="CO214" s="62"/>
      <c r="CP214" s="62"/>
      <c r="CQ214" s="62"/>
      <c r="CR214" s="62"/>
      <c r="CS214" s="62"/>
      <c r="CT214" s="62"/>
      <c r="CU214" s="62"/>
      <c r="CV214" s="62"/>
      <c r="CW214" s="62"/>
      <c r="CX214" s="62"/>
      <c r="CY214" s="62"/>
      <c r="CZ214" s="62"/>
      <c r="DA214" s="62"/>
      <c r="DB214" s="62"/>
      <c r="DC214" s="62"/>
      <c r="DD214" s="62"/>
      <c r="DE214" s="62"/>
      <c r="DF214" s="62"/>
      <c r="DG214" s="62"/>
      <c r="DH214" s="62"/>
      <c r="DI214" s="62"/>
      <c r="DJ214" s="62"/>
      <c r="DK214" s="62"/>
      <c r="DL214" s="62"/>
    </row>
    <row r="215" spans="1:116" hidden="1" x14ac:dyDescent="0.2">
      <c r="A215" s="57">
        <v>33117</v>
      </c>
      <c r="B215" s="58"/>
      <c r="C215" s="66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6"/>
      <c r="P215" s="61"/>
      <c r="Q215" s="62"/>
      <c r="R215" s="62"/>
      <c r="S215" s="62"/>
      <c r="T215" s="62"/>
      <c r="U215" s="62"/>
      <c r="V215" s="62"/>
      <c r="W215" s="62"/>
      <c r="X215" s="62"/>
      <c r="Y215" s="61"/>
      <c r="Z215" s="63"/>
      <c r="AA215" s="64" t="e">
        <v>#N/A</v>
      </c>
      <c r="AB215" s="62" t="e">
        <v>#N/A</v>
      </c>
      <c r="AC215" s="62" t="e">
        <v>#N/A</v>
      </c>
      <c r="AD215" s="62" t="e">
        <v>#N/A</v>
      </c>
      <c r="AE215" s="62" t="e">
        <v>#N/A</v>
      </c>
      <c r="AF215" s="62" t="e">
        <v>#N/A</v>
      </c>
      <c r="AG215" s="62" t="e">
        <v>#N/A</v>
      </c>
      <c r="AH215" s="62" t="e">
        <v>#N/A</v>
      </c>
      <c r="AI215" s="62" t="e">
        <v>#N/A</v>
      </c>
      <c r="AJ215" s="62" t="e">
        <v>#N/A</v>
      </c>
      <c r="AK215" s="64" t="e">
        <v>#N/A</v>
      </c>
      <c r="AL215" s="19">
        <v>89027</v>
      </c>
      <c r="AM215" s="19">
        <v>85925</v>
      </c>
      <c r="AN215" s="23">
        <v>6793</v>
      </c>
      <c r="AO215" s="19">
        <v>136015</v>
      </c>
      <c r="AP215" s="19">
        <v>3688</v>
      </c>
      <c r="AQ215" s="62"/>
      <c r="AR215" s="63"/>
      <c r="AS215" s="63"/>
      <c r="AT215" s="65">
        <f t="shared" si="16"/>
        <v>5712.63</v>
      </c>
      <c r="AU215" s="65">
        <f t="shared" si="17"/>
        <v>285.30599999999998</v>
      </c>
      <c r="AV215" s="65">
        <f t="shared" si="18"/>
        <v>154.89599999999999</v>
      </c>
      <c r="AW215" s="65">
        <f t="shared" si="20"/>
        <v>3739.134</v>
      </c>
      <c r="AX215" s="65">
        <f t="shared" si="20"/>
        <v>3608.85</v>
      </c>
      <c r="AY215" s="65">
        <f t="shared" si="19"/>
        <v>154.89599999999999</v>
      </c>
      <c r="AZ215" s="19">
        <v>40155</v>
      </c>
      <c r="BA215" s="19">
        <v>39876</v>
      </c>
      <c r="BB215" s="19">
        <v>43761</v>
      </c>
      <c r="BC215" s="19">
        <v>2145</v>
      </c>
      <c r="BD215" s="19">
        <v>1349</v>
      </c>
      <c r="BE215" s="62"/>
      <c r="BF215" s="62"/>
      <c r="BG215" s="62"/>
      <c r="BH215" s="62"/>
      <c r="BI215" s="62"/>
      <c r="BJ215" s="62"/>
      <c r="BK215" s="62"/>
      <c r="BL215" s="62"/>
      <c r="BM215" s="62"/>
      <c r="BN215" s="62"/>
      <c r="BO215" s="62"/>
      <c r="BP215" s="62"/>
      <c r="BQ215" s="62"/>
      <c r="BR215" s="62"/>
      <c r="BS215" s="62"/>
      <c r="BT215" s="62"/>
      <c r="BU215" s="62"/>
      <c r="BV215" s="62"/>
      <c r="BW215" s="62"/>
      <c r="BX215" s="62"/>
      <c r="BY215" s="62"/>
      <c r="BZ215" s="62"/>
      <c r="CA215" s="62"/>
      <c r="CB215" s="62"/>
      <c r="CC215" s="62"/>
      <c r="CD215" s="62"/>
      <c r="CE215" s="62"/>
      <c r="CF215" s="62"/>
      <c r="CG215" s="62"/>
      <c r="CH215" s="62"/>
      <c r="CI215" s="62"/>
      <c r="CJ215" s="62"/>
      <c r="CK215" s="62"/>
      <c r="CL215" s="62"/>
      <c r="CM215" s="62"/>
      <c r="CN215" s="62"/>
      <c r="CO215" s="62"/>
      <c r="CP215" s="62"/>
      <c r="CQ215" s="62"/>
      <c r="CR215" s="62"/>
      <c r="CS215" s="62"/>
      <c r="CT215" s="62"/>
      <c r="CU215" s="62"/>
      <c r="CV215" s="62"/>
      <c r="CW215" s="62"/>
      <c r="CX215" s="62"/>
      <c r="CY215" s="62"/>
      <c r="CZ215" s="62"/>
      <c r="DA215" s="62"/>
      <c r="DB215" s="62"/>
      <c r="DC215" s="62"/>
      <c r="DD215" s="62"/>
      <c r="DE215" s="62"/>
      <c r="DF215" s="62"/>
      <c r="DG215" s="62"/>
      <c r="DH215" s="62"/>
      <c r="DI215" s="62"/>
      <c r="DJ215" s="62"/>
      <c r="DK215" s="62"/>
      <c r="DL215" s="62"/>
    </row>
    <row r="216" spans="1:116" hidden="1" x14ac:dyDescent="0.2">
      <c r="A216" s="57">
        <v>33147</v>
      </c>
      <c r="B216" s="58"/>
      <c r="C216" s="66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6"/>
      <c r="P216" s="61"/>
      <c r="Q216" s="62"/>
      <c r="R216" s="62"/>
      <c r="S216" s="62"/>
      <c r="T216" s="62"/>
      <c r="U216" s="62"/>
      <c r="V216" s="62"/>
      <c r="W216" s="62"/>
      <c r="X216" s="62"/>
      <c r="Y216" s="61"/>
      <c r="Z216" s="63"/>
      <c r="AA216" s="64" t="e">
        <v>#N/A</v>
      </c>
      <c r="AB216" s="62" t="e">
        <v>#N/A</v>
      </c>
      <c r="AC216" s="62" t="e">
        <v>#N/A</v>
      </c>
      <c r="AD216" s="62" t="e">
        <v>#N/A</v>
      </c>
      <c r="AE216" s="62" t="e">
        <v>#N/A</v>
      </c>
      <c r="AF216" s="62" t="e">
        <v>#N/A</v>
      </c>
      <c r="AG216" s="62" t="e">
        <v>#N/A</v>
      </c>
      <c r="AH216" s="62" t="e">
        <v>#N/A</v>
      </c>
      <c r="AI216" s="62" t="e">
        <v>#N/A</v>
      </c>
      <c r="AJ216" s="62" t="e">
        <v>#N/A</v>
      </c>
      <c r="AK216" s="64" t="e">
        <v>#N/A</v>
      </c>
      <c r="AL216" s="19">
        <v>90768</v>
      </c>
      <c r="AM216" s="19">
        <v>91754</v>
      </c>
      <c r="AN216" s="23">
        <v>5887</v>
      </c>
      <c r="AO216" s="19">
        <v>136270</v>
      </c>
      <c r="AP216" s="19">
        <v>4646</v>
      </c>
      <c r="AQ216" s="62"/>
      <c r="AR216" s="63"/>
      <c r="AS216" s="63"/>
      <c r="AT216" s="65">
        <f t="shared" si="16"/>
        <v>5723.34</v>
      </c>
      <c r="AU216" s="65">
        <f t="shared" si="17"/>
        <v>247.25399999999999</v>
      </c>
      <c r="AV216" s="65">
        <f t="shared" si="18"/>
        <v>195.13200000000001</v>
      </c>
      <c r="AW216" s="65">
        <f t="shared" si="20"/>
        <v>3812.2559999999999</v>
      </c>
      <c r="AX216" s="65">
        <f t="shared" si="20"/>
        <v>3853.6680000000001</v>
      </c>
      <c r="AY216" s="65">
        <f t="shared" si="19"/>
        <v>195.13200000000001</v>
      </c>
      <c r="AZ216" s="19">
        <v>45349</v>
      </c>
      <c r="BA216" s="19">
        <v>43573</v>
      </c>
      <c r="BB216" s="19">
        <v>44888</v>
      </c>
      <c r="BC216" s="19">
        <v>1597</v>
      </c>
      <c r="BD216" s="19">
        <v>2246</v>
      </c>
      <c r="BE216" s="62"/>
      <c r="BF216" s="62"/>
      <c r="BG216" s="62"/>
      <c r="BH216" s="62"/>
      <c r="BI216" s="62"/>
      <c r="BJ216" s="62"/>
      <c r="BK216" s="62"/>
      <c r="BL216" s="62"/>
      <c r="BM216" s="62"/>
      <c r="BN216" s="62"/>
      <c r="BO216" s="62"/>
      <c r="BP216" s="62"/>
      <c r="BQ216" s="62"/>
      <c r="BR216" s="62"/>
      <c r="BS216" s="62"/>
      <c r="BT216" s="62"/>
      <c r="BU216" s="62"/>
      <c r="BV216" s="62"/>
      <c r="BW216" s="62"/>
      <c r="BX216" s="62"/>
      <c r="BY216" s="62"/>
      <c r="BZ216" s="62"/>
      <c r="CA216" s="62"/>
      <c r="CB216" s="62"/>
      <c r="CC216" s="62"/>
      <c r="CD216" s="62"/>
      <c r="CE216" s="62"/>
      <c r="CF216" s="62"/>
      <c r="CG216" s="62"/>
      <c r="CH216" s="62"/>
      <c r="CI216" s="62"/>
      <c r="CJ216" s="62"/>
      <c r="CK216" s="62"/>
      <c r="CL216" s="62"/>
      <c r="CM216" s="62"/>
      <c r="CN216" s="62"/>
      <c r="CO216" s="62"/>
      <c r="CP216" s="62"/>
      <c r="CQ216" s="62"/>
      <c r="CR216" s="62"/>
      <c r="CS216" s="62"/>
      <c r="CT216" s="62"/>
      <c r="CU216" s="62"/>
      <c r="CV216" s="62"/>
      <c r="CW216" s="62"/>
      <c r="CX216" s="62"/>
      <c r="CY216" s="62"/>
      <c r="CZ216" s="62"/>
      <c r="DA216" s="62"/>
      <c r="DB216" s="62"/>
      <c r="DC216" s="62"/>
      <c r="DD216" s="62"/>
      <c r="DE216" s="62"/>
      <c r="DF216" s="62"/>
      <c r="DG216" s="62"/>
      <c r="DH216" s="62"/>
      <c r="DI216" s="62"/>
      <c r="DJ216" s="62"/>
      <c r="DK216" s="62"/>
      <c r="DL216" s="62"/>
    </row>
    <row r="217" spans="1:116" hidden="1" x14ac:dyDescent="0.2">
      <c r="A217" s="57">
        <v>33178</v>
      </c>
      <c r="B217" s="58"/>
      <c r="C217" s="66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6"/>
      <c r="P217" s="61"/>
      <c r="Q217" s="62"/>
      <c r="R217" s="62"/>
      <c r="S217" s="62"/>
      <c r="T217" s="62"/>
      <c r="U217" s="62"/>
      <c r="V217" s="62"/>
      <c r="W217" s="62"/>
      <c r="X217" s="62"/>
      <c r="Y217" s="61"/>
      <c r="Z217" s="63"/>
      <c r="AA217" s="64" t="e">
        <v>#N/A</v>
      </c>
      <c r="AB217" s="62" t="e">
        <v>#N/A</v>
      </c>
      <c r="AC217" s="62" t="e">
        <v>#N/A</v>
      </c>
      <c r="AD217" s="62" t="e">
        <v>#N/A</v>
      </c>
      <c r="AE217" s="62" t="e">
        <v>#N/A</v>
      </c>
      <c r="AF217" s="62" t="e">
        <v>#N/A</v>
      </c>
      <c r="AG217" s="62" t="e">
        <v>#N/A</v>
      </c>
      <c r="AH217" s="62" t="e">
        <v>#N/A</v>
      </c>
      <c r="AI217" s="62" t="e">
        <v>#N/A</v>
      </c>
      <c r="AJ217" s="62" t="e">
        <v>#N/A</v>
      </c>
      <c r="AK217" s="64" t="e">
        <v>#N/A</v>
      </c>
      <c r="AL217" s="19">
        <v>87448</v>
      </c>
      <c r="AM217" s="19">
        <v>92806</v>
      </c>
      <c r="AN217" s="23">
        <v>7141</v>
      </c>
      <c r="AO217" s="19">
        <v>132407</v>
      </c>
      <c r="AP217" s="19">
        <v>5646</v>
      </c>
      <c r="AQ217" s="62"/>
      <c r="AR217" s="63"/>
      <c r="AS217" s="63"/>
      <c r="AT217" s="65">
        <f t="shared" si="16"/>
        <v>5561.0940000000001</v>
      </c>
      <c r="AU217" s="65">
        <f t="shared" si="17"/>
        <v>299.92200000000003</v>
      </c>
      <c r="AV217" s="65">
        <f t="shared" si="18"/>
        <v>237.13200000000001</v>
      </c>
      <c r="AW217" s="65">
        <f t="shared" si="20"/>
        <v>3672.8159999999998</v>
      </c>
      <c r="AX217" s="65">
        <f t="shared" si="20"/>
        <v>3897.8519999999999</v>
      </c>
      <c r="AY217" s="65">
        <f t="shared" si="19"/>
        <v>237.13200000000001</v>
      </c>
      <c r="AZ217" s="19">
        <v>43344</v>
      </c>
      <c r="BA217" s="19">
        <v>41083</v>
      </c>
      <c r="BB217" s="19">
        <v>44705</v>
      </c>
      <c r="BC217" s="19">
        <v>1774</v>
      </c>
      <c r="BD217" s="19">
        <v>4218</v>
      </c>
      <c r="BE217" s="62"/>
      <c r="BF217" s="62"/>
      <c r="BG217" s="62"/>
      <c r="BH217" s="62"/>
      <c r="BI217" s="62"/>
      <c r="BJ217" s="62"/>
      <c r="BK217" s="62"/>
      <c r="BL217" s="62"/>
      <c r="BM217" s="62"/>
      <c r="BN217" s="62"/>
      <c r="BO217" s="62"/>
      <c r="BP217" s="62"/>
      <c r="BQ217" s="62"/>
      <c r="BR217" s="62"/>
      <c r="BS217" s="62"/>
      <c r="BT217" s="62"/>
      <c r="BU217" s="62"/>
      <c r="BV217" s="62"/>
      <c r="BW217" s="62"/>
      <c r="BX217" s="62"/>
      <c r="BY217" s="62"/>
      <c r="BZ217" s="62"/>
      <c r="CA217" s="62"/>
      <c r="CB217" s="62"/>
      <c r="CC217" s="62"/>
      <c r="CD217" s="62"/>
      <c r="CE217" s="62"/>
      <c r="CF217" s="62"/>
      <c r="CG217" s="62"/>
      <c r="CH217" s="62"/>
      <c r="CI217" s="62"/>
      <c r="CJ217" s="62"/>
      <c r="CK217" s="62"/>
      <c r="CL217" s="62"/>
      <c r="CM217" s="62"/>
      <c r="CN217" s="62"/>
      <c r="CO217" s="62"/>
      <c r="CP217" s="62"/>
      <c r="CQ217" s="62"/>
      <c r="CR217" s="62"/>
      <c r="CS217" s="62"/>
      <c r="CT217" s="62"/>
      <c r="CU217" s="62"/>
      <c r="CV217" s="62"/>
      <c r="CW217" s="62"/>
      <c r="CX217" s="62"/>
      <c r="CY217" s="62"/>
      <c r="CZ217" s="62"/>
      <c r="DA217" s="62"/>
      <c r="DB217" s="62"/>
      <c r="DC217" s="62"/>
      <c r="DD217" s="62"/>
      <c r="DE217" s="62"/>
      <c r="DF217" s="62"/>
      <c r="DG217" s="62"/>
      <c r="DH217" s="62"/>
      <c r="DI217" s="62"/>
      <c r="DJ217" s="62"/>
      <c r="DK217" s="62"/>
      <c r="DL217" s="62"/>
    </row>
    <row r="218" spans="1:116" hidden="1" x14ac:dyDescent="0.2">
      <c r="A218" s="57">
        <v>33208</v>
      </c>
      <c r="B218" s="58"/>
      <c r="C218" s="66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6"/>
      <c r="P218" s="61"/>
      <c r="Q218" s="62"/>
      <c r="R218" s="62"/>
      <c r="S218" s="62"/>
      <c r="T218" s="62"/>
      <c r="U218" s="62"/>
      <c r="V218" s="62"/>
      <c r="W218" s="62"/>
      <c r="X218" s="62"/>
      <c r="Y218" s="61"/>
      <c r="Z218" s="63"/>
      <c r="AA218" s="64" t="e">
        <v>#N/A</v>
      </c>
      <c r="AB218" s="62" t="e">
        <v>#N/A</v>
      </c>
      <c r="AC218" s="62" t="e">
        <v>#N/A</v>
      </c>
      <c r="AD218" s="62" t="e">
        <v>#N/A</v>
      </c>
      <c r="AE218" s="62" t="e">
        <v>#N/A</v>
      </c>
      <c r="AF218" s="62" t="e">
        <v>#N/A</v>
      </c>
      <c r="AG218" s="62" t="e">
        <v>#N/A</v>
      </c>
      <c r="AH218" s="62" t="e">
        <v>#N/A</v>
      </c>
      <c r="AI218" s="62" t="e">
        <v>#N/A</v>
      </c>
      <c r="AJ218" s="62" t="e">
        <v>#N/A</v>
      </c>
      <c r="AK218" s="64" t="e">
        <v>#N/A</v>
      </c>
      <c r="AL218" s="19">
        <v>90435</v>
      </c>
      <c r="AM218" s="19">
        <v>87295</v>
      </c>
      <c r="AN218" s="23">
        <v>7413</v>
      </c>
      <c r="AO218" s="19">
        <v>132204</v>
      </c>
      <c r="AP218" s="19">
        <v>10756</v>
      </c>
      <c r="AQ218" s="62"/>
      <c r="AR218" s="63"/>
      <c r="AS218" s="63"/>
      <c r="AT218" s="65">
        <f t="shared" si="16"/>
        <v>5552.5680000000002</v>
      </c>
      <c r="AU218" s="65">
        <f t="shared" si="17"/>
        <v>311.346</v>
      </c>
      <c r="AV218" s="65">
        <f t="shared" si="18"/>
        <v>451.75200000000001</v>
      </c>
      <c r="AW218" s="65">
        <f t="shared" si="20"/>
        <v>3798.27</v>
      </c>
      <c r="AX218" s="65">
        <f t="shared" si="20"/>
        <v>3666.39</v>
      </c>
      <c r="AY218" s="65">
        <f t="shared" si="19"/>
        <v>451.75200000000001</v>
      </c>
      <c r="AZ218" s="19">
        <v>43727</v>
      </c>
      <c r="BA218" s="19">
        <v>42705</v>
      </c>
      <c r="BB218" s="19">
        <v>45925</v>
      </c>
      <c r="BC218" s="19">
        <v>2052</v>
      </c>
      <c r="BD218" s="19">
        <v>1854</v>
      </c>
      <c r="BE218" s="62"/>
      <c r="BF218" s="62"/>
      <c r="BG218" s="62"/>
      <c r="BH218" s="62"/>
      <c r="BI218" s="62"/>
      <c r="BJ218" s="62"/>
      <c r="BK218" s="62"/>
      <c r="BL218" s="62"/>
      <c r="BM218" s="62"/>
      <c r="BN218" s="62"/>
      <c r="BO218" s="62"/>
      <c r="BP218" s="62"/>
      <c r="BQ218" s="62"/>
      <c r="BR218" s="62"/>
      <c r="BS218" s="62"/>
      <c r="BT218" s="62"/>
      <c r="BU218" s="62"/>
      <c r="BV218" s="62"/>
      <c r="BW218" s="62"/>
      <c r="BX218" s="62"/>
      <c r="BY218" s="62"/>
      <c r="BZ218" s="62"/>
      <c r="CA218" s="62"/>
      <c r="CB218" s="62"/>
      <c r="CC218" s="62"/>
      <c r="CD218" s="62"/>
      <c r="CE218" s="62"/>
      <c r="CF218" s="62"/>
      <c r="CG218" s="62"/>
      <c r="CH218" s="62"/>
      <c r="CI218" s="62"/>
      <c r="CJ218" s="62"/>
      <c r="CK218" s="62"/>
      <c r="CL218" s="62"/>
      <c r="CM218" s="62"/>
      <c r="CN218" s="62"/>
      <c r="CO218" s="62"/>
      <c r="CP218" s="62"/>
      <c r="CQ218" s="62"/>
      <c r="CR218" s="62"/>
      <c r="CS218" s="62"/>
      <c r="CT218" s="62"/>
      <c r="CU218" s="62"/>
      <c r="CV218" s="62"/>
      <c r="CW218" s="62"/>
      <c r="CX218" s="62"/>
      <c r="CY218" s="62"/>
      <c r="CZ218" s="62"/>
      <c r="DA218" s="62"/>
      <c r="DB218" s="62"/>
      <c r="DC218" s="62"/>
      <c r="DD218" s="62"/>
      <c r="DE218" s="62"/>
      <c r="DF218" s="62"/>
      <c r="DG218" s="62"/>
      <c r="DH218" s="62"/>
      <c r="DI218" s="62"/>
      <c r="DJ218" s="62"/>
      <c r="DK218" s="62"/>
      <c r="DL218" s="62"/>
    </row>
    <row r="219" spans="1:116" hidden="1" x14ac:dyDescent="0.2">
      <c r="A219" s="57">
        <v>33239</v>
      </c>
      <c r="B219" s="58"/>
      <c r="C219" s="66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6"/>
      <c r="P219" s="61"/>
      <c r="Q219" s="62"/>
      <c r="R219" s="62"/>
      <c r="S219" s="62"/>
      <c r="T219" s="62"/>
      <c r="U219" s="62"/>
      <c r="V219" s="62"/>
      <c r="W219" s="62"/>
      <c r="X219" s="62"/>
      <c r="Y219" s="61"/>
      <c r="Z219" s="63"/>
      <c r="AA219" s="64" t="e">
        <v>#N/A</v>
      </c>
      <c r="AB219" s="62" t="e">
        <v>#N/A</v>
      </c>
      <c r="AC219" s="62" t="e">
        <v>#N/A</v>
      </c>
      <c r="AD219" s="62" t="e">
        <v>#N/A</v>
      </c>
      <c r="AE219" s="62" t="e">
        <v>#N/A</v>
      </c>
      <c r="AF219" s="62" t="e">
        <v>#N/A</v>
      </c>
      <c r="AG219" s="62" t="e">
        <v>#N/A</v>
      </c>
      <c r="AH219" s="62" t="e">
        <v>#N/A</v>
      </c>
      <c r="AI219" s="62" t="e">
        <v>#N/A</v>
      </c>
      <c r="AJ219" s="62" t="e">
        <v>#N/A</v>
      </c>
      <c r="AK219" s="64" t="e">
        <v>#N/A</v>
      </c>
      <c r="AL219" s="19">
        <v>88210</v>
      </c>
      <c r="AM219" s="19">
        <v>104371</v>
      </c>
      <c r="AN219" s="23">
        <v>5953</v>
      </c>
      <c r="AO219" s="19">
        <v>111697</v>
      </c>
      <c r="AP219" s="19">
        <v>10299</v>
      </c>
      <c r="AQ219" s="62"/>
      <c r="AR219" s="63"/>
      <c r="AS219" s="63"/>
      <c r="AT219" s="65">
        <f t="shared" si="16"/>
        <v>4691.2740000000003</v>
      </c>
      <c r="AU219" s="65">
        <f t="shared" si="17"/>
        <v>250.02600000000001</v>
      </c>
      <c r="AV219" s="65">
        <f t="shared" si="18"/>
        <v>432.55799999999999</v>
      </c>
      <c r="AW219" s="65">
        <f t="shared" si="20"/>
        <v>3704.82</v>
      </c>
      <c r="AX219" s="65">
        <f t="shared" si="20"/>
        <v>4383.5820000000003</v>
      </c>
      <c r="AY219" s="65">
        <f t="shared" si="19"/>
        <v>432.55799999999999</v>
      </c>
      <c r="AZ219" s="19">
        <v>41975</v>
      </c>
      <c r="BA219" s="19">
        <v>42714</v>
      </c>
      <c r="BB219" s="19">
        <v>44385</v>
      </c>
      <c r="BC219" s="19">
        <v>1464</v>
      </c>
      <c r="BD219" s="19">
        <v>2265</v>
      </c>
      <c r="BE219" s="62"/>
      <c r="BF219" s="62"/>
      <c r="BG219" s="62"/>
      <c r="BH219" s="62"/>
      <c r="BI219" s="62"/>
      <c r="BJ219" s="62"/>
      <c r="BK219" s="62"/>
      <c r="BL219" s="62"/>
      <c r="BM219" s="62"/>
      <c r="BN219" s="62"/>
      <c r="BO219" s="62"/>
      <c r="BP219" s="62"/>
      <c r="BQ219" s="62"/>
      <c r="BR219" s="62"/>
      <c r="BS219" s="62"/>
      <c r="BT219" s="62"/>
      <c r="BU219" s="62"/>
      <c r="BV219" s="62"/>
      <c r="BW219" s="62"/>
      <c r="BX219" s="62"/>
      <c r="BY219" s="62"/>
      <c r="BZ219" s="62"/>
      <c r="CA219" s="62"/>
      <c r="CB219" s="62"/>
      <c r="CC219" s="62"/>
      <c r="CD219" s="62"/>
      <c r="CE219" s="62"/>
      <c r="CF219" s="62"/>
      <c r="CG219" s="62"/>
      <c r="CH219" s="62"/>
      <c r="CI219" s="62"/>
      <c r="CJ219" s="62"/>
      <c r="CK219" s="62"/>
      <c r="CL219" s="62"/>
      <c r="CM219" s="62"/>
      <c r="CN219" s="62"/>
      <c r="CO219" s="62"/>
      <c r="CP219" s="62"/>
      <c r="CQ219" s="62"/>
      <c r="CR219" s="62"/>
      <c r="CS219" s="62"/>
      <c r="CT219" s="62"/>
      <c r="CU219" s="62"/>
      <c r="CV219" s="62"/>
      <c r="CW219" s="62"/>
      <c r="CX219" s="62"/>
      <c r="CY219" s="62"/>
      <c r="CZ219" s="62"/>
      <c r="DA219" s="62"/>
      <c r="DB219" s="62"/>
      <c r="DC219" s="62"/>
      <c r="DD219" s="62"/>
      <c r="DE219" s="62"/>
      <c r="DF219" s="62"/>
      <c r="DG219" s="62"/>
      <c r="DH219" s="62"/>
      <c r="DI219" s="62"/>
      <c r="DJ219" s="62"/>
      <c r="DK219" s="62"/>
      <c r="DL219" s="62"/>
    </row>
    <row r="220" spans="1:116" hidden="1" x14ac:dyDescent="0.2">
      <c r="A220" s="57">
        <v>33270</v>
      </c>
      <c r="B220" s="58"/>
      <c r="C220" s="66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6"/>
      <c r="P220" s="61"/>
      <c r="Q220" s="62"/>
      <c r="R220" s="62"/>
      <c r="S220" s="62"/>
      <c r="T220" s="62"/>
      <c r="U220" s="62"/>
      <c r="V220" s="62"/>
      <c r="W220" s="62"/>
      <c r="X220" s="62"/>
      <c r="Y220" s="61"/>
      <c r="Z220" s="63"/>
      <c r="AA220" s="64" t="e">
        <v>#N/A</v>
      </c>
      <c r="AB220" s="62" t="e">
        <v>#N/A</v>
      </c>
      <c r="AC220" s="62" t="e">
        <v>#N/A</v>
      </c>
      <c r="AD220" s="62" t="e">
        <v>#N/A</v>
      </c>
      <c r="AE220" s="62" t="e">
        <v>#N/A</v>
      </c>
      <c r="AF220" s="62" t="e">
        <v>#N/A</v>
      </c>
      <c r="AG220" s="62" t="e">
        <v>#N/A</v>
      </c>
      <c r="AH220" s="62" t="e">
        <v>#N/A</v>
      </c>
      <c r="AI220" s="62" t="e">
        <v>#N/A</v>
      </c>
      <c r="AJ220" s="62" t="e">
        <v>#N/A</v>
      </c>
      <c r="AK220" s="64" t="e">
        <v>#N/A</v>
      </c>
      <c r="AL220" s="19">
        <v>80354</v>
      </c>
      <c r="AM220" s="19">
        <v>83323</v>
      </c>
      <c r="AN220" s="23">
        <v>3902</v>
      </c>
      <c r="AO220" s="19">
        <v>101639</v>
      </c>
      <c r="AP220" s="19">
        <v>10991</v>
      </c>
      <c r="AQ220" s="62"/>
      <c r="AR220" s="63"/>
      <c r="AS220" s="63"/>
      <c r="AT220" s="65">
        <f t="shared" si="16"/>
        <v>4268.8379999999997</v>
      </c>
      <c r="AU220" s="65">
        <f t="shared" si="17"/>
        <v>163.88399999999999</v>
      </c>
      <c r="AV220" s="65">
        <f t="shared" si="18"/>
        <v>461.62200000000001</v>
      </c>
      <c r="AW220" s="65">
        <f t="shared" si="20"/>
        <v>3374.8679999999999</v>
      </c>
      <c r="AX220" s="65">
        <f t="shared" si="20"/>
        <v>3499.5659999999998</v>
      </c>
      <c r="AY220" s="65">
        <f t="shared" si="19"/>
        <v>461.62200000000001</v>
      </c>
      <c r="AZ220" s="19">
        <v>38765</v>
      </c>
      <c r="BA220" s="19">
        <v>38086</v>
      </c>
      <c r="BB220" s="19">
        <v>41484</v>
      </c>
      <c r="BC220" s="19">
        <v>813</v>
      </c>
      <c r="BD220" s="19">
        <v>4393</v>
      </c>
      <c r="BE220" s="62"/>
      <c r="BF220" s="62"/>
      <c r="BG220" s="62"/>
      <c r="BH220" s="62"/>
      <c r="BI220" s="62"/>
      <c r="BJ220" s="62"/>
      <c r="BK220" s="62"/>
      <c r="BL220" s="62"/>
      <c r="BM220" s="62"/>
      <c r="BN220" s="62"/>
      <c r="BO220" s="62"/>
      <c r="BP220" s="62"/>
      <c r="BQ220" s="62"/>
      <c r="BR220" s="62"/>
      <c r="BS220" s="62"/>
      <c r="BT220" s="62"/>
      <c r="BU220" s="62"/>
      <c r="BV220" s="62"/>
      <c r="BW220" s="62"/>
      <c r="BX220" s="62"/>
      <c r="BY220" s="62"/>
      <c r="BZ220" s="62"/>
      <c r="CA220" s="62"/>
      <c r="CB220" s="62"/>
      <c r="CC220" s="62"/>
      <c r="CD220" s="62"/>
      <c r="CE220" s="62"/>
      <c r="CF220" s="62"/>
      <c r="CG220" s="62"/>
      <c r="CH220" s="62"/>
      <c r="CI220" s="62"/>
      <c r="CJ220" s="62"/>
      <c r="CK220" s="62"/>
      <c r="CL220" s="62"/>
      <c r="CM220" s="62"/>
      <c r="CN220" s="62"/>
      <c r="CO220" s="62"/>
      <c r="CP220" s="62"/>
      <c r="CQ220" s="62"/>
      <c r="CR220" s="62"/>
      <c r="CS220" s="62"/>
      <c r="CT220" s="62"/>
      <c r="CU220" s="62"/>
      <c r="CV220" s="62"/>
      <c r="CW220" s="62"/>
      <c r="CX220" s="62"/>
      <c r="CY220" s="62"/>
      <c r="CZ220" s="62"/>
      <c r="DA220" s="62"/>
      <c r="DB220" s="62"/>
      <c r="DC220" s="62"/>
      <c r="DD220" s="62"/>
      <c r="DE220" s="62"/>
      <c r="DF220" s="62"/>
      <c r="DG220" s="62"/>
      <c r="DH220" s="62"/>
      <c r="DI220" s="62"/>
      <c r="DJ220" s="62"/>
      <c r="DK220" s="62"/>
      <c r="DL220" s="62"/>
    </row>
    <row r="221" spans="1:116" hidden="1" x14ac:dyDescent="0.2">
      <c r="A221" s="57">
        <v>33298</v>
      </c>
      <c r="B221" s="58"/>
      <c r="C221" s="66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6"/>
      <c r="P221" s="61"/>
      <c r="Q221" s="62"/>
      <c r="R221" s="62"/>
      <c r="S221" s="62"/>
      <c r="T221" s="62"/>
      <c r="U221" s="62"/>
      <c r="V221" s="62"/>
      <c r="W221" s="62"/>
      <c r="X221" s="62"/>
      <c r="Y221" s="61"/>
      <c r="Z221" s="63"/>
      <c r="AA221" s="64" t="e">
        <v>#N/A</v>
      </c>
      <c r="AB221" s="62" t="e">
        <v>#N/A</v>
      </c>
      <c r="AC221" s="62" t="e">
        <v>#N/A</v>
      </c>
      <c r="AD221" s="62" t="e">
        <v>#N/A</v>
      </c>
      <c r="AE221" s="62" t="e">
        <v>#N/A</v>
      </c>
      <c r="AF221" s="62" t="e">
        <v>#N/A</v>
      </c>
      <c r="AG221" s="62" t="e">
        <v>#N/A</v>
      </c>
      <c r="AH221" s="62" t="e">
        <v>#N/A</v>
      </c>
      <c r="AI221" s="62" t="e">
        <v>#N/A</v>
      </c>
      <c r="AJ221" s="62" t="e">
        <v>#N/A</v>
      </c>
      <c r="AK221" s="64" t="e">
        <v>#N/A</v>
      </c>
      <c r="AL221" s="19">
        <v>88821</v>
      </c>
      <c r="AM221" s="19">
        <v>92517</v>
      </c>
      <c r="AN221" s="23">
        <v>6373</v>
      </c>
      <c r="AO221" s="19">
        <v>98179</v>
      </c>
      <c r="AP221" s="19">
        <v>6137</v>
      </c>
      <c r="AQ221" s="62"/>
      <c r="AR221" s="63"/>
      <c r="AS221" s="63"/>
      <c r="AT221" s="65">
        <f t="shared" si="16"/>
        <v>4123.518</v>
      </c>
      <c r="AU221" s="65">
        <f t="shared" si="17"/>
        <v>267.666</v>
      </c>
      <c r="AV221" s="65">
        <f t="shared" si="18"/>
        <v>257.75400000000002</v>
      </c>
      <c r="AW221" s="65">
        <f t="shared" si="20"/>
        <v>3730.482</v>
      </c>
      <c r="AX221" s="65">
        <f t="shared" si="20"/>
        <v>3885.7139999999999</v>
      </c>
      <c r="AY221" s="65">
        <f t="shared" si="19"/>
        <v>257.75400000000002</v>
      </c>
      <c r="AZ221" s="19">
        <v>35867</v>
      </c>
      <c r="BA221" s="19">
        <v>39367</v>
      </c>
      <c r="BB221" s="19">
        <v>38411</v>
      </c>
      <c r="BC221" s="19">
        <v>1624</v>
      </c>
      <c r="BD221" s="19">
        <v>1197</v>
      </c>
      <c r="BE221" s="62"/>
      <c r="BF221" s="62"/>
      <c r="BG221" s="62"/>
      <c r="BH221" s="62"/>
      <c r="BI221" s="62"/>
      <c r="BJ221" s="62"/>
      <c r="BK221" s="62"/>
      <c r="BL221" s="62"/>
      <c r="BM221" s="62"/>
      <c r="BN221" s="62"/>
      <c r="BO221" s="62"/>
      <c r="BP221" s="62"/>
      <c r="BQ221" s="62"/>
      <c r="BR221" s="62"/>
      <c r="BS221" s="62"/>
      <c r="BT221" s="62"/>
      <c r="BU221" s="62"/>
      <c r="BV221" s="62"/>
      <c r="BW221" s="62"/>
      <c r="BX221" s="62"/>
      <c r="BY221" s="62"/>
      <c r="BZ221" s="62"/>
      <c r="CA221" s="62"/>
      <c r="CB221" s="62"/>
      <c r="CC221" s="62"/>
      <c r="CD221" s="62"/>
      <c r="CE221" s="62"/>
      <c r="CF221" s="62"/>
      <c r="CG221" s="62"/>
      <c r="CH221" s="62"/>
      <c r="CI221" s="62"/>
      <c r="CJ221" s="62"/>
      <c r="CK221" s="62"/>
      <c r="CL221" s="62"/>
      <c r="CM221" s="62"/>
      <c r="CN221" s="62"/>
      <c r="CO221" s="62"/>
      <c r="CP221" s="62"/>
      <c r="CQ221" s="62"/>
      <c r="CR221" s="62"/>
      <c r="CS221" s="62"/>
      <c r="CT221" s="62"/>
      <c r="CU221" s="62"/>
      <c r="CV221" s="62"/>
      <c r="CW221" s="62"/>
      <c r="CX221" s="62"/>
      <c r="CY221" s="62"/>
      <c r="CZ221" s="62"/>
      <c r="DA221" s="62"/>
      <c r="DB221" s="62"/>
      <c r="DC221" s="62"/>
      <c r="DD221" s="62"/>
      <c r="DE221" s="62"/>
      <c r="DF221" s="62"/>
      <c r="DG221" s="62"/>
      <c r="DH221" s="62"/>
      <c r="DI221" s="62"/>
      <c r="DJ221" s="62"/>
      <c r="DK221" s="62"/>
      <c r="DL221" s="62"/>
    </row>
    <row r="222" spans="1:116" hidden="1" x14ac:dyDescent="0.2">
      <c r="A222" s="57">
        <v>33329</v>
      </c>
      <c r="B222" s="58"/>
      <c r="C222" s="66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6"/>
      <c r="P222" s="61"/>
      <c r="Q222" s="62"/>
      <c r="R222" s="62"/>
      <c r="S222" s="62"/>
      <c r="T222" s="62"/>
      <c r="U222" s="62"/>
      <c r="V222" s="62"/>
      <c r="W222" s="62"/>
      <c r="X222" s="62"/>
      <c r="Y222" s="61"/>
      <c r="Z222" s="63"/>
      <c r="AA222" s="64" t="e">
        <v>#N/A</v>
      </c>
      <c r="AB222" s="62" t="e">
        <v>#N/A</v>
      </c>
      <c r="AC222" s="62" t="e">
        <v>#N/A</v>
      </c>
      <c r="AD222" s="62" t="e">
        <v>#N/A</v>
      </c>
      <c r="AE222" s="62" t="e">
        <v>#N/A</v>
      </c>
      <c r="AF222" s="62" t="e">
        <v>#N/A</v>
      </c>
      <c r="AG222" s="62" t="e">
        <v>#N/A</v>
      </c>
      <c r="AH222" s="62" t="e">
        <v>#N/A</v>
      </c>
      <c r="AI222" s="62" t="e">
        <v>#N/A</v>
      </c>
      <c r="AJ222" s="62" t="e">
        <v>#N/A</v>
      </c>
      <c r="AK222" s="64" t="e">
        <v>#N/A</v>
      </c>
      <c r="AL222" s="19">
        <v>84559</v>
      </c>
      <c r="AM222" s="19">
        <v>85177</v>
      </c>
      <c r="AN222" s="23">
        <v>7732</v>
      </c>
      <c r="AO222" s="19">
        <v>102865</v>
      </c>
      <c r="AP222" s="19">
        <v>2428</v>
      </c>
      <c r="AQ222" s="62"/>
      <c r="AR222" s="63"/>
      <c r="AS222" s="63"/>
      <c r="AT222" s="65">
        <f t="shared" si="16"/>
        <v>4320.33</v>
      </c>
      <c r="AU222" s="65">
        <f t="shared" si="17"/>
        <v>324.74400000000003</v>
      </c>
      <c r="AV222" s="65">
        <f t="shared" si="18"/>
        <v>101.976</v>
      </c>
      <c r="AW222" s="65">
        <f t="shared" si="20"/>
        <v>3551.4780000000001</v>
      </c>
      <c r="AX222" s="65">
        <f t="shared" si="20"/>
        <v>3577.4340000000002</v>
      </c>
      <c r="AY222" s="65">
        <f t="shared" si="19"/>
        <v>101.976</v>
      </c>
      <c r="AZ222" s="19">
        <v>34048</v>
      </c>
      <c r="BA222" s="19">
        <v>35205</v>
      </c>
      <c r="BB222" s="19">
        <v>38314</v>
      </c>
      <c r="BC222" s="19">
        <v>1818</v>
      </c>
      <c r="BD222" s="19">
        <v>758</v>
      </c>
      <c r="BE222" s="62"/>
      <c r="BF222" s="62"/>
      <c r="BG222" s="62"/>
      <c r="BH222" s="62"/>
      <c r="BI222" s="62"/>
      <c r="BJ222" s="62"/>
      <c r="BK222" s="62"/>
      <c r="BL222" s="62"/>
      <c r="BM222" s="62"/>
      <c r="BN222" s="62"/>
      <c r="BO222" s="62"/>
      <c r="BP222" s="62"/>
      <c r="BQ222" s="62"/>
      <c r="BR222" s="62"/>
      <c r="BS222" s="62"/>
      <c r="BT222" s="62"/>
      <c r="BU222" s="62"/>
      <c r="BV222" s="62"/>
      <c r="BW222" s="62"/>
      <c r="BX222" s="62"/>
      <c r="BY222" s="62"/>
      <c r="BZ222" s="62"/>
      <c r="CA222" s="62"/>
      <c r="CB222" s="62"/>
      <c r="CC222" s="62"/>
      <c r="CD222" s="62"/>
      <c r="CE222" s="62"/>
      <c r="CF222" s="62"/>
      <c r="CG222" s="62"/>
      <c r="CH222" s="62"/>
      <c r="CI222" s="62"/>
      <c r="CJ222" s="62"/>
      <c r="CK222" s="62"/>
      <c r="CL222" s="62"/>
      <c r="CM222" s="62"/>
      <c r="CN222" s="62"/>
      <c r="CO222" s="62"/>
      <c r="CP222" s="62"/>
      <c r="CQ222" s="62"/>
      <c r="CR222" s="62"/>
      <c r="CS222" s="62"/>
      <c r="CT222" s="62"/>
      <c r="CU222" s="62"/>
      <c r="CV222" s="62"/>
      <c r="CW222" s="62"/>
      <c r="CX222" s="62"/>
      <c r="CY222" s="62"/>
      <c r="CZ222" s="62"/>
      <c r="DA222" s="62"/>
      <c r="DB222" s="62"/>
      <c r="DC222" s="62"/>
      <c r="DD222" s="62"/>
      <c r="DE222" s="62"/>
      <c r="DF222" s="62"/>
      <c r="DG222" s="62"/>
      <c r="DH222" s="62"/>
      <c r="DI222" s="62"/>
      <c r="DJ222" s="62"/>
      <c r="DK222" s="62"/>
      <c r="DL222" s="62"/>
    </row>
    <row r="223" spans="1:116" hidden="1" x14ac:dyDescent="0.2">
      <c r="A223" s="57">
        <v>33359</v>
      </c>
      <c r="B223" s="58"/>
      <c r="C223" s="66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6"/>
      <c r="P223" s="61"/>
      <c r="Q223" s="62"/>
      <c r="R223" s="62"/>
      <c r="S223" s="62"/>
      <c r="T223" s="62"/>
      <c r="U223" s="62"/>
      <c r="V223" s="62"/>
      <c r="W223" s="62"/>
      <c r="X223" s="62"/>
      <c r="Y223" s="61"/>
      <c r="Z223" s="63"/>
      <c r="AA223" s="64" t="e">
        <v>#N/A</v>
      </c>
      <c r="AB223" s="62" t="e">
        <v>#N/A</v>
      </c>
      <c r="AC223" s="62" t="e">
        <v>#N/A</v>
      </c>
      <c r="AD223" s="62" t="e">
        <v>#N/A</v>
      </c>
      <c r="AE223" s="62" t="e">
        <v>#N/A</v>
      </c>
      <c r="AF223" s="62" t="e">
        <v>#N/A</v>
      </c>
      <c r="AG223" s="62" t="e">
        <v>#N/A</v>
      </c>
      <c r="AH223" s="62" t="e">
        <v>#N/A</v>
      </c>
      <c r="AI223" s="62" t="e">
        <v>#N/A</v>
      </c>
      <c r="AJ223" s="62" t="e">
        <v>#N/A</v>
      </c>
      <c r="AK223" s="64" t="e">
        <v>#N/A</v>
      </c>
      <c r="AL223" s="19">
        <v>90806</v>
      </c>
      <c r="AM223" s="19">
        <v>85727</v>
      </c>
      <c r="AN223" s="23">
        <v>5772</v>
      </c>
      <c r="AO223" s="19">
        <v>106945</v>
      </c>
      <c r="AP223" s="19">
        <v>6771</v>
      </c>
      <c r="AQ223" s="62"/>
      <c r="AR223" s="63"/>
      <c r="AS223" s="63"/>
      <c r="AT223" s="65">
        <f t="shared" si="16"/>
        <v>4491.6899999999996</v>
      </c>
      <c r="AU223" s="65">
        <f t="shared" si="17"/>
        <v>242.42400000000001</v>
      </c>
      <c r="AV223" s="65">
        <f t="shared" si="18"/>
        <v>284.38200000000001</v>
      </c>
      <c r="AW223" s="65">
        <f t="shared" si="20"/>
        <v>3813.8519999999999</v>
      </c>
      <c r="AX223" s="65">
        <f t="shared" si="20"/>
        <v>3600.5340000000001</v>
      </c>
      <c r="AY223" s="65">
        <f t="shared" si="19"/>
        <v>284.38200000000001</v>
      </c>
      <c r="AZ223" s="19">
        <v>36919</v>
      </c>
      <c r="BA223" s="19">
        <v>35425</v>
      </c>
      <c r="BB223" s="19">
        <v>41013</v>
      </c>
      <c r="BC223" s="19">
        <v>2252</v>
      </c>
      <c r="BD223" s="19">
        <v>1047</v>
      </c>
      <c r="BE223" s="62"/>
      <c r="BF223" s="62"/>
      <c r="BG223" s="62"/>
      <c r="BH223" s="62"/>
      <c r="BI223" s="62"/>
      <c r="BJ223" s="62"/>
      <c r="BK223" s="62"/>
      <c r="BL223" s="62"/>
      <c r="BM223" s="62"/>
      <c r="BN223" s="62"/>
      <c r="BO223" s="62"/>
      <c r="BP223" s="62"/>
      <c r="BQ223" s="62"/>
      <c r="BR223" s="62"/>
      <c r="BS223" s="62"/>
      <c r="BT223" s="62"/>
      <c r="BU223" s="62"/>
      <c r="BV223" s="62"/>
      <c r="BW223" s="62"/>
      <c r="BX223" s="62"/>
      <c r="BY223" s="62"/>
      <c r="BZ223" s="62"/>
      <c r="CA223" s="62"/>
      <c r="CB223" s="62"/>
      <c r="CC223" s="62"/>
      <c r="CD223" s="62"/>
      <c r="CE223" s="62"/>
      <c r="CF223" s="62"/>
      <c r="CG223" s="62"/>
      <c r="CH223" s="62"/>
      <c r="CI223" s="62"/>
      <c r="CJ223" s="62"/>
      <c r="CK223" s="62"/>
      <c r="CL223" s="62"/>
      <c r="CM223" s="62"/>
      <c r="CN223" s="62"/>
      <c r="CO223" s="62"/>
      <c r="CP223" s="62"/>
      <c r="CQ223" s="62"/>
      <c r="CR223" s="62"/>
      <c r="CS223" s="62"/>
      <c r="CT223" s="62"/>
      <c r="CU223" s="62"/>
      <c r="CV223" s="62"/>
      <c r="CW223" s="62"/>
      <c r="CX223" s="62"/>
      <c r="CY223" s="62"/>
      <c r="CZ223" s="62"/>
      <c r="DA223" s="62"/>
      <c r="DB223" s="62"/>
      <c r="DC223" s="62"/>
      <c r="DD223" s="62"/>
      <c r="DE223" s="62"/>
      <c r="DF223" s="62"/>
      <c r="DG223" s="62"/>
      <c r="DH223" s="62"/>
      <c r="DI223" s="62"/>
      <c r="DJ223" s="62"/>
      <c r="DK223" s="62"/>
      <c r="DL223" s="62"/>
    </row>
    <row r="224" spans="1:116" hidden="1" x14ac:dyDescent="0.2">
      <c r="A224" s="57">
        <v>33390</v>
      </c>
      <c r="B224" s="58"/>
      <c r="C224" s="66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6"/>
      <c r="P224" s="61"/>
      <c r="Q224" s="62"/>
      <c r="R224" s="62"/>
      <c r="S224" s="62"/>
      <c r="T224" s="62"/>
      <c r="U224" s="62"/>
      <c r="V224" s="62"/>
      <c r="W224" s="62"/>
      <c r="X224" s="62"/>
      <c r="Y224" s="61"/>
      <c r="Z224" s="63"/>
      <c r="AA224" s="64" t="e">
        <v>#N/A</v>
      </c>
      <c r="AB224" s="62" t="e">
        <v>#N/A</v>
      </c>
      <c r="AC224" s="62" t="e">
        <v>#N/A</v>
      </c>
      <c r="AD224" s="62" t="e">
        <v>#N/A</v>
      </c>
      <c r="AE224" s="62" t="e">
        <v>#N/A</v>
      </c>
      <c r="AF224" s="62" t="e">
        <v>#N/A</v>
      </c>
      <c r="AG224" s="62" t="e">
        <v>#N/A</v>
      </c>
      <c r="AH224" s="62" t="e">
        <v>#N/A</v>
      </c>
      <c r="AI224" s="62" t="e">
        <v>#N/A</v>
      </c>
      <c r="AJ224" s="62" t="e">
        <v>#N/A</v>
      </c>
      <c r="AK224" s="64" t="e">
        <v>#N/A</v>
      </c>
      <c r="AL224" s="19">
        <v>88240</v>
      </c>
      <c r="AM224" s="19">
        <v>83244</v>
      </c>
      <c r="AN224" s="23">
        <v>6257</v>
      </c>
      <c r="AO224" s="19">
        <v>113698</v>
      </c>
      <c r="AP224" s="19">
        <v>4500</v>
      </c>
      <c r="AQ224" s="62"/>
      <c r="AR224" s="63"/>
      <c r="AS224" s="63"/>
      <c r="AT224" s="65">
        <f t="shared" si="16"/>
        <v>4775.3159999999998</v>
      </c>
      <c r="AU224" s="65">
        <f t="shared" si="17"/>
        <v>262.79399999999998</v>
      </c>
      <c r="AV224" s="65">
        <f t="shared" si="18"/>
        <v>189</v>
      </c>
      <c r="AW224" s="65">
        <f t="shared" si="20"/>
        <v>3706.08</v>
      </c>
      <c r="AX224" s="65">
        <f t="shared" si="20"/>
        <v>3496.248</v>
      </c>
      <c r="AY224" s="65">
        <f t="shared" si="19"/>
        <v>189</v>
      </c>
      <c r="AZ224" s="19">
        <v>38989</v>
      </c>
      <c r="BA224" s="19">
        <v>38390</v>
      </c>
      <c r="BB224" s="19">
        <v>42922</v>
      </c>
      <c r="BC224" s="19">
        <v>1701</v>
      </c>
      <c r="BD224" s="19">
        <v>391</v>
      </c>
      <c r="BE224" s="62"/>
      <c r="BF224" s="62"/>
      <c r="BG224" s="62"/>
      <c r="BH224" s="62"/>
      <c r="BI224" s="62"/>
      <c r="BJ224" s="62"/>
      <c r="BK224" s="62"/>
      <c r="BL224" s="62"/>
      <c r="BM224" s="62"/>
      <c r="BN224" s="62"/>
      <c r="BO224" s="62"/>
      <c r="BP224" s="62"/>
      <c r="BQ224" s="62"/>
      <c r="BR224" s="62"/>
      <c r="BS224" s="62"/>
      <c r="BT224" s="62"/>
      <c r="BU224" s="62"/>
      <c r="BV224" s="62"/>
      <c r="BW224" s="62"/>
      <c r="BX224" s="62"/>
      <c r="BY224" s="62"/>
      <c r="BZ224" s="62"/>
      <c r="CA224" s="62"/>
      <c r="CB224" s="62"/>
      <c r="CC224" s="62"/>
      <c r="CD224" s="62"/>
      <c r="CE224" s="62"/>
      <c r="CF224" s="62"/>
      <c r="CG224" s="62"/>
      <c r="CH224" s="62"/>
      <c r="CI224" s="62"/>
      <c r="CJ224" s="62"/>
      <c r="CK224" s="62"/>
      <c r="CL224" s="62"/>
      <c r="CM224" s="62"/>
      <c r="CN224" s="62"/>
      <c r="CO224" s="62"/>
      <c r="CP224" s="62"/>
      <c r="CQ224" s="62"/>
      <c r="CR224" s="62"/>
      <c r="CS224" s="62"/>
      <c r="CT224" s="62"/>
      <c r="CU224" s="62"/>
      <c r="CV224" s="62"/>
      <c r="CW224" s="62"/>
      <c r="CX224" s="62"/>
      <c r="CY224" s="62"/>
      <c r="CZ224" s="62"/>
      <c r="DA224" s="62"/>
      <c r="DB224" s="62"/>
      <c r="DC224" s="62"/>
      <c r="DD224" s="62"/>
      <c r="DE224" s="62"/>
      <c r="DF224" s="62"/>
      <c r="DG224" s="62"/>
      <c r="DH224" s="62"/>
      <c r="DI224" s="62"/>
      <c r="DJ224" s="62"/>
      <c r="DK224" s="62"/>
      <c r="DL224" s="62"/>
    </row>
    <row r="225" spans="1:116" hidden="1" x14ac:dyDescent="0.2">
      <c r="A225" s="57">
        <v>33420</v>
      </c>
      <c r="B225" s="58"/>
      <c r="C225" s="66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6"/>
      <c r="P225" s="61"/>
      <c r="Q225" s="62"/>
      <c r="R225" s="62"/>
      <c r="S225" s="62"/>
      <c r="T225" s="62"/>
      <c r="U225" s="62"/>
      <c r="V225" s="62"/>
      <c r="W225" s="62"/>
      <c r="X225" s="62"/>
      <c r="Y225" s="61"/>
      <c r="Z225" s="63"/>
      <c r="AA225" s="64" t="e">
        <v>#N/A</v>
      </c>
      <c r="AB225" s="62" t="e">
        <v>#N/A</v>
      </c>
      <c r="AC225" s="62" t="e">
        <v>#N/A</v>
      </c>
      <c r="AD225" s="62" t="e">
        <v>#N/A</v>
      </c>
      <c r="AE225" s="62" t="e">
        <v>#N/A</v>
      </c>
      <c r="AF225" s="62" t="e">
        <v>#N/A</v>
      </c>
      <c r="AG225" s="62" t="e">
        <v>#N/A</v>
      </c>
      <c r="AH225" s="62" t="e">
        <v>#N/A</v>
      </c>
      <c r="AI225" s="62" t="e">
        <v>#N/A</v>
      </c>
      <c r="AJ225" s="62" t="e">
        <v>#N/A</v>
      </c>
      <c r="AK225" s="64" t="e">
        <v>#N/A</v>
      </c>
      <c r="AL225" s="19">
        <v>92952</v>
      </c>
      <c r="AM225" s="19">
        <v>82087</v>
      </c>
      <c r="AN225" s="23">
        <v>4795</v>
      </c>
      <c r="AO225" s="19">
        <v>124740</v>
      </c>
      <c r="AP225" s="19">
        <v>4618</v>
      </c>
      <c r="AQ225" s="62"/>
      <c r="AR225" s="63"/>
      <c r="AS225" s="63"/>
      <c r="AT225" s="65">
        <f t="shared" si="16"/>
        <v>5239.08</v>
      </c>
      <c r="AU225" s="65">
        <f t="shared" si="17"/>
        <v>201.39</v>
      </c>
      <c r="AV225" s="65">
        <f t="shared" si="18"/>
        <v>193.95599999999999</v>
      </c>
      <c r="AW225" s="65">
        <f t="shared" si="20"/>
        <v>3903.9839999999999</v>
      </c>
      <c r="AX225" s="65">
        <f t="shared" si="20"/>
        <v>3447.654</v>
      </c>
      <c r="AY225" s="65">
        <f t="shared" si="19"/>
        <v>193.95599999999999</v>
      </c>
      <c r="AZ225" s="19">
        <v>38894</v>
      </c>
      <c r="BA225" s="19">
        <v>41641</v>
      </c>
      <c r="BB225" s="19">
        <v>41208</v>
      </c>
      <c r="BC225" s="19">
        <v>1873</v>
      </c>
      <c r="BD225" s="19">
        <v>840</v>
      </c>
      <c r="BE225" s="62"/>
      <c r="BF225" s="62"/>
      <c r="BG225" s="62"/>
      <c r="BH225" s="62"/>
      <c r="BI225" s="62"/>
      <c r="BJ225" s="62"/>
      <c r="BK225" s="62"/>
      <c r="BL225" s="62"/>
      <c r="BM225" s="62"/>
      <c r="BN225" s="62"/>
      <c r="BO225" s="62"/>
      <c r="BP225" s="62"/>
      <c r="BQ225" s="62"/>
      <c r="BR225" s="62"/>
      <c r="BS225" s="62"/>
      <c r="BT225" s="62"/>
      <c r="BU225" s="62"/>
      <c r="BV225" s="62"/>
      <c r="BW225" s="62"/>
      <c r="BX225" s="62"/>
      <c r="BY225" s="62"/>
      <c r="BZ225" s="62"/>
      <c r="CA225" s="62"/>
      <c r="CB225" s="62"/>
      <c r="CC225" s="62"/>
      <c r="CD225" s="62"/>
      <c r="CE225" s="62"/>
      <c r="CF225" s="62"/>
      <c r="CG225" s="62"/>
      <c r="CH225" s="62"/>
      <c r="CI225" s="62"/>
      <c r="CJ225" s="62"/>
      <c r="CK225" s="62"/>
      <c r="CL225" s="62"/>
      <c r="CM225" s="62"/>
      <c r="CN225" s="62"/>
      <c r="CO225" s="62"/>
      <c r="CP225" s="62"/>
      <c r="CQ225" s="62"/>
      <c r="CR225" s="62"/>
      <c r="CS225" s="62"/>
      <c r="CT225" s="62"/>
      <c r="CU225" s="62"/>
      <c r="CV225" s="62"/>
      <c r="CW225" s="62"/>
      <c r="CX225" s="62"/>
      <c r="CY225" s="62"/>
      <c r="CZ225" s="62"/>
      <c r="DA225" s="62"/>
      <c r="DB225" s="62"/>
      <c r="DC225" s="62"/>
      <c r="DD225" s="62"/>
      <c r="DE225" s="62"/>
      <c r="DF225" s="62"/>
      <c r="DG225" s="62"/>
      <c r="DH225" s="62"/>
      <c r="DI225" s="62"/>
      <c r="DJ225" s="62"/>
      <c r="DK225" s="62"/>
      <c r="DL225" s="62"/>
    </row>
    <row r="226" spans="1:116" hidden="1" x14ac:dyDescent="0.2">
      <c r="A226" s="57">
        <v>33451</v>
      </c>
      <c r="B226" s="58"/>
      <c r="C226" s="66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6"/>
      <c r="P226" s="61"/>
      <c r="Q226" s="62"/>
      <c r="R226" s="62"/>
      <c r="S226" s="62"/>
      <c r="T226" s="62"/>
      <c r="U226" s="62"/>
      <c r="V226" s="62"/>
      <c r="W226" s="62"/>
      <c r="X226" s="62"/>
      <c r="Y226" s="61"/>
      <c r="Z226" s="63"/>
      <c r="AA226" s="64" t="e">
        <v>#N/A</v>
      </c>
      <c r="AB226" s="62" t="e">
        <v>#N/A</v>
      </c>
      <c r="AC226" s="62" t="e">
        <v>#N/A</v>
      </c>
      <c r="AD226" s="62" t="e">
        <v>#N/A</v>
      </c>
      <c r="AE226" s="62" t="e">
        <v>#N/A</v>
      </c>
      <c r="AF226" s="62" t="e">
        <v>#N/A</v>
      </c>
      <c r="AG226" s="62" t="e">
        <v>#N/A</v>
      </c>
      <c r="AH226" s="62" t="e">
        <v>#N/A</v>
      </c>
      <c r="AI226" s="62" t="e">
        <v>#N/A</v>
      </c>
      <c r="AJ226" s="62" t="e">
        <v>#N/A</v>
      </c>
      <c r="AK226" s="64" t="e">
        <v>#N/A</v>
      </c>
      <c r="AL226" s="19">
        <v>91781</v>
      </c>
      <c r="AM226" s="19">
        <v>85874</v>
      </c>
      <c r="AN226" s="23">
        <v>5209</v>
      </c>
      <c r="AO226" s="19">
        <v>131377</v>
      </c>
      <c r="AP226" s="19">
        <v>4479</v>
      </c>
      <c r="AQ226" s="62"/>
      <c r="AR226" s="63"/>
      <c r="AS226" s="63"/>
      <c r="AT226" s="65">
        <f t="shared" si="16"/>
        <v>5517.8339999999998</v>
      </c>
      <c r="AU226" s="65">
        <f t="shared" si="17"/>
        <v>218.77799999999999</v>
      </c>
      <c r="AV226" s="65">
        <f t="shared" si="18"/>
        <v>188.11799999999999</v>
      </c>
      <c r="AW226" s="65">
        <f t="shared" si="20"/>
        <v>3854.8020000000001</v>
      </c>
      <c r="AX226" s="65">
        <f t="shared" si="20"/>
        <v>3606.7080000000001</v>
      </c>
      <c r="AY226" s="65">
        <f t="shared" si="19"/>
        <v>188.11799999999999</v>
      </c>
      <c r="AZ226" s="19">
        <v>40800</v>
      </c>
      <c r="BA226" s="19">
        <v>41628</v>
      </c>
      <c r="BB226" s="19">
        <v>42335</v>
      </c>
      <c r="BC226" s="19">
        <v>2281</v>
      </c>
      <c r="BD226" s="19">
        <v>326</v>
      </c>
      <c r="BE226" s="62"/>
      <c r="BF226" s="62"/>
      <c r="BG226" s="62"/>
      <c r="BH226" s="62"/>
      <c r="BI226" s="62"/>
      <c r="BJ226" s="62"/>
      <c r="BK226" s="62"/>
      <c r="BL226" s="62"/>
      <c r="BM226" s="62"/>
      <c r="BN226" s="62"/>
      <c r="BO226" s="62"/>
      <c r="BP226" s="62"/>
      <c r="BQ226" s="62"/>
      <c r="BR226" s="62"/>
      <c r="BS226" s="62"/>
      <c r="BT226" s="62"/>
      <c r="BU226" s="62"/>
      <c r="BV226" s="62"/>
      <c r="BW226" s="62"/>
      <c r="BX226" s="62"/>
      <c r="BY226" s="62"/>
      <c r="BZ226" s="62"/>
      <c r="CA226" s="62"/>
      <c r="CB226" s="62"/>
      <c r="CC226" s="62"/>
      <c r="CD226" s="62"/>
      <c r="CE226" s="62"/>
      <c r="CF226" s="62"/>
      <c r="CG226" s="62"/>
      <c r="CH226" s="62"/>
      <c r="CI226" s="62"/>
      <c r="CJ226" s="62"/>
      <c r="CK226" s="62"/>
      <c r="CL226" s="62"/>
      <c r="CM226" s="62"/>
      <c r="CN226" s="62"/>
      <c r="CO226" s="62"/>
      <c r="CP226" s="62"/>
      <c r="CQ226" s="62"/>
      <c r="CR226" s="62"/>
      <c r="CS226" s="62"/>
      <c r="CT226" s="62"/>
      <c r="CU226" s="62"/>
      <c r="CV226" s="62"/>
      <c r="CW226" s="62"/>
      <c r="CX226" s="62"/>
      <c r="CY226" s="62"/>
      <c r="CZ226" s="62"/>
      <c r="DA226" s="62"/>
      <c r="DB226" s="62"/>
      <c r="DC226" s="62"/>
      <c r="DD226" s="62"/>
      <c r="DE226" s="62"/>
      <c r="DF226" s="62"/>
      <c r="DG226" s="62"/>
      <c r="DH226" s="62"/>
      <c r="DI226" s="62"/>
      <c r="DJ226" s="62"/>
      <c r="DK226" s="62"/>
      <c r="DL226" s="62"/>
    </row>
    <row r="227" spans="1:116" hidden="1" x14ac:dyDescent="0.2">
      <c r="A227" s="57">
        <v>33482</v>
      </c>
      <c r="B227" s="58"/>
      <c r="C227" s="66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6"/>
      <c r="P227" s="61"/>
      <c r="Q227" s="62"/>
      <c r="R227" s="62"/>
      <c r="S227" s="62"/>
      <c r="T227" s="62"/>
      <c r="U227" s="62"/>
      <c r="V227" s="62"/>
      <c r="W227" s="62"/>
      <c r="X227" s="62"/>
      <c r="Y227" s="61"/>
      <c r="Z227" s="63"/>
      <c r="AA227" s="64" t="e">
        <v>#N/A</v>
      </c>
      <c r="AB227" s="62" t="e">
        <v>#N/A</v>
      </c>
      <c r="AC227" s="62" t="e">
        <v>#N/A</v>
      </c>
      <c r="AD227" s="62" t="e">
        <v>#N/A</v>
      </c>
      <c r="AE227" s="62" t="e">
        <v>#N/A</v>
      </c>
      <c r="AF227" s="62" t="e">
        <v>#N/A</v>
      </c>
      <c r="AG227" s="62" t="e">
        <v>#N/A</v>
      </c>
      <c r="AH227" s="62" t="e">
        <v>#N/A</v>
      </c>
      <c r="AI227" s="62" t="e">
        <v>#N/A</v>
      </c>
      <c r="AJ227" s="62" t="e">
        <v>#N/A</v>
      </c>
      <c r="AK227" s="64" t="e">
        <v>#N/A</v>
      </c>
      <c r="AL227" s="19">
        <v>91653</v>
      </c>
      <c r="AM227" s="19">
        <v>85947</v>
      </c>
      <c r="AN227" s="23">
        <v>7115</v>
      </c>
      <c r="AO227" s="19">
        <v>140117</v>
      </c>
      <c r="AP227" s="19">
        <v>4081</v>
      </c>
      <c r="AQ227" s="62"/>
      <c r="AR227" s="63"/>
      <c r="AS227" s="63"/>
      <c r="AT227" s="65">
        <f t="shared" si="16"/>
        <v>5884.9139999999998</v>
      </c>
      <c r="AU227" s="65">
        <f t="shared" si="17"/>
        <v>298.83</v>
      </c>
      <c r="AV227" s="65">
        <f t="shared" si="18"/>
        <v>171.40199999999999</v>
      </c>
      <c r="AW227" s="65">
        <f t="shared" si="20"/>
        <v>3849.4259999999999</v>
      </c>
      <c r="AX227" s="65">
        <f t="shared" si="20"/>
        <v>3609.7739999999999</v>
      </c>
      <c r="AY227" s="65">
        <f t="shared" si="19"/>
        <v>171.40199999999999</v>
      </c>
      <c r="AZ227" s="19">
        <v>39666</v>
      </c>
      <c r="BA227" s="19">
        <v>39615</v>
      </c>
      <c r="BB227" s="19">
        <v>44651</v>
      </c>
      <c r="BC227" s="19">
        <v>2560</v>
      </c>
      <c r="BD227" s="19">
        <v>295</v>
      </c>
      <c r="BE227" s="62"/>
      <c r="BF227" s="62"/>
      <c r="BG227" s="62"/>
      <c r="BH227" s="62"/>
      <c r="BI227" s="62"/>
      <c r="BJ227" s="62"/>
      <c r="BK227" s="62"/>
      <c r="BL227" s="62"/>
      <c r="BM227" s="62"/>
      <c r="BN227" s="62"/>
      <c r="BO227" s="62"/>
      <c r="BP227" s="62"/>
      <c r="BQ227" s="62"/>
      <c r="BR227" s="62"/>
      <c r="BS227" s="62"/>
      <c r="BT227" s="62"/>
      <c r="BU227" s="62"/>
      <c r="BV227" s="62"/>
      <c r="BW227" s="62"/>
      <c r="BX227" s="62"/>
      <c r="BY227" s="62"/>
      <c r="BZ227" s="62"/>
      <c r="CA227" s="62"/>
      <c r="CB227" s="62"/>
      <c r="CC227" s="62"/>
      <c r="CD227" s="62"/>
      <c r="CE227" s="62"/>
      <c r="CF227" s="62"/>
      <c r="CG227" s="62"/>
      <c r="CH227" s="62"/>
      <c r="CI227" s="62"/>
      <c r="CJ227" s="62"/>
      <c r="CK227" s="62"/>
      <c r="CL227" s="62"/>
      <c r="CM227" s="62"/>
      <c r="CN227" s="62"/>
      <c r="CO227" s="62"/>
      <c r="CP227" s="62"/>
      <c r="CQ227" s="62"/>
      <c r="CR227" s="62"/>
      <c r="CS227" s="62"/>
      <c r="CT227" s="62"/>
      <c r="CU227" s="62"/>
      <c r="CV227" s="62"/>
      <c r="CW227" s="62"/>
      <c r="CX227" s="62"/>
      <c r="CY227" s="62"/>
      <c r="CZ227" s="62"/>
      <c r="DA227" s="62"/>
      <c r="DB227" s="62"/>
      <c r="DC227" s="62"/>
      <c r="DD227" s="62"/>
      <c r="DE227" s="62"/>
      <c r="DF227" s="62"/>
      <c r="DG227" s="62"/>
      <c r="DH227" s="62"/>
      <c r="DI227" s="62"/>
      <c r="DJ227" s="62"/>
      <c r="DK227" s="62"/>
      <c r="DL227" s="62"/>
    </row>
    <row r="228" spans="1:116" hidden="1" x14ac:dyDescent="0.2">
      <c r="A228" s="57">
        <v>33512</v>
      </c>
      <c r="B228" s="58"/>
      <c r="C228" s="66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6"/>
      <c r="P228" s="61"/>
      <c r="Q228" s="62"/>
      <c r="R228" s="62"/>
      <c r="S228" s="62"/>
      <c r="T228" s="62"/>
      <c r="U228" s="62"/>
      <c r="V228" s="62"/>
      <c r="W228" s="62"/>
      <c r="X228" s="62"/>
      <c r="Y228" s="61"/>
      <c r="Z228" s="63"/>
      <c r="AA228" s="64" t="e">
        <v>#N/A</v>
      </c>
      <c r="AB228" s="62" t="e">
        <v>#N/A</v>
      </c>
      <c r="AC228" s="62" t="e">
        <v>#N/A</v>
      </c>
      <c r="AD228" s="62" t="e">
        <v>#N/A</v>
      </c>
      <c r="AE228" s="62" t="e">
        <v>#N/A</v>
      </c>
      <c r="AF228" s="62" t="e">
        <v>#N/A</v>
      </c>
      <c r="AG228" s="62" t="e">
        <v>#N/A</v>
      </c>
      <c r="AH228" s="62" t="e">
        <v>#N/A</v>
      </c>
      <c r="AI228" s="62" t="e">
        <v>#N/A</v>
      </c>
      <c r="AJ228" s="62" t="e">
        <v>#N/A</v>
      </c>
      <c r="AK228" s="64" t="e">
        <v>#N/A</v>
      </c>
      <c r="AL228" s="19">
        <v>94236</v>
      </c>
      <c r="AM228" s="19">
        <v>94464</v>
      </c>
      <c r="AN228" s="23">
        <v>6404</v>
      </c>
      <c r="AO228" s="19">
        <v>138278</v>
      </c>
      <c r="AP228" s="19">
        <v>8015</v>
      </c>
      <c r="AQ228" s="62"/>
      <c r="AR228" s="63"/>
      <c r="AS228" s="63"/>
      <c r="AT228" s="65">
        <f t="shared" si="16"/>
        <v>5807.6760000000004</v>
      </c>
      <c r="AU228" s="65">
        <f t="shared" si="17"/>
        <v>268.96800000000002</v>
      </c>
      <c r="AV228" s="65">
        <f t="shared" si="18"/>
        <v>336.63</v>
      </c>
      <c r="AW228" s="65">
        <f t="shared" si="20"/>
        <v>3957.9119999999998</v>
      </c>
      <c r="AX228" s="65">
        <f t="shared" si="20"/>
        <v>3967.4879999999998</v>
      </c>
      <c r="AY228" s="65">
        <f t="shared" si="19"/>
        <v>336.63</v>
      </c>
      <c r="AZ228" s="19">
        <v>38848</v>
      </c>
      <c r="BA228" s="19">
        <v>40904</v>
      </c>
      <c r="BB228" s="19">
        <v>42836</v>
      </c>
      <c r="BC228" s="19">
        <v>1583</v>
      </c>
      <c r="BD228" s="19">
        <v>1342</v>
      </c>
      <c r="BE228" s="62"/>
      <c r="BF228" s="62"/>
      <c r="BG228" s="62"/>
      <c r="BH228" s="62"/>
      <c r="BI228" s="62"/>
      <c r="BJ228" s="62"/>
      <c r="BK228" s="62"/>
      <c r="BL228" s="62"/>
      <c r="BM228" s="62"/>
      <c r="BN228" s="62"/>
      <c r="BO228" s="62"/>
      <c r="BP228" s="62"/>
      <c r="BQ228" s="62"/>
      <c r="BR228" s="62"/>
      <c r="BS228" s="62"/>
      <c r="BT228" s="62"/>
      <c r="BU228" s="62"/>
      <c r="BV228" s="62"/>
      <c r="BW228" s="62"/>
      <c r="BX228" s="62"/>
      <c r="BY228" s="62"/>
      <c r="BZ228" s="62"/>
      <c r="CA228" s="62"/>
      <c r="CB228" s="62"/>
      <c r="CC228" s="62"/>
      <c r="CD228" s="62"/>
      <c r="CE228" s="62"/>
      <c r="CF228" s="62"/>
      <c r="CG228" s="62"/>
      <c r="CH228" s="62"/>
      <c r="CI228" s="62"/>
      <c r="CJ228" s="62"/>
      <c r="CK228" s="62"/>
      <c r="CL228" s="62"/>
      <c r="CM228" s="62"/>
      <c r="CN228" s="62"/>
      <c r="CO228" s="62"/>
      <c r="CP228" s="62"/>
      <c r="CQ228" s="62"/>
      <c r="CR228" s="62"/>
      <c r="CS228" s="62"/>
      <c r="CT228" s="62"/>
      <c r="CU228" s="62"/>
      <c r="CV228" s="62"/>
      <c r="CW228" s="62"/>
      <c r="CX228" s="62"/>
      <c r="CY228" s="62"/>
      <c r="CZ228" s="62"/>
      <c r="DA228" s="62"/>
      <c r="DB228" s="62"/>
      <c r="DC228" s="62"/>
      <c r="DD228" s="62"/>
      <c r="DE228" s="62"/>
      <c r="DF228" s="62"/>
      <c r="DG228" s="62"/>
      <c r="DH228" s="62"/>
      <c r="DI228" s="62"/>
      <c r="DJ228" s="62"/>
      <c r="DK228" s="62"/>
      <c r="DL228" s="62"/>
    </row>
    <row r="229" spans="1:116" hidden="1" x14ac:dyDescent="0.2">
      <c r="A229" s="57">
        <v>33543</v>
      </c>
      <c r="B229" s="58"/>
      <c r="C229" s="66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6"/>
      <c r="P229" s="61"/>
      <c r="Q229" s="62"/>
      <c r="R229" s="62"/>
      <c r="S229" s="62"/>
      <c r="T229" s="62"/>
      <c r="U229" s="62"/>
      <c r="V229" s="62"/>
      <c r="W229" s="62"/>
      <c r="X229" s="62"/>
      <c r="Y229" s="61"/>
      <c r="Z229" s="63"/>
      <c r="AA229" s="64" t="e">
        <v>#N/A</v>
      </c>
      <c r="AB229" s="62" t="e">
        <v>#N/A</v>
      </c>
      <c r="AC229" s="62" t="e">
        <v>#N/A</v>
      </c>
      <c r="AD229" s="62" t="e">
        <v>#N/A</v>
      </c>
      <c r="AE229" s="62" t="e">
        <v>#N/A</v>
      </c>
      <c r="AF229" s="62" t="e">
        <v>#N/A</v>
      </c>
      <c r="AG229" s="62" t="e">
        <v>#N/A</v>
      </c>
      <c r="AH229" s="62" t="e">
        <v>#N/A</v>
      </c>
      <c r="AI229" s="62" t="e">
        <v>#N/A</v>
      </c>
      <c r="AJ229" s="62" t="e">
        <v>#N/A</v>
      </c>
      <c r="AK229" s="64" t="e">
        <v>#N/A</v>
      </c>
      <c r="AL229" s="19">
        <v>93096</v>
      </c>
      <c r="AM229" s="19">
        <v>87641</v>
      </c>
      <c r="AN229" s="23">
        <v>7459</v>
      </c>
      <c r="AO229" s="19">
        <v>144458</v>
      </c>
      <c r="AP229" s="19">
        <v>6734</v>
      </c>
      <c r="AQ229" s="62"/>
      <c r="AR229" s="63"/>
      <c r="AS229" s="63"/>
      <c r="AT229" s="65">
        <f t="shared" si="16"/>
        <v>6067.2359999999999</v>
      </c>
      <c r="AU229" s="65">
        <f t="shared" si="17"/>
        <v>313.27800000000002</v>
      </c>
      <c r="AV229" s="65">
        <f t="shared" si="18"/>
        <v>282.82799999999997</v>
      </c>
      <c r="AW229" s="65">
        <f t="shared" si="20"/>
        <v>3910.0320000000002</v>
      </c>
      <c r="AX229" s="65">
        <f t="shared" si="20"/>
        <v>3680.922</v>
      </c>
      <c r="AY229" s="65">
        <f t="shared" si="19"/>
        <v>282.82799999999997</v>
      </c>
      <c r="AZ229" s="19">
        <v>38287</v>
      </c>
      <c r="BA229" s="19">
        <v>38455</v>
      </c>
      <c r="BB229" s="19">
        <v>43878</v>
      </c>
      <c r="BC229" s="19">
        <v>1347</v>
      </c>
      <c r="BD229" s="19">
        <v>137</v>
      </c>
      <c r="BE229" s="62"/>
      <c r="BF229" s="62"/>
      <c r="BG229" s="62"/>
      <c r="BH229" s="62"/>
      <c r="BI229" s="62"/>
      <c r="BJ229" s="62"/>
      <c r="BK229" s="62"/>
      <c r="BL229" s="62"/>
      <c r="BM229" s="62"/>
      <c r="BN229" s="62"/>
      <c r="BO229" s="62"/>
      <c r="BP229" s="62"/>
      <c r="BQ229" s="62"/>
      <c r="BR229" s="62"/>
      <c r="BS229" s="62"/>
      <c r="BT229" s="62"/>
      <c r="BU229" s="62"/>
      <c r="BV229" s="62"/>
      <c r="BW229" s="62"/>
      <c r="BX229" s="62"/>
      <c r="BY229" s="62"/>
      <c r="BZ229" s="62"/>
      <c r="CA229" s="62"/>
      <c r="CB229" s="62"/>
      <c r="CC229" s="62"/>
      <c r="CD229" s="62"/>
      <c r="CE229" s="62"/>
      <c r="CF229" s="62"/>
      <c r="CG229" s="62"/>
      <c r="CH229" s="62"/>
      <c r="CI229" s="62"/>
      <c r="CJ229" s="62"/>
      <c r="CK229" s="62"/>
      <c r="CL229" s="62"/>
      <c r="CM229" s="62"/>
      <c r="CN229" s="62"/>
      <c r="CO229" s="62"/>
      <c r="CP229" s="62"/>
      <c r="CQ229" s="62"/>
      <c r="CR229" s="62"/>
      <c r="CS229" s="62"/>
      <c r="CT229" s="62"/>
      <c r="CU229" s="62"/>
      <c r="CV229" s="62"/>
      <c r="CW229" s="62"/>
      <c r="CX229" s="62"/>
      <c r="CY229" s="62"/>
      <c r="CZ229" s="62"/>
      <c r="DA229" s="62"/>
      <c r="DB229" s="62"/>
      <c r="DC229" s="62"/>
      <c r="DD229" s="62"/>
      <c r="DE229" s="62"/>
      <c r="DF229" s="62"/>
      <c r="DG229" s="62"/>
      <c r="DH229" s="62"/>
      <c r="DI229" s="62"/>
      <c r="DJ229" s="62"/>
      <c r="DK229" s="62"/>
      <c r="DL229" s="62"/>
    </row>
    <row r="230" spans="1:116" hidden="1" x14ac:dyDescent="0.2">
      <c r="A230" s="57">
        <v>33573</v>
      </c>
      <c r="B230" s="58"/>
      <c r="C230" s="66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6"/>
      <c r="P230" s="61"/>
      <c r="Q230" s="62"/>
      <c r="R230" s="62"/>
      <c r="S230" s="62"/>
      <c r="T230" s="62"/>
      <c r="U230" s="62"/>
      <c r="V230" s="62"/>
      <c r="W230" s="62"/>
      <c r="X230" s="62"/>
      <c r="Y230" s="61"/>
      <c r="Z230" s="63"/>
      <c r="AA230" s="64" t="e">
        <v>#N/A</v>
      </c>
      <c r="AB230" s="62" t="e">
        <v>#N/A</v>
      </c>
      <c r="AC230" s="62" t="e">
        <v>#N/A</v>
      </c>
      <c r="AD230" s="62" t="e">
        <v>#N/A</v>
      </c>
      <c r="AE230" s="62" t="e">
        <v>#N/A</v>
      </c>
      <c r="AF230" s="62" t="e">
        <v>#N/A</v>
      </c>
      <c r="AG230" s="62" t="e">
        <v>#N/A</v>
      </c>
      <c r="AH230" s="62" t="e">
        <v>#N/A</v>
      </c>
      <c r="AI230" s="62" t="e">
        <v>#N/A</v>
      </c>
      <c r="AJ230" s="62" t="e">
        <v>#N/A</v>
      </c>
      <c r="AK230" s="64" t="e">
        <v>#N/A</v>
      </c>
      <c r="AL230" s="19">
        <v>96310</v>
      </c>
      <c r="AM230" s="19">
        <v>95710</v>
      </c>
      <c r="AN230" s="23">
        <v>7807</v>
      </c>
      <c r="AO230" s="19">
        <v>143515</v>
      </c>
      <c r="AP230" s="19">
        <v>9350</v>
      </c>
      <c r="AQ230" s="62"/>
      <c r="AR230" s="63"/>
      <c r="AS230" s="63"/>
      <c r="AT230" s="65">
        <f t="shared" si="16"/>
        <v>6027.63</v>
      </c>
      <c r="AU230" s="65">
        <f t="shared" si="17"/>
        <v>327.89400000000001</v>
      </c>
      <c r="AV230" s="65">
        <f t="shared" si="18"/>
        <v>392.7</v>
      </c>
      <c r="AW230" s="65">
        <f t="shared" si="20"/>
        <v>4045.02</v>
      </c>
      <c r="AX230" s="65">
        <f t="shared" si="20"/>
        <v>4019.82</v>
      </c>
      <c r="AY230" s="65">
        <f t="shared" si="19"/>
        <v>392.7</v>
      </c>
      <c r="AZ230" s="19">
        <v>42078</v>
      </c>
      <c r="BA230" s="19">
        <v>41468</v>
      </c>
      <c r="BB230" s="19">
        <v>44068</v>
      </c>
      <c r="BC230" s="19">
        <v>853</v>
      </c>
      <c r="BD230" s="19">
        <v>1273</v>
      </c>
      <c r="BE230" s="62"/>
      <c r="BF230" s="62"/>
      <c r="BG230" s="62"/>
      <c r="BH230" s="62"/>
      <c r="BI230" s="62"/>
      <c r="BJ230" s="62"/>
      <c r="BK230" s="62"/>
      <c r="BL230" s="62"/>
      <c r="BM230" s="62"/>
      <c r="BN230" s="62"/>
      <c r="BO230" s="62"/>
      <c r="BP230" s="62"/>
      <c r="BQ230" s="62"/>
      <c r="BR230" s="62"/>
      <c r="BS230" s="62"/>
      <c r="BT230" s="62"/>
      <c r="BU230" s="62"/>
      <c r="BV230" s="62"/>
      <c r="BW230" s="62"/>
      <c r="BX230" s="62"/>
      <c r="BY230" s="62"/>
      <c r="BZ230" s="62"/>
      <c r="CA230" s="62"/>
      <c r="CB230" s="62"/>
      <c r="CC230" s="62"/>
      <c r="CD230" s="62"/>
      <c r="CE230" s="62"/>
      <c r="CF230" s="62"/>
      <c r="CG230" s="62"/>
      <c r="CH230" s="62"/>
      <c r="CI230" s="62"/>
      <c r="CJ230" s="62"/>
      <c r="CK230" s="62"/>
      <c r="CL230" s="62"/>
      <c r="CM230" s="62"/>
      <c r="CN230" s="62"/>
      <c r="CO230" s="62"/>
      <c r="CP230" s="62"/>
      <c r="CQ230" s="62"/>
      <c r="CR230" s="62"/>
      <c r="CS230" s="62"/>
      <c r="CT230" s="62"/>
      <c r="CU230" s="62"/>
      <c r="CV230" s="62"/>
      <c r="CW230" s="62"/>
      <c r="CX230" s="62"/>
      <c r="CY230" s="62"/>
      <c r="CZ230" s="62"/>
      <c r="DA230" s="62"/>
      <c r="DB230" s="62"/>
      <c r="DC230" s="62"/>
      <c r="DD230" s="62"/>
      <c r="DE230" s="62"/>
      <c r="DF230" s="62"/>
      <c r="DG230" s="62"/>
      <c r="DH230" s="62"/>
      <c r="DI230" s="62"/>
      <c r="DJ230" s="62"/>
      <c r="DK230" s="62"/>
      <c r="DL230" s="62"/>
    </row>
    <row r="231" spans="1:116" hidden="1" x14ac:dyDescent="0.2">
      <c r="A231" s="57">
        <v>33604</v>
      </c>
      <c r="B231" s="58"/>
      <c r="C231" s="66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6"/>
      <c r="P231" s="61"/>
      <c r="Q231" s="62"/>
      <c r="R231" s="62"/>
      <c r="S231" s="62"/>
      <c r="T231" s="62"/>
      <c r="U231" s="62"/>
      <c r="V231" s="62"/>
      <c r="W231" s="62"/>
      <c r="X231" s="62"/>
      <c r="Y231" s="61"/>
      <c r="Z231" s="63"/>
      <c r="AA231" s="64" t="e">
        <v>#N/A</v>
      </c>
      <c r="AB231" s="62" t="e">
        <v>#N/A</v>
      </c>
      <c r="AC231" s="62" t="e">
        <v>#N/A</v>
      </c>
      <c r="AD231" s="62" t="e">
        <v>#N/A</v>
      </c>
      <c r="AE231" s="62" t="e">
        <v>#N/A</v>
      </c>
      <c r="AF231" s="62" t="e">
        <v>#N/A</v>
      </c>
      <c r="AG231" s="62" t="e">
        <v>#N/A</v>
      </c>
      <c r="AH231" s="62" t="e">
        <v>#N/A</v>
      </c>
      <c r="AI231" s="62" t="e">
        <v>#N/A</v>
      </c>
      <c r="AJ231" s="62" t="e">
        <v>#N/A</v>
      </c>
      <c r="AK231" s="64" t="e">
        <v>#N/A</v>
      </c>
      <c r="AL231" s="19">
        <v>87368</v>
      </c>
      <c r="AM231" s="19">
        <v>100166</v>
      </c>
      <c r="AN231" s="23">
        <v>7178</v>
      </c>
      <c r="AO231" s="19">
        <v>126733</v>
      </c>
      <c r="AP231" s="19">
        <v>11162</v>
      </c>
      <c r="AQ231" s="62"/>
      <c r="AR231" s="63"/>
      <c r="AS231" s="63"/>
      <c r="AT231" s="65">
        <f t="shared" si="16"/>
        <v>5322.7860000000001</v>
      </c>
      <c r="AU231" s="65">
        <f t="shared" si="17"/>
        <v>301.476</v>
      </c>
      <c r="AV231" s="65">
        <f t="shared" si="18"/>
        <v>468.80399999999997</v>
      </c>
      <c r="AW231" s="65">
        <f t="shared" si="20"/>
        <v>3669.4560000000001</v>
      </c>
      <c r="AX231" s="65">
        <f t="shared" si="20"/>
        <v>4206.9719999999998</v>
      </c>
      <c r="AY231" s="65">
        <f t="shared" si="19"/>
        <v>468.80399999999997</v>
      </c>
      <c r="AZ231" s="19">
        <v>37212</v>
      </c>
      <c r="BA231" s="19">
        <v>40744</v>
      </c>
      <c r="BB231" s="19">
        <v>40107</v>
      </c>
      <c r="BC231" s="19">
        <v>946</v>
      </c>
      <c r="BD231" s="19">
        <v>1375</v>
      </c>
      <c r="BE231" s="62"/>
      <c r="BF231" s="62"/>
      <c r="BG231" s="62"/>
      <c r="BH231" s="62"/>
      <c r="BI231" s="62"/>
      <c r="BJ231" s="62"/>
      <c r="BK231" s="62"/>
      <c r="BL231" s="62"/>
      <c r="BM231" s="62"/>
      <c r="BN231" s="62"/>
      <c r="BO231" s="62"/>
      <c r="BP231" s="62"/>
      <c r="BQ231" s="62"/>
      <c r="BR231" s="62"/>
      <c r="BS231" s="62"/>
      <c r="BT231" s="62"/>
      <c r="BU231" s="62"/>
      <c r="BV231" s="62"/>
      <c r="BW231" s="62"/>
      <c r="BX231" s="62"/>
      <c r="BY231" s="62"/>
      <c r="BZ231" s="62"/>
      <c r="CA231" s="62"/>
      <c r="CB231" s="62"/>
      <c r="CC231" s="62"/>
      <c r="CD231" s="62"/>
      <c r="CE231" s="62"/>
      <c r="CF231" s="62"/>
      <c r="CG231" s="62"/>
      <c r="CH231" s="62"/>
      <c r="CI231" s="62"/>
      <c r="CJ231" s="62"/>
      <c r="CK231" s="62"/>
      <c r="CL231" s="62"/>
      <c r="CM231" s="62"/>
      <c r="CN231" s="62"/>
      <c r="CO231" s="62"/>
      <c r="CP231" s="62"/>
      <c r="CQ231" s="62"/>
      <c r="CR231" s="62"/>
      <c r="CS231" s="62"/>
      <c r="CT231" s="62"/>
      <c r="CU231" s="62"/>
      <c r="CV231" s="62"/>
      <c r="CW231" s="62"/>
      <c r="CX231" s="62"/>
      <c r="CY231" s="62"/>
      <c r="CZ231" s="62"/>
      <c r="DA231" s="62"/>
      <c r="DB231" s="62"/>
      <c r="DC231" s="62"/>
      <c r="DD231" s="62"/>
      <c r="DE231" s="62"/>
      <c r="DF231" s="62"/>
      <c r="DG231" s="62"/>
      <c r="DH231" s="62"/>
      <c r="DI231" s="62"/>
      <c r="DJ231" s="62"/>
      <c r="DK231" s="62"/>
      <c r="DL231" s="62"/>
    </row>
    <row r="232" spans="1:116" hidden="1" x14ac:dyDescent="0.2">
      <c r="A232" s="57">
        <v>33635</v>
      </c>
      <c r="B232" s="58"/>
      <c r="C232" s="66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6"/>
      <c r="P232" s="61"/>
      <c r="Q232" s="62"/>
      <c r="R232" s="62"/>
      <c r="S232" s="62"/>
      <c r="T232" s="62"/>
      <c r="U232" s="62"/>
      <c r="V232" s="62"/>
      <c r="W232" s="62"/>
      <c r="X232" s="62"/>
      <c r="Y232" s="61"/>
      <c r="Z232" s="63"/>
      <c r="AA232" s="64" t="e">
        <v>#N/A</v>
      </c>
      <c r="AB232" s="62" t="e">
        <v>#N/A</v>
      </c>
      <c r="AC232" s="62" t="e">
        <v>#N/A</v>
      </c>
      <c r="AD232" s="62" t="e">
        <v>#N/A</v>
      </c>
      <c r="AE232" s="62" t="e">
        <v>#N/A</v>
      </c>
      <c r="AF232" s="62" t="e">
        <v>#N/A</v>
      </c>
      <c r="AG232" s="62" t="e">
        <v>#N/A</v>
      </c>
      <c r="AH232" s="62" t="e">
        <v>#N/A</v>
      </c>
      <c r="AI232" s="62" t="e">
        <v>#N/A</v>
      </c>
      <c r="AJ232" s="62" t="e">
        <v>#N/A</v>
      </c>
      <c r="AK232" s="64" t="e">
        <v>#N/A</v>
      </c>
      <c r="AL232" s="19">
        <v>77163</v>
      </c>
      <c r="AM232" s="19">
        <v>93346</v>
      </c>
      <c r="AN232" s="23">
        <v>6298</v>
      </c>
      <c r="AO232" s="19">
        <v>108773</v>
      </c>
      <c r="AP232" s="19">
        <v>8075</v>
      </c>
      <c r="AQ232" s="62"/>
      <c r="AR232" s="63"/>
      <c r="AS232" s="63"/>
      <c r="AT232" s="65">
        <f t="shared" si="16"/>
        <v>4568.4660000000003</v>
      </c>
      <c r="AU232" s="65">
        <f t="shared" si="17"/>
        <v>264.51600000000002</v>
      </c>
      <c r="AV232" s="65">
        <f t="shared" si="18"/>
        <v>339.15</v>
      </c>
      <c r="AW232" s="65">
        <f t="shared" si="20"/>
        <v>3240.846</v>
      </c>
      <c r="AX232" s="65">
        <f t="shared" si="20"/>
        <v>3920.5320000000002</v>
      </c>
      <c r="AY232" s="65">
        <f t="shared" si="19"/>
        <v>339.15</v>
      </c>
      <c r="AZ232" s="19">
        <v>33770</v>
      </c>
      <c r="BA232" s="19">
        <v>36246</v>
      </c>
      <c r="BB232" s="19">
        <v>37812</v>
      </c>
      <c r="BC232" s="19">
        <v>1349</v>
      </c>
      <c r="BD232" s="19">
        <v>1168</v>
      </c>
      <c r="BE232" s="62"/>
      <c r="BF232" s="62"/>
      <c r="BG232" s="62"/>
      <c r="BH232" s="62"/>
      <c r="BI232" s="62"/>
      <c r="BJ232" s="62"/>
      <c r="BK232" s="62"/>
      <c r="BL232" s="62"/>
      <c r="BM232" s="62"/>
      <c r="BN232" s="62"/>
      <c r="BO232" s="62"/>
      <c r="BP232" s="62"/>
      <c r="BQ232" s="62"/>
      <c r="BR232" s="62"/>
      <c r="BS232" s="62"/>
      <c r="BT232" s="62"/>
      <c r="BU232" s="62"/>
      <c r="BV232" s="62"/>
      <c r="BW232" s="62"/>
      <c r="BX232" s="62"/>
      <c r="BY232" s="62"/>
      <c r="BZ232" s="62"/>
      <c r="CA232" s="62"/>
      <c r="CB232" s="62"/>
      <c r="CC232" s="62"/>
      <c r="CD232" s="62"/>
      <c r="CE232" s="62"/>
      <c r="CF232" s="62"/>
      <c r="CG232" s="62"/>
      <c r="CH232" s="62"/>
      <c r="CI232" s="62"/>
      <c r="CJ232" s="62"/>
      <c r="CK232" s="62"/>
      <c r="CL232" s="62"/>
      <c r="CM232" s="62"/>
      <c r="CN232" s="62"/>
      <c r="CO232" s="62"/>
      <c r="CP232" s="62"/>
      <c r="CQ232" s="62"/>
      <c r="CR232" s="62"/>
      <c r="CS232" s="62"/>
      <c r="CT232" s="62"/>
      <c r="CU232" s="62"/>
      <c r="CV232" s="62"/>
      <c r="CW232" s="62"/>
      <c r="CX232" s="62"/>
      <c r="CY232" s="62"/>
      <c r="CZ232" s="62"/>
      <c r="DA232" s="62"/>
      <c r="DB232" s="62"/>
      <c r="DC232" s="62"/>
      <c r="DD232" s="62"/>
      <c r="DE232" s="62"/>
      <c r="DF232" s="62"/>
      <c r="DG232" s="62"/>
      <c r="DH232" s="62"/>
      <c r="DI232" s="62"/>
      <c r="DJ232" s="62"/>
      <c r="DK232" s="62"/>
      <c r="DL232" s="62"/>
    </row>
    <row r="233" spans="1:116" hidden="1" x14ac:dyDescent="0.2">
      <c r="A233" s="57">
        <v>33664</v>
      </c>
      <c r="B233" s="58"/>
      <c r="C233" s="66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6"/>
      <c r="P233" s="61"/>
      <c r="Q233" s="62"/>
      <c r="R233" s="62"/>
      <c r="S233" s="62"/>
      <c r="T233" s="62"/>
      <c r="U233" s="62"/>
      <c r="V233" s="62"/>
      <c r="W233" s="62"/>
      <c r="X233" s="62"/>
      <c r="Y233" s="61"/>
      <c r="Z233" s="63"/>
      <c r="AA233" s="64" t="e">
        <v>#N/A</v>
      </c>
      <c r="AB233" s="62" t="e">
        <v>#N/A</v>
      </c>
      <c r="AC233" s="62" t="e">
        <v>#N/A</v>
      </c>
      <c r="AD233" s="62" t="e">
        <v>#N/A</v>
      </c>
      <c r="AE233" s="62" t="e">
        <v>#N/A</v>
      </c>
      <c r="AF233" s="62" t="e">
        <v>#N/A</v>
      </c>
      <c r="AG233" s="62" t="e">
        <v>#N/A</v>
      </c>
      <c r="AH233" s="62" t="e">
        <v>#N/A</v>
      </c>
      <c r="AI233" s="62" t="e">
        <v>#N/A</v>
      </c>
      <c r="AJ233" s="62" t="e">
        <v>#N/A</v>
      </c>
      <c r="AK233" s="64" t="e">
        <v>#N/A</v>
      </c>
      <c r="AL233" s="19">
        <v>85206</v>
      </c>
      <c r="AM233" s="19">
        <v>99405</v>
      </c>
      <c r="AN233" s="23">
        <v>7366</v>
      </c>
      <c r="AO233" s="19">
        <v>97676</v>
      </c>
      <c r="AP233" s="19">
        <v>4264</v>
      </c>
      <c r="AQ233" s="62"/>
      <c r="AR233" s="63"/>
      <c r="AS233" s="63"/>
      <c r="AT233" s="65">
        <f t="shared" si="16"/>
        <v>4102.3919999999998</v>
      </c>
      <c r="AU233" s="65">
        <f t="shared" si="17"/>
        <v>309.37200000000001</v>
      </c>
      <c r="AV233" s="65">
        <f t="shared" si="18"/>
        <v>179.08799999999999</v>
      </c>
      <c r="AW233" s="65">
        <f t="shared" si="20"/>
        <v>3578.652</v>
      </c>
      <c r="AX233" s="65">
        <f t="shared" si="20"/>
        <v>4175.01</v>
      </c>
      <c r="AY233" s="65">
        <f t="shared" si="19"/>
        <v>179.08799999999999</v>
      </c>
      <c r="AZ233" s="19">
        <v>37666</v>
      </c>
      <c r="BA233" s="19">
        <v>37768</v>
      </c>
      <c r="BB233" s="19">
        <v>38971</v>
      </c>
      <c r="BC233" s="19">
        <v>1455</v>
      </c>
      <c r="BD233" s="19">
        <v>194</v>
      </c>
      <c r="BE233" s="62"/>
      <c r="BF233" s="62"/>
      <c r="BG233" s="62"/>
      <c r="BH233" s="62"/>
      <c r="BI233" s="62"/>
      <c r="BJ233" s="62"/>
      <c r="BK233" s="62"/>
      <c r="BL233" s="62"/>
      <c r="BM233" s="62"/>
      <c r="BN233" s="62"/>
      <c r="BO233" s="62"/>
      <c r="BP233" s="62"/>
      <c r="BQ233" s="62"/>
      <c r="BR233" s="62"/>
      <c r="BS233" s="62"/>
      <c r="BT233" s="62"/>
      <c r="BU233" s="62"/>
      <c r="BV233" s="62"/>
      <c r="BW233" s="62"/>
      <c r="BX233" s="62"/>
      <c r="BY233" s="62"/>
      <c r="BZ233" s="62"/>
      <c r="CA233" s="62"/>
      <c r="CB233" s="62"/>
      <c r="CC233" s="62"/>
      <c r="CD233" s="62"/>
      <c r="CE233" s="62"/>
      <c r="CF233" s="62"/>
      <c r="CG233" s="62"/>
      <c r="CH233" s="62"/>
      <c r="CI233" s="62"/>
      <c r="CJ233" s="62"/>
      <c r="CK233" s="62"/>
      <c r="CL233" s="62"/>
      <c r="CM233" s="62"/>
      <c r="CN233" s="62"/>
      <c r="CO233" s="62"/>
      <c r="CP233" s="62"/>
      <c r="CQ233" s="62"/>
      <c r="CR233" s="62"/>
      <c r="CS233" s="62"/>
      <c r="CT233" s="62"/>
      <c r="CU233" s="62"/>
      <c r="CV233" s="62"/>
      <c r="CW233" s="62"/>
      <c r="CX233" s="62"/>
      <c r="CY233" s="62"/>
      <c r="CZ233" s="62"/>
      <c r="DA233" s="62"/>
      <c r="DB233" s="62"/>
      <c r="DC233" s="62"/>
      <c r="DD233" s="62"/>
      <c r="DE233" s="62"/>
      <c r="DF233" s="62"/>
      <c r="DG233" s="62"/>
      <c r="DH233" s="62"/>
      <c r="DI233" s="62"/>
      <c r="DJ233" s="62"/>
      <c r="DK233" s="62"/>
      <c r="DL233" s="62"/>
    </row>
    <row r="234" spans="1:116" hidden="1" x14ac:dyDescent="0.2">
      <c r="A234" s="57">
        <v>33695</v>
      </c>
      <c r="B234" s="58"/>
      <c r="C234" s="66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6"/>
      <c r="P234" s="61"/>
      <c r="Q234" s="62"/>
      <c r="R234" s="62"/>
      <c r="S234" s="62"/>
      <c r="T234" s="62"/>
      <c r="U234" s="62"/>
      <c r="V234" s="62"/>
      <c r="W234" s="62"/>
      <c r="X234" s="62"/>
      <c r="Y234" s="61"/>
      <c r="Z234" s="63"/>
      <c r="AA234" s="64" t="e">
        <v>#N/A</v>
      </c>
      <c r="AB234" s="62" t="e">
        <v>#N/A</v>
      </c>
      <c r="AC234" s="62" t="e">
        <v>#N/A</v>
      </c>
      <c r="AD234" s="62" t="e">
        <v>#N/A</v>
      </c>
      <c r="AE234" s="62" t="e">
        <v>#N/A</v>
      </c>
      <c r="AF234" s="62" t="e">
        <v>#N/A</v>
      </c>
      <c r="AG234" s="62" t="e">
        <v>#N/A</v>
      </c>
      <c r="AH234" s="62" t="e">
        <v>#N/A</v>
      </c>
      <c r="AI234" s="62" t="e">
        <v>#N/A</v>
      </c>
      <c r="AJ234" s="62" t="e">
        <v>#N/A</v>
      </c>
      <c r="AK234" s="64" t="e">
        <v>#N/A</v>
      </c>
      <c r="AL234" s="19">
        <v>87898</v>
      </c>
      <c r="AM234" s="19">
        <v>91156</v>
      </c>
      <c r="AN234" s="23">
        <v>6057</v>
      </c>
      <c r="AO234" s="19">
        <v>92131</v>
      </c>
      <c r="AP234" s="19">
        <v>8344</v>
      </c>
      <c r="AQ234" s="62"/>
      <c r="AR234" s="63"/>
      <c r="AS234" s="63"/>
      <c r="AT234" s="65">
        <f t="shared" si="16"/>
        <v>3869.502</v>
      </c>
      <c r="AU234" s="65">
        <f t="shared" si="17"/>
        <v>254.39400000000001</v>
      </c>
      <c r="AV234" s="65">
        <f t="shared" si="18"/>
        <v>350.44799999999998</v>
      </c>
      <c r="AW234" s="65">
        <f t="shared" si="20"/>
        <v>3691.7159999999999</v>
      </c>
      <c r="AX234" s="65">
        <f t="shared" si="20"/>
        <v>3828.5520000000001</v>
      </c>
      <c r="AY234" s="65">
        <f t="shared" si="19"/>
        <v>350.44799999999998</v>
      </c>
      <c r="AZ234" s="19">
        <v>33931</v>
      </c>
      <c r="BA234" s="19">
        <v>37850</v>
      </c>
      <c r="BB234" s="19">
        <v>36799</v>
      </c>
      <c r="BC234" s="19">
        <v>2115</v>
      </c>
      <c r="BD234" s="19">
        <v>368</v>
      </c>
      <c r="BE234" s="62"/>
      <c r="BF234" s="62"/>
      <c r="BG234" s="62"/>
      <c r="BH234" s="62"/>
      <c r="BI234" s="62"/>
      <c r="BJ234" s="62"/>
      <c r="BK234" s="62"/>
      <c r="BL234" s="62"/>
      <c r="BM234" s="62"/>
      <c r="BN234" s="62"/>
      <c r="BO234" s="62"/>
      <c r="BP234" s="62"/>
      <c r="BQ234" s="62"/>
      <c r="BR234" s="62"/>
      <c r="BS234" s="62"/>
      <c r="BT234" s="62"/>
      <c r="BU234" s="62"/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/>
      <c r="CP234" s="62"/>
      <c r="CQ234" s="62"/>
      <c r="CR234" s="62"/>
      <c r="CS234" s="62"/>
      <c r="CT234" s="62"/>
      <c r="CU234" s="62"/>
      <c r="CV234" s="62"/>
      <c r="CW234" s="62"/>
      <c r="CX234" s="62"/>
      <c r="CY234" s="62"/>
      <c r="CZ234" s="62"/>
      <c r="DA234" s="62"/>
      <c r="DB234" s="62"/>
      <c r="DC234" s="62"/>
      <c r="DD234" s="62"/>
      <c r="DE234" s="62"/>
      <c r="DF234" s="62"/>
      <c r="DG234" s="62"/>
      <c r="DH234" s="62"/>
      <c r="DI234" s="62"/>
      <c r="DJ234" s="62"/>
      <c r="DK234" s="62"/>
      <c r="DL234" s="62"/>
    </row>
    <row r="235" spans="1:116" hidden="1" x14ac:dyDescent="0.2">
      <c r="A235" s="57">
        <v>33725</v>
      </c>
      <c r="B235" s="58"/>
      <c r="C235" s="66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6"/>
      <c r="P235" s="61"/>
      <c r="Q235" s="62"/>
      <c r="R235" s="62"/>
      <c r="S235" s="62"/>
      <c r="T235" s="62"/>
      <c r="U235" s="62"/>
      <c r="V235" s="62"/>
      <c r="W235" s="62"/>
      <c r="X235" s="62"/>
      <c r="Y235" s="61"/>
      <c r="Z235" s="63"/>
      <c r="AA235" s="64" t="e">
        <v>#N/A</v>
      </c>
      <c r="AB235" s="62" t="e">
        <v>#N/A</v>
      </c>
      <c r="AC235" s="62" t="e">
        <v>#N/A</v>
      </c>
      <c r="AD235" s="62" t="e">
        <v>#N/A</v>
      </c>
      <c r="AE235" s="62" t="e">
        <v>#N/A</v>
      </c>
      <c r="AF235" s="62" t="e">
        <v>#N/A</v>
      </c>
      <c r="AG235" s="62" t="e">
        <v>#N/A</v>
      </c>
      <c r="AH235" s="62" t="e">
        <v>#N/A</v>
      </c>
      <c r="AI235" s="62" t="e">
        <v>#N/A</v>
      </c>
      <c r="AJ235" s="62" t="e">
        <v>#N/A</v>
      </c>
      <c r="AK235" s="64" t="e">
        <v>#N/A</v>
      </c>
      <c r="AL235" s="19">
        <v>90934</v>
      </c>
      <c r="AM235" s="19">
        <v>85333</v>
      </c>
      <c r="AN235" s="23">
        <v>5560</v>
      </c>
      <c r="AO235" s="19">
        <v>96425</v>
      </c>
      <c r="AP235" s="19">
        <v>6867</v>
      </c>
      <c r="AQ235" s="62"/>
      <c r="AR235" s="63"/>
      <c r="AS235" s="63"/>
      <c r="AT235" s="65">
        <f t="shared" si="16"/>
        <v>4049.85</v>
      </c>
      <c r="AU235" s="65">
        <f t="shared" si="17"/>
        <v>233.52</v>
      </c>
      <c r="AV235" s="65">
        <f t="shared" si="18"/>
        <v>288.41399999999999</v>
      </c>
      <c r="AW235" s="65">
        <f t="shared" si="20"/>
        <v>3819.2280000000001</v>
      </c>
      <c r="AX235" s="65">
        <f t="shared" si="20"/>
        <v>3583.9859999999999</v>
      </c>
      <c r="AY235" s="65">
        <f t="shared" si="19"/>
        <v>288.41399999999999</v>
      </c>
      <c r="AZ235" s="19">
        <v>37636</v>
      </c>
      <c r="BA235" s="19">
        <v>37150</v>
      </c>
      <c r="BB235" s="19">
        <v>39715</v>
      </c>
      <c r="BC235" s="19">
        <v>2632</v>
      </c>
      <c r="BD235" s="19">
        <v>202</v>
      </c>
      <c r="BE235" s="62"/>
      <c r="BF235" s="62"/>
      <c r="BG235" s="62"/>
      <c r="BH235" s="62"/>
      <c r="BI235" s="62"/>
      <c r="BJ235" s="62"/>
      <c r="BK235" s="62"/>
      <c r="BL235" s="62"/>
      <c r="BM235" s="62"/>
      <c r="BN235" s="62"/>
      <c r="BO235" s="62"/>
      <c r="BP235" s="62"/>
      <c r="BQ235" s="62"/>
      <c r="BR235" s="62"/>
      <c r="BS235" s="62"/>
      <c r="BT235" s="62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62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  <c r="DK235" s="62"/>
      <c r="DL235" s="62"/>
    </row>
    <row r="236" spans="1:116" hidden="1" x14ac:dyDescent="0.2">
      <c r="A236" s="57">
        <v>33756</v>
      </c>
      <c r="B236" s="58"/>
      <c r="C236" s="66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6"/>
      <c r="P236" s="61"/>
      <c r="Q236" s="62"/>
      <c r="R236" s="62"/>
      <c r="S236" s="62"/>
      <c r="T236" s="62"/>
      <c r="U236" s="62"/>
      <c r="V236" s="62"/>
      <c r="W236" s="62"/>
      <c r="X236" s="62"/>
      <c r="Y236" s="61"/>
      <c r="Z236" s="63"/>
      <c r="AA236" s="64" t="e">
        <v>#N/A</v>
      </c>
      <c r="AB236" s="62" t="e">
        <v>#N/A</v>
      </c>
      <c r="AC236" s="62" t="e">
        <v>#N/A</v>
      </c>
      <c r="AD236" s="62" t="e">
        <v>#N/A</v>
      </c>
      <c r="AE236" s="62" t="e">
        <v>#N/A</v>
      </c>
      <c r="AF236" s="62" t="e">
        <v>#N/A</v>
      </c>
      <c r="AG236" s="62" t="e">
        <v>#N/A</v>
      </c>
      <c r="AH236" s="62" t="e">
        <v>#N/A</v>
      </c>
      <c r="AI236" s="62" t="e">
        <v>#N/A</v>
      </c>
      <c r="AJ236" s="62" t="e">
        <v>#N/A</v>
      </c>
      <c r="AK236" s="64" t="e">
        <v>#N/A</v>
      </c>
      <c r="AL236" s="19">
        <v>89836</v>
      </c>
      <c r="AM236" s="19">
        <v>80368</v>
      </c>
      <c r="AN236" s="23">
        <v>4720</v>
      </c>
      <c r="AO236" s="19">
        <v>104473</v>
      </c>
      <c r="AP236" s="19">
        <v>6140</v>
      </c>
      <c r="AQ236" s="62"/>
      <c r="AR236" s="63"/>
      <c r="AS236" s="63"/>
      <c r="AT236" s="65">
        <f t="shared" si="16"/>
        <v>4387.866</v>
      </c>
      <c r="AU236" s="65">
        <f t="shared" si="17"/>
        <v>198.24</v>
      </c>
      <c r="AV236" s="65">
        <f t="shared" si="18"/>
        <v>257.88</v>
      </c>
      <c r="AW236" s="65">
        <f t="shared" si="20"/>
        <v>3773.1120000000001</v>
      </c>
      <c r="AX236" s="65">
        <f t="shared" si="20"/>
        <v>3375.4560000000001</v>
      </c>
      <c r="AY236" s="65">
        <f t="shared" si="19"/>
        <v>257.88</v>
      </c>
      <c r="AZ236" s="19">
        <v>37012</v>
      </c>
      <c r="BA236" s="19">
        <v>39249</v>
      </c>
      <c r="BB236" s="19">
        <v>39212</v>
      </c>
      <c r="BC236" s="19">
        <v>2317</v>
      </c>
      <c r="BD236" s="19">
        <v>583</v>
      </c>
      <c r="BE236" s="62"/>
      <c r="BF236" s="62"/>
      <c r="BG236" s="62"/>
      <c r="BH236" s="62"/>
      <c r="BI236" s="62"/>
      <c r="BJ236" s="62"/>
      <c r="BK236" s="62"/>
      <c r="BL236" s="62"/>
      <c r="BM236" s="62"/>
      <c r="BN236" s="62"/>
      <c r="BO236" s="62"/>
      <c r="BP236" s="62"/>
      <c r="BQ236" s="62"/>
      <c r="BR236" s="62"/>
      <c r="BS236" s="62"/>
      <c r="BT236" s="62"/>
      <c r="BU236" s="62"/>
      <c r="BV236" s="62"/>
      <c r="BW236" s="62"/>
      <c r="BX236" s="62"/>
      <c r="BY236" s="62"/>
      <c r="BZ236" s="62"/>
      <c r="CA236" s="62"/>
      <c r="CB236" s="62"/>
      <c r="CC236" s="62"/>
      <c r="CD236" s="62"/>
      <c r="CE236" s="62"/>
      <c r="CF236" s="62"/>
      <c r="CG236" s="62"/>
      <c r="CH236" s="62"/>
      <c r="CI236" s="62"/>
      <c r="CJ236" s="62"/>
      <c r="CK236" s="62"/>
      <c r="CL236" s="62"/>
      <c r="CM236" s="62"/>
      <c r="CN236" s="62"/>
      <c r="CO236" s="62"/>
      <c r="CP236" s="62"/>
      <c r="CQ236" s="62"/>
      <c r="CR236" s="62"/>
      <c r="CS236" s="62"/>
      <c r="CT236" s="62"/>
      <c r="CU236" s="62"/>
      <c r="CV236" s="62"/>
      <c r="CW236" s="62"/>
      <c r="CX236" s="62"/>
      <c r="CY236" s="62"/>
      <c r="CZ236" s="62"/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  <c r="DK236" s="62"/>
      <c r="DL236" s="62"/>
    </row>
    <row r="237" spans="1:116" hidden="1" x14ac:dyDescent="0.2">
      <c r="A237" s="57">
        <v>33786</v>
      </c>
      <c r="B237" s="58"/>
      <c r="C237" s="66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6"/>
      <c r="P237" s="61"/>
      <c r="Q237" s="62"/>
      <c r="R237" s="62"/>
      <c r="S237" s="62"/>
      <c r="T237" s="62"/>
      <c r="U237" s="62"/>
      <c r="V237" s="62"/>
      <c r="W237" s="62"/>
      <c r="X237" s="62"/>
      <c r="Y237" s="61"/>
      <c r="Z237" s="63"/>
      <c r="AA237" s="64" t="e">
        <v>#N/A</v>
      </c>
      <c r="AB237" s="62" t="e">
        <v>#N/A</v>
      </c>
      <c r="AC237" s="62" t="e">
        <v>#N/A</v>
      </c>
      <c r="AD237" s="62" t="e">
        <v>#N/A</v>
      </c>
      <c r="AE237" s="62" t="e">
        <v>#N/A</v>
      </c>
      <c r="AF237" s="62" t="e">
        <v>#N/A</v>
      </c>
      <c r="AG237" s="62" t="e">
        <v>#N/A</v>
      </c>
      <c r="AH237" s="62" t="e">
        <v>#N/A</v>
      </c>
      <c r="AI237" s="62" t="e">
        <v>#N/A</v>
      </c>
      <c r="AJ237" s="62" t="e">
        <v>#N/A</v>
      </c>
      <c r="AK237" s="64" t="e">
        <v>#N/A</v>
      </c>
      <c r="AL237" s="19">
        <v>95071</v>
      </c>
      <c r="AM237" s="19">
        <v>84006</v>
      </c>
      <c r="AN237" s="23">
        <v>5345</v>
      </c>
      <c r="AO237" s="19">
        <v>114639</v>
      </c>
      <c r="AP237" s="19">
        <v>6244</v>
      </c>
      <c r="AQ237" s="62"/>
      <c r="AR237" s="63"/>
      <c r="AS237" s="63"/>
      <c r="AT237" s="65">
        <f t="shared" si="16"/>
        <v>4814.8379999999997</v>
      </c>
      <c r="AU237" s="65">
        <f t="shared" si="17"/>
        <v>224.49</v>
      </c>
      <c r="AV237" s="65">
        <f t="shared" si="18"/>
        <v>262.24799999999999</v>
      </c>
      <c r="AW237" s="65">
        <f t="shared" si="20"/>
        <v>3992.982</v>
      </c>
      <c r="AX237" s="65">
        <f t="shared" si="20"/>
        <v>3528.252</v>
      </c>
      <c r="AY237" s="65">
        <f t="shared" si="19"/>
        <v>262.24799999999999</v>
      </c>
      <c r="AZ237" s="19">
        <v>41155</v>
      </c>
      <c r="BA237" s="19">
        <v>39694</v>
      </c>
      <c r="BB237" s="19">
        <v>41500</v>
      </c>
      <c r="BC237" s="19">
        <v>2450</v>
      </c>
      <c r="BD237" s="19">
        <v>1623</v>
      </c>
      <c r="BE237" s="62"/>
      <c r="BF237" s="62"/>
      <c r="BG237" s="62"/>
      <c r="BH237" s="62"/>
      <c r="BI237" s="62"/>
      <c r="BJ237" s="62"/>
      <c r="BK237" s="62"/>
      <c r="BL237" s="62"/>
      <c r="BM237" s="62"/>
      <c r="BN237" s="62"/>
      <c r="BO237" s="62"/>
      <c r="BP237" s="62"/>
      <c r="BQ237" s="62"/>
      <c r="BR237" s="62"/>
      <c r="BS237" s="62"/>
      <c r="BT237" s="62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62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  <c r="DK237" s="62"/>
      <c r="DL237" s="62"/>
    </row>
    <row r="238" spans="1:116" hidden="1" x14ac:dyDescent="0.2">
      <c r="A238" s="57">
        <v>33817</v>
      </c>
      <c r="B238" s="58"/>
      <c r="C238" s="66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6"/>
      <c r="P238" s="61"/>
      <c r="Q238" s="62"/>
      <c r="R238" s="62"/>
      <c r="S238" s="62"/>
      <c r="T238" s="62"/>
      <c r="U238" s="62"/>
      <c r="V238" s="62"/>
      <c r="W238" s="62"/>
      <c r="X238" s="62"/>
      <c r="Y238" s="61"/>
      <c r="Z238" s="63"/>
      <c r="AA238" s="64" t="e">
        <v>#N/A</v>
      </c>
      <c r="AB238" s="62" t="e">
        <v>#N/A</v>
      </c>
      <c r="AC238" s="62" t="e">
        <v>#N/A</v>
      </c>
      <c r="AD238" s="62" t="e">
        <v>#N/A</v>
      </c>
      <c r="AE238" s="62" t="e">
        <v>#N/A</v>
      </c>
      <c r="AF238" s="62" t="e">
        <v>#N/A</v>
      </c>
      <c r="AG238" s="62" t="e">
        <v>#N/A</v>
      </c>
      <c r="AH238" s="62" t="e">
        <v>#N/A</v>
      </c>
      <c r="AI238" s="62" t="e">
        <v>#N/A</v>
      </c>
      <c r="AJ238" s="62" t="e">
        <v>#N/A</v>
      </c>
      <c r="AK238" s="64" t="e">
        <v>#N/A</v>
      </c>
      <c r="AL238" s="19">
        <v>88821</v>
      </c>
      <c r="AM238" s="19">
        <v>83851</v>
      </c>
      <c r="AN238" s="23">
        <v>7104</v>
      </c>
      <c r="AO238" s="19">
        <v>122772</v>
      </c>
      <c r="AP238" s="19">
        <v>3941</v>
      </c>
      <c r="AQ238" s="62"/>
      <c r="AR238" s="63"/>
      <c r="AS238" s="63"/>
      <c r="AT238" s="65">
        <f t="shared" si="16"/>
        <v>5156.424</v>
      </c>
      <c r="AU238" s="65">
        <f t="shared" si="17"/>
        <v>298.36799999999999</v>
      </c>
      <c r="AV238" s="65">
        <f t="shared" si="18"/>
        <v>165.52199999999999</v>
      </c>
      <c r="AW238" s="65">
        <f t="shared" si="20"/>
        <v>3730.482</v>
      </c>
      <c r="AX238" s="65">
        <f t="shared" si="20"/>
        <v>3521.7420000000002</v>
      </c>
      <c r="AY238" s="65">
        <f t="shared" si="19"/>
        <v>165.52199999999999</v>
      </c>
      <c r="AZ238" s="19">
        <v>41508</v>
      </c>
      <c r="BA238" s="19">
        <v>44567</v>
      </c>
      <c r="BB238" s="19">
        <v>40922</v>
      </c>
      <c r="BC238" s="19">
        <v>2981</v>
      </c>
      <c r="BD238" s="19">
        <v>500</v>
      </c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62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  <c r="DK238" s="62"/>
      <c r="DL238" s="62"/>
    </row>
    <row r="239" spans="1:116" hidden="1" x14ac:dyDescent="0.2">
      <c r="A239" s="57">
        <v>33848</v>
      </c>
      <c r="B239" s="58"/>
      <c r="C239" s="66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6"/>
      <c r="P239" s="61"/>
      <c r="Q239" s="62"/>
      <c r="R239" s="62"/>
      <c r="S239" s="62"/>
      <c r="T239" s="62"/>
      <c r="U239" s="62"/>
      <c r="V239" s="62"/>
      <c r="W239" s="62"/>
      <c r="X239" s="62"/>
      <c r="Y239" s="61"/>
      <c r="Z239" s="63"/>
      <c r="AA239" s="64" t="e">
        <v>#N/A</v>
      </c>
      <c r="AB239" s="62" t="e">
        <v>#N/A</v>
      </c>
      <c r="AC239" s="62" t="e">
        <v>#N/A</v>
      </c>
      <c r="AD239" s="62" t="e">
        <v>#N/A</v>
      </c>
      <c r="AE239" s="62" t="e">
        <v>#N/A</v>
      </c>
      <c r="AF239" s="62" t="e">
        <v>#N/A</v>
      </c>
      <c r="AG239" s="62" t="e">
        <v>#N/A</v>
      </c>
      <c r="AH239" s="62" t="e">
        <v>#N/A</v>
      </c>
      <c r="AI239" s="62" t="e">
        <v>#N/A</v>
      </c>
      <c r="AJ239" s="62" t="e">
        <v>#N/A</v>
      </c>
      <c r="AK239" s="64" t="e">
        <v>#N/A</v>
      </c>
      <c r="AL239" s="19">
        <v>89501</v>
      </c>
      <c r="AM239" s="19">
        <v>87231</v>
      </c>
      <c r="AN239" s="23">
        <v>7098</v>
      </c>
      <c r="AO239" s="19">
        <v>127797</v>
      </c>
      <c r="AP239" s="19">
        <v>4343</v>
      </c>
      <c r="AQ239" s="62"/>
      <c r="AR239" s="63"/>
      <c r="AS239" s="63"/>
      <c r="AT239" s="65">
        <f t="shared" si="16"/>
        <v>5367.4740000000002</v>
      </c>
      <c r="AU239" s="65">
        <f t="shared" si="17"/>
        <v>298.11599999999999</v>
      </c>
      <c r="AV239" s="65">
        <f t="shared" si="18"/>
        <v>182.40600000000001</v>
      </c>
      <c r="AW239" s="65">
        <f t="shared" si="20"/>
        <v>3759.0419999999999</v>
      </c>
      <c r="AX239" s="65">
        <f t="shared" si="20"/>
        <v>3663.7020000000002</v>
      </c>
      <c r="AY239" s="65">
        <f t="shared" si="19"/>
        <v>182.40600000000001</v>
      </c>
      <c r="AZ239" s="19">
        <v>38870</v>
      </c>
      <c r="BA239" s="19">
        <v>39379</v>
      </c>
      <c r="BB239" s="19">
        <v>42773</v>
      </c>
      <c r="BC239" s="19">
        <v>2693</v>
      </c>
      <c r="BD239" s="19">
        <v>333</v>
      </c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62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  <c r="DK239" s="62"/>
      <c r="DL239" s="62"/>
    </row>
    <row r="240" spans="1:116" hidden="1" x14ac:dyDescent="0.2">
      <c r="A240" s="57">
        <v>33878</v>
      </c>
      <c r="B240" s="58"/>
      <c r="C240" s="66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6"/>
      <c r="P240" s="61"/>
      <c r="Q240" s="62"/>
      <c r="R240" s="62"/>
      <c r="S240" s="62"/>
      <c r="T240" s="62"/>
      <c r="U240" s="62"/>
      <c r="V240" s="62"/>
      <c r="W240" s="62"/>
      <c r="X240" s="62"/>
      <c r="Y240" s="61"/>
      <c r="Z240" s="63"/>
      <c r="AA240" s="64" t="e">
        <v>#N/A</v>
      </c>
      <c r="AB240" s="62" t="e">
        <v>#N/A</v>
      </c>
      <c r="AC240" s="62" t="e">
        <v>#N/A</v>
      </c>
      <c r="AD240" s="62" t="e">
        <v>#N/A</v>
      </c>
      <c r="AE240" s="62" t="e">
        <v>#N/A</v>
      </c>
      <c r="AF240" s="62" t="e">
        <v>#N/A</v>
      </c>
      <c r="AG240" s="62" t="e">
        <v>#N/A</v>
      </c>
      <c r="AH240" s="62" t="e">
        <v>#N/A</v>
      </c>
      <c r="AI240" s="62" t="e">
        <v>#N/A</v>
      </c>
      <c r="AJ240" s="62" t="e">
        <v>#N/A</v>
      </c>
      <c r="AK240" s="64" t="e">
        <v>#N/A</v>
      </c>
      <c r="AL240" s="19">
        <v>100773</v>
      </c>
      <c r="AM240" s="19">
        <v>94721</v>
      </c>
      <c r="AN240" s="23">
        <v>8168</v>
      </c>
      <c r="AO240" s="19">
        <v>136789</v>
      </c>
      <c r="AP240" s="19">
        <v>5228</v>
      </c>
      <c r="AQ240" s="62"/>
      <c r="AR240" s="63"/>
      <c r="AS240" s="63"/>
      <c r="AT240" s="65">
        <f t="shared" si="16"/>
        <v>5745.1379999999999</v>
      </c>
      <c r="AU240" s="65">
        <f t="shared" si="17"/>
        <v>343.05599999999998</v>
      </c>
      <c r="AV240" s="65">
        <f t="shared" si="18"/>
        <v>219.57599999999999</v>
      </c>
      <c r="AW240" s="65">
        <f t="shared" si="20"/>
        <v>4232.4660000000003</v>
      </c>
      <c r="AX240" s="65">
        <f t="shared" si="20"/>
        <v>3978.2820000000002</v>
      </c>
      <c r="AY240" s="65">
        <f t="shared" si="19"/>
        <v>219.57599999999999</v>
      </c>
      <c r="AZ240" s="19">
        <v>39213</v>
      </c>
      <c r="BA240" s="19">
        <v>40752</v>
      </c>
      <c r="BB240" s="19">
        <v>42817</v>
      </c>
      <c r="BC240" s="19">
        <v>2849</v>
      </c>
      <c r="BD240" s="19">
        <v>1266</v>
      </c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62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  <c r="DK240" s="62"/>
      <c r="DL240" s="62"/>
    </row>
    <row r="241" spans="1:116" hidden="1" x14ac:dyDescent="0.2">
      <c r="A241" s="57">
        <v>33909</v>
      </c>
      <c r="B241" s="58"/>
      <c r="C241" s="66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6"/>
      <c r="P241" s="61"/>
      <c r="Q241" s="62"/>
      <c r="R241" s="62"/>
      <c r="S241" s="62"/>
      <c r="T241" s="62"/>
      <c r="U241" s="62"/>
      <c r="V241" s="62"/>
      <c r="W241" s="62"/>
      <c r="X241" s="62"/>
      <c r="Y241" s="61"/>
      <c r="Z241" s="63"/>
      <c r="AA241" s="64" t="e">
        <v>#N/A</v>
      </c>
      <c r="AB241" s="62" t="e">
        <v>#N/A</v>
      </c>
      <c r="AC241" s="62" t="e">
        <v>#N/A</v>
      </c>
      <c r="AD241" s="62" t="e">
        <v>#N/A</v>
      </c>
      <c r="AE241" s="62" t="e">
        <v>#N/A</v>
      </c>
      <c r="AF241" s="62" t="e">
        <v>#N/A</v>
      </c>
      <c r="AG241" s="62" t="e">
        <v>#N/A</v>
      </c>
      <c r="AH241" s="62" t="e">
        <v>#N/A</v>
      </c>
      <c r="AI241" s="62" t="e">
        <v>#N/A</v>
      </c>
      <c r="AJ241" s="62" t="e">
        <v>#N/A</v>
      </c>
      <c r="AK241" s="64" t="e">
        <v>#N/A</v>
      </c>
      <c r="AL241" s="19">
        <v>97190</v>
      </c>
      <c r="AM241" s="19">
        <v>87876</v>
      </c>
      <c r="AN241" s="23">
        <v>7068</v>
      </c>
      <c r="AO241" s="19">
        <v>146283</v>
      </c>
      <c r="AP241" s="19">
        <v>6888</v>
      </c>
      <c r="AQ241" s="62"/>
      <c r="AR241" s="63"/>
      <c r="AS241" s="63"/>
      <c r="AT241" s="65">
        <f t="shared" si="16"/>
        <v>6143.8860000000004</v>
      </c>
      <c r="AU241" s="65">
        <f t="shared" si="17"/>
        <v>296.85599999999999</v>
      </c>
      <c r="AV241" s="65">
        <f t="shared" si="18"/>
        <v>289.29599999999999</v>
      </c>
      <c r="AW241" s="65">
        <f t="shared" si="20"/>
        <v>4081.98</v>
      </c>
      <c r="AX241" s="65">
        <f t="shared" si="20"/>
        <v>3690.7919999999999</v>
      </c>
      <c r="AY241" s="65">
        <f t="shared" si="19"/>
        <v>289.29599999999999</v>
      </c>
      <c r="AZ241" s="19">
        <v>39570</v>
      </c>
      <c r="BA241" s="19">
        <v>42318</v>
      </c>
      <c r="BB241" s="19">
        <v>41453</v>
      </c>
      <c r="BC241" s="19">
        <v>2509</v>
      </c>
      <c r="BD241" s="19">
        <v>1125</v>
      </c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62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  <c r="DK241" s="62"/>
      <c r="DL241" s="62"/>
    </row>
    <row r="242" spans="1:116" hidden="1" x14ac:dyDescent="0.2">
      <c r="A242" s="57">
        <v>33939</v>
      </c>
      <c r="B242" s="58"/>
      <c r="C242" s="66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6"/>
      <c r="P242" s="61"/>
      <c r="Q242" s="62"/>
      <c r="R242" s="62"/>
      <c r="S242" s="62"/>
      <c r="T242" s="62"/>
      <c r="U242" s="62"/>
      <c r="V242" s="62"/>
      <c r="W242" s="62"/>
      <c r="X242" s="62"/>
      <c r="Y242" s="61"/>
      <c r="Z242" s="63"/>
      <c r="AA242" s="64" t="e">
        <v>#N/A</v>
      </c>
      <c r="AB242" s="62" t="e">
        <v>#N/A</v>
      </c>
      <c r="AC242" s="62" t="e">
        <v>#N/A</v>
      </c>
      <c r="AD242" s="62" t="e">
        <v>#N/A</v>
      </c>
      <c r="AE242" s="62" t="e">
        <v>#N/A</v>
      </c>
      <c r="AF242" s="62" t="e">
        <v>#N/A</v>
      </c>
      <c r="AG242" s="62" t="e">
        <v>#N/A</v>
      </c>
      <c r="AH242" s="62" t="e">
        <v>#N/A</v>
      </c>
      <c r="AI242" s="62" t="e">
        <v>#N/A</v>
      </c>
      <c r="AJ242" s="62" t="e">
        <v>#N/A</v>
      </c>
      <c r="AK242" s="64" t="e">
        <v>#N/A</v>
      </c>
      <c r="AL242" s="19">
        <v>98563</v>
      </c>
      <c r="AM242" s="19">
        <v>102811</v>
      </c>
      <c r="AN242" s="23">
        <v>7114</v>
      </c>
      <c r="AO242" s="19">
        <v>140607</v>
      </c>
      <c r="AP242" s="19">
        <v>8542</v>
      </c>
      <c r="AQ242" s="62"/>
      <c r="AR242" s="63"/>
      <c r="AS242" s="63"/>
      <c r="AT242" s="65">
        <f t="shared" si="16"/>
        <v>5905.4939999999997</v>
      </c>
      <c r="AU242" s="65">
        <f t="shared" si="17"/>
        <v>298.78800000000001</v>
      </c>
      <c r="AV242" s="65">
        <f t="shared" si="18"/>
        <v>358.76400000000001</v>
      </c>
      <c r="AW242" s="65">
        <f t="shared" si="20"/>
        <v>4139.6459999999997</v>
      </c>
      <c r="AX242" s="65">
        <f t="shared" si="20"/>
        <v>4318.0619999999999</v>
      </c>
      <c r="AY242" s="65">
        <f t="shared" si="19"/>
        <v>358.76400000000001</v>
      </c>
      <c r="AZ242" s="19">
        <v>41412</v>
      </c>
      <c r="BA242" s="19">
        <v>43707</v>
      </c>
      <c r="BB242" s="19">
        <v>38642</v>
      </c>
      <c r="BC242" s="19">
        <v>2923</v>
      </c>
      <c r="BD242" s="19">
        <v>3439</v>
      </c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62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  <c r="DK242" s="62"/>
      <c r="DL242" s="62"/>
    </row>
    <row r="243" spans="1:116" hidden="1" x14ac:dyDescent="0.2">
      <c r="A243" s="57">
        <v>33970</v>
      </c>
      <c r="B243" s="58"/>
      <c r="C243" s="66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6"/>
      <c r="P243" s="61"/>
      <c r="Q243" s="62"/>
      <c r="R243" s="62"/>
      <c r="S243" s="62"/>
      <c r="T243" s="62"/>
      <c r="U243" s="62"/>
      <c r="V243" s="62"/>
      <c r="W243" s="62"/>
      <c r="X243" s="62"/>
      <c r="Y243" s="61"/>
      <c r="Z243" s="63"/>
      <c r="AA243" s="64" t="e">
        <v>#N/A</v>
      </c>
      <c r="AB243" s="62" t="e">
        <v>#N/A</v>
      </c>
      <c r="AC243" s="62" t="e">
        <v>#N/A</v>
      </c>
      <c r="AD243" s="62" t="e">
        <v>#N/A</v>
      </c>
      <c r="AE243" s="62" t="e">
        <v>#N/A</v>
      </c>
      <c r="AF243" s="62" t="e">
        <v>#N/A</v>
      </c>
      <c r="AG243" s="62" t="e">
        <v>#N/A</v>
      </c>
      <c r="AH243" s="62" t="e">
        <v>#N/A</v>
      </c>
      <c r="AI243" s="62" t="e">
        <v>#N/A</v>
      </c>
      <c r="AJ243" s="62" t="e">
        <v>#N/A</v>
      </c>
      <c r="AK243" s="64" t="e">
        <v>#N/A</v>
      </c>
      <c r="AL243" s="19">
        <v>90348</v>
      </c>
      <c r="AM243" s="19">
        <v>96981</v>
      </c>
      <c r="AN243" s="23">
        <v>5650</v>
      </c>
      <c r="AO243" s="19">
        <v>130741</v>
      </c>
      <c r="AP243" s="19">
        <v>8883</v>
      </c>
      <c r="AQ243" s="62"/>
      <c r="AR243" s="63"/>
      <c r="AS243" s="63"/>
      <c r="AT243" s="65">
        <f t="shared" si="16"/>
        <v>5491.1220000000003</v>
      </c>
      <c r="AU243" s="65">
        <f t="shared" si="17"/>
        <v>237.3</v>
      </c>
      <c r="AV243" s="65">
        <f t="shared" si="18"/>
        <v>373.08600000000001</v>
      </c>
      <c r="AW243" s="65">
        <f t="shared" si="20"/>
        <v>3794.616</v>
      </c>
      <c r="AX243" s="65">
        <f t="shared" si="20"/>
        <v>4073.2020000000002</v>
      </c>
      <c r="AY243" s="65">
        <f t="shared" si="19"/>
        <v>373.08600000000001</v>
      </c>
      <c r="AZ243" s="19">
        <v>40534</v>
      </c>
      <c r="BA243" s="19">
        <v>42436</v>
      </c>
      <c r="BB243" s="19">
        <v>36309</v>
      </c>
      <c r="BC243" s="19">
        <v>2545</v>
      </c>
      <c r="BD243" s="19">
        <v>2976</v>
      </c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62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  <c r="DK243" s="62"/>
      <c r="DL243" s="62"/>
    </row>
    <row r="244" spans="1:116" hidden="1" x14ac:dyDescent="0.2">
      <c r="A244" s="57">
        <v>34001</v>
      </c>
      <c r="B244" s="58"/>
      <c r="C244" s="66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6"/>
      <c r="P244" s="61"/>
      <c r="Q244" s="62"/>
      <c r="R244" s="62"/>
      <c r="S244" s="62"/>
      <c r="T244" s="62"/>
      <c r="U244" s="62"/>
      <c r="V244" s="62"/>
      <c r="W244" s="62"/>
      <c r="X244" s="62"/>
      <c r="Y244" s="61"/>
      <c r="Z244" s="63"/>
      <c r="AA244" s="64" t="e">
        <v>#N/A</v>
      </c>
      <c r="AB244" s="62" t="e">
        <v>#N/A</v>
      </c>
      <c r="AC244" s="62" t="e">
        <v>#N/A</v>
      </c>
      <c r="AD244" s="62" t="e">
        <v>#N/A</v>
      </c>
      <c r="AE244" s="62" t="e">
        <v>#N/A</v>
      </c>
      <c r="AF244" s="62" t="e">
        <v>#N/A</v>
      </c>
      <c r="AG244" s="62" t="e">
        <v>#N/A</v>
      </c>
      <c r="AH244" s="62" t="e">
        <v>#N/A</v>
      </c>
      <c r="AI244" s="62" t="e">
        <v>#N/A</v>
      </c>
      <c r="AJ244" s="62" t="e">
        <v>#N/A</v>
      </c>
      <c r="AK244" s="64" t="e">
        <v>#N/A</v>
      </c>
      <c r="AL244" s="19">
        <v>78822</v>
      </c>
      <c r="AM244" s="19">
        <v>97030</v>
      </c>
      <c r="AN244" s="23">
        <v>6272</v>
      </c>
      <c r="AO244" s="19">
        <v>110372</v>
      </c>
      <c r="AP244" s="19">
        <v>8433</v>
      </c>
      <c r="AQ244" s="62"/>
      <c r="AR244" s="63"/>
      <c r="AS244" s="63"/>
      <c r="AT244" s="65">
        <f t="shared" si="16"/>
        <v>4635.6239999999998</v>
      </c>
      <c r="AU244" s="65">
        <f t="shared" si="17"/>
        <v>263.42399999999998</v>
      </c>
      <c r="AV244" s="65">
        <f t="shared" si="18"/>
        <v>354.18599999999998</v>
      </c>
      <c r="AW244" s="65">
        <f t="shared" si="20"/>
        <v>3310.5239999999999</v>
      </c>
      <c r="AX244" s="65">
        <f t="shared" si="20"/>
        <v>4075.26</v>
      </c>
      <c r="AY244" s="65">
        <f t="shared" si="19"/>
        <v>354.18599999999998</v>
      </c>
      <c r="AZ244" s="19">
        <v>36839</v>
      </c>
      <c r="BA244" s="19">
        <v>37438</v>
      </c>
      <c r="BB244" s="19">
        <v>38073</v>
      </c>
      <c r="BC244" s="19">
        <v>2814</v>
      </c>
      <c r="BD244" s="19">
        <v>451</v>
      </c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62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  <c r="DK244" s="62"/>
      <c r="DL244" s="62"/>
    </row>
    <row r="245" spans="1:116" hidden="1" x14ac:dyDescent="0.2">
      <c r="A245" s="57">
        <v>34029</v>
      </c>
      <c r="B245" s="58"/>
      <c r="C245" s="66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6"/>
      <c r="P245" s="61"/>
      <c r="Q245" s="62"/>
      <c r="R245" s="62"/>
      <c r="S245" s="62"/>
      <c r="T245" s="62"/>
      <c r="U245" s="62"/>
      <c r="V245" s="62"/>
      <c r="W245" s="62"/>
      <c r="X245" s="62"/>
      <c r="Y245" s="61"/>
      <c r="Z245" s="63"/>
      <c r="AA245" s="64" t="e">
        <v>#N/A</v>
      </c>
      <c r="AB245" s="62" t="e">
        <v>#N/A</v>
      </c>
      <c r="AC245" s="62" t="e">
        <v>#N/A</v>
      </c>
      <c r="AD245" s="62" t="e">
        <v>#N/A</v>
      </c>
      <c r="AE245" s="62" t="e">
        <v>#N/A</v>
      </c>
      <c r="AF245" s="62" t="e">
        <v>#N/A</v>
      </c>
      <c r="AG245" s="62" t="e">
        <v>#N/A</v>
      </c>
      <c r="AH245" s="62" t="e">
        <v>#N/A</v>
      </c>
      <c r="AI245" s="62" t="e">
        <v>#N/A</v>
      </c>
      <c r="AJ245" s="62" t="e">
        <v>#N/A</v>
      </c>
      <c r="AK245" s="64" t="e">
        <v>#N/A</v>
      </c>
      <c r="AL245" s="19">
        <v>90483</v>
      </c>
      <c r="AM245" s="19">
        <v>106021</v>
      </c>
      <c r="AN245" s="23">
        <v>7293</v>
      </c>
      <c r="AO245" s="19">
        <v>97349</v>
      </c>
      <c r="AP245" s="19">
        <v>4778</v>
      </c>
      <c r="AQ245" s="62"/>
      <c r="AR245" s="63"/>
      <c r="AS245" s="63"/>
      <c r="AT245" s="65">
        <f t="shared" si="16"/>
        <v>4088.6579999999999</v>
      </c>
      <c r="AU245" s="65">
        <f t="shared" si="17"/>
        <v>306.30599999999998</v>
      </c>
      <c r="AV245" s="65">
        <f t="shared" si="18"/>
        <v>200.67599999999999</v>
      </c>
      <c r="AW245" s="65">
        <f t="shared" si="20"/>
        <v>3800.2860000000001</v>
      </c>
      <c r="AX245" s="65">
        <f t="shared" si="20"/>
        <v>4452.8819999999996</v>
      </c>
      <c r="AY245" s="65">
        <f t="shared" si="19"/>
        <v>200.67599999999999</v>
      </c>
      <c r="AZ245" s="19">
        <v>41281</v>
      </c>
      <c r="BA245" s="19">
        <v>41384</v>
      </c>
      <c r="BB245" s="19">
        <v>37695</v>
      </c>
      <c r="BC245" s="19">
        <v>2300</v>
      </c>
      <c r="BD245" s="19">
        <v>2575</v>
      </c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62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  <c r="DK245" s="62"/>
      <c r="DL245" s="62"/>
    </row>
    <row r="246" spans="1:116" hidden="1" x14ac:dyDescent="0.2">
      <c r="A246" s="57">
        <v>34060</v>
      </c>
      <c r="B246" s="58"/>
      <c r="C246" s="66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6"/>
      <c r="P246" s="61"/>
      <c r="Q246" s="62"/>
      <c r="R246" s="62"/>
      <c r="S246" s="62"/>
      <c r="T246" s="62"/>
      <c r="U246" s="62"/>
      <c r="V246" s="62"/>
      <c r="W246" s="62"/>
      <c r="X246" s="62"/>
      <c r="Y246" s="61"/>
      <c r="Z246" s="63"/>
      <c r="AA246" s="64" t="e">
        <v>#N/A</v>
      </c>
      <c r="AB246" s="62" t="e">
        <v>#N/A</v>
      </c>
      <c r="AC246" s="62" t="e">
        <v>#N/A</v>
      </c>
      <c r="AD246" s="62" t="e">
        <v>#N/A</v>
      </c>
      <c r="AE246" s="62" t="e">
        <v>#N/A</v>
      </c>
      <c r="AF246" s="62" t="e">
        <v>#N/A</v>
      </c>
      <c r="AG246" s="62" t="e">
        <v>#N/A</v>
      </c>
      <c r="AH246" s="62" t="e">
        <v>#N/A</v>
      </c>
      <c r="AI246" s="62" t="e">
        <v>#N/A</v>
      </c>
      <c r="AJ246" s="62" t="e">
        <v>#N/A</v>
      </c>
      <c r="AK246" s="64" t="e">
        <v>#N/A</v>
      </c>
      <c r="AL246" s="19">
        <v>91395</v>
      </c>
      <c r="AM246" s="19">
        <v>88303</v>
      </c>
      <c r="AN246" s="23">
        <v>6282</v>
      </c>
      <c r="AO246" s="19">
        <v>99480</v>
      </c>
      <c r="AP246" s="19">
        <v>7243</v>
      </c>
      <c r="AQ246" s="62"/>
      <c r="AR246" s="63"/>
      <c r="AS246" s="63"/>
      <c r="AT246" s="65">
        <f t="shared" si="16"/>
        <v>4178.16</v>
      </c>
      <c r="AU246" s="65">
        <f t="shared" si="17"/>
        <v>263.84399999999999</v>
      </c>
      <c r="AV246" s="65">
        <f t="shared" si="18"/>
        <v>304.20600000000002</v>
      </c>
      <c r="AW246" s="65">
        <f t="shared" si="20"/>
        <v>3838.59</v>
      </c>
      <c r="AX246" s="65">
        <f t="shared" si="20"/>
        <v>3708.7260000000001</v>
      </c>
      <c r="AY246" s="65">
        <f t="shared" si="19"/>
        <v>304.20600000000002</v>
      </c>
      <c r="AZ246" s="19">
        <v>37941</v>
      </c>
      <c r="BA246" s="19">
        <v>38976</v>
      </c>
      <c r="BB246" s="19">
        <v>37394</v>
      </c>
      <c r="BC246" s="19">
        <v>2567</v>
      </c>
      <c r="BD246" s="19">
        <v>1833</v>
      </c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62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  <c r="DK246" s="62"/>
      <c r="DL246" s="62"/>
    </row>
    <row r="247" spans="1:116" hidden="1" x14ac:dyDescent="0.2">
      <c r="A247" s="57">
        <v>34090</v>
      </c>
      <c r="B247" s="58"/>
      <c r="C247" s="66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6"/>
      <c r="P247" s="61"/>
      <c r="Q247" s="62"/>
      <c r="R247" s="62"/>
      <c r="S247" s="62"/>
      <c r="T247" s="62"/>
      <c r="U247" s="62"/>
      <c r="V247" s="62"/>
      <c r="W247" s="62"/>
      <c r="X247" s="62"/>
      <c r="Y247" s="61"/>
      <c r="Z247" s="63"/>
      <c r="AA247" s="64" t="e">
        <v>#N/A</v>
      </c>
      <c r="AB247" s="62" t="e">
        <v>#N/A</v>
      </c>
      <c r="AC247" s="62" t="e">
        <v>#N/A</v>
      </c>
      <c r="AD247" s="62" t="e">
        <v>#N/A</v>
      </c>
      <c r="AE247" s="62" t="e">
        <v>#N/A</v>
      </c>
      <c r="AF247" s="62" t="e">
        <v>#N/A</v>
      </c>
      <c r="AG247" s="62" t="e">
        <v>#N/A</v>
      </c>
      <c r="AH247" s="62" t="e">
        <v>#N/A</v>
      </c>
      <c r="AI247" s="62" t="e">
        <v>#N/A</v>
      </c>
      <c r="AJ247" s="62" t="e">
        <v>#N/A</v>
      </c>
      <c r="AK247" s="64" t="e">
        <v>#N/A</v>
      </c>
      <c r="AL247" s="19">
        <v>92801</v>
      </c>
      <c r="AM247" s="19">
        <v>83245</v>
      </c>
      <c r="AN247" s="23">
        <v>4730</v>
      </c>
      <c r="AO247" s="19">
        <v>102760</v>
      </c>
      <c r="AP247" s="19">
        <v>11006</v>
      </c>
      <c r="AQ247" s="62"/>
      <c r="AR247" s="63"/>
      <c r="AS247" s="63"/>
      <c r="AT247" s="65">
        <f t="shared" si="16"/>
        <v>4315.92</v>
      </c>
      <c r="AU247" s="65">
        <f t="shared" si="17"/>
        <v>198.66</v>
      </c>
      <c r="AV247" s="65">
        <f t="shared" si="18"/>
        <v>462.25200000000001</v>
      </c>
      <c r="AW247" s="65">
        <f t="shared" si="20"/>
        <v>3897.6419999999998</v>
      </c>
      <c r="AX247" s="65">
        <f t="shared" si="20"/>
        <v>3496.29</v>
      </c>
      <c r="AY247" s="65">
        <f t="shared" si="19"/>
        <v>462.25200000000001</v>
      </c>
      <c r="AZ247" s="19">
        <v>40354</v>
      </c>
      <c r="BA247" s="19">
        <v>39913</v>
      </c>
      <c r="BB247" s="19">
        <v>38459</v>
      </c>
      <c r="BC247" s="19">
        <v>2084</v>
      </c>
      <c r="BD247" s="19">
        <v>1460</v>
      </c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62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  <c r="DK247" s="62"/>
      <c r="DL247" s="62"/>
    </row>
    <row r="248" spans="1:116" hidden="1" x14ac:dyDescent="0.2">
      <c r="A248" s="57">
        <v>34121</v>
      </c>
      <c r="B248" s="58"/>
      <c r="C248" s="66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6"/>
      <c r="P248" s="61"/>
      <c r="Q248" s="62"/>
      <c r="R248" s="62"/>
      <c r="S248" s="62"/>
      <c r="T248" s="62"/>
      <c r="U248" s="62"/>
      <c r="V248" s="62"/>
      <c r="W248" s="62"/>
      <c r="X248" s="62"/>
      <c r="Y248" s="61"/>
      <c r="Z248" s="63"/>
      <c r="AA248" s="64" t="e">
        <v>#N/A</v>
      </c>
      <c r="AB248" s="62" t="e">
        <v>#N/A</v>
      </c>
      <c r="AC248" s="62" t="e">
        <v>#N/A</v>
      </c>
      <c r="AD248" s="62" t="e">
        <v>#N/A</v>
      </c>
      <c r="AE248" s="62" t="e">
        <v>#N/A</v>
      </c>
      <c r="AF248" s="62" t="e">
        <v>#N/A</v>
      </c>
      <c r="AG248" s="62" t="e">
        <v>#N/A</v>
      </c>
      <c r="AH248" s="62" t="e">
        <v>#N/A</v>
      </c>
      <c r="AI248" s="62" t="e">
        <v>#N/A</v>
      </c>
      <c r="AJ248" s="62" t="e">
        <v>#N/A</v>
      </c>
      <c r="AK248" s="64" t="e">
        <v>#N/A</v>
      </c>
      <c r="AL248" s="19">
        <v>92780</v>
      </c>
      <c r="AM248" s="19">
        <v>85883</v>
      </c>
      <c r="AN248" s="23">
        <v>5050</v>
      </c>
      <c r="AO248" s="19">
        <v>109981</v>
      </c>
      <c r="AP248" s="19">
        <v>4726</v>
      </c>
      <c r="AQ248" s="62"/>
      <c r="AR248" s="63"/>
      <c r="AS248" s="63"/>
      <c r="AT248" s="65">
        <f t="shared" si="16"/>
        <v>4619.2020000000002</v>
      </c>
      <c r="AU248" s="65">
        <f t="shared" si="17"/>
        <v>212.1</v>
      </c>
      <c r="AV248" s="65">
        <f t="shared" si="18"/>
        <v>198.49199999999999</v>
      </c>
      <c r="AW248" s="65">
        <f t="shared" si="20"/>
        <v>3896.76</v>
      </c>
      <c r="AX248" s="65">
        <f t="shared" si="20"/>
        <v>3607.0859999999998</v>
      </c>
      <c r="AY248" s="65">
        <f t="shared" si="19"/>
        <v>198.49199999999999</v>
      </c>
      <c r="AZ248" s="19">
        <v>42200</v>
      </c>
      <c r="BA248" s="19">
        <v>40865</v>
      </c>
      <c r="BB248" s="19">
        <v>41143</v>
      </c>
      <c r="BC248" s="19">
        <v>2384</v>
      </c>
      <c r="BD248" s="19">
        <v>1035</v>
      </c>
      <c r="BE248" s="62"/>
      <c r="BF248" s="62"/>
      <c r="BG248" s="62"/>
      <c r="BH248" s="62"/>
      <c r="BI248" s="62"/>
      <c r="BJ248" s="62"/>
      <c r="BK248" s="62"/>
      <c r="BL248" s="62"/>
      <c r="BM248" s="62"/>
      <c r="BN248" s="62"/>
      <c r="BO248" s="62"/>
      <c r="BP248" s="62"/>
      <c r="BQ248" s="62"/>
      <c r="BR248" s="62"/>
      <c r="BS248" s="62"/>
      <c r="BT248" s="62"/>
      <c r="BU248" s="62"/>
      <c r="BV248" s="62"/>
      <c r="BW248" s="62"/>
      <c r="BX248" s="62"/>
      <c r="BY248" s="62"/>
      <c r="BZ248" s="62"/>
      <c r="CA248" s="62"/>
      <c r="CB248" s="62"/>
      <c r="CC248" s="62"/>
      <c r="CD248" s="62"/>
      <c r="CE248" s="62"/>
      <c r="CF248" s="62"/>
      <c r="CG248" s="62"/>
      <c r="CH248" s="62"/>
      <c r="CI248" s="62"/>
      <c r="CJ248" s="62"/>
      <c r="CK248" s="62"/>
      <c r="CL248" s="62"/>
      <c r="CM248" s="62"/>
      <c r="CN248" s="62"/>
      <c r="CO248" s="62"/>
      <c r="CP248" s="62"/>
      <c r="CQ248" s="62"/>
      <c r="CR248" s="62"/>
      <c r="CS248" s="62"/>
      <c r="CT248" s="62"/>
      <c r="CU248" s="62"/>
      <c r="CV248" s="62"/>
      <c r="CW248" s="62"/>
      <c r="CX248" s="62"/>
      <c r="CY248" s="62"/>
      <c r="CZ248" s="62"/>
      <c r="DA248" s="62"/>
      <c r="DB248" s="62"/>
      <c r="DC248" s="62"/>
      <c r="DD248" s="62"/>
      <c r="DE248" s="62"/>
      <c r="DF248" s="62"/>
      <c r="DG248" s="62"/>
      <c r="DH248" s="62"/>
      <c r="DI248" s="62"/>
      <c r="DJ248" s="62"/>
      <c r="DK248" s="62"/>
      <c r="DL248" s="62"/>
    </row>
    <row r="249" spans="1:116" hidden="1" x14ac:dyDescent="0.2">
      <c r="A249" s="57">
        <v>34151</v>
      </c>
      <c r="B249" s="58"/>
      <c r="C249" s="66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6"/>
      <c r="P249" s="61"/>
      <c r="Q249" s="62"/>
      <c r="R249" s="62"/>
      <c r="S249" s="62"/>
      <c r="T249" s="62"/>
      <c r="U249" s="62"/>
      <c r="V249" s="62"/>
      <c r="W249" s="62"/>
      <c r="X249" s="62"/>
      <c r="Y249" s="61"/>
      <c r="Z249" s="63"/>
      <c r="AA249" s="64" t="e">
        <v>#N/A</v>
      </c>
      <c r="AB249" s="62" t="e">
        <v>#N/A</v>
      </c>
      <c r="AC249" s="62" t="e">
        <v>#N/A</v>
      </c>
      <c r="AD249" s="62" t="e">
        <v>#N/A</v>
      </c>
      <c r="AE249" s="62" t="e">
        <v>#N/A</v>
      </c>
      <c r="AF249" s="62" t="e">
        <v>#N/A</v>
      </c>
      <c r="AG249" s="62" t="e">
        <v>#N/A</v>
      </c>
      <c r="AH249" s="62" t="e">
        <v>#N/A</v>
      </c>
      <c r="AI249" s="62" t="e">
        <v>#N/A</v>
      </c>
      <c r="AJ249" s="62" t="e">
        <v>#N/A</v>
      </c>
      <c r="AK249" s="64" t="e">
        <v>#N/A</v>
      </c>
      <c r="AL249" s="19">
        <v>98763</v>
      </c>
      <c r="AM249" s="19">
        <v>82901</v>
      </c>
      <c r="AN249" s="23">
        <v>4032</v>
      </c>
      <c r="AO249" s="19">
        <v>120695</v>
      </c>
      <c r="AP249" s="19">
        <v>9180</v>
      </c>
      <c r="AQ249" s="62"/>
      <c r="AR249" s="63"/>
      <c r="AS249" s="63"/>
      <c r="AT249" s="65">
        <f t="shared" si="16"/>
        <v>5069.1899999999996</v>
      </c>
      <c r="AU249" s="65">
        <f t="shared" si="17"/>
        <v>169.34399999999999</v>
      </c>
      <c r="AV249" s="65">
        <f t="shared" si="18"/>
        <v>385.56</v>
      </c>
      <c r="AW249" s="65">
        <f t="shared" si="20"/>
        <v>4148.0460000000003</v>
      </c>
      <c r="AX249" s="65">
        <f t="shared" si="20"/>
        <v>3481.8420000000001</v>
      </c>
      <c r="AY249" s="65">
        <f t="shared" si="19"/>
        <v>385.56</v>
      </c>
      <c r="AZ249" s="19">
        <v>42138</v>
      </c>
      <c r="BA249" s="19">
        <v>41488</v>
      </c>
      <c r="BB249" s="19">
        <v>42650</v>
      </c>
      <c r="BC249" s="19">
        <v>2656</v>
      </c>
      <c r="BD249" s="19">
        <v>1799</v>
      </c>
      <c r="BE249" s="62"/>
      <c r="BF249" s="62"/>
      <c r="BG249" s="62"/>
      <c r="BH249" s="62"/>
      <c r="BI249" s="62"/>
      <c r="BJ249" s="62"/>
      <c r="BK249" s="62"/>
      <c r="BL249" s="62"/>
      <c r="BM249" s="62"/>
      <c r="BN249" s="62"/>
      <c r="BO249" s="62"/>
      <c r="BP249" s="62"/>
      <c r="BQ249" s="62"/>
      <c r="BR249" s="62"/>
      <c r="BS249" s="62"/>
      <c r="BT249" s="62"/>
      <c r="BU249" s="62"/>
      <c r="BV249" s="62"/>
      <c r="BW249" s="62"/>
      <c r="BX249" s="62"/>
      <c r="BY249" s="62"/>
      <c r="BZ249" s="62"/>
      <c r="CA249" s="62"/>
      <c r="CB249" s="62"/>
      <c r="CC249" s="62"/>
      <c r="CD249" s="62"/>
      <c r="CE249" s="62"/>
      <c r="CF249" s="62"/>
      <c r="CG249" s="62"/>
      <c r="CH249" s="62"/>
      <c r="CI249" s="62"/>
      <c r="CJ249" s="62"/>
      <c r="CK249" s="62"/>
      <c r="CL249" s="62"/>
      <c r="CM249" s="62"/>
      <c r="CN249" s="62"/>
      <c r="CO249" s="62"/>
      <c r="CP249" s="62"/>
      <c r="CQ249" s="62"/>
      <c r="CR249" s="62"/>
      <c r="CS249" s="62"/>
      <c r="CT249" s="62"/>
      <c r="CU249" s="62"/>
      <c r="CV249" s="62"/>
      <c r="CW249" s="62"/>
      <c r="CX249" s="62"/>
      <c r="CY249" s="62"/>
      <c r="CZ249" s="62"/>
      <c r="DA249" s="62"/>
      <c r="DB249" s="62"/>
      <c r="DC249" s="62"/>
      <c r="DD249" s="62"/>
      <c r="DE249" s="62"/>
      <c r="DF249" s="62"/>
      <c r="DG249" s="62"/>
      <c r="DH249" s="62"/>
      <c r="DI249" s="62"/>
      <c r="DJ249" s="62"/>
      <c r="DK249" s="62"/>
      <c r="DL249" s="62"/>
    </row>
    <row r="250" spans="1:116" hidden="1" x14ac:dyDescent="0.2">
      <c r="A250" s="57">
        <v>34182</v>
      </c>
      <c r="B250" s="58"/>
      <c r="C250" s="66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6"/>
      <c r="P250" s="61"/>
      <c r="Q250" s="62"/>
      <c r="R250" s="62"/>
      <c r="S250" s="62"/>
      <c r="T250" s="62"/>
      <c r="U250" s="62"/>
      <c r="V250" s="62"/>
      <c r="W250" s="62"/>
      <c r="X250" s="62"/>
      <c r="Y250" s="61"/>
      <c r="Z250" s="63"/>
      <c r="AA250" s="64" t="e">
        <v>#N/A</v>
      </c>
      <c r="AB250" s="62" t="e">
        <v>#N/A</v>
      </c>
      <c r="AC250" s="62" t="e">
        <v>#N/A</v>
      </c>
      <c r="AD250" s="62" t="e">
        <v>#N/A</v>
      </c>
      <c r="AE250" s="62" t="e">
        <v>#N/A</v>
      </c>
      <c r="AF250" s="62" t="e">
        <v>#N/A</v>
      </c>
      <c r="AG250" s="62" t="e">
        <v>#N/A</v>
      </c>
      <c r="AH250" s="62" t="e">
        <v>#N/A</v>
      </c>
      <c r="AI250" s="62" t="e">
        <v>#N/A</v>
      </c>
      <c r="AJ250" s="62" t="e">
        <v>#N/A</v>
      </c>
      <c r="AK250" s="64" t="e">
        <v>#N/A</v>
      </c>
      <c r="AL250" s="19">
        <v>96099</v>
      </c>
      <c r="AM250" s="19">
        <v>87411</v>
      </c>
      <c r="AN250" s="23">
        <v>4915</v>
      </c>
      <c r="AO250" s="19">
        <v>128235</v>
      </c>
      <c r="AP250" s="19">
        <v>6063</v>
      </c>
      <c r="AQ250" s="62"/>
      <c r="AR250" s="63"/>
      <c r="AS250" s="63"/>
      <c r="AT250" s="65">
        <f t="shared" si="16"/>
        <v>5385.87</v>
      </c>
      <c r="AU250" s="65">
        <f t="shared" si="17"/>
        <v>206.43</v>
      </c>
      <c r="AV250" s="65">
        <f t="shared" si="18"/>
        <v>254.64599999999999</v>
      </c>
      <c r="AW250" s="65">
        <f t="shared" si="20"/>
        <v>4036.1579999999999</v>
      </c>
      <c r="AX250" s="65">
        <f t="shared" si="20"/>
        <v>3671.2620000000002</v>
      </c>
      <c r="AY250" s="65">
        <f t="shared" si="19"/>
        <v>254.64599999999999</v>
      </c>
      <c r="AZ250" s="19">
        <v>38956</v>
      </c>
      <c r="BA250" s="19">
        <v>43801</v>
      </c>
      <c r="BB250" s="19">
        <v>39621</v>
      </c>
      <c r="BC250" s="19">
        <v>2833</v>
      </c>
      <c r="BD250" s="19">
        <v>1017</v>
      </c>
      <c r="BE250" s="62"/>
      <c r="BF250" s="62"/>
      <c r="BG250" s="62"/>
      <c r="BH250" s="62"/>
      <c r="BI250" s="62"/>
      <c r="BJ250" s="62"/>
      <c r="BK250" s="62"/>
      <c r="BL250" s="62"/>
      <c r="BM250" s="62"/>
      <c r="BN250" s="62"/>
      <c r="BO250" s="62"/>
      <c r="BP250" s="62"/>
      <c r="BQ250" s="62"/>
      <c r="BR250" s="62"/>
      <c r="BS250" s="62"/>
      <c r="BT250" s="62"/>
      <c r="BU250" s="62"/>
      <c r="BV250" s="62"/>
      <c r="BW250" s="62"/>
      <c r="BX250" s="62"/>
      <c r="BY250" s="62"/>
      <c r="BZ250" s="62"/>
      <c r="CA250" s="62"/>
      <c r="CB250" s="62"/>
      <c r="CC250" s="62"/>
      <c r="CD250" s="62"/>
      <c r="CE250" s="62"/>
      <c r="CF250" s="62"/>
      <c r="CG250" s="62"/>
      <c r="CH250" s="62"/>
      <c r="CI250" s="62"/>
      <c r="CJ250" s="62"/>
      <c r="CK250" s="62"/>
      <c r="CL250" s="62"/>
      <c r="CM250" s="62"/>
      <c r="CN250" s="62"/>
      <c r="CO250" s="62"/>
      <c r="CP250" s="62"/>
      <c r="CQ250" s="62"/>
      <c r="CR250" s="62"/>
      <c r="CS250" s="62"/>
      <c r="CT250" s="62"/>
      <c r="CU250" s="62"/>
      <c r="CV250" s="62"/>
      <c r="CW250" s="62"/>
      <c r="CX250" s="62"/>
      <c r="CY250" s="62"/>
      <c r="CZ250" s="62"/>
      <c r="DA250" s="62"/>
      <c r="DB250" s="62"/>
      <c r="DC250" s="62"/>
      <c r="DD250" s="62"/>
      <c r="DE250" s="62"/>
      <c r="DF250" s="62"/>
      <c r="DG250" s="62"/>
      <c r="DH250" s="62"/>
      <c r="DI250" s="62"/>
      <c r="DJ250" s="62"/>
      <c r="DK250" s="62"/>
      <c r="DL250" s="62"/>
    </row>
    <row r="251" spans="1:116" hidden="1" x14ac:dyDescent="0.2">
      <c r="A251" s="57">
        <v>34213</v>
      </c>
      <c r="B251" s="58"/>
      <c r="C251" s="66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6"/>
      <c r="P251" s="61"/>
      <c r="Q251" s="62"/>
      <c r="R251" s="62"/>
      <c r="S251" s="62"/>
      <c r="T251" s="62"/>
      <c r="U251" s="62"/>
      <c r="V251" s="62"/>
      <c r="W251" s="62"/>
      <c r="X251" s="62"/>
      <c r="Y251" s="61"/>
      <c r="Z251" s="63"/>
      <c r="AA251" s="64" t="e">
        <v>#N/A</v>
      </c>
      <c r="AB251" s="62" t="e">
        <v>#N/A</v>
      </c>
      <c r="AC251" s="62" t="e">
        <v>#N/A</v>
      </c>
      <c r="AD251" s="62" t="e">
        <v>#N/A</v>
      </c>
      <c r="AE251" s="62" t="e">
        <v>#N/A</v>
      </c>
      <c r="AF251" s="62" t="e">
        <v>#N/A</v>
      </c>
      <c r="AG251" s="62" t="e">
        <v>#N/A</v>
      </c>
      <c r="AH251" s="62" t="e">
        <v>#N/A</v>
      </c>
      <c r="AI251" s="62" t="e">
        <v>#N/A</v>
      </c>
      <c r="AJ251" s="62" t="e">
        <v>#N/A</v>
      </c>
      <c r="AK251" s="64" t="e">
        <v>#N/A</v>
      </c>
      <c r="AL251" s="19">
        <v>96139</v>
      </c>
      <c r="AM251" s="19">
        <v>89185</v>
      </c>
      <c r="AN251" s="23">
        <v>4101</v>
      </c>
      <c r="AO251" s="19">
        <v>131293</v>
      </c>
      <c r="AP251" s="19">
        <v>7997</v>
      </c>
      <c r="AQ251" s="62"/>
      <c r="AR251" s="63"/>
      <c r="AS251" s="63"/>
      <c r="AT251" s="65">
        <f t="shared" si="16"/>
        <v>5514.3059999999996</v>
      </c>
      <c r="AU251" s="65">
        <f t="shared" si="17"/>
        <v>172.24199999999999</v>
      </c>
      <c r="AV251" s="65">
        <f t="shared" si="18"/>
        <v>335.87400000000002</v>
      </c>
      <c r="AW251" s="65">
        <f t="shared" si="20"/>
        <v>4037.8380000000002</v>
      </c>
      <c r="AX251" s="65">
        <f t="shared" si="20"/>
        <v>3745.77</v>
      </c>
      <c r="AY251" s="65">
        <f t="shared" si="19"/>
        <v>335.87400000000002</v>
      </c>
      <c r="AZ251" s="19">
        <v>37230</v>
      </c>
      <c r="BA251" s="19">
        <v>40703</v>
      </c>
      <c r="BB251" s="19">
        <v>38368</v>
      </c>
      <c r="BC251" s="19">
        <v>2634</v>
      </c>
      <c r="BD251" s="19">
        <v>414</v>
      </c>
      <c r="BE251" s="62"/>
      <c r="BF251" s="62"/>
      <c r="BG251" s="62"/>
      <c r="BH251" s="62"/>
      <c r="BI251" s="62"/>
      <c r="BJ251" s="62"/>
      <c r="BK251" s="62"/>
      <c r="BL251" s="62"/>
      <c r="BM251" s="62"/>
      <c r="BN251" s="62"/>
      <c r="BO251" s="62"/>
      <c r="BP251" s="62"/>
      <c r="BQ251" s="62"/>
      <c r="BR251" s="62"/>
      <c r="BS251" s="62"/>
      <c r="BT251" s="62"/>
      <c r="BU251" s="62"/>
      <c r="BV251" s="62"/>
      <c r="BW251" s="62"/>
      <c r="BX251" s="62"/>
      <c r="BY251" s="62"/>
      <c r="BZ251" s="62"/>
      <c r="CA251" s="62"/>
      <c r="CB251" s="62"/>
      <c r="CC251" s="62"/>
      <c r="CD251" s="62"/>
      <c r="CE251" s="62"/>
      <c r="CF251" s="62"/>
      <c r="CG251" s="62"/>
      <c r="CH251" s="62"/>
      <c r="CI251" s="62"/>
      <c r="CJ251" s="62"/>
      <c r="CK251" s="62"/>
      <c r="CL251" s="62"/>
      <c r="CM251" s="62"/>
      <c r="CN251" s="62"/>
      <c r="CO251" s="62"/>
      <c r="CP251" s="62"/>
      <c r="CQ251" s="62"/>
      <c r="CR251" s="62"/>
      <c r="CS251" s="62"/>
      <c r="CT251" s="62"/>
      <c r="CU251" s="62"/>
      <c r="CV251" s="62"/>
      <c r="CW251" s="62"/>
      <c r="CX251" s="62"/>
      <c r="CY251" s="62"/>
      <c r="CZ251" s="62"/>
      <c r="DA251" s="62"/>
      <c r="DB251" s="62"/>
      <c r="DC251" s="62"/>
      <c r="DD251" s="62"/>
      <c r="DE251" s="62"/>
      <c r="DF251" s="62"/>
      <c r="DG251" s="62"/>
      <c r="DH251" s="62"/>
      <c r="DI251" s="62"/>
      <c r="DJ251" s="62"/>
      <c r="DK251" s="62"/>
      <c r="DL251" s="62"/>
    </row>
    <row r="252" spans="1:116" hidden="1" x14ac:dyDescent="0.2">
      <c r="A252" s="57">
        <v>34243</v>
      </c>
      <c r="B252" s="58"/>
      <c r="C252" s="66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6"/>
      <c r="P252" s="61"/>
      <c r="Q252" s="62"/>
      <c r="R252" s="62"/>
      <c r="S252" s="62"/>
      <c r="T252" s="62"/>
      <c r="U252" s="62"/>
      <c r="V252" s="62"/>
      <c r="W252" s="62"/>
      <c r="X252" s="62"/>
      <c r="Y252" s="61"/>
      <c r="Z252" s="63"/>
      <c r="AA252" s="64" t="e">
        <v>#N/A</v>
      </c>
      <c r="AB252" s="62" t="e">
        <v>#N/A</v>
      </c>
      <c r="AC252" s="62" t="e">
        <v>#N/A</v>
      </c>
      <c r="AD252" s="62" t="e">
        <v>#N/A</v>
      </c>
      <c r="AE252" s="62" t="e">
        <v>#N/A</v>
      </c>
      <c r="AF252" s="62" t="e">
        <v>#N/A</v>
      </c>
      <c r="AG252" s="62" t="e">
        <v>#N/A</v>
      </c>
      <c r="AH252" s="62" t="e">
        <v>#N/A</v>
      </c>
      <c r="AI252" s="62" t="e">
        <v>#N/A</v>
      </c>
      <c r="AJ252" s="62" t="e">
        <v>#N/A</v>
      </c>
      <c r="AK252" s="64" t="e">
        <v>#N/A</v>
      </c>
      <c r="AL252" s="19">
        <v>106377</v>
      </c>
      <c r="AM252" s="19">
        <v>92484</v>
      </c>
      <c r="AN252" s="23">
        <v>7494</v>
      </c>
      <c r="AO252" s="19">
        <v>145344</v>
      </c>
      <c r="AP252" s="19">
        <v>7336</v>
      </c>
      <c r="AQ252" s="62"/>
      <c r="AR252" s="63"/>
      <c r="AS252" s="63"/>
      <c r="AT252" s="65">
        <f t="shared" si="16"/>
        <v>6104.4480000000003</v>
      </c>
      <c r="AU252" s="65">
        <f t="shared" si="17"/>
        <v>314.74799999999999</v>
      </c>
      <c r="AV252" s="65">
        <f t="shared" si="18"/>
        <v>308.11200000000002</v>
      </c>
      <c r="AW252" s="65">
        <f t="shared" si="20"/>
        <v>4467.8339999999998</v>
      </c>
      <c r="AX252" s="65">
        <f t="shared" si="20"/>
        <v>3884.328</v>
      </c>
      <c r="AY252" s="65">
        <f t="shared" si="19"/>
        <v>308.11200000000002</v>
      </c>
      <c r="AZ252" s="19">
        <v>38504</v>
      </c>
      <c r="BA252" s="19">
        <v>43073</v>
      </c>
      <c r="BB252" s="19">
        <v>37448</v>
      </c>
      <c r="BC252" s="19">
        <v>4045</v>
      </c>
      <c r="BD252" s="19">
        <v>396</v>
      </c>
      <c r="BE252" s="62"/>
      <c r="BF252" s="62"/>
      <c r="BG252" s="62"/>
      <c r="BH252" s="62"/>
      <c r="BI252" s="62"/>
      <c r="BJ252" s="62"/>
      <c r="BK252" s="62"/>
      <c r="BL252" s="62"/>
      <c r="BM252" s="62"/>
      <c r="BN252" s="62"/>
      <c r="BO252" s="62"/>
      <c r="BP252" s="62"/>
      <c r="BQ252" s="62"/>
      <c r="BR252" s="62"/>
      <c r="BS252" s="62"/>
      <c r="BT252" s="62"/>
      <c r="BU252" s="62"/>
      <c r="BV252" s="62"/>
      <c r="BW252" s="62"/>
      <c r="BX252" s="62"/>
      <c r="BY252" s="62"/>
      <c r="BZ252" s="62"/>
      <c r="CA252" s="62"/>
      <c r="CB252" s="62"/>
      <c r="CC252" s="62"/>
      <c r="CD252" s="62"/>
      <c r="CE252" s="62"/>
      <c r="CF252" s="62"/>
      <c r="CG252" s="62"/>
      <c r="CH252" s="62"/>
      <c r="CI252" s="62"/>
      <c r="CJ252" s="62"/>
      <c r="CK252" s="62"/>
      <c r="CL252" s="62"/>
      <c r="CM252" s="62"/>
      <c r="CN252" s="62"/>
      <c r="CO252" s="62"/>
      <c r="CP252" s="62"/>
      <c r="CQ252" s="62"/>
      <c r="CR252" s="62"/>
      <c r="CS252" s="62"/>
      <c r="CT252" s="62"/>
      <c r="CU252" s="62"/>
      <c r="CV252" s="62"/>
      <c r="CW252" s="62"/>
      <c r="CX252" s="62"/>
      <c r="CY252" s="62"/>
      <c r="CZ252" s="62"/>
      <c r="DA252" s="62"/>
      <c r="DB252" s="62"/>
      <c r="DC252" s="62"/>
      <c r="DD252" s="62"/>
      <c r="DE252" s="62"/>
      <c r="DF252" s="62"/>
      <c r="DG252" s="62"/>
      <c r="DH252" s="62"/>
      <c r="DI252" s="62"/>
      <c r="DJ252" s="62"/>
      <c r="DK252" s="62"/>
      <c r="DL252" s="62"/>
    </row>
    <row r="253" spans="1:116" hidden="1" x14ac:dyDescent="0.2">
      <c r="A253" s="57">
        <v>34274</v>
      </c>
      <c r="B253" s="58"/>
      <c r="C253" s="66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6"/>
      <c r="P253" s="61"/>
      <c r="Q253" s="62"/>
      <c r="R253" s="62"/>
      <c r="S253" s="62"/>
      <c r="T253" s="62"/>
      <c r="U253" s="62"/>
      <c r="V253" s="62"/>
      <c r="W253" s="62"/>
      <c r="X253" s="62"/>
      <c r="Y253" s="61"/>
      <c r="Z253" s="63"/>
      <c r="AA253" s="64" t="e">
        <v>#N/A</v>
      </c>
      <c r="AB253" s="62" t="e">
        <v>#N/A</v>
      </c>
      <c r="AC253" s="62" t="e">
        <v>#N/A</v>
      </c>
      <c r="AD253" s="62" t="e">
        <v>#N/A</v>
      </c>
      <c r="AE253" s="62" t="e">
        <v>#N/A</v>
      </c>
      <c r="AF253" s="62" t="e">
        <v>#N/A</v>
      </c>
      <c r="AG253" s="62" t="e">
        <v>#N/A</v>
      </c>
      <c r="AH253" s="62" t="e">
        <v>#N/A</v>
      </c>
      <c r="AI253" s="62" t="e">
        <v>#N/A</v>
      </c>
      <c r="AJ253" s="62" t="e">
        <v>#N/A</v>
      </c>
      <c r="AK253" s="64" t="e">
        <v>#N/A</v>
      </c>
      <c r="AL253" s="19">
        <v>104211</v>
      </c>
      <c r="AM253" s="19">
        <v>96540</v>
      </c>
      <c r="AN253" s="23">
        <v>6409</v>
      </c>
      <c r="AO253" s="19">
        <v>149158</v>
      </c>
      <c r="AP253" s="19">
        <v>10266</v>
      </c>
      <c r="AQ253" s="62"/>
      <c r="AR253" s="63"/>
      <c r="AS253" s="63"/>
      <c r="AT253" s="65">
        <f t="shared" si="16"/>
        <v>6264.6360000000004</v>
      </c>
      <c r="AU253" s="65">
        <f t="shared" si="17"/>
        <v>269.178</v>
      </c>
      <c r="AV253" s="65">
        <f t="shared" si="18"/>
        <v>431.17200000000003</v>
      </c>
      <c r="AW253" s="65">
        <f t="shared" si="20"/>
        <v>4376.8620000000001</v>
      </c>
      <c r="AX253" s="65">
        <f t="shared" si="20"/>
        <v>4054.68</v>
      </c>
      <c r="AY253" s="65">
        <f t="shared" si="19"/>
        <v>431.17200000000003</v>
      </c>
      <c r="AZ253" s="19">
        <v>39041</v>
      </c>
      <c r="BA253" s="19">
        <v>40715</v>
      </c>
      <c r="BB253" s="19">
        <v>37913</v>
      </c>
      <c r="BC253" s="19">
        <v>2904</v>
      </c>
      <c r="BD253" s="19">
        <v>765</v>
      </c>
      <c r="BE253" s="62"/>
      <c r="BF253" s="62"/>
      <c r="BG253" s="62"/>
      <c r="BH253" s="62"/>
      <c r="BI253" s="62"/>
      <c r="BJ253" s="62"/>
      <c r="BK253" s="62"/>
      <c r="BL253" s="62"/>
      <c r="BM253" s="62"/>
      <c r="BN253" s="62"/>
      <c r="BO253" s="62"/>
      <c r="BP253" s="62"/>
      <c r="BQ253" s="62"/>
      <c r="BR253" s="62"/>
      <c r="BS253" s="62"/>
      <c r="BT253" s="62"/>
      <c r="BU253" s="62"/>
      <c r="BV253" s="62"/>
      <c r="BW253" s="62"/>
      <c r="BX253" s="62"/>
      <c r="BY253" s="62"/>
      <c r="BZ253" s="62"/>
      <c r="CA253" s="62"/>
      <c r="CB253" s="62"/>
      <c r="CC253" s="62"/>
      <c r="CD253" s="62"/>
      <c r="CE253" s="62"/>
      <c r="CF253" s="62"/>
      <c r="CG253" s="62"/>
      <c r="CH253" s="62"/>
      <c r="CI253" s="62"/>
      <c r="CJ253" s="62"/>
      <c r="CK253" s="62"/>
      <c r="CL253" s="62"/>
      <c r="CM253" s="62"/>
      <c r="CN253" s="62"/>
      <c r="CO253" s="62"/>
      <c r="CP253" s="62"/>
      <c r="CQ253" s="62"/>
      <c r="CR253" s="62"/>
      <c r="CS253" s="62"/>
      <c r="CT253" s="62"/>
      <c r="CU253" s="62"/>
      <c r="CV253" s="62"/>
      <c r="CW253" s="62"/>
      <c r="CX253" s="62"/>
      <c r="CY253" s="62"/>
      <c r="CZ253" s="62"/>
      <c r="DA253" s="62"/>
      <c r="DB253" s="62"/>
      <c r="DC253" s="62"/>
      <c r="DD253" s="62"/>
      <c r="DE253" s="62"/>
      <c r="DF253" s="62"/>
      <c r="DG253" s="62"/>
      <c r="DH253" s="62"/>
      <c r="DI253" s="62"/>
      <c r="DJ253" s="62"/>
      <c r="DK253" s="62"/>
      <c r="DL253" s="62"/>
    </row>
    <row r="254" spans="1:116" hidden="1" x14ac:dyDescent="0.2">
      <c r="A254" s="57">
        <v>34304</v>
      </c>
      <c r="B254" s="58"/>
      <c r="C254" s="66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6"/>
      <c r="P254" s="61"/>
      <c r="Q254" s="62"/>
      <c r="R254" s="62"/>
      <c r="S254" s="62"/>
      <c r="T254" s="62"/>
      <c r="U254" s="62"/>
      <c r="V254" s="62"/>
      <c r="W254" s="62"/>
      <c r="X254" s="62"/>
      <c r="Y254" s="61"/>
      <c r="Z254" s="63"/>
      <c r="AA254" s="64" t="e">
        <v>#N/A</v>
      </c>
      <c r="AB254" s="62" t="e">
        <v>#N/A</v>
      </c>
      <c r="AC254" s="62" t="e">
        <v>#N/A</v>
      </c>
      <c r="AD254" s="62" t="e">
        <v>#N/A</v>
      </c>
      <c r="AE254" s="62" t="e">
        <v>#N/A</v>
      </c>
      <c r="AF254" s="62" t="e">
        <v>#N/A</v>
      </c>
      <c r="AG254" s="62" t="e">
        <v>#N/A</v>
      </c>
      <c r="AH254" s="62" t="e">
        <v>#N/A</v>
      </c>
      <c r="AI254" s="62" t="e">
        <v>#N/A</v>
      </c>
      <c r="AJ254" s="62" t="e">
        <v>#N/A</v>
      </c>
      <c r="AK254" s="64" t="e">
        <v>#N/A</v>
      </c>
      <c r="AL254" s="19">
        <v>104857</v>
      </c>
      <c r="AM254" s="19">
        <v>104059</v>
      </c>
      <c r="AN254" s="23">
        <v>4956</v>
      </c>
      <c r="AO254" s="19">
        <v>140867</v>
      </c>
      <c r="AP254" s="19">
        <v>14045</v>
      </c>
      <c r="AQ254" s="62"/>
      <c r="AR254" s="63"/>
      <c r="AS254" s="63"/>
      <c r="AT254" s="65">
        <f t="shared" si="16"/>
        <v>5916.4139999999998</v>
      </c>
      <c r="AU254" s="65">
        <f t="shared" si="17"/>
        <v>208.15199999999999</v>
      </c>
      <c r="AV254" s="65">
        <f t="shared" si="18"/>
        <v>589.89</v>
      </c>
      <c r="AW254" s="65">
        <f t="shared" si="20"/>
        <v>4403.9939999999997</v>
      </c>
      <c r="AX254" s="65">
        <f t="shared" si="20"/>
        <v>4370.4780000000001</v>
      </c>
      <c r="AY254" s="65">
        <f t="shared" si="19"/>
        <v>589.89</v>
      </c>
      <c r="AZ254" s="19">
        <v>42843</v>
      </c>
      <c r="BA254" s="19">
        <v>44676</v>
      </c>
      <c r="BB254" s="19">
        <v>38044</v>
      </c>
      <c r="BC254" s="19">
        <v>3027</v>
      </c>
      <c r="BD254" s="19">
        <v>1063</v>
      </c>
      <c r="BE254" s="62"/>
      <c r="BF254" s="62"/>
      <c r="BG254" s="62"/>
      <c r="BH254" s="62"/>
      <c r="BI254" s="62"/>
      <c r="BJ254" s="62"/>
      <c r="BK254" s="62"/>
      <c r="BL254" s="62"/>
      <c r="BM254" s="62"/>
      <c r="BN254" s="62"/>
      <c r="BO254" s="62"/>
      <c r="BP254" s="62"/>
      <c r="BQ254" s="62"/>
      <c r="BR254" s="62"/>
      <c r="BS254" s="62"/>
      <c r="BT254" s="62"/>
      <c r="BU254" s="62"/>
      <c r="BV254" s="62"/>
      <c r="BW254" s="62"/>
      <c r="BX254" s="62"/>
      <c r="BY254" s="62"/>
      <c r="BZ254" s="62"/>
      <c r="CA254" s="62"/>
      <c r="CB254" s="62"/>
      <c r="CC254" s="62"/>
      <c r="CD254" s="62"/>
      <c r="CE254" s="62"/>
      <c r="CF254" s="62"/>
      <c r="CG254" s="62"/>
      <c r="CH254" s="62"/>
      <c r="CI254" s="62"/>
      <c r="CJ254" s="62"/>
      <c r="CK254" s="62"/>
      <c r="CL254" s="62"/>
      <c r="CM254" s="62"/>
      <c r="CN254" s="62"/>
      <c r="CO254" s="62"/>
      <c r="CP254" s="62"/>
      <c r="CQ254" s="62"/>
      <c r="CR254" s="62"/>
      <c r="CS254" s="62"/>
      <c r="CT254" s="62"/>
      <c r="CU254" s="62"/>
      <c r="CV254" s="62"/>
      <c r="CW254" s="62"/>
      <c r="CX254" s="62"/>
      <c r="CY254" s="62"/>
      <c r="CZ254" s="62"/>
      <c r="DA254" s="62"/>
      <c r="DB254" s="62"/>
      <c r="DC254" s="62"/>
      <c r="DD254" s="62"/>
      <c r="DE254" s="62"/>
      <c r="DF254" s="62"/>
      <c r="DG254" s="62"/>
      <c r="DH254" s="62"/>
      <c r="DI254" s="62"/>
      <c r="DJ254" s="62"/>
      <c r="DK254" s="62"/>
      <c r="DL254" s="62"/>
    </row>
    <row r="255" spans="1:116" hidden="1" x14ac:dyDescent="0.2">
      <c r="A255" s="57">
        <v>34335</v>
      </c>
      <c r="B255" s="58"/>
      <c r="C255" s="66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6"/>
      <c r="P255" s="61"/>
      <c r="Q255" s="62"/>
      <c r="R255" s="62"/>
      <c r="S255" s="62"/>
      <c r="T255" s="62"/>
      <c r="U255" s="62"/>
      <c r="V255" s="62"/>
      <c r="W255" s="62"/>
      <c r="X255" s="62"/>
      <c r="Y255" s="61"/>
      <c r="Z255" s="63"/>
      <c r="AA255" s="64" t="e">
        <v>#N/A</v>
      </c>
      <c r="AB255" s="62" t="e">
        <v>#N/A</v>
      </c>
      <c r="AC255" s="62" t="e">
        <v>#N/A</v>
      </c>
      <c r="AD255" s="62" t="e">
        <v>#N/A</v>
      </c>
      <c r="AE255" s="62" t="e">
        <v>#N/A</v>
      </c>
      <c r="AF255" s="62" t="e">
        <v>#N/A</v>
      </c>
      <c r="AG255" s="62" t="e">
        <v>#N/A</v>
      </c>
      <c r="AH255" s="62" t="e">
        <v>#N/A</v>
      </c>
      <c r="AI255" s="62" t="e">
        <v>#N/A</v>
      </c>
      <c r="AJ255" s="62" t="e">
        <v>#N/A</v>
      </c>
      <c r="AK255" s="64" t="e">
        <v>#N/A</v>
      </c>
      <c r="AL255" s="19">
        <v>96543</v>
      </c>
      <c r="AM255" s="19">
        <v>114634</v>
      </c>
      <c r="AN255" s="23">
        <v>4983</v>
      </c>
      <c r="AO255" s="19">
        <v>117478</v>
      </c>
      <c r="AP255" s="19">
        <v>10281</v>
      </c>
      <c r="AQ255" s="62"/>
      <c r="AR255" s="63"/>
      <c r="AS255" s="63"/>
      <c r="AT255" s="65">
        <f t="shared" si="16"/>
        <v>4934.076</v>
      </c>
      <c r="AU255" s="65">
        <f t="shared" si="17"/>
        <v>209.286</v>
      </c>
      <c r="AV255" s="65">
        <f t="shared" si="18"/>
        <v>431.80200000000002</v>
      </c>
      <c r="AW255" s="65">
        <f t="shared" si="20"/>
        <v>4054.806</v>
      </c>
      <c r="AX255" s="65">
        <f t="shared" si="20"/>
        <v>4814.6279999999997</v>
      </c>
      <c r="AY255" s="65">
        <f t="shared" si="19"/>
        <v>431.80200000000002</v>
      </c>
      <c r="AZ255" s="19">
        <v>43224</v>
      </c>
      <c r="BA255" s="19">
        <v>45245</v>
      </c>
      <c r="BB255" s="19">
        <v>38717</v>
      </c>
      <c r="BC255" s="19">
        <v>3255</v>
      </c>
      <c r="BD255" s="19">
        <v>561</v>
      </c>
      <c r="BE255" s="62"/>
      <c r="BF255" s="62"/>
      <c r="BG255" s="62"/>
      <c r="BH255" s="62"/>
      <c r="BI255" s="62"/>
      <c r="BJ255" s="62"/>
      <c r="BK255" s="62"/>
      <c r="BL255" s="62"/>
      <c r="BM255" s="62"/>
      <c r="BN255" s="62"/>
      <c r="BO255" s="62"/>
      <c r="BP255" s="62"/>
      <c r="BQ255" s="62"/>
      <c r="BR255" s="62"/>
      <c r="BS255" s="62"/>
      <c r="BT255" s="62"/>
      <c r="BU255" s="62"/>
      <c r="BV255" s="62"/>
      <c r="BW255" s="62"/>
      <c r="BX255" s="62"/>
      <c r="BY255" s="62"/>
      <c r="BZ255" s="62"/>
      <c r="CA255" s="62"/>
      <c r="CB255" s="62"/>
      <c r="CC255" s="62"/>
      <c r="CD255" s="62"/>
      <c r="CE255" s="62"/>
      <c r="CF255" s="62"/>
      <c r="CG255" s="62"/>
      <c r="CH255" s="62"/>
      <c r="CI255" s="62"/>
      <c r="CJ255" s="62"/>
      <c r="CK255" s="62"/>
      <c r="CL255" s="62"/>
      <c r="CM255" s="62"/>
      <c r="CN255" s="62"/>
      <c r="CO255" s="62"/>
      <c r="CP255" s="62"/>
      <c r="CQ255" s="62"/>
      <c r="CR255" s="62"/>
      <c r="CS255" s="62"/>
      <c r="CT255" s="62"/>
      <c r="CU255" s="62"/>
      <c r="CV255" s="62"/>
      <c r="CW255" s="62"/>
      <c r="CX255" s="62"/>
      <c r="CY255" s="62"/>
      <c r="CZ255" s="62"/>
      <c r="DA255" s="62"/>
      <c r="DB255" s="62"/>
      <c r="DC255" s="62"/>
      <c r="DD255" s="62"/>
      <c r="DE255" s="62"/>
      <c r="DF255" s="62"/>
      <c r="DG255" s="62"/>
      <c r="DH255" s="62"/>
      <c r="DI255" s="62"/>
      <c r="DJ255" s="62"/>
      <c r="DK255" s="62"/>
      <c r="DL255" s="62"/>
    </row>
    <row r="256" spans="1:116" hidden="1" x14ac:dyDescent="0.2">
      <c r="A256" s="57">
        <v>34366</v>
      </c>
      <c r="B256" s="58"/>
      <c r="C256" s="66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6"/>
      <c r="P256" s="61"/>
      <c r="Q256" s="62"/>
      <c r="R256" s="62"/>
      <c r="S256" s="62"/>
      <c r="T256" s="62"/>
      <c r="U256" s="62"/>
      <c r="V256" s="62"/>
      <c r="W256" s="62"/>
      <c r="X256" s="62"/>
      <c r="Y256" s="61"/>
      <c r="Z256" s="63"/>
      <c r="AA256" s="64" t="e">
        <v>#N/A</v>
      </c>
      <c r="AB256" s="62" t="e">
        <v>#N/A</v>
      </c>
      <c r="AC256" s="62" t="e">
        <v>#N/A</v>
      </c>
      <c r="AD256" s="62" t="e">
        <v>#N/A</v>
      </c>
      <c r="AE256" s="62" t="e">
        <v>#N/A</v>
      </c>
      <c r="AF256" s="62" t="e">
        <v>#N/A</v>
      </c>
      <c r="AG256" s="62" t="e">
        <v>#N/A</v>
      </c>
      <c r="AH256" s="62" t="e">
        <v>#N/A</v>
      </c>
      <c r="AI256" s="62" t="e">
        <v>#N/A</v>
      </c>
      <c r="AJ256" s="62" t="e">
        <v>#N/A</v>
      </c>
      <c r="AK256" s="64" t="e">
        <v>#N/A</v>
      </c>
      <c r="AL256" s="19">
        <v>84503</v>
      </c>
      <c r="AM256" s="19">
        <v>100261</v>
      </c>
      <c r="AN256" s="23">
        <v>7735</v>
      </c>
      <c r="AO256" s="19">
        <v>102887</v>
      </c>
      <c r="AP256" s="19">
        <v>6568</v>
      </c>
      <c r="AQ256" s="62"/>
      <c r="AR256" s="63"/>
      <c r="AS256" s="63"/>
      <c r="AT256" s="65">
        <f t="shared" si="16"/>
        <v>4321.2539999999999</v>
      </c>
      <c r="AU256" s="65">
        <f t="shared" si="17"/>
        <v>324.87</v>
      </c>
      <c r="AV256" s="65">
        <f t="shared" si="18"/>
        <v>275.85599999999999</v>
      </c>
      <c r="AW256" s="65">
        <f t="shared" si="20"/>
        <v>3549.1260000000002</v>
      </c>
      <c r="AX256" s="65">
        <f t="shared" si="20"/>
        <v>4210.9620000000004</v>
      </c>
      <c r="AY256" s="65">
        <f t="shared" si="19"/>
        <v>275.85599999999999</v>
      </c>
      <c r="AZ256" s="19">
        <v>37275</v>
      </c>
      <c r="BA256" s="19">
        <v>41242</v>
      </c>
      <c r="BB256" s="19">
        <v>37847</v>
      </c>
      <c r="BC256" s="19">
        <v>3819</v>
      </c>
      <c r="BD256" s="19">
        <v>722</v>
      </c>
      <c r="BE256" s="62"/>
      <c r="BF256" s="62"/>
      <c r="BG256" s="62"/>
      <c r="BH256" s="62"/>
      <c r="BI256" s="62"/>
      <c r="BJ256" s="62"/>
      <c r="BK256" s="62"/>
      <c r="BL256" s="62"/>
      <c r="BM256" s="62"/>
      <c r="BN256" s="62"/>
      <c r="BO256" s="62"/>
      <c r="BP256" s="62"/>
      <c r="BQ256" s="62"/>
      <c r="BR256" s="62"/>
      <c r="BS256" s="62"/>
      <c r="BT256" s="62"/>
      <c r="BU256" s="62"/>
      <c r="BV256" s="62"/>
      <c r="BW256" s="62"/>
      <c r="BX256" s="62"/>
      <c r="BY256" s="62"/>
      <c r="BZ256" s="62"/>
      <c r="CA256" s="62"/>
      <c r="CB256" s="62"/>
      <c r="CC256" s="62"/>
      <c r="CD256" s="62"/>
      <c r="CE256" s="62"/>
      <c r="CF256" s="62"/>
      <c r="CG256" s="62"/>
      <c r="CH256" s="62"/>
      <c r="CI256" s="62"/>
      <c r="CJ256" s="62"/>
      <c r="CK256" s="62"/>
      <c r="CL256" s="62"/>
      <c r="CM256" s="62"/>
      <c r="CN256" s="62"/>
      <c r="CO256" s="62"/>
      <c r="CP256" s="62"/>
      <c r="CQ256" s="62"/>
      <c r="CR256" s="62"/>
      <c r="CS256" s="62"/>
      <c r="CT256" s="62"/>
      <c r="CU256" s="62"/>
      <c r="CV256" s="62"/>
      <c r="CW256" s="62"/>
      <c r="CX256" s="62"/>
      <c r="CY256" s="62"/>
      <c r="CZ256" s="62"/>
      <c r="DA256" s="62"/>
      <c r="DB256" s="62"/>
      <c r="DC256" s="62"/>
      <c r="DD256" s="62"/>
      <c r="DE256" s="62"/>
      <c r="DF256" s="62"/>
      <c r="DG256" s="62"/>
      <c r="DH256" s="62"/>
      <c r="DI256" s="62"/>
      <c r="DJ256" s="62"/>
      <c r="DK256" s="62"/>
      <c r="DL256" s="62"/>
    </row>
    <row r="257" spans="1:116" hidden="1" x14ac:dyDescent="0.2">
      <c r="A257" s="57">
        <v>34394</v>
      </c>
      <c r="B257" s="58"/>
      <c r="C257" s="66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6"/>
      <c r="P257" s="61"/>
      <c r="Q257" s="62"/>
      <c r="R257" s="62"/>
      <c r="S257" s="62"/>
      <c r="T257" s="62"/>
      <c r="U257" s="62"/>
      <c r="V257" s="62"/>
      <c r="W257" s="62"/>
      <c r="X257" s="62"/>
      <c r="Y257" s="61"/>
      <c r="Z257" s="63"/>
      <c r="AA257" s="64" t="e">
        <v>#N/A</v>
      </c>
      <c r="AB257" s="62" t="e">
        <v>#N/A</v>
      </c>
      <c r="AC257" s="62" t="e">
        <v>#N/A</v>
      </c>
      <c r="AD257" s="62" t="e">
        <v>#N/A</v>
      </c>
      <c r="AE257" s="62" t="e">
        <v>#N/A</v>
      </c>
      <c r="AF257" s="62" t="e">
        <v>#N/A</v>
      </c>
      <c r="AG257" s="62" t="e">
        <v>#N/A</v>
      </c>
      <c r="AH257" s="62" t="e">
        <v>#N/A</v>
      </c>
      <c r="AI257" s="62" t="e">
        <v>#N/A</v>
      </c>
      <c r="AJ257" s="62" t="e">
        <v>#N/A</v>
      </c>
      <c r="AK257" s="64" t="e">
        <v>#N/A</v>
      </c>
      <c r="AL257" s="19">
        <v>95970</v>
      </c>
      <c r="AM257" s="19">
        <v>102505</v>
      </c>
      <c r="AN257" s="23">
        <v>9852</v>
      </c>
      <c r="AO257" s="19">
        <v>99377</v>
      </c>
      <c r="AP257" s="19">
        <v>6827</v>
      </c>
      <c r="AQ257" s="62"/>
      <c r="AR257" s="63"/>
      <c r="AS257" s="63"/>
      <c r="AT257" s="65">
        <f t="shared" si="16"/>
        <v>4173.8339999999998</v>
      </c>
      <c r="AU257" s="65">
        <f t="shared" si="17"/>
        <v>413.78399999999999</v>
      </c>
      <c r="AV257" s="65">
        <f t="shared" si="18"/>
        <v>286.73399999999998</v>
      </c>
      <c r="AW257" s="65">
        <f t="shared" si="20"/>
        <v>4030.74</v>
      </c>
      <c r="AX257" s="65">
        <f t="shared" si="20"/>
        <v>4305.21</v>
      </c>
      <c r="AY257" s="65">
        <f t="shared" si="19"/>
        <v>286.73399999999998</v>
      </c>
      <c r="AZ257" s="19">
        <v>39427</v>
      </c>
      <c r="BA257" s="19">
        <v>44749</v>
      </c>
      <c r="BB257" s="19">
        <v>35661</v>
      </c>
      <c r="BC257" s="19">
        <v>3581</v>
      </c>
      <c r="BD257" s="19">
        <v>445</v>
      </c>
      <c r="BE257" s="62"/>
      <c r="BF257" s="62"/>
      <c r="BG257" s="62"/>
      <c r="BH257" s="62"/>
      <c r="BI257" s="62"/>
      <c r="BJ257" s="62"/>
      <c r="BK257" s="62"/>
      <c r="BL257" s="62"/>
      <c r="BM257" s="62"/>
      <c r="BN257" s="62"/>
      <c r="BO257" s="62"/>
      <c r="BP257" s="62"/>
      <c r="BQ257" s="62"/>
      <c r="BR257" s="62"/>
      <c r="BS257" s="62"/>
      <c r="BT257" s="62"/>
      <c r="BU257" s="62"/>
      <c r="BV257" s="62"/>
      <c r="BW257" s="62"/>
      <c r="BX257" s="62"/>
      <c r="BY257" s="62"/>
      <c r="BZ257" s="62"/>
      <c r="CA257" s="62"/>
      <c r="CB257" s="62"/>
      <c r="CC257" s="62"/>
      <c r="CD257" s="62"/>
      <c r="CE257" s="62"/>
      <c r="CF257" s="62"/>
      <c r="CG257" s="62"/>
      <c r="CH257" s="62"/>
      <c r="CI257" s="62"/>
      <c r="CJ257" s="62"/>
      <c r="CK257" s="62"/>
      <c r="CL257" s="62"/>
      <c r="CM257" s="62"/>
      <c r="CN257" s="62"/>
      <c r="CO257" s="62"/>
      <c r="CP257" s="62"/>
      <c r="CQ257" s="62"/>
      <c r="CR257" s="62"/>
      <c r="CS257" s="62"/>
      <c r="CT257" s="62"/>
      <c r="CU257" s="62"/>
      <c r="CV257" s="62"/>
      <c r="CW257" s="62"/>
      <c r="CX257" s="62"/>
      <c r="CY257" s="62"/>
      <c r="CZ257" s="62"/>
      <c r="DA257" s="62"/>
      <c r="DB257" s="62"/>
      <c r="DC257" s="62"/>
      <c r="DD257" s="62"/>
      <c r="DE257" s="62"/>
      <c r="DF257" s="62"/>
      <c r="DG257" s="62"/>
      <c r="DH257" s="62"/>
      <c r="DI257" s="62"/>
      <c r="DJ257" s="62"/>
      <c r="DK257" s="62"/>
      <c r="DL257" s="62"/>
    </row>
    <row r="258" spans="1:116" hidden="1" x14ac:dyDescent="0.2">
      <c r="A258" s="57">
        <v>34425</v>
      </c>
      <c r="B258" s="58"/>
      <c r="C258" s="66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6"/>
      <c r="P258" s="61"/>
      <c r="Q258" s="62"/>
      <c r="R258" s="62"/>
      <c r="S258" s="62"/>
      <c r="T258" s="62"/>
      <c r="U258" s="62"/>
      <c r="V258" s="62"/>
      <c r="W258" s="62"/>
      <c r="X258" s="62"/>
      <c r="Y258" s="61"/>
      <c r="Z258" s="63"/>
      <c r="AA258" s="64" t="e">
        <v>#N/A</v>
      </c>
      <c r="AB258" s="62" t="e">
        <v>#N/A</v>
      </c>
      <c r="AC258" s="62" t="e">
        <v>#N/A</v>
      </c>
      <c r="AD258" s="62" t="e">
        <v>#N/A</v>
      </c>
      <c r="AE258" s="62" t="e">
        <v>#N/A</v>
      </c>
      <c r="AF258" s="62" t="e">
        <v>#N/A</v>
      </c>
      <c r="AG258" s="62" t="e">
        <v>#N/A</v>
      </c>
      <c r="AH258" s="62" t="e">
        <v>#N/A</v>
      </c>
      <c r="AI258" s="62" t="e">
        <v>#N/A</v>
      </c>
      <c r="AJ258" s="62" t="e">
        <v>#N/A</v>
      </c>
      <c r="AK258" s="64" t="e">
        <v>#N/A</v>
      </c>
      <c r="AL258" s="19">
        <v>97457</v>
      </c>
      <c r="AM258" s="19">
        <v>93469</v>
      </c>
      <c r="AN258" s="23">
        <v>6772</v>
      </c>
      <c r="AO258" s="19">
        <v>102564</v>
      </c>
      <c r="AP258" s="19">
        <v>7573</v>
      </c>
      <c r="AQ258" s="62"/>
      <c r="AR258" s="63"/>
      <c r="AS258" s="63"/>
      <c r="AT258" s="65">
        <f t="shared" si="16"/>
        <v>4307.6880000000001</v>
      </c>
      <c r="AU258" s="65">
        <f t="shared" si="17"/>
        <v>284.42399999999998</v>
      </c>
      <c r="AV258" s="65">
        <f t="shared" si="18"/>
        <v>318.06599999999997</v>
      </c>
      <c r="AW258" s="65">
        <f t="shared" si="20"/>
        <v>4093.194</v>
      </c>
      <c r="AX258" s="65">
        <f t="shared" si="20"/>
        <v>3925.6979999999999</v>
      </c>
      <c r="AY258" s="65">
        <f t="shared" si="19"/>
        <v>318.06599999999997</v>
      </c>
      <c r="AZ258" s="19">
        <v>41855</v>
      </c>
      <c r="BA258" s="19">
        <v>44062</v>
      </c>
      <c r="BB258" s="19">
        <v>36350</v>
      </c>
      <c r="BC258" s="19">
        <v>2967</v>
      </c>
      <c r="BD258" s="19">
        <v>71</v>
      </c>
      <c r="BE258" s="62"/>
      <c r="BF258" s="62"/>
      <c r="BG258" s="62"/>
      <c r="BH258" s="62"/>
      <c r="BI258" s="62"/>
      <c r="BJ258" s="62"/>
      <c r="BK258" s="62"/>
      <c r="BL258" s="62"/>
      <c r="BM258" s="62"/>
      <c r="BN258" s="62"/>
      <c r="BO258" s="62"/>
      <c r="BP258" s="62"/>
      <c r="BQ258" s="62"/>
      <c r="BR258" s="62"/>
      <c r="BS258" s="62"/>
      <c r="BT258" s="62"/>
      <c r="BU258" s="62"/>
      <c r="BV258" s="62"/>
      <c r="BW258" s="62"/>
      <c r="BX258" s="62"/>
      <c r="BY258" s="62"/>
      <c r="BZ258" s="62"/>
      <c r="CA258" s="62"/>
      <c r="CB258" s="62"/>
      <c r="CC258" s="62"/>
      <c r="CD258" s="62"/>
      <c r="CE258" s="62"/>
      <c r="CF258" s="62"/>
      <c r="CG258" s="62"/>
      <c r="CH258" s="62"/>
      <c r="CI258" s="62"/>
      <c r="CJ258" s="62"/>
      <c r="CK258" s="62"/>
      <c r="CL258" s="62"/>
      <c r="CM258" s="62"/>
      <c r="CN258" s="62"/>
      <c r="CO258" s="62"/>
      <c r="CP258" s="62"/>
      <c r="CQ258" s="62"/>
      <c r="CR258" s="62"/>
      <c r="CS258" s="62"/>
      <c r="CT258" s="62"/>
      <c r="CU258" s="62"/>
      <c r="CV258" s="62"/>
      <c r="CW258" s="62"/>
      <c r="CX258" s="62"/>
      <c r="CY258" s="62"/>
      <c r="CZ258" s="62"/>
      <c r="DA258" s="62"/>
      <c r="DB258" s="62"/>
      <c r="DC258" s="62"/>
      <c r="DD258" s="62"/>
      <c r="DE258" s="62"/>
      <c r="DF258" s="62"/>
      <c r="DG258" s="62"/>
      <c r="DH258" s="62"/>
      <c r="DI258" s="62"/>
      <c r="DJ258" s="62"/>
      <c r="DK258" s="62"/>
      <c r="DL258" s="62"/>
    </row>
    <row r="259" spans="1:116" hidden="1" x14ac:dyDescent="0.2">
      <c r="A259" s="57">
        <v>34455</v>
      </c>
      <c r="B259" s="58"/>
      <c r="C259" s="66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6"/>
      <c r="P259" s="61"/>
      <c r="Q259" s="62"/>
      <c r="R259" s="62"/>
      <c r="S259" s="62"/>
      <c r="T259" s="62"/>
      <c r="U259" s="62"/>
      <c r="V259" s="62"/>
      <c r="W259" s="62"/>
      <c r="X259" s="62"/>
      <c r="Y259" s="61"/>
      <c r="Z259" s="63"/>
      <c r="AA259" s="64" t="e">
        <v>#N/A</v>
      </c>
      <c r="AB259" s="62" t="e">
        <v>#N/A</v>
      </c>
      <c r="AC259" s="62" t="e">
        <v>#N/A</v>
      </c>
      <c r="AD259" s="62" t="e">
        <v>#N/A</v>
      </c>
      <c r="AE259" s="62" t="e">
        <v>#N/A</v>
      </c>
      <c r="AF259" s="62" t="e">
        <v>#N/A</v>
      </c>
      <c r="AG259" s="62" t="e">
        <v>#N/A</v>
      </c>
      <c r="AH259" s="62" t="e">
        <v>#N/A</v>
      </c>
      <c r="AI259" s="62" t="e">
        <v>#N/A</v>
      </c>
      <c r="AJ259" s="62" t="e">
        <v>#N/A</v>
      </c>
      <c r="AK259" s="64" t="e">
        <v>#N/A</v>
      </c>
      <c r="AL259" s="19">
        <v>102814</v>
      </c>
      <c r="AM259" s="19">
        <v>90278</v>
      </c>
      <c r="AN259" s="23">
        <v>6274</v>
      </c>
      <c r="AO259" s="19">
        <v>112407</v>
      </c>
      <c r="AP259" s="19">
        <v>8967</v>
      </c>
      <c r="AQ259" s="62"/>
      <c r="AR259" s="63"/>
      <c r="AS259" s="63"/>
      <c r="AT259" s="65">
        <f t="shared" ref="AT259:AT322" si="21">AO259*42/1000</f>
        <v>4721.0940000000001</v>
      </c>
      <c r="AU259" s="65">
        <f t="shared" ref="AU259:AU322" si="22">AN259*42/1000</f>
        <v>263.50799999999998</v>
      </c>
      <c r="AV259" s="65">
        <f t="shared" ref="AV259:AV322" si="23">AP259*42/1000</f>
        <v>376.61399999999998</v>
      </c>
      <c r="AW259" s="65">
        <f t="shared" si="20"/>
        <v>4318.1880000000001</v>
      </c>
      <c r="AX259" s="65">
        <f t="shared" si="20"/>
        <v>3791.6759999999999</v>
      </c>
      <c r="AY259" s="65">
        <f t="shared" si="19"/>
        <v>376.61399999999998</v>
      </c>
      <c r="AZ259" s="19">
        <v>43500</v>
      </c>
      <c r="BA259" s="19">
        <v>43457</v>
      </c>
      <c r="BB259" s="19">
        <v>39557</v>
      </c>
      <c r="BC259" s="19">
        <v>3446</v>
      </c>
      <c r="BD259" s="19">
        <v>282</v>
      </c>
      <c r="BE259" s="62"/>
      <c r="BF259" s="62"/>
      <c r="BG259" s="62"/>
      <c r="BH259" s="62"/>
      <c r="BI259" s="62"/>
      <c r="BJ259" s="62"/>
      <c r="BK259" s="62"/>
      <c r="BL259" s="62"/>
      <c r="BM259" s="62"/>
      <c r="BN259" s="62"/>
      <c r="BO259" s="62"/>
      <c r="BP259" s="62"/>
      <c r="BQ259" s="62"/>
      <c r="BR259" s="62"/>
      <c r="BS259" s="62"/>
      <c r="BT259" s="62"/>
      <c r="BU259" s="62"/>
      <c r="BV259" s="62"/>
      <c r="BW259" s="62"/>
      <c r="BX259" s="62"/>
      <c r="BY259" s="62"/>
      <c r="BZ259" s="62"/>
      <c r="CA259" s="62"/>
      <c r="CB259" s="62"/>
      <c r="CC259" s="62"/>
      <c r="CD259" s="62"/>
      <c r="CE259" s="62"/>
      <c r="CF259" s="62"/>
      <c r="CG259" s="62"/>
      <c r="CH259" s="62"/>
      <c r="CI259" s="62"/>
      <c r="CJ259" s="62"/>
      <c r="CK259" s="62"/>
      <c r="CL259" s="62"/>
      <c r="CM259" s="62"/>
      <c r="CN259" s="62"/>
      <c r="CO259" s="62"/>
      <c r="CP259" s="62"/>
      <c r="CQ259" s="62"/>
      <c r="CR259" s="62"/>
      <c r="CS259" s="62"/>
      <c r="CT259" s="62"/>
      <c r="CU259" s="62"/>
      <c r="CV259" s="62"/>
      <c r="CW259" s="62"/>
      <c r="CX259" s="62"/>
      <c r="CY259" s="62"/>
      <c r="CZ259" s="62"/>
      <c r="DA259" s="62"/>
      <c r="DB259" s="62"/>
      <c r="DC259" s="62"/>
      <c r="DD259" s="62"/>
      <c r="DE259" s="62"/>
      <c r="DF259" s="62"/>
      <c r="DG259" s="62"/>
      <c r="DH259" s="62"/>
      <c r="DI259" s="62"/>
      <c r="DJ259" s="62"/>
      <c r="DK259" s="62"/>
      <c r="DL259" s="62"/>
    </row>
    <row r="260" spans="1:116" hidden="1" x14ac:dyDescent="0.2">
      <c r="A260" s="57">
        <v>34486</v>
      </c>
      <c r="B260" s="58"/>
      <c r="C260" s="66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6"/>
      <c r="P260" s="61"/>
      <c r="Q260" s="62"/>
      <c r="R260" s="62"/>
      <c r="S260" s="62"/>
      <c r="T260" s="62"/>
      <c r="U260" s="62"/>
      <c r="V260" s="62"/>
      <c r="W260" s="62"/>
      <c r="X260" s="62"/>
      <c r="Y260" s="61"/>
      <c r="Z260" s="63"/>
      <c r="AA260" s="64" t="e">
        <v>#N/A</v>
      </c>
      <c r="AB260" s="62" t="e">
        <v>#N/A</v>
      </c>
      <c r="AC260" s="62" t="e">
        <v>#N/A</v>
      </c>
      <c r="AD260" s="62" t="e">
        <v>#N/A</v>
      </c>
      <c r="AE260" s="62" t="e">
        <v>#N/A</v>
      </c>
      <c r="AF260" s="62" t="e">
        <v>#N/A</v>
      </c>
      <c r="AG260" s="62" t="e">
        <v>#N/A</v>
      </c>
      <c r="AH260" s="62" t="e">
        <v>#N/A</v>
      </c>
      <c r="AI260" s="62" t="e">
        <v>#N/A</v>
      </c>
      <c r="AJ260" s="62" t="e">
        <v>#N/A</v>
      </c>
      <c r="AK260" s="64" t="e">
        <v>#N/A</v>
      </c>
      <c r="AL260" s="19">
        <v>98536</v>
      </c>
      <c r="AM260" s="19">
        <v>91863</v>
      </c>
      <c r="AN260" s="23">
        <v>5470</v>
      </c>
      <c r="AO260" s="19">
        <v>119506</v>
      </c>
      <c r="AP260" s="19">
        <v>5044</v>
      </c>
      <c r="AQ260" s="62"/>
      <c r="AR260" s="63"/>
      <c r="AS260" s="63"/>
      <c r="AT260" s="65">
        <f t="shared" si="21"/>
        <v>5019.2520000000004</v>
      </c>
      <c r="AU260" s="65">
        <f t="shared" si="22"/>
        <v>229.74</v>
      </c>
      <c r="AV260" s="65">
        <f t="shared" si="23"/>
        <v>211.84800000000001</v>
      </c>
      <c r="AW260" s="65">
        <f t="shared" si="20"/>
        <v>4138.5119999999997</v>
      </c>
      <c r="AX260" s="65">
        <f t="shared" si="20"/>
        <v>3858.2460000000001</v>
      </c>
      <c r="AY260" s="65">
        <f t="shared" ref="AY260:AY315" si="24">AP260*42/1000</f>
        <v>211.84800000000001</v>
      </c>
      <c r="AZ260" s="19">
        <v>42010</v>
      </c>
      <c r="BA260" s="19">
        <v>45531</v>
      </c>
      <c r="BB260" s="19">
        <v>39618</v>
      </c>
      <c r="BC260" s="19">
        <v>3887</v>
      </c>
      <c r="BD260" s="19">
        <v>305</v>
      </c>
      <c r="BE260" s="62"/>
      <c r="BF260" s="62"/>
      <c r="BG260" s="62"/>
      <c r="BH260" s="62"/>
      <c r="BI260" s="62"/>
      <c r="BJ260" s="62"/>
      <c r="BK260" s="62"/>
      <c r="BL260" s="62"/>
      <c r="BM260" s="62"/>
      <c r="BN260" s="62"/>
      <c r="BO260" s="62"/>
      <c r="BP260" s="62"/>
      <c r="BQ260" s="62"/>
      <c r="BR260" s="62"/>
      <c r="BS260" s="62"/>
      <c r="BT260" s="62"/>
      <c r="BU260" s="62"/>
      <c r="BV260" s="62"/>
      <c r="BW260" s="62"/>
      <c r="BX260" s="62"/>
      <c r="BY260" s="62"/>
      <c r="BZ260" s="62"/>
      <c r="CA260" s="62"/>
      <c r="CB260" s="62"/>
      <c r="CC260" s="62"/>
      <c r="CD260" s="62"/>
      <c r="CE260" s="62"/>
      <c r="CF260" s="62"/>
      <c r="CG260" s="62"/>
      <c r="CH260" s="62"/>
      <c r="CI260" s="62"/>
      <c r="CJ260" s="62"/>
      <c r="CK260" s="62"/>
      <c r="CL260" s="62"/>
      <c r="CM260" s="62"/>
      <c r="CN260" s="62"/>
      <c r="CO260" s="62"/>
      <c r="CP260" s="62"/>
      <c r="CQ260" s="62"/>
      <c r="CR260" s="62"/>
      <c r="CS260" s="62"/>
      <c r="CT260" s="62"/>
      <c r="CU260" s="62"/>
      <c r="CV260" s="62"/>
      <c r="CW260" s="62"/>
      <c r="CX260" s="62"/>
      <c r="CY260" s="62"/>
      <c r="CZ260" s="62"/>
      <c r="DA260" s="62"/>
      <c r="DB260" s="62"/>
      <c r="DC260" s="62"/>
      <c r="DD260" s="62"/>
      <c r="DE260" s="62"/>
      <c r="DF260" s="62"/>
      <c r="DG260" s="62"/>
      <c r="DH260" s="62"/>
      <c r="DI260" s="62"/>
      <c r="DJ260" s="62"/>
      <c r="DK260" s="62"/>
      <c r="DL260" s="62"/>
    </row>
    <row r="261" spans="1:116" hidden="1" x14ac:dyDescent="0.2">
      <c r="A261" s="57">
        <v>34516</v>
      </c>
      <c r="B261" s="58"/>
      <c r="C261" s="66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6"/>
      <c r="P261" s="61"/>
      <c r="Q261" s="62"/>
      <c r="R261" s="62"/>
      <c r="S261" s="62"/>
      <c r="T261" s="62"/>
      <c r="U261" s="62"/>
      <c r="V261" s="62"/>
      <c r="W261" s="62"/>
      <c r="X261" s="62"/>
      <c r="Y261" s="61"/>
      <c r="Z261" s="63"/>
      <c r="AA261" s="64" t="e">
        <v>#N/A</v>
      </c>
      <c r="AB261" s="62" t="e">
        <v>#N/A</v>
      </c>
      <c r="AC261" s="62" t="e">
        <v>#N/A</v>
      </c>
      <c r="AD261" s="62" t="e">
        <v>#N/A</v>
      </c>
      <c r="AE261" s="62" t="e">
        <v>#N/A</v>
      </c>
      <c r="AF261" s="62" t="e">
        <v>#N/A</v>
      </c>
      <c r="AG261" s="62" t="e">
        <v>#N/A</v>
      </c>
      <c r="AH261" s="62" t="e">
        <v>#N/A</v>
      </c>
      <c r="AI261" s="62" t="e">
        <v>#N/A</v>
      </c>
      <c r="AJ261" s="62" t="e">
        <v>#N/A</v>
      </c>
      <c r="AK261" s="64" t="e">
        <v>#N/A</v>
      </c>
      <c r="AL261" s="19">
        <v>98920</v>
      </c>
      <c r="AM261" s="19">
        <v>82540</v>
      </c>
      <c r="AN261" s="23">
        <v>5092</v>
      </c>
      <c r="AO261" s="19">
        <v>134151</v>
      </c>
      <c r="AP261" s="19">
        <v>6827</v>
      </c>
      <c r="AQ261" s="62"/>
      <c r="AR261" s="63"/>
      <c r="AS261" s="63"/>
      <c r="AT261" s="65">
        <f t="shared" si="21"/>
        <v>5634.3419999999996</v>
      </c>
      <c r="AU261" s="65">
        <f t="shared" si="22"/>
        <v>213.864</v>
      </c>
      <c r="AV261" s="65">
        <f t="shared" si="23"/>
        <v>286.73399999999998</v>
      </c>
      <c r="AW261" s="65">
        <f t="shared" si="20"/>
        <v>4154.6400000000003</v>
      </c>
      <c r="AX261" s="65">
        <f t="shared" si="20"/>
        <v>3466.68</v>
      </c>
      <c r="AY261" s="65">
        <f t="shared" si="24"/>
        <v>286.73399999999998</v>
      </c>
      <c r="AZ261" s="19">
        <v>44067</v>
      </c>
      <c r="BA261" s="19">
        <v>45137</v>
      </c>
      <c r="BB261" s="19">
        <v>40920</v>
      </c>
      <c r="BC261" s="19">
        <v>2712</v>
      </c>
      <c r="BD261" s="19">
        <v>340</v>
      </c>
      <c r="BE261" s="62"/>
      <c r="BF261" s="62"/>
      <c r="BG261" s="62"/>
      <c r="BH261" s="62"/>
      <c r="BI261" s="62"/>
      <c r="BJ261" s="62"/>
      <c r="BK261" s="62"/>
      <c r="BL261" s="62"/>
      <c r="BM261" s="62"/>
      <c r="BN261" s="62"/>
      <c r="BO261" s="62"/>
      <c r="BP261" s="62"/>
      <c r="BQ261" s="62"/>
      <c r="BR261" s="62"/>
      <c r="BS261" s="62"/>
      <c r="BT261" s="62"/>
      <c r="BU261" s="62"/>
      <c r="BV261" s="62"/>
      <c r="BW261" s="62"/>
      <c r="BX261" s="62"/>
      <c r="BY261" s="62"/>
      <c r="BZ261" s="62"/>
      <c r="CA261" s="62"/>
      <c r="CB261" s="62"/>
      <c r="CC261" s="62"/>
      <c r="CD261" s="62"/>
      <c r="CE261" s="62"/>
      <c r="CF261" s="62"/>
      <c r="CG261" s="62"/>
      <c r="CH261" s="62"/>
      <c r="CI261" s="62"/>
      <c r="CJ261" s="62"/>
      <c r="CK261" s="62"/>
      <c r="CL261" s="62"/>
      <c r="CM261" s="62"/>
      <c r="CN261" s="62"/>
      <c r="CO261" s="62"/>
      <c r="CP261" s="62"/>
      <c r="CQ261" s="62"/>
      <c r="CR261" s="62"/>
      <c r="CS261" s="62"/>
      <c r="CT261" s="62"/>
      <c r="CU261" s="62"/>
      <c r="CV261" s="62"/>
      <c r="CW261" s="62"/>
      <c r="CX261" s="62"/>
      <c r="CY261" s="62"/>
      <c r="CZ261" s="62"/>
      <c r="DA261" s="62"/>
      <c r="DB261" s="62"/>
      <c r="DC261" s="62"/>
      <c r="DD261" s="62"/>
      <c r="DE261" s="62"/>
      <c r="DF261" s="62"/>
      <c r="DG261" s="62"/>
      <c r="DH261" s="62"/>
      <c r="DI261" s="62"/>
      <c r="DJ261" s="62"/>
      <c r="DK261" s="62"/>
      <c r="DL261" s="62"/>
    </row>
    <row r="262" spans="1:116" hidden="1" x14ac:dyDescent="0.2">
      <c r="A262" s="57">
        <v>34547</v>
      </c>
      <c r="B262" s="58"/>
      <c r="C262" s="66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6"/>
      <c r="P262" s="61"/>
      <c r="Q262" s="62"/>
      <c r="R262" s="62"/>
      <c r="S262" s="62"/>
      <c r="T262" s="62"/>
      <c r="U262" s="62"/>
      <c r="V262" s="62"/>
      <c r="W262" s="62"/>
      <c r="X262" s="62"/>
      <c r="Y262" s="61"/>
      <c r="Z262" s="63"/>
      <c r="AA262" s="64" t="e">
        <v>#N/A</v>
      </c>
      <c r="AB262" s="62" t="e">
        <v>#N/A</v>
      </c>
      <c r="AC262" s="62" t="e">
        <v>#N/A</v>
      </c>
      <c r="AD262" s="62" t="e">
        <v>#N/A</v>
      </c>
      <c r="AE262" s="62" t="e">
        <v>#N/A</v>
      </c>
      <c r="AF262" s="62" t="e">
        <v>#N/A</v>
      </c>
      <c r="AG262" s="62" t="e">
        <v>#N/A</v>
      </c>
      <c r="AH262" s="62" t="e">
        <v>#N/A</v>
      </c>
      <c r="AI262" s="62" t="e">
        <v>#N/A</v>
      </c>
      <c r="AJ262" s="62" t="e">
        <v>#N/A</v>
      </c>
      <c r="AK262" s="64" t="e">
        <v>#N/A</v>
      </c>
      <c r="AL262" s="19">
        <v>98799</v>
      </c>
      <c r="AM262" s="19">
        <v>94944</v>
      </c>
      <c r="AN262" s="23">
        <v>6536</v>
      </c>
      <c r="AO262" s="19">
        <v>138565</v>
      </c>
      <c r="AP262" s="19">
        <v>5977</v>
      </c>
      <c r="AQ262" s="62"/>
      <c r="AR262" s="63"/>
      <c r="AS262" s="63"/>
      <c r="AT262" s="65">
        <f t="shared" si="21"/>
        <v>5819.73</v>
      </c>
      <c r="AU262" s="65">
        <f t="shared" si="22"/>
        <v>274.512</v>
      </c>
      <c r="AV262" s="65">
        <f t="shared" si="23"/>
        <v>251.03399999999999</v>
      </c>
      <c r="AW262" s="65">
        <f t="shared" si="20"/>
        <v>4149.558</v>
      </c>
      <c r="AX262" s="65">
        <f t="shared" si="20"/>
        <v>3987.6480000000001</v>
      </c>
      <c r="AY262" s="65">
        <f t="shared" si="24"/>
        <v>251.03399999999999</v>
      </c>
      <c r="AZ262" s="19">
        <v>46447</v>
      </c>
      <c r="BA262" s="19">
        <v>47626</v>
      </c>
      <c r="BB262" s="19">
        <v>42172</v>
      </c>
      <c r="BC262" s="19">
        <v>2742</v>
      </c>
      <c r="BD262" s="19">
        <v>311</v>
      </c>
      <c r="BE262" s="62"/>
      <c r="BF262" s="62"/>
      <c r="BG262" s="62"/>
      <c r="BH262" s="62"/>
      <c r="BI262" s="62"/>
      <c r="BJ262" s="62"/>
      <c r="BK262" s="62"/>
      <c r="BL262" s="62"/>
      <c r="BM262" s="62"/>
      <c r="BN262" s="62"/>
      <c r="BO262" s="62"/>
      <c r="BP262" s="62"/>
      <c r="BQ262" s="62"/>
      <c r="BR262" s="62"/>
      <c r="BS262" s="62"/>
      <c r="BT262" s="62"/>
      <c r="BU262" s="62"/>
      <c r="BV262" s="62"/>
      <c r="BW262" s="62"/>
      <c r="BX262" s="62"/>
      <c r="BY262" s="62"/>
      <c r="BZ262" s="62"/>
      <c r="CA262" s="62"/>
      <c r="CB262" s="62"/>
      <c r="CC262" s="62"/>
      <c r="CD262" s="62"/>
      <c r="CE262" s="62"/>
      <c r="CF262" s="62"/>
      <c r="CG262" s="62"/>
      <c r="CH262" s="62"/>
      <c r="CI262" s="62"/>
      <c r="CJ262" s="62"/>
      <c r="CK262" s="62"/>
      <c r="CL262" s="62"/>
      <c r="CM262" s="62"/>
      <c r="CN262" s="62"/>
      <c r="CO262" s="62"/>
      <c r="CP262" s="62"/>
      <c r="CQ262" s="62"/>
      <c r="CR262" s="62"/>
      <c r="CS262" s="62"/>
      <c r="CT262" s="62"/>
      <c r="CU262" s="62"/>
      <c r="CV262" s="62"/>
      <c r="CW262" s="62"/>
      <c r="CX262" s="62"/>
      <c r="CY262" s="62"/>
      <c r="CZ262" s="62"/>
      <c r="DA262" s="62"/>
      <c r="DB262" s="62"/>
      <c r="DC262" s="62"/>
      <c r="DD262" s="62"/>
      <c r="DE262" s="62"/>
      <c r="DF262" s="62"/>
      <c r="DG262" s="62"/>
      <c r="DH262" s="62"/>
      <c r="DI262" s="62"/>
      <c r="DJ262" s="62"/>
      <c r="DK262" s="62"/>
      <c r="DL262" s="62"/>
    </row>
    <row r="263" spans="1:116" hidden="1" x14ac:dyDescent="0.2">
      <c r="A263" s="57">
        <v>34578</v>
      </c>
      <c r="B263" s="58"/>
      <c r="C263" s="66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6"/>
      <c r="P263" s="61"/>
      <c r="Q263" s="62"/>
      <c r="R263" s="62"/>
      <c r="S263" s="62"/>
      <c r="T263" s="62"/>
      <c r="U263" s="62"/>
      <c r="V263" s="62"/>
      <c r="W263" s="62"/>
      <c r="X263" s="62"/>
      <c r="Y263" s="61"/>
      <c r="Z263" s="63"/>
      <c r="AA263" s="64" t="e">
        <v>#N/A</v>
      </c>
      <c r="AB263" s="62" t="e">
        <v>#N/A</v>
      </c>
      <c r="AC263" s="62" t="e">
        <v>#N/A</v>
      </c>
      <c r="AD263" s="62" t="e">
        <v>#N/A</v>
      </c>
      <c r="AE263" s="62" t="e">
        <v>#N/A</v>
      </c>
      <c r="AF263" s="62" t="e">
        <v>#N/A</v>
      </c>
      <c r="AG263" s="62" t="e">
        <v>#N/A</v>
      </c>
      <c r="AH263" s="62" t="e">
        <v>#N/A</v>
      </c>
      <c r="AI263" s="62" t="e">
        <v>#N/A</v>
      </c>
      <c r="AJ263" s="62" t="e">
        <v>#N/A</v>
      </c>
      <c r="AK263" s="64" t="e">
        <v>#N/A</v>
      </c>
      <c r="AL263" s="19">
        <v>98537</v>
      </c>
      <c r="AM263" s="19">
        <v>93976</v>
      </c>
      <c r="AN263" s="23">
        <v>5791</v>
      </c>
      <c r="AO263" s="19">
        <v>144728</v>
      </c>
      <c r="AP263" s="19">
        <v>4189</v>
      </c>
      <c r="AQ263" s="62"/>
      <c r="AR263" s="63"/>
      <c r="AS263" s="63"/>
      <c r="AT263" s="65">
        <f t="shared" si="21"/>
        <v>6078.576</v>
      </c>
      <c r="AU263" s="65">
        <f t="shared" si="22"/>
        <v>243.22200000000001</v>
      </c>
      <c r="AV263" s="65">
        <f t="shared" si="23"/>
        <v>175.93799999999999</v>
      </c>
      <c r="AW263" s="65">
        <f t="shared" ref="AW263:AX326" si="25">AL263*42/1000</f>
        <v>4138.5540000000001</v>
      </c>
      <c r="AX263" s="65">
        <f t="shared" si="25"/>
        <v>3946.9920000000002</v>
      </c>
      <c r="AY263" s="65">
        <f t="shared" si="24"/>
        <v>175.93799999999999</v>
      </c>
      <c r="AZ263" s="19">
        <v>42562</v>
      </c>
      <c r="BA263" s="19">
        <v>43832</v>
      </c>
      <c r="BB263" s="19">
        <v>43616</v>
      </c>
      <c r="BC263" s="19">
        <v>3498</v>
      </c>
      <c r="BD263" s="19">
        <v>784</v>
      </c>
      <c r="BE263" s="62"/>
      <c r="BF263" s="62"/>
      <c r="BG263" s="62"/>
      <c r="BH263" s="62"/>
      <c r="BI263" s="62"/>
      <c r="BJ263" s="62"/>
      <c r="BK263" s="62"/>
      <c r="BL263" s="62"/>
      <c r="BM263" s="62"/>
      <c r="BN263" s="62"/>
      <c r="BO263" s="62"/>
      <c r="BP263" s="62"/>
      <c r="BQ263" s="62"/>
      <c r="BR263" s="62"/>
      <c r="BS263" s="62"/>
      <c r="BT263" s="62"/>
      <c r="BU263" s="62"/>
      <c r="BV263" s="62"/>
      <c r="BW263" s="62"/>
      <c r="BX263" s="62"/>
      <c r="BY263" s="62"/>
      <c r="BZ263" s="62"/>
      <c r="CA263" s="62"/>
      <c r="CB263" s="62"/>
      <c r="CC263" s="62"/>
      <c r="CD263" s="62"/>
      <c r="CE263" s="62"/>
      <c r="CF263" s="62"/>
      <c r="CG263" s="62"/>
      <c r="CH263" s="62"/>
      <c r="CI263" s="62"/>
      <c r="CJ263" s="62"/>
      <c r="CK263" s="62"/>
      <c r="CL263" s="62"/>
      <c r="CM263" s="62"/>
      <c r="CN263" s="62"/>
      <c r="CO263" s="62"/>
      <c r="CP263" s="62"/>
      <c r="CQ263" s="62"/>
      <c r="CR263" s="62"/>
      <c r="CS263" s="62"/>
      <c r="CT263" s="62"/>
      <c r="CU263" s="62"/>
      <c r="CV263" s="62"/>
      <c r="CW263" s="62"/>
      <c r="CX263" s="62"/>
      <c r="CY263" s="62"/>
      <c r="CZ263" s="62"/>
      <c r="DA263" s="62"/>
      <c r="DB263" s="62"/>
      <c r="DC263" s="62"/>
      <c r="DD263" s="62"/>
      <c r="DE263" s="62"/>
      <c r="DF263" s="62"/>
      <c r="DG263" s="62"/>
      <c r="DH263" s="62"/>
      <c r="DI263" s="62"/>
      <c r="DJ263" s="62"/>
      <c r="DK263" s="62"/>
      <c r="DL263" s="62"/>
    </row>
    <row r="264" spans="1:116" hidden="1" x14ac:dyDescent="0.2">
      <c r="A264" s="57">
        <v>34608</v>
      </c>
      <c r="B264" s="58"/>
      <c r="C264" s="66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6"/>
      <c r="P264" s="61"/>
      <c r="Q264" s="62"/>
      <c r="R264" s="62"/>
      <c r="S264" s="62"/>
      <c r="T264" s="62"/>
      <c r="U264" s="62"/>
      <c r="V264" s="62"/>
      <c r="W264" s="62"/>
      <c r="X264" s="62"/>
      <c r="Y264" s="61"/>
      <c r="Z264" s="63"/>
      <c r="AA264" s="64" t="e">
        <v>#N/A</v>
      </c>
      <c r="AB264" s="62" t="e">
        <v>#N/A</v>
      </c>
      <c r="AC264" s="62" t="e">
        <v>#N/A</v>
      </c>
      <c r="AD264" s="62" t="e">
        <v>#N/A</v>
      </c>
      <c r="AE264" s="62" t="e">
        <v>#N/A</v>
      </c>
      <c r="AF264" s="62" t="e">
        <v>#N/A</v>
      </c>
      <c r="AG264" s="62" t="e">
        <v>#N/A</v>
      </c>
      <c r="AH264" s="62" t="e">
        <v>#N/A</v>
      </c>
      <c r="AI264" s="62" t="e">
        <v>#N/A</v>
      </c>
      <c r="AJ264" s="62" t="e">
        <v>#N/A</v>
      </c>
      <c r="AK264" s="64" t="e">
        <v>#N/A</v>
      </c>
      <c r="AL264" s="19">
        <v>99292</v>
      </c>
      <c r="AM264" s="19">
        <v>95052</v>
      </c>
      <c r="AN264" s="23">
        <v>4932</v>
      </c>
      <c r="AO264" s="19">
        <v>145966</v>
      </c>
      <c r="AP264" s="19">
        <v>7934</v>
      </c>
      <c r="AQ264" s="62"/>
      <c r="AR264" s="63"/>
      <c r="AS264" s="63"/>
      <c r="AT264" s="65">
        <f t="shared" si="21"/>
        <v>6130.5720000000001</v>
      </c>
      <c r="AU264" s="65">
        <f t="shared" si="22"/>
        <v>207.14400000000001</v>
      </c>
      <c r="AV264" s="65">
        <f t="shared" si="23"/>
        <v>333.22800000000001</v>
      </c>
      <c r="AW264" s="65">
        <f t="shared" si="25"/>
        <v>4170.2640000000001</v>
      </c>
      <c r="AX264" s="65">
        <f t="shared" si="25"/>
        <v>3992.1840000000002</v>
      </c>
      <c r="AY264" s="65">
        <f t="shared" si="24"/>
        <v>333.22800000000001</v>
      </c>
      <c r="AZ264" s="19">
        <v>43683</v>
      </c>
      <c r="BA264" s="19">
        <v>47108</v>
      </c>
      <c r="BB264" s="19">
        <v>42714</v>
      </c>
      <c r="BC264" s="19">
        <v>3064</v>
      </c>
      <c r="BD264" s="19">
        <v>541</v>
      </c>
      <c r="BE264" s="62"/>
      <c r="BF264" s="62"/>
      <c r="BG264" s="62"/>
      <c r="BH264" s="62"/>
      <c r="BI264" s="62"/>
      <c r="BJ264" s="62"/>
      <c r="BK264" s="62"/>
      <c r="BL264" s="62"/>
      <c r="BM264" s="62"/>
      <c r="BN264" s="62"/>
      <c r="BO264" s="62"/>
      <c r="BP264" s="62"/>
      <c r="BQ264" s="62"/>
      <c r="BR264" s="62"/>
      <c r="BS264" s="62"/>
      <c r="BT264" s="62"/>
      <c r="BU264" s="62"/>
      <c r="BV264" s="62"/>
      <c r="BW264" s="62"/>
      <c r="BX264" s="62"/>
      <c r="BY264" s="62"/>
      <c r="BZ264" s="62"/>
      <c r="CA264" s="62"/>
      <c r="CB264" s="62"/>
      <c r="CC264" s="62"/>
      <c r="CD264" s="62"/>
      <c r="CE264" s="62"/>
      <c r="CF264" s="62"/>
      <c r="CG264" s="62"/>
      <c r="CH264" s="62"/>
      <c r="CI264" s="62"/>
      <c r="CJ264" s="62"/>
      <c r="CK264" s="62"/>
      <c r="CL264" s="62"/>
      <c r="CM264" s="62"/>
      <c r="CN264" s="62"/>
      <c r="CO264" s="62"/>
      <c r="CP264" s="62"/>
      <c r="CQ264" s="62"/>
      <c r="CR264" s="62"/>
      <c r="CS264" s="62"/>
      <c r="CT264" s="62"/>
      <c r="CU264" s="62"/>
      <c r="CV264" s="62"/>
      <c r="CW264" s="62"/>
      <c r="CX264" s="62"/>
      <c r="CY264" s="62"/>
      <c r="CZ264" s="62"/>
      <c r="DA264" s="62"/>
      <c r="DB264" s="62"/>
      <c r="DC264" s="62"/>
      <c r="DD264" s="62"/>
      <c r="DE264" s="62"/>
      <c r="DF264" s="62"/>
      <c r="DG264" s="62"/>
      <c r="DH264" s="62"/>
      <c r="DI264" s="62"/>
      <c r="DJ264" s="62"/>
      <c r="DK264" s="62"/>
      <c r="DL264" s="62"/>
    </row>
    <row r="265" spans="1:116" hidden="1" x14ac:dyDescent="0.2">
      <c r="A265" s="57">
        <v>34639</v>
      </c>
      <c r="B265" s="58"/>
      <c r="C265" s="66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6"/>
      <c r="P265" s="61"/>
      <c r="Q265" s="62"/>
      <c r="R265" s="62"/>
      <c r="S265" s="62"/>
      <c r="T265" s="62"/>
      <c r="U265" s="62"/>
      <c r="V265" s="62"/>
      <c r="W265" s="62"/>
      <c r="X265" s="62"/>
      <c r="Y265" s="61"/>
      <c r="Z265" s="63"/>
      <c r="AA265" s="64" t="e">
        <v>#N/A</v>
      </c>
      <c r="AB265" s="62" t="e">
        <v>#N/A</v>
      </c>
      <c r="AC265" s="62" t="e">
        <v>#N/A</v>
      </c>
      <c r="AD265" s="62" t="e">
        <v>#N/A</v>
      </c>
      <c r="AE265" s="62" t="e">
        <v>#N/A</v>
      </c>
      <c r="AF265" s="62" t="e">
        <v>#N/A</v>
      </c>
      <c r="AG265" s="62" t="e">
        <v>#N/A</v>
      </c>
      <c r="AH265" s="62" t="e">
        <v>#N/A</v>
      </c>
      <c r="AI265" s="62" t="e">
        <v>#N/A</v>
      </c>
      <c r="AJ265" s="62" t="e">
        <v>#N/A</v>
      </c>
      <c r="AK265" s="64" t="e">
        <v>#N/A</v>
      </c>
      <c r="AL265" s="19">
        <v>98112</v>
      </c>
      <c r="AM265" s="19">
        <v>95407</v>
      </c>
      <c r="AN265" s="23">
        <v>4965</v>
      </c>
      <c r="AO265" s="19">
        <v>147317</v>
      </c>
      <c r="AP265" s="19">
        <v>6319</v>
      </c>
      <c r="AQ265" s="62"/>
      <c r="AR265" s="63"/>
      <c r="AS265" s="63"/>
      <c r="AT265" s="65">
        <f t="shared" si="21"/>
        <v>6187.3140000000003</v>
      </c>
      <c r="AU265" s="65">
        <f t="shared" si="22"/>
        <v>208.53</v>
      </c>
      <c r="AV265" s="65">
        <f t="shared" si="23"/>
        <v>265.39800000000002</v>
      </c>
      <c r="AW265" s="65">
        <f t="shared" si="25"/>
        <v>4120.7039999999997</v>
      </c>
      <c r="AX265" s="65">
        <f t="shared" si="25"/>
        <v>4007.0940000000001</v>
      </c>
      <c r="AY265" s="65">
        <f t="shared" si="24"/>
        <v>265.39800000000002</v>
      </c>
      <c r="AZ265" s="19">
        <v>43004</v>
      </c>
      <c r="BA265" s="19">
        <v>44824</v>
      </c>
      <c r="BB265" s="19">
        <v>43056</v>
      </c>
      <c r="BC265" s="19">
        <v>2686</v>
      </c>
      <c r="BD265" s="19">
        <v>524</v>
      </c>
      <c r="BE265" s="62"/>
      <c r="BF265" s="62"/>
      <c r="BG265" s="62"/>
      <c r="BH265" s="62"/>
      <c r="BI265" s="62"/>
      <c r="BJ265" s="62"/>
      <c r="BK265" s="62"/>
      <c r="BL265" s="62"/>
      <c r="BM265" s="62"/>
      <c r="BN265" s="62"/>
      <c r="BO265" s="62"/>
      <c r="BP265" s="62"/>
      <c r="BQ265" s="62"/>
      <c r="BR265" s="62"/>
      <c r="BS265" s="62"/>
      <c r="BT265" s="62"/>
      <c r="BU265" s="62"/>
      <c r="BV265" s="62"/>
      <c r="BW265" s="62"/>
      <c r="BX265" s="62"/>
      <c r="BY265" s="62"/>
      <c r="BZ265" s="62"/>
      <c r="CA265" s="62"/>
      <c r="CB265" s="62"/>
      <c r="CC265" s="62"/>
      <c r="CD265" s="62"/>
      <c r="CE265" s="62"/>
      <c r="CF265" s="62"/>
      <c r="CG265" s="62"/>
      <c r="CH265" s="62"/>
      <c r="CI265" s="62"/>
      <c r="CJ265" s="62"/>
      <c r="CK265" s="62"/>
      <c r="CL265" s="62"/>
      <c r="CM265" s="62"/>
      <c r="CN265" s="62"/>
      <c r="CO265" s="62"/>
      <c r="CP265" s="62"/>
      <c r="CQ265" s="62"/>
      <c r="CR265" s="62"/>
      <c r="CS265" s="62"/>
      <c r="CT265" s="62"/>
      <c r="CU265" s="62"/>
      <c r="CV265" s="62"/>
      <c r="CW265" s="62"/>
      <c r="CX265" s="62"/>
      <c r="CY265" s="62"/>
      <c r="CZ265" s="62"/>
      <c r="DA265" s="62"/>
      <c r="DB265" s="62"/>
      <c r="DC265" s="62"/>
      <c r="DD265" s="62"/>
      <c r="DE265" s="62"/>
      <c r="DF265" s="62"/>
      <c r="DG265" s="62"/>
      <c r="DH265" s="62"/>
      <c r="DI265" s="62"/>
      <c r="DJ265" s="62"/>
      <c r="DK265" s="62"/>
      <c r="DL265" s="62"/>
    </row>
    <row r="266" spans="1:116" hidden="1" x14ac:dyDescent="0.2">
      <c r="A266" s="57">
        <v>34669</v>
      </c>
      <c r="B266" s="58"/>
      <c r="C266" s="66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6"/>
      <c r="P266" s="61"/>
      <c r="Q266" s="62"/>
      <c r="R266" s="62"/>
      <c r="S266" s="62"/>
      <c r="T266" s="62"/>
      <c r="U266" s="62"/>
      <c r="V266" s="62"/>
      <c r="W266" s="62"/>
      <c r="X266" s="62"/>
      <c r="Y266" s="61"/>
      <c r="Z266" s="63"/>
      <c r="AA266" s="64" t="e">
        <v>#N/A</v>
      </c>
      <c r="AB266" s="62" t="e">
        <v>#N/A</v>
      </c>
      <c r="AC266" s="62" t="e">
        <v>#N/A</v>
      </c>
      <c r="AD266" s="62" t="e">
        <v>#N/A</v>
      </c>
      <c r="AE266" s="62" t="e">
        <v>#N/A</v>
      </c>
      <c r="AF266" s="62" t="e">
        <v>#N/A</v>
      </c>
      <c r="AG266" s="62" t="e">
        <v>#N/A</v>
      </c>
      <c r="AH266" s="62" t="e">
        <v>#N/A</v>
      </c>
      <c r="AI266" s="62" t="e">
        <v>#N/A</v>
      </c>
      <c r="AJ266" s="62" t="e">
        <v>#N/A</v>
      </c>
      <c r="AK266" s="64" t="e">
        <v>#N/A</v>
      </c>
      <c r="AL266" s="19">
        <v>100205</v>
      </c>
      <c r="AM266" s="19">
        <v>99288</v>
      </c>
      <c r="AN266" s="23">
        <v>5791</v>
      </c>
      <c r="AO266" s="19">
        <v>145220</v>
      </c>
      <c r="AP266" s="19">
        <v>8805</v>
      </c>
      <c r="AQ266" s="62"/>
      <c r="AR266" s="63"/>
      <c r="AS266" s="63"/>
      <c r="AT266" s="65">
        <f t="shared" si="21"/>
        <v>6099.24</v>
      </c>
      <c r="AU266" s="65">
        <f t="shared" si="22"/>
        <v>243.22200000000001</v>
      </c>
      <c r="AV266" s="65">
        <f t="shared" si="23"/>
        <v>369.81</v>
      </c>
      <c r="AW266" s="65">
        <f t="shared" si="25"/>
        <v>4208.6099999999997</v>
      </c>
      <c r="AX266" s="65">
        <f t="shared" si="25"/>
        <v>4170.0959999999995</v>
      </c>
      <c r="AY266" s="65">
        <f t="shared" si="24"/>
        <v>369.81</v>
      </c>
      <c r="AZ266" s="19">
        <v>47523</v>
      </c>
      <c r="BA266" s="19">
        <v>47320</v>
      </c>
      <c r="BB266" s="19">
        <v>45630</v>
      </c>
      <c r="BC266" s="19">
        <v>3373</v>
      </c>
      <c r="BD266" s="19">
        <v>1002</v>
      </c>
      <c r="BE266" s="62"/>
      <c r="BF266" s="62"/>
      <c r="BG266" s="62"/>
      <c r="BH266" s="62"/>
      <c r="BI266" s="62"/>
      <c r="BJ266" s="62"/>
      <c r="BK266" s="62"/>
      <c r="BL266" s="62"/>
      <c r="BM266" s="62"/>
      <c r="BN266" s="62"/>
      <c r="BO266" s="62"/>
      <c r="BP266" s="62"/>
      <c r="BQ266" s="62"/>
      <c r="BR266" s="62"/>
      <c r="BS266" s="62"/>
      <c r="BT266" s="62"/>
      <c r="BU266" s="62"/>
      <c r="BV266" s="62"/>
      <c r="BW266" s="62"/>
      <c r="BX266" s="62"/>
      <c r="BY266" s="62"/>
      <c r="BZ266" s="62"/>
      <c r="CA266" s="62"/>
      <c r="CB266" s="62"/>
      <c r="CC266" s="62"/>
      <c r="CD266" s="62"/>
      <c r="CE266" s="62"/>
      <c r="CF266" s="62"/>
      <c r="CG266" s="62"/>
      <c r="CH266" s="62"/>
      <c r="CI266" s="62"/>
      <c r="CJ266" s="62"/>
      <c r="CK266" s="62"/>
      <c r="CL266" s="62"/>
      <c r="CM266" s="62"/>
      <c r="CN266" s="62"/>
      <c r="CO266" s="62"/>
      <c r="CP266" s="62"/>
      <c r="CQ266" s="62"/>
      <c r="CR266" s="62"/>
      <c r="CS266" s="62"/>
      <c r="CT266" s="62"/>
      <c r="CU266" s="62"/>
      <c r="CV266" s="62"/>
      <c r="CW266" s="62"/>
      <c r="CX266" s="62"/>
      <c r="CY266" s="62"/>
      <c r="CZ266" s="62"/>
      <c r="DA266" s="62"/>
      <c r="DB266" s="62"/>
      <c r="DC266" s="62"/>
      <c r="DD266" s="62"/>
      <c r="DE266" s="62"/>
      <c r="DF266" s="62"/>
      <c r="DG266" s="62"/>
      <c r="DH266" s="62"/>
      <c r="DI266" s="62"/>
      <c r="DJ266" s="62"/>
      <c r="DK266" s="62"/>
      <c r="DL266" s="62"/>
    </row>
    <row r="267" spans="1:116" hidden="1" x14ac:dyDescent="0.2">
      <c r="A267" s="57">
        <v>34700</v>
      </c>
      <c r="B267" s="58"/>
      <c r="C267" s="66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6"/>
      <c r="P267" s="61"/>
      <c r="Q267" s="62"/>
      <c r="R267" s="62"/>
      <c r="S267" s="62"/>
      <c r="T267" s="62"/>
      <c r="U267" s="62"/>
      <c r="V267" s="62"/>
      <c r="W267" s="62"/>
      <c r="X267" s="62"/>
      <c r="Y267" s="61"/>
      <c r="Z267" s="63"/>
      <c r="AA267" s="64" t="e">
        <v>#N/A</v>
      </c>
      <c r="AB267" s="62" t="e">
        <v>#N/A</v>
      </c>
      <c r="AC267" s="62" t="e">
        <v>#N/A</v>
      </c>
      <c r="AD267" s="62" t="e">
        <v>#N/A</v>
      </c>
      <c r="AE267" s="62" t="e">
        <v>#N/A</v>
      </c>
      <c r="AF267" s="62" t="e">
        <v>#N/A</v>
      </c>
      <c r="AG267" s="62" t="e">
        <v>#N/A</v>
      </c>
      <c r="AH267" s="62" t="e">
        <v>#N/A</v>
      </c>
      <c r="AI267" s="62" t="e">
        <v>#N/A</v>
      </c>
      <c r="AJ267" s="62" t="e">
        <v>#N/A</v>
      </c>
      <c r="AK267" s="64" t="e">
        <v>#N/A</v>
      </c>
      <c r="AL267" s="19">
        <v>94666</v>
      </c>
      <c r="AM267" s="19">
        <v>105073</v>
      </c>
      <c r="AN267" s="23">
        <v>9705</v>
      </c>
      <c r="AO267" s="19">
        <v>140153</v>
      </c>
      <c r="AP267" s="19">
        <v>4365</v>
      </c>
      <c r="AQ267" s="62"/>
      <c r="AR267" s="63"/>
      <c r="AS267" s="63"/>
      <c r="AT267" s="65">
        <f t="shared" si="21"/>
        <v>5886.4260000000004</v>
      </c>
      <c r="AU267" s="65">
        <f t="shared" si="22"/>
        <v>407.61</v>
      </c>
      <c r="AV267" s="65">
        <f t="shared" si="23"/>
        <v>183.33</v>
      </c>
      <c r="AW267" s="65">
        <f t="shared" si="25"/>
        <v>3975.9720000000002</v>
      </c>
      <c r="AX267" s="65">
        <f t="shared" si="25"/>
        <v>4413.0659999999998</v>
      </c>
      <c r="AY267" s="65">
        <f t="shared" si="24"/>
        <v>183.33</v>
      </c>
      <c r="AZ267" s="19">
        <v>43454</v>
      </c>
      <c r="BA267" s="19">
        <v>47289</v>
      </c>
      <c r="BB267" s="19">
        <v>43343</v>
      </c>
      <c r="BC267" s="19">
        <v>2314</v>
      </c>
      <c r="BD267" s="19">
        <v>766</v>
      </c>
      <c r="BE267" s="62"/>
      <c r="BF267" s="62"/>
      <c r="BG267" s="62"/>
      <c r="BH267" s="62"/>
      <c r="BI267" s="62"/>
      <c r="BJ267" s="62"/>
      <c r="BK267" s="62"/>
      <c r="BL267" s="62"/>
      <c r="BM267" s="62"/>
      <c r="BN267" s="62"/>
      <c r="BO267" s="62"/>
      <c r="BP267" s="62"/>
      <c r="BQ267" s="62"/>
      <c r="BR267" s="62"/>
      <c r="BS267" s="62"/>
      <c r="BT267" s="62"/>
      <c r="BU267" s="62"/>
      <c r="BV267" s="62"/>
      <c r="BW267" s="62"/>
      <c r="BX267" s="62"/>
      <c r="BY267" s="62"/>
      <c r="BZ267" s="62"/>
      <c r="CA267" s="62"/>
      <c r="CB267" s="62"/>
      <c r="CC267" s="62"/>
      <c r="CD267" s="62"/>
      <c r="CE267" s="62"/>
      <c r="CF267" s="62"/>
      <c r="CG267" s="62"/>
      <c r="CH267" s="62"/>
      <c r="CI267" s="62"/>
      <c r="CJ267" s="62"/>
      <c r="CK267" s="62"/>
      <c r="CL267" s="62"/>
      <c r="CM267" s="62"/>
      <c r="CN267" s="62"/>
      <c r="CO267" s="62"/>
      <c r="CP267" s="62"/>
      <c r="CQ267" s="62"/>
      <c r="CR267" s="62"/>
      <c r="CS267" s="62"/>
      <c r="CT267" s="62"/>
      <c r="CU267" s="62"/>
      <c r="CV267" s="62"/>
      <c r="CW267" s="62"/>
      <c r="CX267" s="62"/>
      <c r="CY267" s="62"/>
      <c r="CZ267" s="62"/>
      <c r="DA267" s="62"/>
      <c r="DB267" s="62"/>
      <c r="DC267" s="62"/>
      <c r="DD267" s="62"/>
      <c r="DE267" s="62"/>
      <c r="DF267" s="62"/>
      <c r="DG267" s="62"/>
      <c r="DH267" s="62"/>
      <c r="DI267" s="62"/>
      <c r="DJ267" s="62"/>
      <c r="DK267" s="62"/>
      <c r="DL267" s="62"/>
    </row>
    <row r="268" spans="1:116" hidden="1" x14ac:dyDescent="0.2">
      <c r="A268" s="57">
        <v>34731</v>
      </c>
      <c r="B268" s="58"/>
      <c r="C268" s="66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6"/>
      <c r="P268" s="61"/>
      <c r="Q268" s="62"/>
      <c r="R268" s="62"/>
      <c r="S268" s="62"/>
      <c r="T268" s="62"/>
      <c r="U268" s="62"/>
      <c r="V268" s="62"/>
      <c r="W268" s="62"/>
      <c r="X268" s="62"/>
      <c r="Y268" s="61"/>
      <c r="Z268" s="63"/>
      <c r="AA268" s="64" t="e">
        <v>#N/A</v>
      </c>
      <c r="AB268" s="62" t="e">
        <v>#N/A</v>
      </c>
      <c r="AC268" s="62" t="e">
        <v>#N/A</v>
      </c>
      <c r="AD268" s="62" t="e">
        <v>#N/A</v>
      </c>
      <c r="AE268" s="62" t="e">
        <v>#N/A</v>
      </c>
      <c r="AF268" s="62" t="e">
        <v>#N/A</v>
      </c>
      <c r="AG268" s="62" t="e">
        <v>#N/A</v>
      </c>
      <c r="AH268" s="62" t="e">
        <v>#N/A</v>
      </c>
      <c r="AI268" s="62" t="e">
        <v>#N/A</v>
      </c>
      <c r="AJ268" s="62" t="e">
        <v>#N/A</v>
      </c>
      <c r="AK268" s="64" t="e">
        <v>#N/A</v>
      </c>
      <c r="AL268" s="19">
        <v>82718</v>
      </c>
      <c r="AM268" s="19">
        <v>102910</v>
      </c>
      <c r="AN268" s="23">
        <v>8078</v>
      </c>
      <c r="AO268" s="19">
        <v>122092</v>
      </c>
      <c r="AP268" s="19">
        <v>5947</v>
      </c>
      <c r="AQ268" s="62"/>
      <c r="AR268" s="63"/>
      <c r="AS268" s="63"/>
      <c r="AT268" s="65">
        <f t="shared" si="21"/>
        <v>5127.8639999999996</v>
      </c>
      <c r="AU268" s="65">
        <f t="shared" si="22"/>
        <v>339.27600000000001</v>
      </c>
      <c r="AV268" s="65">
        <f t="shared" si="23"/>
        <v>249.774</v>
      </c>
      <c r="AW268" s="65">
        <f t="shared" si="25"/>
        <v>3474.1559999999999</v>
      </c>
      <c r="AX268" s="65">
        <f t="shared" si="25"/>
        <v>4322.22</v>
      </c>
      <c r="AY268" s="65">
        <f t="shared" si="24"/>
        <v>249.774</v>
      </c>
      <c r="AZ268" s="19">
        <v>38240</v>
      </c>
      <c r="BA268" s="19">
        <v>42406</v>
      </c>
      <c r="BB268" s="19">
        <v>42062</v>
      </c>
      <c r="BC268" s="19">
        <v>3430</v>
      </c>
      <c r="BD268" s="19">
        <v>545</v>
      </c>
      <c r="BE268" s="62"/>
      <c r="BF268" s="62"/>
      <c r="BG268" s="62"/>
      <c r="BH268" s="62"/>
      <c r="BI268" s="62"/>
      <c r="BJ268" s="62"/>
      <c r="BK268" s="62"/>
      <c r="BL268" s="62"/>
      <c r="BM268" s="62"/>
      <c r="BN268" s="62"/>
      <c r="BO268" s="62"/>
      <c r="BP268" s="62"/>
      <c r="BQ268" s="62"/>
      <c r="BR268" s="62"/>
      <c r="BS268" s="62"/>
      <c r="BT268" s="62"/>
      <c r="BU268" s="62"/>
      <c r="BV268" s="62"/>
      <c r="BW268" s="62"/>
      <c r="BX268" s="62"/>
      <c r="BY268" s="62"/>
      <c r="BZ268" s="62"/>
      <c r="CA268" s="62"/>
      <c r="CB268" s="62"/>
      <c r="CC268" s="62"/>
      <c r="CD268" s="62"/>
      <c r="CE268" s="62"/>
      <c r="CF268" s="62"/>
      <c r="CG268" s="62"/>
      <c r="CH268" s="62"/>
      <c r="CI268" s="62"/>
      <c r="CJ268" s="62"/>
      <c r="CK268" s="62"/>
      <c r="CL268" s="62"/>
      <c r="CM268" s="62"/>
      <c r="CN268" s="62"/>
      <c r="CO268" s="62"/>
      <c r="CP268" s="62"/>
      <c r="CQ268" s="62"/>
      <c r="CR268" s="62"/>
      <c r="CS268" s="62"/>
      <c r="CT268" s="62"/>
      <c r="CU268" s="62"/>
      <c r="CV268" s="62"/>
      <c r="CW268" s="62"/>
      <c r="CX268" s="62"/>
      <c r="CY268" s="62"/>
      <c r="CZ268" s="62"/>
      <c r="DA268" s="62"/>
      <c r="DB268" s="62"/>
      <c r="DC268" s="62"/>
      <c r="DD268" s="62"/>
      <c r="DE268" s="62"/>
      <c r="DF268" s="62"/>
      <c r="DG268" s="62"/>
      <c r="DH268" s="62"/>
      <c r="DI268" s="62"/>
      <c r="DJ268" s="62"/>
      <c r="DK268" s="62"/>
      <c r="DL268" s="62"/>
    </row>
    <row r="269" spans="1:116" hidden="1" x14ac:dyDescent="0.2">
      <c r="A269" s="57">
        <v>34759</v>
      </c>
      <c r="B269" s="58"/>
      <c r="C269" s="66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6"/>
      <c r="P269" s="61"/>
      <c r="Q269" s="62"/>
      <c r="R269" s="62"/>
      <c r="S269" s="62"/>
      <c r="T269" s="62"/>
      <c r="U269" s="62"/>
      <c r="V269" s="62"/>
      <c r="W269" s="62"/>
      <c r="X269" s="62"/>
      <c r="Y269" s="61"/>
      <c r="Z269" s="63"/>
      <c r="AA269" s="64" t="e">
        <v>#N/A</v>
      </c>
      <c r="AB269" s="62" t="e">
        <v>#N/A</v>
      </c>
      <c r="AC269" s="62" t="e">
        <v>#N/A</v>
      </c>
      <c r="AD269" s="62" t="e">
        <v>#N/A</v>
      </c>
      <c r="AE269" s="62" t="e">
        <v>#N/A</v>
      </c>
      <c r="AF269" s="62" t="e">
        <v>#N/A</v>
      </c>
      <c r="AG269" s="62" t="e">
        <v>#N/A</v>
      </c>
      <c r="AH269" s="62" t="e">
        <v>#N/A</v>
      </c>
      <c r="AI269" s="62" t="e">
        <v>#N/A</v>
      </c>
      <c r="AJ269" s="62" t="e">
        <v>#N/A</v>
      </c>
      <c r="AK269" s="64" t="e">
        <v>#N/A</v>
      </c>
      <c r="AL269" s="19">
        <v>97867</v>
      </c>
      <c r="AM269" s="19">
        <v>103663</v>
      </c>
      <c r="AN269" s="23">
        <v>5817</v>
      </c>
      <c r="AO269" s="19">
        <v>115407</v>
      </c>
      <c r="AP269" s="19">
        <v>6706</v>
      </c>
      <c r="AQ269" s="62"/>
      <c r="AR269" s="63"/>
      <c r="AS269" s="63"/>
      <c r="AT269" s="65">
        <f t="shared" si="21"/>
        <v>4847.0940000000001</v>
      </c>
      <c r="AU269" s="65">
        <f t="shared" si="22"/>
        <v>244.31399999999999</v>
      </c>
      <c r="AV269" s="65">
        <f t="shared" si="23"/>
        <v>281.65199999999999</v>
      </c>
      <c r="AW269" s="65">
        <f t="shared" si="25"/>
        <v>4110.4139999999998</v>
      </c>
      <c r="AX269" s="65">
        <f t="shared" si="25"/>
        <v>4353.8459999999995</v>
      </c>
      <c r="AY269" s="65">
        <f t="shared" si="24"/>
        <v>281.65199999999999</v>
      </c>
      <c r="AZ269" s="19">
        <v>39447</v>
      </c>
      <c r="BA269" s="19">
        <v>45375</v>
      </c>
      <c r="BB269" s="19">
        <v>38685</v>
      </c>
      <c r="BC269" s="19">
        <v>3079</v>
      </c>
      <c r="BD269" s="19">
        <v>528</v>
      </c>
      <c r="BE269" s="62"/>
      <c r="BF269" s="62"/>
      <c r="BG269" s="62"/>
      <c r="BH269" s="62"/>
      <c r="BI269" s="62"/>
      <c r="BJ269" s="62"/>
      <c r="BK269" s="62"/>
      <c r="BL269" s="62"/>
      <c r="BM269" s="62"/>
      <c r="BN269" s="62"/>
      <c r="BO269" s="62"/>
      <c r="BP269" s="62"/>
      <c r="BQ269" s="62"/>
      <c r="BR269" s="62"/>
      <c r="BS269" s="62"/>
      <c r="BT269" s="62"/>
      <c r="BU269" s="62"/>
      <c r="BV269" s="62"/>
      <c r="BW269" s="62"/>
      <c r="BX269" s="62"/>
      <c r="BY269" s="62"/>
      <c r="BZ269" s="62"/>
      <c r="CA269" s="62"/>
      <c r="CB269" s="62"/>
      <c r="CC269" s="62"/>
      <c r="CD269" s="62"/>
      <c r="CE269" s="62"/>
      <c r="CF269" s="62"/>
      <c r="CG269" s="62"/>
      <c r="CH269" s="62"/>
      <c r="CI269" s="62"/>
      <c r="CJ269" s="62"/>
      <c r="CK269" s="62"/>
      <c r="CL269" s="62"/>
      <c r="CM269" s="62"/>
      <c r="CN269" s="62"/>
      <c r="CO269" s="62"/>
      <c r="CP269" s="62"/>
      <c r="CQ269" s="62"/>
      <c r="CR269" s="62"/>
      <c r="CS269" s="62"/>
      <c r="CT269" s="62"/>
      <c r="CU269" s="62"/>
      <c r="CV269" s="62"/>
      <c r="CW269" s="62"/>
      <c r="CX269" s="62"/>
      <c r="CY269" s="62"/>
      <c r="CZ269" s="62"/>
      <c r="DA269" s="62"/>
      <c r="DB269" s="62"/>
      <c r="DC269" s="62"/>
      <c r="DD269" s="62"/>
      <c r="DE269" s="62"/>
      <c r="DF269" s="62"/>
      <c r="DG269" s="62"/>
      <c r="DH269" s="62"/>
      <c r="DI269" s="62"/>
      <c r="DJ269" s="62"/>
      <c r="DK269" s="62"/>
      <c r="DL269" s="62"/>
    </row>
    <row r="270" spans="1:116" hidden="1" x14ac:dyDescent="0.2">
      <c r="A270" s="57">
        <v>34790</v>
      </c>
      <c r="B270" s="58"/>
      <c r="C270" s="66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6"/>
      <c r="P270" s="61"/>
      <c r="Q270" s="62"/>
      <c r="R270" s="62"/>
      <c r="S270" s="62"/>
      <c r="T270" s="62"/>
      <c r="U270" s="62"/>
      <c r="V270" s="62"/>
      <c r="W270" s="62"/>
      <c r="X270" s="62"/>
      <c r="Y270" s="61"/>
      <c r="Z270" s="63"/>
      <c r="AA270" s="64" t="e">
        <v>#N/A</v>
      </c>
      <c r="AB270" s="62" t="e">
        <v>#N/A</v>
      </c>
      <c r="AC270" s="62" t="e">
        <v>#N/A</v>
      </c>
      <c r="AD270" s="62" t="e">
        <v>#N/A</v>
      </c>
      <c r="AE270" s="62" t="e">
        <v>#N/A</v>
      </c>
      <c r="AF270" s="62" t="e">
        <v>#N/A</v>
      </c>
      <c r="AG270" s="62" t="e">
        <v>#N/A</v>
      </c>
      <c r="AH270" s="62" t="e">
        <v>#N/A</v>
      </c>
      <c r="AI270" s="62" t="e">
        <v>#N/A</v>
      </c>
      <c r="AJ270" s="62" t="e">
        <v>#N/A</v>
      </c>
      <c r="AK270" s="64" t="e">
        <v>#N/A</v>
      </c>
      <c r="AL270" s="19">
        <v>93777</v>
      </c>
      <c r="AM270" s="19">
        <v>93190</v>
      </c>
      <c r="AN270" s="23">
        <v>3754</v>
      </c>
      <c r="AO270" s="19">
        <v>114590</v>
      </c>
      <c r="AP270" s="19">
        <v>5158</v>
      </c>
      <c r="AQ270" s="62"/>
      <c r="AR270" s="63"/>
      <c r="AS270" s="63"/>
      <c r="AT270" s="65">
        <f t="shared" si="21"/>
        <v>4812.78</v>
      </c>
      <c r="AU270" s="65">
        <f t="shared" si="22"/>
        <v>157.66800000000001</v>
      </c>
      <c r="AV270" s="65">
        <f t="shared" si="23"/>
        <v>216.636</v>
      </c>
      <c r="AW270" s="65">
        <f t="shared" si="25"/>
        <v>3938.634</v>
      </c>
      <c r="AX270" s="65">
        <f t="shared" si="25"/>
        <v>3913.98</v>
      </c>
      <c r="AY270" s="65">
        <f t="shared" si="24"/>
        <v>216.636</v>
      </c>
      <c r="AZ270" s="19">
        <v>39516</v>
      </c>
      <c r="BA270" s="19">
        <v>42055</v>
      </c>
      <c r="BB270" s="19">
        <v>38223</v>
      </c>
      <c r="BC270" s="19">
        <v>2215</v>
      </c>
      <c r="BD270" s="19">
        <v>138</v>
      </c>
      <c r="BE270" s="62"/>
      <c r="BF270" s="62"/>
      <c r="BG270" s="62"/>
      <c r="BH270" s="62"/>
      <c r="BI270" s="62"/>
      <c r="BJ270" s="62"/>
      <c r="BK270" s="62"/>
      <c r="BL270" s="62"/>
      <c r="BM270" s="62"/>
      <c r="BN270" s="62"/>
      <c r="BO270" s="62"/>
      <c r="BP270" s="62"/>
      <c r="BQ270" s="62"/>
      <c r="BR270" s="62"/>
      <c r="BS270" s="62"/>
      <c r="BT270" s="62"/>
      <c r="BU270" s="62"/>
      <c r="BV270" s="62"/>
      <c r="BW270" s="62"/>
      <c r="BX270" s="62"/>
      <c r="BY270" s="62"/>
      <c r="BZ270" s="62"/>
      <c r="CA270" s="62"/>
      <c r="CB270" s="62"/>
      <c r="CC270" s="62"/>
      <c r="CD270" s="62"/>
      <c r="CE270" s="62"/>
      <c r="CF270" s="62"/>
      <c r="CG270" s="62"/>
      <c r="CH270" s="62"/>
      <c r="CI270" s="62"/>
      <c r="CJ270" s="62"/>
      <c r="CK270" s="62"/>
      <c r="CL270" s="62"/>
      <c r="CM270" s="62"/>
      <c r="CN270" s="62"/>
      <c r="CO270" s="62"/>
      <c r="CP270" s="62"/>
      <c r="CQ270" s="62"/>
      <c r="CR270" s="62"/>
      <c r="CS270" s="62"/>
      <c r="CT270" s="62"/>
      <c r="CU270" s="62"/>
      <c r="CV270" s="62"/>
      <c r="CW270" s="62"/>
      <c r="CX270" s="62"/>
      <c r="CY270" s="62"/>
      <c r="CZ270" s="62"/>
      <c r="DA270" s="62"/>
      <c r="DB270" s="62"/>
      <c r="DC270" s="62"/>
      <c r="DD270" s="62"/>
      <c r="DE270" s="62"/>
      <c r="DF270" s="62"/>
      <c r="DG270" s="62"/>
      <c r="DH270" s="62"/>
      <c r="DI270" s="62"/>
      <c r="DJ270" s="62"/>
      <c r="DK270" s="62"/>
      <c r="DL270" s="62"/>
    </row>
    <row r="271" spans="1:116" hidden="1" x14ac:dyDescent="0.2">
      <c r="A271" s="57">
        <v>34820</v>
      </c>
      <c r="B271" s="58"/>
      <c r="C271" s="66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6"/>
      <c r="P271" s="61"/>
      <c r="Q271" s="62"/>
      <c r="R271" s="62"/>
      <c r="S271" s="62"/>
      <c r="T271" s="62"/>
      <c r="U271" s="62"/>
      <c r="V271" s="62"/>
      <c r="W271" s="62"/>
      <c r="X271" s="62"/>
      <c r="Y271" s="61"/>
      <c r="Z271" s="63"/>
      <c r="AA271" s="64" t="e">
        <v>#N/A</v>
      </c>
      <c r="AB271" s="62" t="e">
        <v>#N/A</v>
      </c>
      <c r="AC271" s="62" t="e">
        <v>#N/A</v>
      </c>
      <c r="AD271" s="62" t="e">
        <v>#N/A</v>
      </c>
      <c r="AE271" s="62" t="e">
        <v>#N/A</v>
      </c>
      <c r="AF271" s="62" t="e">
        <v>#N/A</v>
      </c>
      <c r="AG271" s="62" t="e">
        <v>#N/A</v>
      </c>
      <c r="AH271" s="62" t="e">
        <v>#N/A</v>
      </c>
      <c r="AI271" s="62" t="e">
        <v>#N/A</v>
      </c>
      <c r="AJ271" s="62" t="e">
        <v>#N/A</v>
      </c>
      <c r="AK271" s="64" t="e">
        <v>#N/A</v>
      </c>
      <c r="AL271" s="19">
        <v>96437</v>
      </c>
      <c r="AM271" s="19">
        <v>89875</v>
      </c>
      <c r="AN271" s="23">
        <v>3384</v>
      </c>
      <c r="AO271" s="19">
        <v>118284</v>
      </c>
      <c r="AP271" s="19">
        <v>6252</v>
      </c>
      <c r="AQ271" s="62"/>
      <c r="AR271" s="63"/>
      <c r="AS271" s="63"/>
      <c r="AT271" s="65">
        <f t="shared" si="21"/>
        <v>4967.9279999999999</v>
      </c>
      <c r="AU271" s="65">
        <f t="shared" si="22"/>
        <v>142.12799999999999</v>
      </c>
      <c r="AV271" s="65">
        <f t="shared" si="23"/>
        <v>262.584</v>
      </c>
      <c r="AW271" s="65">
        <f t="shared" si="25"/>
        <v>4050.3539999999998</v>
      </c>
      <c r="AX271" s="65">
        <f t="shared" si="25"/>
        <v>3774.75</v>
      </c>
      <c r="AY271" s="65">
        <f t="shared" si="24"/>
        <v>262.584</v>
      </c>
      <c r="AZ271" s="19">
        <v>41989</v>
      </c>
      <c r="BA271" s="19">
        <v>45807</v>
      </c>
      <c r="BB271" s="19">
        <v>37149</v>
      </c>
      <c r="BC271" s="19">
        <v>2965</v>
      </c>
      <c r="BD271" s="19">
        <v>221</v>
      </c>
      <c r="BE271" s="62"/>
      <c r="BF271" s="62"/>
      <c r="BG271" s="62"/>
      <c r="BH271" s="62"/>
      <c r="BI271" s="62"/>
      <c r="BJ271" s="62"/>
      <c r="BK271" s="62"/>
      <c r="BL271" s="62"/>
      <c r="BM271" s="62"/>
      <c r="BN271" s="62"/>
      <c r="BO271" s="62"/>
      <c r="BP271" s="62"/>
      <c r="BQ271" s="62"/>
      <c r="BR271" s="62"/>
      <c r="BS271" s="62"/>
      <c r="BT271" s="62"/>
      <c r="BU271" s="62"/>
      <c r="BV271" s="62"/>
      <c r="BW271" s="62"/>
      <c r="BX271" s="62"/>
      <c r="BY271" s="62"/>
      <c r="BZ271" s="62"/>
      <c r="CA271" s="62"/>
      <c r="CB271" s="62"/>
      <c r="CC271" s="62"/>
      <c r="CD271" s="62"/>
      <c r="CE271" s="62"/>
      <c r="CF271" s="62"/>
      <c r="CG271" s="62"/>
      <c r="CH271" s="62"/>
      <c r="CI271" s="62"/>
      <c r="CJ271" s="62"/>
      <c r="CK271" s="62"/>
      <c r="CL271" s="62"/>
      <c r="CM271" s="62"/>
      <c r="CN271" s="62"/>
      <c r="CO271" s="62"/>
      <c r="CP271" s="62"/>
      <c r="CQ271" s="62"/>
      <c r="CR271" s="62"/>
      <c r="CS271" s="62"/>
      <c r="CT271" s="62"/>
      <c r="CU271" s="62"/>
      <c r="CV271" s="62"/>
      <c r="CW271" s="62"/>
      <c r="CX271" s="62"/>
      <c r="CY271" s="62"/>
      <c r="CZ271" s="62"/>
      <c r="DA271" s="62"/>
      <c r="DB271" s="62"/>
      <c r="DC271" s="62"/>
      <c r="DD271" s="62"/>
      <c r="DE271" s="62"/>
      <c r="DF271" s="62"/>
      <c r="DG271" s="62"/>
      <c r="DH271" s="62"/>
      <c r="DI271" s="62"/>
      <c r="DJ271" s="62"/>
      <c r="DK271" s="62"/>
      <c r="DL271" s="62"/>
    </row>
    <row r="272" spans="1:116" hidden="1" x14ac:dyDescent="0.2">
      <c r="A272" s="57">
        <v>34851</v>
      </c>
      <c r="B272" s="58"/>
      <c r="C272" s="66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6"/>
      <c r="P272" s="61"/>
      <c r="Q272" s="62"/>
      <c r="R272" s="62"/>
      <c r="S272" s="62"/>
      <c r="T272" s="62"/>
      <c r="U272" s="62"/>
      <c r="V272" s="62"/>
      <c r="W272" s="62"/>
      <c r="X272" s="62"/>
      <c r="Y272" s="61"/>
      <c r="Z272" s="63"/>
      <c r="AA272" s="64" t="e">
        <v>#N/A</v>
      </c>
      <c r="AB272" s="62" t="e">
        <v>#N/A</v>
      </c>
      <c r="AC272" s="62" t="e">
        <v>#N/A</v>
      </c>
      <c r="AD272" s="62" t="e">
        <v>#N/A</v>
      </c>
      <c r="AE272" s="62" t="e">
        <v>#N/A</v>
      </c>
      <c r="AF272" s="62" t="e">
        <v>#N/A</v>
      </c>
      <c r="AG272" s="62" t="e">
        <v>#N/A</v>
      </c>
      <c r="AH272" s="62" t="e">
        <v>#N/A</v>
      </c>
      <c r="AI272" s="62" t="e">
        <v>#N/A</v>
      </c>
      <c r="AJ272" s="62" t="e">
        <v>#N/A</v>
      </c>
      <c r="AK272" s="64" t="e">
        <v>#N/A</v>
      </c>
      <c r="AL272" s="19">
        <v>93281</v>
      </c>
      <c r="AM272" s="19">
        <v>98014</v>
      </c>
      <c r="AN272" s="23">
        <v>5281</v>
      </c>
      <c r="AO272" s="19">
        <v>114715</v>
      </c>
      <c r="AP272" s="19">
        <v>4117</v>
      </c>
      <c r="AQ272" s="62"/>
      <c r="AR272" s="63"/>
      <c r="AS272" s="63"/>
      <c r="AT272" s="65">
        <f t="shared" si="21"/>
        <v>4818.03</v>
      </c>
      <c r="AU272" s="65">
        <f t="shared" si="22"/>
        <v>221.80199999999999</v>
      </c>
      <c r="AV272" s="65">
        <f t="shared" si="23"/>
        <v>172.91399999999999</v>
      </c>
      <c r="AW272" s="65">
        <f t="shared" si="25"/>
        <v>3917.8020000000001</v>
      </c>
      <c r="AX272" s="65">
        <f t="shared" si="25"/>
        <v>4116.5879999999997</v>
      </c>
      <c r="AY272" s="65">
        <f t="shared" si="24"/>
        <v>172.91399999999999</v>
      </c>
      <c r="AZ272" s="19">
        <v>41954</v>
      </c>
      <c r="BA272" s="19">
        <v>41804</v>
      </c>
      <c r="BB272" s="19">
        <v>39303</v>
      </c>
      <c r="BC272" s="19">
        <v>2315</v>
      </c>
      <c r="BD272" s="19">
        <v>311</v>
      </c>
      <c r="BE272" s="62"/>
      <c r="BF272" s="62"/>
      <c r="BG272" s="62"/>
      <c r="BH272" s="62"/>
      <c r="BI272" s="62"/>
      <c r="BJ272" s="62"/>
      <c r="BK272" s="62"/>
      <c r="BL272" s="62"/>
      <c r="BM272" s="62"/>
      <c r="BN272" s="62"/>
      <c r="BO272" s="62"/>
      <c r="BP272" s="62"/>
      <c r="BQ272" s="62"/>
      <c r="BR272" s="62"/>
      <c r="BS272" s="62"/>
      <c r="BT272" s="62"/>
      <c r="BU272" s="62"/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/>
      <c r="CP272" s="62"/>
      <c r="CQ272" s="62"/>
      <c r="CR272" s="62"/>
      <c r="CS272" s="62"/>
      <c r="CT272" s="62"/>
      <c r="CU272" s="62"/>
      <c r="CV272" s="62"/>
      <c r="CW272" s="62"/>
      <c r="CX272" s="62"/>
      <c r="CY272" s="62"/>
      <c r="CZ272" s="62"/>
      <c r="DA272" s="62"/>
      <c r="DB272" s="62"/>
      <c r="DC272" s="62"/>
      <c r="DD272" s="62"/>
      <c r="DE272" s="62"/>
      <c r="DF272" s="62"/>
      <c r="DG272" s="62"/>
      <c r="DH272" s="62"/>
      <c r="DI272" s="62"/>
      <c r="DJ272" s="62"/>
      <c r="DK272" s="62"/>
      <c r="DL272" s="62"/>
    </row>
    <row r="273" spans="1:116" hidden="1" x14ac:dyDescent="0.2">
      <c r="A273" s="57">
        <v>34881</v>
      </c>
      <c r="B273" s="58"/>
      <c r="C273" s="66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6"/>
      <c r="P273" s="61"/>
      <c r="Q273" s="62"/>
      <c r="R273" s="62"/>
      <c r="S273" s="62"/>
      <c r="T273" s="62"/>
      <c r="U273" s="62"/>
      <c r="V273" s="62"/>
      <c r="W273" s="62"/>
      <c r="X273" s="62"/>
      <c r="Y273" s="61"/>
      <c r="Z273" s="63"/>
      <c r="AA273" s="64" t="e">
        <v>#N/A</v>
      </c>
      <c r="AB273" s="62" t="e">
        <v>#N/A</v>
      </c>
      <c r="AC273" s="62" t="e">
        <v>#N/A</v>
      </c>
      <c r="AD273" s="62" t="e">
        <v>#N/A</v>
      </c>
      <c r="AE273" s="62" t="e">
        <v>#N/A</v>
      </c>
      <c r="AF273" s="62" t="e">
        <v>#N/A</v>
      </c>
      <c r="AG273" s="62" t="e">
        <v>#N/A</v>
      </c>
      <c r="AH273" s="62" t="e">
        <v>#N/A</v>
      </c>
      <c r="AI273" s="62" t="e">
        <v>#N/A</v>
      </c>
      <c r="AJ273" s="62" t="e">
        <v>#N/A</v>
      </c>
      <c r="AK273" s="64" t="e">
        <v>#N/A</v>
      </c>
      <c r="AL273" s="19">
        <v>94729</v>
      </c>
      <c r="AM273" s="19">
        <v>84690</v>
      </c>
      <c r="AN273" s="23">
        <v>4865</v>
      </c>
      <c r="AO273" s="19">
        <v>125031</v>
      </c>
      <c r="AP273" s="19">
        <v>4588</v>
      </c>
      <c r="AQ273" s="62"/>
      <c r="AR273" s="63"/>
      <c r="AS273" s="63"/>
      <c r="AT273" s="65">
        <f t="shared" si="21"/>
        <v>5251.3019999999997</v>
      </c>
      <c r="AU273" s="65">
        <f t="shared" si="22"/>
        <v>204.33</v>
      </c>
      <c r="AV273" s="65">
        <f t="shared" si="23"/>
        <v>192.696</v>
      </c>
      <c r="AW273" s="65">
        <f t="shared" si="25"/>
        <v>3978.6179999999999</v>
      </c>
      <c r="AX273" s="65">
        <f t="shared" si="25"/>
        <v>3556.98</v>
      </c>
      <c r="AY273" s="65">
        <f t="shared" si="24"/>
        <v>192.696</v>
      </c>
      <c r="AZ273" s="19">
        <v>44770</v>
      </c>
      <c r="BA273" s="19">
        <v>45553</v>
      </c>
      <c r="BB273" s="19">
        <v>40036</v>
      </c>
      <c r="BC273" s="19">
        <v>2088</v>
      </c>
      <c r="BD273" s="19">
        <v>572</v>
      </c>
      <c r="BE273" s="62"/>
      <c r="BF273" s="62"/>
      <c r="BG273" s="62"/>
      <c r="BH273" s="62"/>
      <c r="BI273" s="62"/>
      <c r="BJ273" s="62"/>
      <c r="BK273" s="62"/>
      <c r="BL273" s="62"/>
      <c r="BM273" s="62"/>
      <c r="BN273" s="62"/>
      <c r="BO273" s="62"/>
      <c r="BP273" s="62"/>
      <c r="BQ273" s="62"/>
      <c r="BR273" s="62"/>
      <c r="BS273" s="62"/>
      <c r="BT273" s="62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62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  <c r="DK273" s="62"/>
      <c r="DL273" s="62"/>
    </row>
    <row r="274" spans="1:116" hidden="1" x14ac:dyDescent="0.2">
      <c r="A274" s="57">
        <v>34912</v>
      </c>
      <c r="B274" s="58"/>
      <c r="C274" s="66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6"/>
      <c r="P274" s="61"/>
      <c r="Q274" s="62"/>
      <c r="R274" s="62"/>
      <c r="S274" s="62"/>
      <c r="T274" s="62"/>
      <c r="U274" s="62"/>
      <c r="V274" s="62"/>
      <c r="W274" s="62"/>
      <c r="X274" s="62"/>
      <c r="Y274" s="61"/>
      <c r="Z274" s="63"/>
      <c r="AA274" s="64" t="e">
        <v>#N/A</v>
      </c>
      <c r="AB274" s="62" t="e">
        <v>#N/A</v>
      </c>
      <c r="AC274" s="62" t="e">
        <v>#N/A</v>
      </c>
      <c r="AD274" s="62" t="e">
        <v>#N/A</v>
      </c>
      <c r="AE274" s="62" t="e">
        <v>#N/A</v>
      </c>
      <c r="AF274" s="62" t="e">
        <v>#N/A</v>
      </c>
      <c r="AG274" s="62" t="e">
        <v>#N/A</v>
      </c>
      <c r="AH274" s="62" t="e">
        <v>#N/A</v>
      </c>
      <c r="AI274" s="62" t="e">
        <v>#N/A</v>
      </c>
      <c r="AJ274" s="62" t="e">
        <v>#N/A</v>
      </c>
      <c r="AK274" s="64" t="e">
        <v>#N/A</v>
      </c>
      <c r="AL274" s="19">
        <v>97490</v>
      </c>
      <c r="AM274" s="19">
        <v>94350</v>
      </c>
      <c r="AN274" s="23">
        <v>5316</v>
      </c>
      <c r="AO274" s="19">
        <v>130876</v>
      </c>
      <c r="AP274" s="19">
        <v>2611</v>
      </c>
      <c r="AQ274" s="62"/>
      <c r="AR274" s="63"/>
      <c r="AS274" s="63"/>
      <c r="AT274" s="65">
        <f t="shared" si="21"/>
        <v>5496.7920000000004</v>
      </c>
      <c r="AU274" s="65">
        <f t="shared" si="22"/>
        <v>223.27199999999999</v>
      </c>
      <c r="AV274" s="65">
        <f t="shared" si="23"/>
        <v>109.66200000000001</v>
      </c>
      <c r="AW274" s="65">
        <f t="shared" si="25"/>
        <v>4094.58</v>
      </c>
      <c r="AX274" s="65">
        <f t="shared" si="25"/>
        <v>3962.7</v>
      </c>
      <c r="AY274" s="65">
        <f t="shared" si="24"/>
        <v>109.66200000000001</v>
      </c>
      <c r="AZ274" s="19">
        <v>43973</v>
      </c>
      <c r="BA274" s="19">
        <v>46663</v>
      </c>
      <c r="BB274" s="19">
        <v>39348</v>
      </c>
      <c r="BC274" s="19">
        <v>2537</v>
      </c>
      <c r="BD274" s="19">
        <v>535</v>
      </c>
      <c r="BE274" s="62"/>
      <c r="BF274" s="62"/>
      <c r="BG274" s="62"/>
      <c r="BH274" s="62"/>
      <c r="BI274" s="62"/>
      <c r="BJ274" s="62"/>
      <c r="BK274" s="62"/>
      <c r="BL274" s="62"/>
      <c r="BM274" s="62"/>
      <c r="BN274" s="62"/>
      <c r="BO274" s="62"/>
      <c r="BP274" s="62"/>
      <c r="BQ274" s="62"/>
      <c r="BR274" s="62"/>
      <c r="BS274" s="62"/>
      <c r="BT274" s="62"/>
      <c r="BU274" s="62"/>
      <c r="BV274" s="62"/>
      <c r="BW274" s="62"/>
      <c r="BX274" s="62"/>
      <c r="BY274" s="62"/>
      <c r="BZ274" s="62"/>
      <c r="CA274" s="62"/>
      <c r="CB274" s="62"/>
      <c r="CC274" s="62"/>
      <c r="CD274" s="62"/>
      <c r="CE274" s="62"/>
      <c r="CF274" s="62"/>
      <c r="CG274" s="62"/>
      <c r="CH274" s="62"/>
      <c r="CI274" s="62"/>
      <c r="CJ274" s="62"/>
      <c r="CK274" s="62"/>
      <c r="CL274" s="62"/>
      <c r="CM274" s="62"/>
      <c r="CN274" s="62"/>
      <c r="CO274" s="62"/>
      <c r="CP274" s="62"/>
      <c r="CQ274" s="62"/>
      <c r="CR274" s="62"/>
      <c r="CS274" s="62"/>
      <c r="CT274" s="62"/>
      <c r="CU274" s="62"/>
      <c r="CV274" s="62"/>
      <c r="CW274" s="62"/>
      <c r="CX274" s="62"/>
      <c r="CY274" s="62"/>
      <c r="CZ274" s="62"/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  <c r="DK274" s="62"/>
      <c r="DL274" s="62"/>
    </row>
    <row r="275" spans="1:116" hidden="1" x14ac:dyDescent="0.2">
      <c r="A275" s="57">
        <v>34943</v>
      </c>
      <c r="B275" s="58"/>
      <c r="C275" s="66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6"/>
      <c r="P275" s="61"/>
      <c r="Q275" s="62"/>
      <c r="R275" s="62"/>
      <c r="S275" s="62"/>
      <c r="T275" s="62"/>
      <c r="U275" s="62"/>
      <c r="V275" s="62"/>
      <c r="W275" s="62"/>
      <c r="X275" s="62"/>
      <c r="Y275" s="61"/>
      <c r="Z275" s="63"/>
      <c r="AA275" s="64" t="e">
        <v>#N/A</v>
      </c>
      <c r="AB275" s="62" t="e">
        <v>#N/A</v>
      </c>
      <c r="AC275" s="62" t="e">
        <v>#N/A</v>
      </c>
      <c r="AD275" s="62" t="e">
        <v>#N/A</v>
      </c>
      <c r="AE275" s="62" t="e">
        <v>#N/A</v>
      </c>
      <c r="AF275" s="62" t="e">
        <v>#N/A</v>
      </c>
      <c r="AG275" s="62" t="e">
        <v>#N/A</v>
      </c>
      <c r="AH275" s="62" t="e">
        <v>#N/A</v>
      </c>
      <c r="AI275" s="62" t="e">
        <v>#N/A</v>
      </c>
      <c r="AJ275" s="62" t="e">
        <v>#N/A</v>
      </c>
      <c r="AK275" s="64" t="e">
        <v>#N/A</v>
      </c>
      <c r="AL275" s="19">
        <v>98604</v>
      </c>
      <c r="AM275" s="19">
        <v>98540</v>
      </c>
      <c r="AN275" s="23">
        <v>4258</v>
      </c>
      <c r="AO275" s="19">
        <v>131714</v>
      </c>
      <c r="AP275" s="19">
        <v>3484</v>
      </c>
      <c r="AQ275" s="62"/>
      <c r="AR275" s="63"/>
      <c r="AS275" s="63"/>
      <c r="AT275" s="65">
        <f t="shared" si="21"/>
        <v>5531.9880000000003</v>
      </c>
      <c r="AU275" s="65">
        <f t="shared" si="22"/>
        <v>178.83600000000001</v>
      </c>
      <c r="AV275" s="65">
        <f t="shared" si="23"/>
        <v>146.328</v>
      </c>
      <c r="AW275" s="65">
        <f t="shared" si="25"/>
        <v>4141.3680000000004</v>
      </c>
      <c r="AX275" s="65">
        <f t="shared" si="25"/>
        <v>4138.68</v>
      </c>
      <c r="AY275" s="65">
        <f t="shared" si="24"/>
        <v>146.328</v>
      </c>
      <c r="AZ275" s="19">
        <v>43766</v>
      </c>
      <c r="BA275" s="19">
        <v>45007</v>
      </c>
      <c r="BB275" s="19">
        <v>40772</v>
      </c>
      <c r="BC275" s="19">
        <v>3252</v>
      </c>
      <c r="BD275" s="19">
        <v>587</v>
      </c>
      <c r="BE275" s="62"/>
      <c r="BF275" s="62"/>
      <c r="BG275" s="62"/>
      <c r="BH275" s="62"/>
      <c r="BI275" s="62"/>
      <c r="BJ275" s="62"/>
      <c r="BK275" s="62"/>
      <c r="BL275" s="62"/>
      <c r="BM275" s="62"/>
      <c r="BN275" s="62"/>
      <c r="BO275" s="62"/>
      <c r="BP275" s="62"/>
      <c r="BQ275" s="62"/>
      <c r="BR275" s="62"/>
      <c r="BS275" s="62"/>
      <c r="BT275" s="62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62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  <c r="DK275" s="62"/>
      <c r="DL275" s="62"/>
    </row>
    <row r="276" spans="1:116" hidden="1" x14ac:dyDescent="0.2">
      <c r="A276" s="57">
        <v>34973</v>
      </c>
      <c r="B276" s="58"/>
      <c r="C276" s="66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6"/>
      <c r="P276" s="61"/>
      <c r="Q276" s="62"/>
      <c r="R276" s="62"/>
      <c r="S276" s="62"/>
      <c r="T276" s="62"/>
      <c r="U276" s="62"/>
      <c r="V276" s="62"/>
      <c r="W276" s="62"/>
      <c r="X276" s="62"/>
      <c r="Y276" s="61"/>
      <c r="Z276" s="63"/>
      <c r="AA276" s="64" t="e">
        <v>#N/A</v>
      </c>
      <c r="AB276" s="62" t="e">
        <v>#N/A</v>
      </c>
      <c r="AC276" s="62" t="e">
        <v>#N/A</v>
      </c>
      <c r="AD276" s="62" t="e">
        <v>#N/A</v>
      </c>
      <c r="AE276" s="62" t="e">
        <v>#N/A</v>
      </c>
      <c r="AF276" s="62" t="e">
        <v>#N/A</v>
      </c>
      <c r="AG276" s="62" t="e">
        <v>#N/A</v>
      </c>
      <c r="AH276" s="62" t="e">
        <v>#N/A</v>
      </c>
      <c r="AI276" s="62" t="e">
        <v>#N/A</v>
      </c>
      <c r="AJ276" s="62" t="e">
        <v>#N/A</v>
      </c>
      <c r="AK276" s="64" t="e">
        <v>#N/A</v>
      </c>
      <c r="AL276" s="19">
        <v>98248</v>
      </c>
      <c r="AM276" s="19">
        <v>96210</v>
      </c>
      <c r="AN276" s="23">
        <v>5015</v>
      </c>
      <c r="AO276" s="19">
        <v>131385</v>
      </c>
      <c r="AP276" s="19">
        <v>7382</v>
      </c>
      <c r="AQ276" s="62"/>
      <c r="AR276" s="63"/>
      <c r="AS276" s="63"/>
      <c r="AT276" s="65">
        <f t="shared" si="21"/>
        <v>5518.17</v>
      </c>
      <c r="AU276" s="65">
        <f t="shared" si="22"/>
        <v>210.63</v>
      </c>
      <c r="AV276" s="65">
        <f t="shared" si="23"/>
        <v>310.04399999999998</v>
      </c>
      <c r="AW276" s="65">
        <f t="shared" si="25"/>
        <v>4126.4160000000002</v>
      </c>
      <c r="AX276" s="65">
        <f t="shared" si="25"/>
        <v>4040.82</v>
      </c>
      <c r="AY276" s="65">
        <f t="shared" si="24"/>
        <v>310.04399999999998</v>
      </c>
      <c r="AZ276" s="19">
        <v>44071</v>
      </c>
      <c r="BA276" s="19">
        <v>47047</v>
      </c>
      <c r="BB276" s="19">
        <v>39099</v>
      </c>
      <c r="BC276" s="19">
        <v>3077</v>
      </c>
      <c r="BD276" s="19">
        <v>1774</v>
      </c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62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  <c r="DK276" s="62"/>
      <c r="DL276" s="62"/>
    </row>
    <row r="277" spans="1:116" hidden="1" x14ac:dyDescent="0.2">
      <c r="A277" s="57">
        <v>35004</v>
      </c>
      <c r="B277" s="58"/>
      <c r="C277" s="66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6"/>
      <c r="P277" s="61"/>
      <c r="Q277" s="62"/>
      <c r="R277" s="62"/>
      <c r="S277" s="62"/>
      <c r="T277" s="62"/>
      <c r="U277" s="62"/>
      <c r="V277" s="62"/>
      <c r="W277" s="62"/>
      <c r="X277" s="62"/>
      <c r="Y277" s="61"/>
      <c r="Z277" s="63"/>
      <c r="AA277" s="64" t="e">
        <v>#N/A</v>
      </c>
      <c r="AB277" s="62" t="e">
        <v>#N/A</v>
      </c>
      <c r="AC277" s="62" t="e">
        <v>#N/A</v>
      </c>
      <c r="AD277" s="62" t="e">
        <v>#N/A</v>
      </c>
      <c r="AE277" s="62" t="e">
        <v>#N/A</v>
      </c>
      <c r="AF277" s="62" t="e">
        <v>#N/A</v>
      </c>
      <c r="AG277" s="62" t="e">
        <v>#N/A</v>
      </c>
      <c r="AH277" s="62" t="e">
        <v>#N/A</v>
      </c>
      <c r="AI277" s="62" t="e">
        <v>#N/A</v>
      </c>
      <c r="AJ277" s="62" t="e">
        <v>#N/A</v>
      </c>
      <c r="AK277" s="64" t="e">
        <v>#N/A</v>
      </c>
      <c r="AL277" s="19">
        <v>100239</v>
      </c>
      <c r="AM277" s="19">
        <v>96981</v>
      </c>
      <c r="AN277" s="23">
        <v>7852</v>
      </c>
      <c r="AO277" s="19">
        <v>135426</v>
      </c>
      <c r="AP277" s="19">
        <v>7069</v>
      </c>
      <c r="AQ277" s="62"/>
      <c r="AR277" s="63"/>
      <c r="AS277" s="63"/>
      <c r="AT277" s="65">
        <f t="shared" si="21"/>
        <v>5687.8919999999998</v>
      </c>
      <c r="AU277" s="65">
        <f t="shared" si="22"/>
        <v>329.78399999999999</v>
      </c>
      <c r="AV277" s="65">
        <f t="shared" si="23"/>
        <v>296.89800000000002</v>
      </c>
      <c r="AW277" s="65">
        <f t="shared" si="25"/>
        <v>4210.0379999999996</v>
      </c>
      <c r="AX277" s="65">
        <f t="shared" si="25"/>
        <v>4073.2020000000002</v>
      </c>
      <c r="AY277" s="65">
        <f t="shared" si="24"/>
        <v>296.89800000000002</v>
      </c>
      <c r="AZ277" s="19">
        <v>44801</v>
      </c>
      <c r="BA277" s="19">
        <v>47344</v>
      </c>
      <c r="BB277" s="19">
        <v>41099</v>
      </c>
      <c r="BC277" s="19">
        <v>4930</v>
      </c>
      <c r="BD277" s="19">
        <v>387</v>
      </c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62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  <c r="DK277" s="62"/>
      <c r="DL277" s="62"/>
    </row>
    <row r="278" spans="1:116" hidden="1" x14ac:dyDescent="0.2">
      <c r="A278" s="57">
        <v>35034</v>
      </c>
      <c r="B278" s="58"/>
      <c r="C278" s="66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6"/>
      <c r="P278" s="61"/>
      <c r="Q278" s="62"/>
      <c r="R278" s="62"/>
      <c r="S278" s="62"/>
      <c r="T278" s="62"/>
      <c r="U278" s="62"/>
      <c r="V278" s="62"/>
      <c r="W278" s="62"/>
      <c r="X278" s="62"/>
      <c r="Y278" s="61"/>
      <c r="Z278" s="63"/>
      <c r="AA278" s="64" t="e">
        <v>#N/A</v>
      </c>
      <c r="AB278" s="62" t="e">
        <v>#N/A</v>
      </c>
      <c r="AC278" s="62" t="e">
        <v>#N/A</v>
      </c>
      <c r="AD278" s="62" t="e">
        <v>#N/A</v>
      </c>
      <c r="AE278" s="62" t="e">
        <v>#N/A</v>
      </c>
      <c r="AF278" s="62" t="e">
        <v>#N/A</v>
      </c>
      <c r="AG278" s="62" t="e">
        <v>#N/A</v>
      </c>
      <c r="AH278" s="62" t="e">
        <v>#N/A</v>
      </c>
      <c r="AI278" s="62" t="e">
        <v>#N/A</v>
      </c>
      <c r="AJ278" s="62" t="e">
        <v>#N/A</v>
      </c>
      <c r="AK278" s="64" t="e">
        <v>#N/A</v>
      </c>
      <c r="AL278" s="19">
        <v>103679</v>
      </c>
      <c r="AM278" s="19">
        <v>106923</v>
      </c>
      <c r="AN278" s="23">
        <v>7276</v>
      </c>
      <c r="AO278" s="19">
        <v>130214</v>
      </c>
      <c r="AP278" s="19">
        <v>9244</v>
      </c>
      <c r="AQ278" s="62"/>
      <c r="AR278" s="63"/>
      <c r="AS278" s="63"/>
      <c r="AT278" s="65">
        <f t="shared" si="21"/>
        <v>5468.9880000000003</v>
      </c>
      <c r="AU278" s="65">
        <f t="shared" si="22"/>
        <v>305.59199999999998</v>
      </c>
      <c r="AV278" s="65">
        <f t="shared" si="23"/>
        <v>388.24799999999999</v>
      </c>
      <c r="AW278" s="65">
        <f t="shared" si="25"/>
        <v>4354.518</v>
      </c>
      <c r="AX278" s="65">
        <f t="shared" si="25"/>
        <v>4490.7659999999996</v>
      </c>
      <c r="AY278" s="65">
        <f t="shared" si="24"/>
        <v>388.24799999999999</v>
      </c>
      <c r="AZ278" s="19">
        <v>47680</v>
      </c>
      <c r="BA278" s="19">
        <v>50153</v>
      </c>
      <c r="BB278" s="19">
        <v>39449</v>
      </c>
      <c r="BC278" s="19">
        <v>2763</v>
      </c>
      <c r="BD278" s="19">
        <v>1940</v>
      </c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62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  <c r="DK278" s="62"/>
      <c r="DL278" s="62"/>
    </row>
    <row r="279" spans="1:116" hidden="1" x14ac:dyDescent="0.2">
      <c r="A279" s="57">
        <v>35065</v>
      </c>
      <c r="B279" s="58"/>
      <c r="C279" s="66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6"/>
      <c r="P279" s="61"/>
      <c r="Q279" s="62"/>
      <c r="R279" s="62"/>
      <c r="S279" s="62"/>
      <c r="T279" s="62"/>
      <c r="U279" s="62"/>
      <c r="V279" s="62"/>
      <c r="W279" s="62"/>
      <c r="X279" s="62"/>
      <c r="Y279" s="61"/>
      <c r="Z279" s="63"/>
      <c r="AA279" s="64" t="e">
        <v>#N/A</v>
      </c>
      <c r="AB279" s="62" t="e">
        <v>#N/A</v>
      </c>
      <c r="AC279" s="62" t="e">
        <v>#N/A</v>
      </c>
      <c r="AD279" s="62" t="e">
        <v>#N/A</v>
      </c>
      <c r="AE279" s="62" t="e">
        <v>#N/A</v>
      </c>
      <c r="AF279" s="62" t="e">
        <v>#N/A</v>
      </c>
      <c r="AG279" s="62" t="e">
        <v>#N/A</v>
      </c>
      <c r="AH279" s="62" t="e">
        <v>#N/A</v>
      </c>
      <c r="AI279" s="62" t="e">
        <v>#N/A</v>
      </c>
      <c r="AJ279" s="62" t="e">
        <v>#N/A</v>
      </c>
      <c r="AK279" s="64" t="e">
        <v>#N/A</v>
      </c>
      <c r="AL279" s="19">
        <v>96260</v>
      </c>
      <c r="AM279" s="19">
        <v>114215</v>
      </c>
      <c r="AN279" s="23">
        <v>8290</v>
      </c>
      <c r="AO279" s="19">
        <v>113842</v>
      </c>
      <c r="AP279" s="19">
        <v>6707</v>
      </c>
      <c r="AQ279" s="62"/>
      <c r="AR279" s="63"/>
      <c r="AS279" s="63"/>
      <c r="AT279" s="65">
        <f t="shared" si="21"/>
        <v>4781.3639999999996</v>
      </c>
      <c r="AU279" s="65">
        <f t="shared" si="22"/>
        <v>348.18</v>
      </c>
      <c r="AV279" s="65">
        <f t="shared" si="23"/>
        <v>281.69400000000002</v>
      </c>
      <c r="AW279" s="65">
        <f t="shared" si="25"/>
        <v>4042.92</v>
      </c>
      <c r="AX279" s="65">
        <f t="shared" si="25"/>
        <v>4797.03</v>
      </c>
      <c r="AY279" s="65">
        <f t="shared" si="24"/>
        <v>281.69400000000002</v>
      </c>
      <c r="AZ279" s="19">
        <v>49398</v>
      </c>
      <c r="BA279" s="19">
        <v>49832</v>
      </c>
      <c r="BB279" s="19">
        <v>38335</v>
      </c>
      <c r="BC279" s="19">
        <v>2763</v>
      </c>
      <c r="BD279" s="19">
        <v>3443</v>
      </c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62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  <c r="DK279" s="62"/>
      <c r="DL279" s="62"/>
    </row>
    <row r="280" spans="1:116" hidden="1" x14ac:dyDescent="0.2">
      <c r="A280" s="57">
        <v>35096</v>
      </c>
      <c r="B280" s="58"/>
      <c r="C280" s="66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6"/>
      <c r="P280" s="61"/>
      <c r="Q280" s="62"/>
      <c r="R280" s="62"/>
      <c r="S280" s="62"/>
      <c r="T280" s="62"/>
      <c r="U280" s="62"/>
      <c r="V280" s="62"/>
      <c r="W280" s="62"/>
      <c r="X280" s="62"/>
      <c r="Y280" s="61"/>
      <c r="Z280" s="63"/>
      <c r="AA280" s="64" t="e">
        <v>#N/A</v>
      </c>
      <c r="AB280" s="62" t="e">
        <v>#N/A</v>
      </c>
      <c r="AC280" s="62" t="e">
        <v>#N/A</v>
      </c>
      <c r="AD280" s="62" t="e">
        <v>#N/A</v>
      </c>
      <c r="AE280" s="62" t="e">
        <v>#N/A</v>
      </c>
      <c r="AF280" s="62" t="e">
        <v>#N/A</v>
      </c>
      <c r="AG280" s="62" t="e">
        <v>#N/A</v>
      </c>
      <c r="AH280" s="62" t="e">
        <v>#N/A</v>
      </c>
      <c r="AI280" s="62" t="e">
        <v>#N/A</v>
      </c>
      <c r="AJ280" s="62" t="e">
        <v>#N/A</v>
      </c>
      <c r="AK280" s="64" t="e">
        <v>#N/A</v>
      </c>
      <c r="AL280" s="19">
        <v>90869</v>
      </c>
      <c r="AM280" s="19">
        <v>108074</v>
      </c>
      <c r="AN280" s="23">
        <v>8100</v>
      </c>
      <c r="AO280" s="19">
        <v>97323</v>
      </c>
      <c r="AP280" s="19">
        <v>7414</v>
      </c>
      <c r="AQ280" s="62"/>
      <c r="AR280" s="63"/>
      <c r="AS280" s="63"/>
      <c r="AT280" s="65">
        <f t="shared" si="21"/>
        <v>4087.5659999999998</v>
      </c>
      <c r="AU280" s="65">
        <f t="shared" si="22"/>
        <v>340.2</v>
      </c>
      <c r="AV280" s="65">
        <f t="shared" si="23"/>
        <v>311.38799999999998</v>
      </c>
      <c r="AW280" s="65">
        <f t="shared" si="25"/>
        <v>3816.498</v>
      </c>
      <c r="AX280" s="65">
        <f t="shared" si="25"/>
        <v>4539.1080000000002</v>
      </c>
      <c r="AY280" s="65">
        <f t="shared" si="24"/>
        <v>311.38799999999998</v>
      </c>
      <c r="AZ280" s="19">
        <v>43361</v>
      </c>
      <c r="BA280" s="19">
        <v>48095</v>
      </c>
      <c r="BB280" s="19">
        <v>34580</v>
      </c>
      <c r="BC280" s="19">
        <v>2908</v>
      </c>
      <c r="BD280" s="19">
        <v>1929</v>
      </c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62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  <c r="DK280" s="62"/>
      <c r="DL280" s="62"/>
    </row>
    <row r="281" spans="1:116" hidden="1" x14ac:dyDescent="0.2">
      <c r="A281" s="57">
        <v>35125</v>
      </c>
      <c r="B281" s="58"/>
      <c r="C281" s="66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6"/>
      <c r="P281" s="61"/>
      <c r="Q281" s="62"/>
      <c r="R281" s="62"/>
      <c r="S281" s="62"/>
      <c r="T281" s="62"/>
      <c r="U281" s="62"/>
      <c r="V281" s="62"/>
      <c r="W281" s="62"/>
      <c r="X281" s="62"/>
      <c r="Y281" s="61"/>
      <c r="Z281" s="63"/>
      <c r="AA281" s="64" t="e">
        <v>#N/A</v>
      </c>
      <c r="AB281" s="62" t="e">
        <v>#N/A</v>
      </c>
      <c r="AC281" s="62" t="e">
        <v>#N/A</v>
      </c>
      <c r="AD281" s="62" t="e">
        <v>#N/A</v>
      </c>
      <c r="AE281" s="62" t="e">
        <v>#N/A</v>
      </c>
      <c r="AF281" s="62" t="e">
        <v>#N/A</v>
      </c>
      <c r="AG281" s="62" t="e">
        <v>#N/A</v>
      </c>
      <c r="AH281" s="62" t="e">
        <v>#N/A</v>
      </c>
      <c r="AI281" s="62" t="e">
        <v>#N/A</v>
      </c>
      <c r="AJ281" s="62" t="e">
        <v>#N/A</v>
      </c>
      <c r="AK281" s="64" t="e">
        <v>#N/A</v>
      </c>
      <c r="AL281" s="19">
        <v>96322</v>
      </c>
      <c r="AM281" s="19">
        <v>107597</v>
      </c>
      <c r="AN281" s="23">
        <v>7939</v>
      </c>
      <c r="AO281" s="19">
        <v>89673</v>
      </c>
      <c r="AP281" s="19">
        <v>4314</v>
      </c>
      <c r="AQ281" s="62"/>
      <c r="AR281" s="63"/>
      <c r="AS281" s="63"/>
      <c r="AT281" s="65">
        <f t="shared" si="21"/>
        <v>3766.2660000000001</v>
      </c>
      <c r="AU281" s="65">
        <f t="shared" si="22"/>
        <v>333.43799999999999</v>
      </c>
      <c r="AV281" s="65">
        <f t="shared" si="23"/>
        <v>181.18799999999999</v>
      </c>
      <c r="AW281" s="65">
        <f t="shared" si="25"/>
        <v>4045.5239999999999</v>
      </c>
      <c r="AX281" s="65">
        <f t="shared" si="25"/>
        <v>4519.0739999999996</v>
      </c>
      <c r="AY281" s="65">
        <f t="shared" si="24"/>
        <v>181.18799999999999</v>
      </c>
      <c r="AZ281" s="19">
        <v>45516</v>
      </c>
      <c r="BA281" s="19">
        <v>47955</v>
      </c>
      <c r="BB281" s="19">
        <v>33867</v>
      </c>
      <c r="BC281" s="19">
        <v>3269</v>
      </c>
      <c r="BD281" s="19">
        <v>1543</v>
      </c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62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  <c r="DK281" s="62"/>
      <c r="DL281" s="62"/>
    </row>
    <row r="282" spans="1:116" hidden="1" x14ac:dyDescent="0.2">
      <c r="A282" s="57">
        <v>35156</v>
      </c>
      <c r="B282" s="58"/>
      <c r="C282" s="66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6"/>
      <c r="P282" s="61"/>
      <c r="Q282" s="62"/>
      <c r="R282" s="62"/>
      <c r="S282" s="62"/>
      <c r="T282" s="62"/>
      <c r="U282" s="62"/>
      <c r="V282" s="62"/>
      <c r="W282" s="62"/>
      <c r="X282" s="62"/>
      <c r="Y282" s="61"/>
      <c r="Z282" s="63"/>
      <c r="AA282" s="64" t="e">
        <v>#N/A</v>
      </c>
      <c r="AB282" s="62" t="e">
        <v>#N/A</v>
      </c>
      <c r="AC282" s="62" t="e">
        <v>#N/A</v>
      </c>
      <c r="AD282" s="62" t="e">
        <v>#N/A</v>
      </c>
      <c r="AE282" s="62" t="e">
        <v>#N/A</v>
      </c>
      <c r="AF282" s="62" t="e">
        <v>#N/A</v>
      </c>
      <c r="AG282" s="62" t="e">
        <v>#N/A</v>
      </c>
      <c r="AH282" s="62" t="e">
        <v>#N/A</v>
      </c>
      <c r="AI282" s="62" t="e">
        <v>#N/A</v>
      </c>
      <c r="AJ282" s="62" t="e">
        <v>#N/A</v>
      </c>
      <c r="AK282" s="64" t="e">
        <v>#N/A</v>
      </c>
      <c r="AL282" s="19">
        <v>99014</v>
      </c>
      <c r="AM282" s="19">
        <v>101375</v>
      </c>
      <c r="AN282" s="23">
        <v>7732</v>
      </c>
      <c r="AO282" s="19">
        <v>90053</v>
      </c>
      <c r="AP282" s="19">
        <v>4991</v>
      </c>
      <c r="AQ282" s="62"/>
      <c r="AR282" s="63"/>
      <c r="AS282" s="63"/>
      <c r="AT282" s="65">
        <f t="shared" si="21"/>
        <v>3782.2260000000001</v>
      </c>
      <c r="AU282" s="65">
        <f t="shared" si="22"/>
        <v>324.74400000000003</v>
      </c>
      <c r="AV282" s="65">
        <f t="shared" si="23"/>
        <v>209.62200000000001</v>
      </c>
      <c r="AW282" s="65">
        <f t="shared" si="25"/>
        <v>4158.5879999999997</v>
      </c>
      <c r="AX282" s="65">
        <f t="shared" si="25"/>
        <v>4257.75</v>
      </c>
      <c r="AY282" s="65">
        <f t="shared" si="24"/>
        <v>209.62200000000001</v>
      </c>
      <c r="AZ282" s="19">
        <v>43910</v>
      </c>
      <c r="BA282" s="19">
        <v>45437</v>
      </c>
      <c r="BB282" s="19">
        <v>35364</v>
      </c>
      <c r="BC282" s="19">
        <v>3357</v>
      </c>
      <c r="BD282" s="19">
        <v>333</v>
      </c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62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  <c r="DK282" s="62"/>
      <c r="DL282" s="62"/>
    </row>
    <row r="283" spans="1:116" hidden="1" x14ac:dyDescent="0.2">
      <c r="A283" s="57">
        <v>35186</v>
      </c>
      <c r="B283" s="58"/>
      <c r="C283" s="66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6"/>
      <c r="P283" s="61"/>
      <c r="Q283" s="62"/>
      <c r="R283" s="62"/>
      <c r="S283" s="62"/>
      <c r="T283" s="62"/>
      <c r="U283" s="62"/>
      <c r="V283" s="62"/>
      <c r="W283" s="62"/>
      <c r="X283" s="62"/>
      <c r="Y283" s="61"/>
      <c r="Z283" s="63"/>
      <c r="AA283" s="64" t="e">
        <v>#N/A</v>
      </c>
      <c r="AB283" s="62" t="e">
        <v>#N/A</v>
      </c>
      <c r="AC283" s="62" t="e">
        <v>#N/A</v>
      </c>
      <c r="AD283" s="62" t="e">
        <v>#N/A</v>
      </c>
      <c r="AE283" s="62" t="e">
        <v>#N/A</v>
      </c>
      <c r="AF283" s="62" t="e">
        <v>#N/A</v>
      </c>
      <c r="AG283" s="62" t="e">
        <v>#N/A</v>
      </c>
      <c r="AH283" s="62" t="e">
        <v>#N/A</v>
      </c>
      <c r="AI283" s="62" t="e">
        <v>#N/A</v>
      </c>
      <c r="AJ283" s="62" t="e">
        <v>#N/A</v>
      </c>
      <c r="AK283" s="64" t="e">
        <v>#N/A</v>
      </c>
      <c r="AL283" s="19">
        <v>100933</v>
      </c>
      <c r="AM283" s="19">
        <v>96974</v>
      </c>
      <c r="AN283" s="23">
        <v>7146</v>
      </c>
      <c r="AO283" s="19">
        <v>95703</v>
      </c>
      <c r="AP283" s="19">
        <v>5455</v>
      </c>
      <c r="AQ283" s="62"/>
      <c r="AR283" s="63"/>
      <c r="AS283" s="63"/>
      <c r="AT283" s="65">
        <f t="shared" si="21"/>
        <v>4019.5259999999998</v>
      </c>
      <c r="AU283" s="65">
        <f t="shared" si="22"/>
        <v>300.13200000000001</v>
      </c>
      <c r="AV283" s="65">
        <f t="shared" si="23"/>
        <v>229.11</v>
      </c>
      <c r="AW283" s="65">
        <f t="shared" si="25"/>
        <v>4239.1859999999997</v>
      </c>
      <c r="AX283" s="65">
        <f t="shared" si="25"/>
        <v>4072.9079999999999</v>
      </c>
      <c r="AY283" s="65">
        <f t="shared" si="24"/>
        <v>229.11</v>
      </c>
      <c r="AZ283" s="19">
        <v>43966</v>
      </c>
      <c r="BA283" s="19">
        <v>45473</v>
      </c>
      <c r="BB283" s="19">
        <v>36640</v>
      </c>
      <c r="BC283" s="19">
        <v>3197</v>
      </c>
      <c r="BD283" s="19">
        <v>414</v>
      </c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62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  <c r="DK283" s="62"/>
      <c r="DL283" s="62"/>
    </row>
    <row r="284" spans="1:116" hidden="1" x14ac:dyDescent="0.2">
      <c r="A284" s="57">
        <v>35217</v>
      </c>
      <c r="B284" s="58"/>
      <c r="C284" s="66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6"/>
      <c r="P284" s="61"/>
      <c r="Q284" s="62"/>
      <c r="R284" s="62"/>
      <c r="S284" s="62"/>
      <c r="T284" s="62"/>
      <c r="U284" s="62"/>
      <c r="V284" s="62"/>
      <c r="W284" s="62"/>
      <c r="X284" s="62"/>
      <c r="Y284" s="61"/>
      <c r="Z284" s="63"/>
      <c r="AA284" s="64" t="e">
        <v>#N/A</v>
      </c>
      <c r="AB284" s="62" t="e">
        <v>#N/A</v>
      </c>
      <c r="AC284" s="62" t="e">
        <v>#N/A</v>
      </c>
      <c r="AD284" s="62" t="e">
        <v>#N/A</v>
      </c>
      <c r="AE284" s="62" t="e">
        <v>#N/A</v>
      </c>
      <c r="AF284" s="62" t="e">
        <v>#N/A</v>
      </c>
      <c r="AG284" s="62" t="e">
        <v>#N/A</v>
      </c>
      <c r="AH284" s="62" t="e">
        <v>#N/A</v>
      </c>
      <c r="AI284" s="62" t="e">
        <v>#N/A</v>
      </c>
      <c r="AJ284" s="62" t="e">
        <v>#N/A</v>
      </c>
      <c r="AK284" s="64" t="e">
        <v>#N/A</v>
      </c>
      <c r="AL284" s="19">
        <v>98494</v>
      </c>
      <c r="AM284" s="19">
        <v>95681</v>
      </c>
      <c r="AN284" s="23">
        <v>5542</v>
      </c>
      <c r="AO284" s="19">
        <v>101636</v>
      </c>
      <c r="AP284" s="19">
        <v>2422</v>
      </c>
      <c r="AQ284" s="62"/>
      <c r="AR284" s="63"/>
      <c r="AS284" s="63"/>
      <c r="AT284" s="65">
        <f t="shared" si="21"/>
        <v>4268.7120000000004</v>
      </c>
      <c r="AU284" s="65">
        <f t="shared" si="22"/>
        <v>232.76400000000001</v>
      </c>
      <c r="AV284" s="65">
        <f t="shared" si="23"/>
        <v>101.724</v>
      </c>
      <c r="AW284" s="65">
        <f t="shared" si="25"/>
        <v>4136.7479999999996</v>
      </c>
      <c r="AX284" s="65">
        <f t="shared" si="25"/>
        <v>4018.6019999999999</v>
      </c>
      <c r="AY284" s="65">
        <f t="shared" si="24"/>
        <v>101.724</v>
      </c>
      <c r="AZ284" s="19">
        <v>45350</v>
      </c>
      <c r="BA284" s="19">
        <v>46693</v>
      </c>
      <c r="BB284" s="19">
        <v>38771</v>
      </c>
      <c r="BC284" s="19">
        <v>3799</v>
      </c>
      <c r="BD284" s="19">
        <v>325</v>
      </c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62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  <c r="DK284" s="62"/>
      <c r="DL284" s="62"/>
    </row>
    <row r="285" spans="1:116" hidden="1" x14ac:dyDescent="0.2">
      <c r="A285" s="57">
        <v>35247</v>
      </c>
      <c r="B285" s="58"/>
      <c r="C285" s="66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6"/>
      <c r="P285" s="61"/>
      <c r="Q285" s="62"/>
      <c r="R285" s="62"/>
      <c r="S285" s="62"/>
      <c r="T285" s="62"/>
      <c r="U285" s="62"/>
      <c r="V285" s="62"/>
      <c r="W285" s="62"/>
      <c r="X285" s="62"/>
      <c r="Y285" s="61"/>
      <c r="Z285" s="63"/>
      <c r="AA285" s="64" t="e">
        <v>#N/A</v>
      </c>
      <c r="AB285" s="62" t="e">
        <v>#N/A</v>
      </c>
      <c r="AC285" s="62" t="e">
        <v>#N/A</v>
      </c>
      <c r="AD285" s="62" t="e">
        <v>#N/A</v>
      </c>
      <c r="AE285" s="62" t="e">
        <v>#N/A</v>
      </c>
      <c r="AF285" s="62" t="e">
        <v>#N/A</v>
      </c>
      <c r="AG285" s="62" t="e">
        <v>#N/A</v>
      </c>
      <c r="AH285" s="62" t="e">
        <v>#N/A</v>
      </c>
      <c r="AI285" s="62" t="e">
        <v>#N/A</v>
      </c>
      <c r="AJ285" s="62" t="e">
        <v>#N/A</v>
      </c>
      <c r="AK285" s="64" t="e">
        <v>#N/A</v>
      </c>
      <c r="AL285" s="19">
        <v>96952</v>
      </c>
      <c r="AM285" s="19">
        <v>93657</v>
      </c>
      <c r="AN285" s="23">
        <v>6019</v>
      </c>
      <c r="AO285" s="19">
        <v>106790</v>
      </c>
      <c r="AP285" s="19">
        <v>4160</v>
      </c>
      <c r="AQ285" s="62"/>
      <c r="AR285" s="63"/>
      <c r="AS285" s="63"/>
      <c r="AT285" s="65">
        <f t="shared" si="21"/>
        <v>4485.18</v>
      </c>
      <c r="AU285" s="65">
        <f t="shared" si="22"/>
        <v>252.798</v>
      </c>
      <c r="AV285" s="65">
        <f t="shared" si="23"/>
        <v>174.72</v>
      </c>
      <c r="AW285" s="65">
        <f t="shared" si="25"/>
        <v>4071.9839999999999</v>
      </c>
      <c r="AX285" s="65">
        <f t="shared" si="25"/>
        <v>3933.5940000000001</v>
      </c>
      <c r="AY285" s="65">
        <f t="shared" si="24"/>
        <v>174.72</v>
      </c>
      <c r="AZ285" s="19">
        <v>46272</v>
      </c>
      <c r="BA285" s="19">
        <v>48653</v>
      </c>
      <c r="BB285" s="19">
        <v>38306</v>
      </c>
      <c r="BC285" s="19">
        <v>2753</v>
      </c>
      <c r="BD285" s="19">
        <v>837</v>
      </c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62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  <c r="DK285" s="62"/>
      <c r="DL285" s="62"/>
    </row>
    <row r="286" spans="1:116" hidden="1" x14ac:dyDescent="0.2">
      <c r="A286" s="57">
        <v>35278</v>
      </c>
      <c r="B286" s="58"/>
      <c r="C286" s="66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6"/>
      <c r="P286" s="61"/>
      <c r="Q286" s="62"/>
      <c r="R286" s="62"/>
      <c r="S286" s="62"/>
      <c r="T286" s="62"/>
      <c r="U286" s="62"/>
      <c r="V286" s="62"/>
      <c r="W286" s="62"/>
      <c r="X286" s="62"/>
      <c r="Y286" s="61"/>
      <c r="Z286" s="63"/>
      <c r="AA286" s="64" t="e">
        <v>#N/A</v>
      </c>
      <c r="AB286" s="62" t="e">
        <v>#N/A</v>
      </c>
      <c r="AC286" s="62" t="e">
        <v>#N/A</v>
      </c>
      <c r="AD286" s="62" t="e">
        <v>#N/A</v>
      </c>
      <c r="AE286" s="62" t="e">
        <v>#N/A</v>
      </c>
      <c r="AF286" s="62" t="e">
        <v>#N/A</v>
      </c>
      <c r="AG286" s="62" t="e">
        <v>#N/A</v>
      </c>
      <c r="AH286" s="62" t="e">
        <v>#N/A</v>
      </c>
      <c r="AI286" s="62" t="e">
        <v>#N/A</v>
      </c>
      <c r="AJ286" s="62" t="e">
        <v>#N/A</v>
      </c>
      <c r="AK286" s="64" t="e">
        <v>#N/A</v>
      </c>
      <c r="AL286" s="19">
        <v>101666</v>
      </c>
      <c r="AM286" s="19">
        <v>98581</v>
      </c>
      <c r="AN286" s="23">
        <v>6046</v>
      </c>
      <c r="AO286" s="19">
        <v>110272</v>
      </c>
      <c r="AP286" s="19">
        <v>5649</v>
      </c>
      <c r="AQ286" s="62"/>
      <c r="AR286" s="63"/>
      <c r="AS286" s="63"/>
      <c r="AT286" s="65">
        <f t="shared" si="21"/>
        <v>4631.424</v>
      </c>
      <c r="AU286" s="65">
        <f t="shared" si="22"/>
        <v>253.93199999999999</v>
      </c>
      <c r="AV286" s="65">
        <f t="shared" si="23"/>
        <v>237.25800000000001</v>
      </c>
      <c r="AW286" s="65">
        <f t="shared" si="25"/>
        <v>4269.9719999999998</v>
      </c>
      <c r="AX286" s="65">
        <f t="shared" si="25"/>
        <v>4140.402</v>
      </c>
      <c r="AY286" s="65">
        <f t="shared" si="24"/>
        <v>237.25800000000001</v>
      </c>
      <c r="AZ286" s="19">
        <v>46722</v>
      </c>
      <c r="BA286" s="19">
        <v>48976</v>
      </c>
      <c r="BB286" s="19">
        <v>38246</v>
      </c>
      <c r="BC286" s="19">
        <v>3234</v>
      </c>
      <c r="BD286" s="19">
        <v>1040</v>
      </c>
      <c r="BE286" s="62"/>
      <c r="BF286" s="62"/>
      <c r="BG286" s="62"/>
      <c r="BH286" s="62"/>
      <c r="BI286" s="62"/>
      <c r="BJ286" s="62"/>
      <c r="BK286" s="62"/>
      <c r="BL286" s="62"/>
      <c r="BM286" s="62"/>
      <c r="BN286" s="62"/>
      <c r="BO286" s="62"/>
      <c r="BP286" s="62"/>
      <c r="BQ286" s="62"/>
      <c r="BR286" s="62"/>
      <c r="BS286" s="62"/>
      <c r="BT286" s="62"/>
      <c r="BU286" s="62"/>
      <c r="BV286" s="62"/>
      <c r="BW286" s="62"/>
      <c r="BX286" s="62"/>
      <c r="BY286" s="62"/>
      <c r="BZ286" s="62"/>
      <c r="CA286" s="62"/>
      <c r="CB286" s="62"/>
      <c r="CC286" s="62"/>
      <c r="CD286" s="62"/>
      <c r="CE286" s="62"/>
      <c r="CF286" s="62"/>
      <c r="CG286" s="62"/>
      <c r="CH286" s="62"/>
      <c r="CI286" s="62"/>
      <c r="CJ286" s="62"/>
      <c r="CK286" s="62"/>
      <c r="CL286" s="62"/>
      <c r="CM286" s="62"/>
      <c r="CN286" s="62"/>
      <c r="CO286" s="62"/>
      <c r="CP286" s="62"/>
      <c r="CQ286" s="62"/>
      <c r="CR286" s="62"/>
      <c r="CS286" s="62"/>
      <c r="CT286" s="62"/>
      <c r="CU286" s="62"/>
      <c r="CV286" s="62"/>
      <c r="CW286" s="62"/>
      <c r="CX286" s="62"/>
      <c r="CY286" s="62"/>
      <c r="CZ286" s="62"/>
      <c r="DA286" s="62"/>
      <c r="DB286" s="62"/>
      <c r="DC286" s="62"/>
      <c r="DD286" s="62"/>
      <c r="DE286" s="62"/>
      <c r="DF286" s="62"/>
      <c r="DG286" s="62"/>
      <c r="DH286" s="62"/>
      <c r="DI286" s="62"/>
      <c r="DJ286" s="62"/>
      <c r="DK286" s="62"/>
      <c r="DL286" s="62"/>
    </row>
    <row r="287" spans="1:116" hidden="1" x14ac:dyDescent="0.2">
      <c r="A287" s="57">
        <v>35309</v>
      </c>
      <c r="B287" s="58"/>
      <c r="C287" s="66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6"/>
      <c r="P287" s="61"/>
      <c r="Q287" s="62"/>
      <c r="R287" s="62"/>
      <c r="S287" s="62"/>
      <c r="T287" s="62"/>
      <c r="U287" s="62"/>
      <c r="V287" s="62"/>
      <c r="W287" s="62"/>
      <c r="X287" s="62"/>
      <c r="Y287" s="61"/>
      <c r="Z287" s="63"/>
      <c r="AA287" s="64" t="e">
        <v>#N/A</v>
      </c>
      <c r="AB287" s="62" t="e">
        <v>#N/A</v>
      </c>
      <c r="AC287" s="62" t="e">
        <v>#N/A</v>
      </c>
      <c r="AD287" s="62" t="e">
        <v>#N/A</v>
      </c>
      <c r="AE287" s="62" t="e">
        <v>#N/A</v>
      </c>
      <c r="AF287" s="62" t="e">
        <v>#N/A</v>
      </c>
      <c r="AG287" s="62" t="e">
        <v>#N/A</v>
      </c>
      <c r="AH287" s="62" t="e">
        <v>#N/A</v>
      </c>
      <c r="AI287" s="62" t="e">
        <v>#N/A</v>
      </c>
      <c r="AJ287" s="62" t="e">
        <v>#N/A</v>
      </c>
      <c r="AK287" s="64" t="e">
        <v>#N/A</v>
      </c>
      <c r="AL287" s="19">
        <v>101761</v>
      </c>
      <c r="AM287" s="19">
        <v>95168</v>
      </c>
      <c r="AN287" s="23">
        <v>5803</v>
      </c>
      <c r="AO287" s="19">
        <v>114984</v>
      </c>
      <c r="AP287" s="19">
        <v>7684</v>
      </c>
      <c r="AQ287" s="62"/>
      <c r="AR287" s="63"/>
      <c r="AS287" s="63"/>
      <c r="AT287" s="65">
        <f t="shared" si="21"/>
        <v>4829.3280000000004</v>
      </c>
      <c r="AU287" s="65">
        <f t="shared" si="22"/>
        <v>243.726</v>
      </c>
      <c r="AV287" s="65">
        <f t="shared" si="23"/>
        <v>322.72800000000001</v>
      </c>
      <c r="AW287" s="65">
        <f t="shared" si="25"/>
        <v>4273.9620000000004</v>
      </c>
      <c r="AX287" s="65">
        <f t="shared" si="25"/>
        <v>3997.056</v>
      </c>
      <c r="AY287" s="65">
        <f t="shared" si="24"/>
        <v>322.72800000000001</v>
      </c>
      <c r="AZ287" s="19">
        <v>49422</v>
      </c>
      <c r="BA287" s="19">
        <v>48126</v>
      </c>
      <c r="BB287" s="19">
        <v>42772</v>
      </c>
      <c r="BC287" s="19">
        <v>4755</v>
      </c>
      <c r="BD287" s="19">
        <v>1525</v>
      </c>
      <c r="BE287" s="62"/>
      <c r="BF287" s="62"/>
      <c r="BG287" s="62"/>
      <c r="BH287" s="62"/>
      <c r="BI287" s="62"/>
      <c r="BJ287" s="62"/>
      <c r="BK287" s="62"/>
      <c r="BL287" s="62"/>
      <c r="BM287" s="62"/>
      <c r="BN287" s="62"/>
      <c r="BO287" s="62"/>
      <c r="BP287" s="62"/>
      <c r="BQ287" s="62"/>
      <c r="BR287" s="62"/>
      <c r="BS287" s="62"/>
      <c r="BT287" s="62"/>
      <c r="BU287" s="62"/>
      <c r="BV287" s="62"/>
      <c r="BW287" s="62"/>
      <c r="BX287" s="62"/>
      <c r="BY287" s="62"/>
      <c r="BZ287" s="62"/>
      <c r="CA287" s="62"/>
      <c r="CB287" s="62"/>
      <c r="CC287" s="62"/>
      <c r="CD287" s="62"/>
      <c r="CE287" s="62"/>
      <c r="CF287" s="62"/>
      <c r="CG287" s="62"/>
      <c r="CH287" s="62"/>
      <c r="CI287" s="62"/>
      <c r="CJ287" s="62"/>
      <c r="CK287" s="62"/>
      <c r="CL287" s="62"/>
      <c r="CM287" s="62"/>
      <c r="CN287" s="62"/>
      <c r="CO287" s="62"/>
      <c r="CP287" s="62"/>
      <c r="CQ287" s="62"/>
      <c r="CR287" s="62"/>
      <c r="CS287" s="62"/>
      <c r="CT287" s="62"/>
      <c r="CU287" s="62"/>
      <c r="CV287" s="62"/>
      <c r="CW287" s="62"/>
      <c r="CX287" s="62"/>
      <c r="CY287" s="62"/>
      <c r="CZ287" s="62"/>
      <c r="DA287" s="62"/>
      <c r="DB287" s="62"/>
      <c r="DC287" s="62"/>
      <c r="DD287" s="62"/>
      <c r="DE287" s="62"/>
      <c r="DF287" s="62"/>
      <c r="DG287" s="62"/>
      <c r="DH287" s="62"/>
      <c r="DI287" s="62"/>
      <c r="DJ287" s="62"/>
      <c r="DK287" s="62"/>
      <c r="DL287" s="62"/>
    </row>
    <row r="288" spans="1:116" hidden="1" x14ac:dyDescent="0.2">
      <c r="A288" s="57">
        <v>35339</v>
      </c>
      <c r="B288" s="58"/>
      <c r="C288" s="66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6"/>
      <c r="P288" s="61"/>
      <c r="Q288" s="62"/>
      <c r="R288" s="62"/>
      <c r="S288" s="62"/>
      <c r="T288" s="62"/>
      <c r="U288" s="62"/>
      <c r="V288" s="62"/>
      <c r="W288" s="62"/>
      <c r="X288" s="62"/>
      <c r="Y288" s="61"/>
      <c r="Z288" s="63"/>
      <c r="AA288" s="64" t="e">
        <v>#N/A</v>
      </c>
      <c r="AB288" s="62" t="e">
        <v>#N/A</v>
      </c>
      <c r="AC288" s="62" t="e">
        <v>#N/A</v>
      </c>
      <c r="AD288" s="62" t="e">
        <v>#N/A</v>
      </c>
      <c r="AE288" s="62" t="e">
        <v>#N/A</v>
      </c>
      <c r="AF288" s="62" t="e">
        <v>#N/A</v>
      </c>
      <c r="AG288" s="62" t="e">
        <v>#N/A</v>
      </c>
      <c r="AH288" s="62" t="e">
        <v>#N/A</v>
      </c>
      <c r="AI288" s="62" t="e">
        <v>#N/A</v>
      </c>
      <c r="AJ288" s="62" t="e">
        <v>#N/A</v>
      </c>
      <c r="AK288" s="64" t="e">
        <v>#N/A</v>
      </c>
      <c r="AL288" s="19">
        <v>112442</v>
      </c>
      <c r="AM288" s="19">
        <v>111015</v>
      </c>
      <c r="AN288" s="23">
        <v>7632</v>
      </c>
      <c r="AO288" s="19">
        <v>114746</v>
      </c>
      <c r="AP288" s="19">
        <v>9297</v>
      </c>
      <c r="AQ288" s="62"/>
      <c r="AR288" s="63"/>
      <c r="AS288" s="63"/>
      <c r="AT288" s="65">
        <f t="shared" si="21"/>
        <v>4819.3320000000003</v>
      </c>
      <c r="AU288" s="65">
        <f t="shared" si="22"/>
        <v>320.54399999999998</v>
      </c>
      <c r="AV288" s="65">
        <f t="shared" si="23"/>
        <v>390.47399999999999</v>
      </c>
      <c r="AW288" s="65">
        <f t="shared" si="25"/>
        <v>4722.5640000000003</v>
      </c>
      <c r="AX288" s="65">
        <f t="shared" si="25"/>
        <v>4662.63</v>
      </c>
      <c r="AY288" s="65">
        <f t="shared" si="24"/>
        <v>390.47399999999999</v>
      </c>
      <c r="AZ288" s="19">
        <v>46009</v>
      </c>
      <c r="BA288" s="19">
        <v>50727</v>
      </c>
      <c r="BB288" s="19">
        <v>41131</v>
      </c>
      <c r="BC288" s="19">
        <v>3898</v>
      </c>
      <c r="BD288" s="19">
        <v>821</v>
      </c>
      <c r="BE288" s="62"/>
      <c r="BF288" s="62"/>
      <c r="BG288" s="62"/>
      <c r="BH288" s="62"/>
      <c r="BI288" s="62"/>
      <c r="BJ288" s="62"/>
      <c r="BK288" s="62"/>
      <c r="BL288" s="62"/>
      <c r="BM288" s="62"/>
      <c r="BN288" s="62"/>
      <c r="BO288" s="62"/>
      <c r="BP288" s="62"/>
      <c r="BQ288" s="62"/>
      <c r="BR288" s="62"/>
      <c r="BS288" s="62"/>
      <c r="BT288" s="62"/>
      <c r="BU288" s="62"/>
      <c r="BV288" s="62"/>
      <c r="BW288" s="62"/>
      <c r="BX288" s="62"/>
      <c r="BY288" s="62"/>
      <c r="BZ288" s="62"/>
      <c r="CA288" s="62"/>
      <c r="CB288" s="62"/>
      <c r="CC288" s="62"/>
      <c r="CD288" s="62"/>
      <c r="CE288" s="62"/>
      <c r="CF288" s="62"/>
      <c r="CG288" s="62"/>
      <c r="CH288" s="62"/>
      <c r="CI288" s="62"/>
      <c r="CJ288" s="62"/>
      <c r="CK288" s="62"/>
      <c r="CL288" s="62"/>
      <c r="CM288" s="62"/>
      <c r="CN288" s="62"/>
      <c r="CO288" s="62"/>
      <c r="CP288" s="62"/>
      <c r="CQ288" s="62"/>
      <c r="CR288" s="62"/>
      <c r="CS288" s="62"/>
      <c r="CT288" s="62"/>
      <c r="CU288" s="62"/>
      <c r="CV288" s="62"/>
      <c r="CW288" s="62"/>
      <c r="CX288" s="62"/>
      <c r="CY288" s="62"/>
      <c r="CZ288" s="62"/>
      <c r="DA288" s="62"/>
      <c r="DB288" s="62"/>
      <c r="DC288" s="62"/>
      <c r="DD288" s="62"/>
      <c r="DE288" s="62"/>
      <c r="DF288" s="62"/>
      <c r="DG288" s="62"/>
      <c r="DH288" s="62"/>
      <c r="DI288" s="62"/>
      <c r="DJ288" s="62"/>
      <c r="DK288" s="62"/>
      <c r="DL288" s="62"/>
    </row>
    <row r="289" spans="1:116" hidden="1" x14ac:dyDescent="0.2">
      <c r="A289" s="57">
        <v>35370</v>
      </c>
      <c r="B289" s="58"/>
      <c r="C289" s="66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6"/>
      <c r="P289" s="61"/>
      <c r="Q289" s="62"/>
      <c r="R289" s="62"/>
      <c r="S289" s="62"/>
      <c r="T289" s="62"/>
      <c r="U289" s="62"/>
      <c r="V289" s="62"/>
      <c r="W289" s="62"/>
      <c r="X289" s="62"/>
      <c r="Y289" s="61"/>
      <c r="Z289" s="63"/>
      <c r="AA289" s="64" t="e">
        <v>#N/A</v>
      </c>
      <c r="AB289" s="62" t="e">
        <v>#N/A</v>
      </c>
      <c r="AC289" s="62" t="e">
        <v>#N/A</v>
      </c>
      <c r="AD289" s="62" t="e">
        <v>#N/A</v>
      </c>
      <c r="AE289" s="62" t="e">
        <v>#N/A</v>
      </c>
      <c r="AF289" s="62" t="e">
        <v>#N/A</v>
      </c>
      <c r="AG289" s="62" t="e">
        <v>#N/A</v>
      </c>
      <c r="AH289" s="62" t="e">
        <v>#N/A</v>
      </c>
      <c r="AI289" s="62" t="e">
        <v>#N/A</v>
      </c>
      <c r="AJ289" s="62" t="e">
        <v>#N/A</v>
      </c>
      <c r="AK289" s="64" t="e">
        <v>#N/A</v>
      </c>
      <c r="AL289" s="19">
        <v>109244</v>
      </c>
      <c r="AM289" s="19">
        <v>103257</v>
      </c>
      <c r="AN289" s="23">
        <v>6153</v>
      </c>
      <c r="AO289" s="19">
        <v>121754</v>
      </c>
      <c r="AP289" s="19">
        <v>5132</v>
      </c>
      <c r="AQ289" s="62"/>
      <c r="AR289" s="63"/>
      <c r="AS289" s="63"/>
      <c r="AT289" s="65">
        <f t="shared" si="21"/>
        <v>5113.6679999999997</v>
      </c>
      <c r="AU289" s="65">
        <f t="shared" si="22"/>
        <v>258.42599999999999</v>
      </c>
      <c r="AV289" s="65">
        <f t="shared" si="23"/>
        <v>215.54400000000001</v>
      </c>
      <c r="AW289" s="65">
        <f t="shared" si="25"/>
        <v>4588.2479999999996</v>
      </c>
      <c r="AX289" s="65">
        <f t="shared" si="25"/>
        <v>4336.7939999999999</v>
      </c>
      <c r="AY289" s="65">
        <f t="shared" si="24"/>
        <v>215.54400000000001</v>
      </c>
      <c r="AZ289" s="19">
        <v>44996</v>
      </c>
      <c r="BA289" s="19">
        <v>47653</v>
      </c>
      <c r="BB289" s="19">
        <v>39730</v>
      </c>
      <c r="BC289" s="19">
        <v>2596</v>
      </c>
      <c r="BD289" s="19">
        <v>1340</v>
      </c>
      <c r="BE289" s="62"/>
      <c r="BF289" s="62"/>
      <c r="BG289" s="62"/>
      <c r="BH289" s="62"/>
      <c r="BI289" s="62"/>
      <c r="BJ289" s="62"/>
      <c r="BK289" s="62"/>
      <c r="BL289" s="62"/>
      <c r="BM289" s="62"/>
      <c r="BN289" s="62"/>
      <c r="BO289" s="62"/>
      <c r="BP289" s="62"/>
      <c r="BQ289" s="62"/>
      <c r="BR289" s="62"/>
      <c r="BS289" s="62"/>
      <c r="BT289" s="62"/>
      <c r="BU289" s="62"/>
      <c r="BV289" s="62"/>
      <c r="BW289" s="62"/>
      <c r="BX289" s="62"/>
      <c r="BY289" s="62"/>
      <c r="BZ289" s="62"/>
      <c r="CA289" s="62"/>
      <c r="CB289" s="62"/>
      <c r="CC289" s="62"/>
      <c r="CD289" s="62"/>
      <c r="CE289" s="62"/>
      <c r="CF289" s="62"/>
      <c r="CG289" s="62"/>
      <c r="CH289" s="62"/>
      <c r="CI289" s="62"/>
      <c r="CJ289" s="62"/>
      <c r="CK289" s="62"/>
      <c r="CL289" s="62"/>
      <c r="CM289" s="62"/>
      <c r="CN289" s="62"/>
      <c r="CO289" s="62"/>
      <c r="CP289" s="62"/>
      <c r="CQ289" s="62"/>
      <c r="CR289" s="62"/>
      <c r="CS289" s="62"/>
      <c r="CT289" s="62"/>
      <c r="CU289" s="62"/>
      <c r="CV289" s="62"/>
      <c r="CW289" s="62"/>
      <c r="CX289" s="62"/>
      <c r="CY289" s="62"/>
      <c r="CZ289" s="62"/>
      <c r="DA289" s="62"/>
      <c r="DB289" s="62"/>
      <c r="DC289" s="62"/>
      <c r="DD289" s="62"/>
      <c r="DE289" s="62"/>
      <c r="DF289" s="62"/>
      <c r="DG289" s="62"/>
      <c r="DH289" s="62"/>
      <c r="DI289" s="62"/>
      <c r="DJ289" s="62"/>
      <c r="DK289" s="62"/>
      <c r="DL289" s="62"/>
    </row>
    <row r="290" spans="1:116" hidden="1" x14ac:dyDescent="0.2">
      <c r="A290" s="57">
        <v>35400</v>
      </c>
      <c r="B290" s="58"/>
      <c r="C290" s="66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6"/>
      <c r="P290" s="61"/>
      <c r="Q290" s="62"/>
      <c r="R290" s="62"/>
      <c r="S290" s="62"/>
      <c r="T290" s="62"/>
      <c r="U290" s="62"/>
      <c r="V290" s="62"/>
      <c r="W290" s="62"/>
      <c r="X290" s="62"/>
      <c r="Y290" s="61"/>
      <c r="Z290" s="63"/>
      <c r="AA290" s="64" t="e">
        <v>#N/A</v>
      </c>
      <c r="AB290" s="62" t="e">
        <v>#N/A</v>
      </c>
      <c r="AC290" s="62" t="e">
        <v>#N/A</v>
      </c>
      <c r="AD290" s="62" t="e">
        <v>#N/A</v>
      </c>
      <c r="AE290" s="62" t="e">
        <v>#N/A</v>
      </c>
      <c r="AF290" s="62" t="e">
        <v>#N/A</v>
      </c>
      <c r="AG290" s="62" t="e">
        <v>#N/A</v>
      </c>
      <c r="AH290" s="62" t="e">
        <v>#N/A</v>
      </c>
      <c r="AI290" s="62" t="e">
        <v>#N/A</v>
      </c>
      <c r="AJ290" s="62" t="e">
        <v>#N/A</v>
      </c>
      <c r="AK290" s="64" t="e">
        <v>#N/A</v>
      </c>
      <c r="AL290" s="19">
        <v>109606</v>
      </c>
      <c r="AM290" s="19">
        <v>106083</v>
      </c>
      <c r="AN290" s="23">
        <v>7832</v>
      </c>
      <c r="AO290" s="19">
        <v>126729</v>
      </c>
      <c r="AP290" s="19">
        <v>6380</v>
      </c>
      <c r="AQ290" s="62"/>
      <c r="AR290" s="63"/>
      <c r="AS290" s="63"/>
      <c r="AT290" s="65">
        <f t="shared" si="21"/>
        <v>5322.6180000000004</v>
      </c>
      <c r="AU290" s="65">
        <f t="shared" si="22"/>
        <v>328.94400000000002</v>
      </c>
      <c r="AV290" s="65">
        <f t="shared" si="23"/>
        <v>267.95999999999998</v>
      </c>
      <c r="AW290" s="65">
        <f t="shared" si="25"/>
        <v>4603.4520000000002</v>
      </c>
      <c r="AX290" s="65">
        <f t="shared" si="25"/>
        <v>4455.4859999999999</v>
      </c>
      <c r="AY290" s="65">
        <f t="shared" si="24"/>
        <v>267.95999999999998</v>
      </c>
      <c r="AZ290" s="19">
        <v>48807</v>
      </c>
      <c r="BA290" s="19">
        <v>48762</v>
      </c>
      <c r="BB290" s="19">
        <v>39779</v>
      </c>
      <c r="BC290" s="19">
        <v>3422</v>
      </c>
      <c r="BD290" s="19">
        <v>3418</v>
      </c>
      <c r="BE290" s="62"/>
      <c r="BF290" s="62"/>
      <c r="BG290" s="62"/>
      <c r="BH290" s="62"/>
      <c r="BI290" s="62"/>
      <c r="BJ290" s="62"/>
      <c r="BK290" s="62"/>
      <c r="BL290" s="62"/>
      <c r="BM290" s="62"/>
      <c r="BN290" s="62"/>
      <c r="BO290" s="62"/>
      <c r="BP290" s="62"/>
      <c r="BQ290" s="62"/>
      <c r="BR290" s="62"/>
      <c r="BS290" s="62"/>
      <c r="BT290" s="62"/>
      <c r="BU290" s="62"/>
      <c r="BV290" s="62"/>
      <c r="BW290" s="62"/>
      <c r="BX290" s="62"/>
      <c r="BY290" s="62"/>
      <c r="BZ290" s="62"/>
      <c r="CA290" s="62"/>
      <c r="CB290" s="62"/>
      <c r="CC290" s="62"/>
      <c r="CD290" s="62"/>
      <c r="CE290" s="62"/>
      <c r="CF290" s="62"/>
      <c r="CG290" s="62"/>
      <c r="CH290" s="62"/>
      <c r="CI290" s="62"/>
      <c r="CJ290" s="62"/>
      <c r="CK290" s="62"/>
      <c r="CL290" s="62"/>
      <c r="CM290" s="62"/>
      <c r="CN290" s="62"/>
      <c r="CO290" s="62"/>
      <c r="CP290" s="62"/>
      <c r="CQ290" s="62"/>
      <c r="CR290" s="62"/>
      <c r="CS290" s="62"/>
      <c r="CT290" s="62"/>
      <c r="CU290" s="62"/>
      <c r="CV290" s="62"/>
      <c r="CW290" s="62"/>
      <c r="CX290" s="62"/>
      <c r="CY290" s="62"/>
      <c r="CZ290" s="62"/>
      <c r="DA290" s="62"/>
      <c r="DB290" s="62"/>
      <c r="DC290" s="62"/>
      <c r="DD290" s="62"/>
      <c r="DE290" s="62"/>
      <c r="DF290" s="62"/>
      <c r="DG290" s="62"/>
      <c r="DH290" s="62"/>
      <c r="DI290" s="62"/>
      <c r="DJ290" s="62"/>
      <c r="DK290" s="62"/>
      <c r="DL290" s="62"/>
    </row>
    <row r="291" spans="1:116" hidden="1" x14ac:dyDescent="0.2">
      <c r="A291" s="57">
        <v>35431</v>
      </c>
      <c r="B291" s="58"/>
      <c r="C291" s="66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6"/>
      <c r="P291" s="61"/>
      <c r="Q291" s="62"/>
      <c r="R291" s="62"/>
      <c r="S291" s="62"/>
      <c r="T291" s="62"/>
      <c r="U291" s="62"/>
      <c r="V291" s="62"/>
      <c r="W291" s="62"/>
      <c r="X291" s="62"/>
      <c r="Y291" s="61"/>
      <c r="Z291" s="63"/>
      <c r="AA291" s="64" t="e">
        <v>#N/A</v>
      </c>
      <c r="AB291" s="62" t="e">
        <v>#N/A</v>
      </c>
      <c r="AC291" s="62" t="e">
        <v>#N/A</v>
      </c>
      <c r="AD291" s="62" t="e">
        <v>#N/A</v>
      </c>
      <c r="AE291" s="62" t="e">
        <v>#N/A</v>
      </c>
      <c r="AF291" s="62" t="e">
        <v>#N/A</v>
      </c>
      <c r="AG291" s="62" t="e">
        <v>#N/A</v>
      </c>
      <c r="AH291" s="62" t="e">
        <v>#N/A</v>
      </c>
      <c r="AI291" s="62" t="e">
        <v>#N/A</v>
      </c>
      <c r="AJ291" s="62" t="e">
        <v>#N/A</v>
      </c>
      <c r="AK291" s="64" t="e">
        <v>#N/A</v>
      </c>
      <c r="AL291" s="19">
        <v>96680</v>
      </c>
      <c r="AM291" s="19">
        <v>117366</v>
      </c>
      <c r="AN291" s="23">
        <v>9072</v>
      </c>
      <c r="AO291" s="19">
        <v>110978</v>
      </c>
      <c r="AP291" s="19">
        <v>4137</v>
      </c>
      <c r="AQ291" s="62"/>
      <c r="AR291" s="63"/>
      <c r="AS291" s="63"/>
      <c r="AT291" s="65">
        <f t="shared" si="21"/>
        <v>4661.076</v>
      </c>
      <c r="AU291" s="65">
        <f t="shared" si="22"/>
        <v>381.024</v>
      </c>
      <c r="AV291" s="65">
        <f t="shared" si="23"/>
        <v>173.75399999999999</v>
      </c>
      <c r="AW291" s="65">
        <f t="shared" si="25"/>
        <v>4060.56</v>
      </c>
      <c r="AX291" s="65">
        <f t="shared" si="25"/>
        <v>4929.3720000000003</v>
      </c>
      <c r="AY291" s="65">
        <f t="shared" si="24"/>
        <v>173.75399999999999</v>
      </c>
      <c r="AZ291" s="19">
        <v>46219</v>
      </c>
      <c r="BA291" s="19">
        <v>50020</v>
      </c>
      <c r="BB291" s="19">
        <v>36684</v>
      </c>
      <c r="BC291" s="19">
        <v>3113</v>
      </c>
      <c r="BD291" s="19">
        <v>2407</v>
      </c>
      <c r="BE291" s="62"/>
      <c r="BF291" s="62"/>
      <c r="BG291" s="62"/>
      <c r="BH291" s="62"/>
      <c r="BI291" s="62"/>
      <c r="BJ291" s="62"/>
      <c r="BK291" s="62"/>
      <c r="BL291" s="62"/>
      <c r="BM291" s="62"/>
      <c r="BN291" s="62"/>
      <c r="BO291" s="62"/>
      <c r="BP291" s="62"/>
      <c r="BQ291" s="62"/>
      <c r="BR291" s="62"/>
      <c r="BS291" s="62"/>
      <c r="BT291" s="62"/>
      <c r="BU291" s="62"/>
      <c r="BV291" s="62"/>
      <c r="BW291" s="62"/>
      <c r="BX291" s="62"/>
      <c r="BY291" s="62"/>
      <c r="BZ291" s="62"/>
      <c r="CA291" s="62"/>
      <c r="CB291" s="62"/>
      <c r="CC291" s="62"/>
      <c r="CD291" s="62"/>
      <c r="CE291" s="62"/>
      <c r="CF291" s="62"/>
      <c r="CG291" s="62"/>
      <c r="CH291" s="62"/>
      <c r="CI291" s="62"/>
      <c r="CJ291" s="62"/>
      <c r="CK291" s="62"/>
      <c r="CL291" s="62"/>
      <c r="CM291" s="62"/>
      <c r="CN291" s="62"/>
      <c r="CO291" s="62"/>
      <c r="CP291" s="62"/>
      <c r="CQ291" s="62"/>
      <c r="CR291" s="62"/>
      <c r="CS291" s="62"/>
      <c r="CT291" s="62"/>
      <c r="CU291" s="62"/>
      <c r="CV291" s="62"/>
      <c r="CW291" s="62"/>
      <c r="CX291" s="62"/>
      <c r="CY291" s="62"/>
      <c r="CZ291" s="62"/>
      <c r="DA291" s="62"/>
      <c r="DB291" s="62"/>
      <c r="DC291" s="62"/>
      <c r="DD291" s="62"/>
      <c r="DE291" s="62"/>
      <c r="DF291" s="62"/>
      <c r="DG291" s="62"/>
      <c r="DH291" s="62"/>
      <c r="DI291" s="62"/>
      <c r="DJ291" s="62"/>
      <c r="DK291" s="62"/>
      <c r="DL291" s="62"/>
    </row>
    <row r="292" spans="1:116" hidden="1" x14ac:dyDescent="0.2">
      <c r="A292" s="57">
        <v>35462</v>
      </c>
      <c r="B292" s="58"/>
      <c r="C292" s="66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6"/>
      <c r="P292" s="61"/>
      <c r="Q292" s="62"/>
      <c r="R292" s="62"/>
      <c r="S292" s="62"/>
      <c r="T292" s="62"/>
      <c r="U292" s="62"/>
      <c r="V292" s="62"/>
      <c r="W292" s="62"/>
      <c r="X292" s="62"/>
      <c r="Y292" s="61"/>
      <c r="Z292" s="63"/>
      <c r="AA292" s="64" t="e">
        <v>#N/A</v>
      </c>
      <c r="AB292" s="62" t="e">
        <v>#N/A</v>
      </c>
      <c r="AC292" s="62" t="e">
        <v>#N/A</v>
      </c>
      <c r="AD292" s="62" t="e">
        <v>#N/A</v>
      </c>
      <c r="AE292" s="62" t="e">
        <v>#N/A</v>
      </c>
      <c r="AF292" s="62" t="e">
        <v>#N/A</v>
      </c>
      <c r="AG292" s="62" t="e">
        <v>#N/A</v>
      </c>
      <c r="AH292" s="62" t="e">
        <v>#N/A</v>
      </c>
      <c r="AI292" s="62" t="e">
        <v>#N/A</v>
      </c>
      <c r="AJ292" s="62" t="e">
        <v>#N/A</v>
      </c>
      <c r="AK292" s="64" t="e">
        <v>#N/A</v>
      </c>
      <c r="AL292" s="19">
        <v>86523</v>
      </c>
      <c r="AM292" s="19">
        <v>95958</v>
      </c>
      <c r="AN292" s="23">
        <v>6896</v>
      </c>
      <c r="AO292" s="19">
        <v>105457</v>
      </c>
      <c r="AP292" s="19">
        <v>2982</v>
      </c>
      <c r="AQ292" s="62"/>
      <c r="AR292" s="63"/>
      <c r="AS292" s="63"/>
      <c r="AT292" s="65">
        <f t="shared" si="21"/>
        <v>4429.1940000000004</v>
      </c>
      <c r="AU292" s="65">
        <f t="shared" si="22"/>
        <v>289.63200000000001</v>
      </c>
      <c r="AV292" s="65">
        <f t="shared" si="23"/>
        <v>125.244</v>
      </c>
      <c r="AW292" s="65">
        <f t="shared" si="25"/>
        <v>3633.9659999999999</v>
      </c>
      <c r="AX292" s="65">
        <f t="shared" si="25"/>
        <v>4030.2359999999999</v>
      </c>
      <c r="AY292" s="65">
        <f t="shared" si="24"/>
        <v>125.244</v>
      </c>
      <c r="AZ292" s="19">
        <v>42290</v>
      </c>
      <c r="BA292" s="19">
        <v>43996</v>
      </c>
      <c r="BB292" s="19">
        <v>37580</v>
      </c>
      <c r="BC292" s="19">
        <v>3237</v>
      </c>
      <c r="BD292" s="19">
        <v>635</v>
      </c>
      <c r="BE292" s="62"/>
      <c r="BF292" s="62"/>
      <c r="BG292" s="62"/>
      <c r="BH292" s="62"/>
      <c r="BI292" s="62"/>
      <c r="BJ292" s="62"/>
      <c r="BK292" s="62"/>
      <c r="BL292" s="62"/>
      <c r="BM292" s="62"/>
      <c r="BN292" s="62"/>
      <c r="BO292" s="62"/>
      <c r="BP292" s="62"/>
      <c r="BQ292" s="62"/>
      <c r="BR292" s="62"/>
      <c r="BS292" s="62"/>
      <c r="BT292" s="62"/>
      <c r="BU292" s="62"/>
      <c r="BV292" s="62"/>
      <c r="BW292" s="62"/>
      <c r="BX292" s="62"/>
      <c r="BY292" s="62"/>
      <c r="BZ292" s="62"/>
      <c r="CA292" s="62"/>
      <c r="CB292" s="62"/>
      <c r="CC292" s="62"/>
      <c r="CD292" s="62"/>
      <c r="CE292" s="62"/>
      <c r="CF292" s="62"/>
      <c r="CG292" s="62"/>
      <c r="CH292" s="62"/>
      <c r="CI292" s="62"/>
      <c r="CJ292" s="62"/>
      <c r="CK292" s="62"/>
      <c r="CL292" s="62"/>
      <c r="CM292" s="62"/>
      <c r="CN292" s="62"/>
      <c r="CO292" s="62"/>
      <c r="CP292" s="62"/>
      <c r="CQ292" s="62"/>
      <c r="CR292" s="62"/>
      <c r="CS292" s="62"/>
      <c r="CT292" s="62"/>
      <c r="CU292" s="62"/>
      <c r="CV292" s="62"/>
      <c r="CW292" s="62"/>
      <c r="CX292" s="62"/>
      <c r="CY292" s="62"/>
      <c r="CZ292" s="62"/>
      <c r="DA292" s="62"/>
      <c r="DB292" s="62"/>
      <c r="DC292" s="62"/>
      <c r="DD292" s="62"/>
      <c r="DE292" s="62"/>
      <c r="DF292" s="62"/>
      <c r="DG292" s="62"/>
      <c r="DH292" s="62"/>
      <c r="DI292" s="62"/>
      <c r="DJ292" s="62"/>
      <c r="DK292" s="62"/>
      <c r="DL292" s="62"/>
    </row>
    <row r="293" spans="1:116" hidden="1" x14ac:dyDescent="0.2">
      <c r="A293" s="57">
        <v>35490</v>
      </c>
      <c r="B293" s="58"/>
      <c r="C293" s="66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6"/>
      <c r="P293" s="61"/>
      <c r="Q293" s="62"/>
      <c r="R293" s="62"/>
      <c r="S293" s="62"/>
      <c r="T293" s="62"/>
      <c r="U293" s="62"/>
      <c r="V293" s="62"/>
      <c r="W293" s="62"/>
      <c r="X293" s="62"/>
      <c r="Y293" s="61"/>
      <c r="Z293" s="63"/>
      <c r="AA293" s="64" t="e">
        <v>#N/A</v>
      </c>
      <c r="AB293" s="62" t="e">
        <v>#N/A</v>
      </c>
      <c r="AC293" s="62" t="e">
        <v>#N/A</v>
      </c>
      <c r="AD293" s="62" t="e">
        <v>#N/A</v>
      </c>
      <c r="AE293" s="62" t="e">
        <v>#N/A</v>
      </c>
      <c r="AF293" s="62" t="e">
        <v>#N/A</v>
      </c>
      <c r="AG293" s="62" t="e">
        <v>#N/A</v>
      </c>
      <c r="AH293" s="62" t="e">
        <v>#N/A</v>
      </c>
      <c r="AI293" s="62" t="e">
        <v>#N/A</v>
      </c>
      <c r="AJ293" s="62" t="e">
        <v>#N/A</v>
      </c>
      <c r="AK293" s="64" t="e">
        <v>#N/A</v>
      </c>
      <c r="AL293" s="19">
        <v>100554</v>
      </c>
      <c r="AM293" s="19">
        <v>108663</v>
      </c>
      <c r="AN293" s="23">
        <v>7582</v>
      </c>
      <c r="AO293" s="19">
        <v>101211</v>
      </c>
      <c r="AP293" s="19">
        <v>3719</v>
      </c>
      <c r="AQ293" s="62"/>
      <c r="AR293" s="63"/>
      <c r="AS293" s="63"/>
      <c r="AT293" s="65">
        <f t="shared" si="21"/>
        <v>4250.8620000000001</v>
      </c>
      <c r="AU293" s="65">
        <f t="shared" si="22"/>
        <v>318.44400000000002</v>
      </c>
      <c r="AV293" s="65">
        <f t="shared" si="23"/>
        <v>156.19800000000001</v>
      </c>
      <c r="AW293" s="65">
        <f t="shared" si="25"/>
        <v>4223.268</v>
      </c>
      <c r="AX293" s="65">
        <f t="shared" si="25"/>
        <v>4563.8459999999995</v>
      </c>
      <c r="AY293" s="65">
        <f t="shared" si="24"/>
        <v>156.19800000000001</v>
      </c>
      <c r="AZ293" s="19">
        <v>46107</v>
      </c>
      <c r="BA293" s="19">
        <v>47380</v>
      </c>
      <c r="BB293" s="19">
        <v>39264</v>
      </c>
      <c r="BC293" s="19">
        <v>3299</v>
      </c>
      <c r="BD293" s="19">
        <v>342</v>
      </c>
      <c r="BE293" s="62"/>
      <c r="BF293" s="62"/>
      <c r="BG293" s="62"/>
      <c r="BH293" s="62"/>
      <c r="BI293" s="62"/>
      <c r="BJ293" s="62"/>
      <c r="BK293" s="62"/>
      <c r="BL293" s="62"/>
      <c r="BM293" s="62"/>
      <c r="BN293" s="62"/>
      <c r="BO293" s="62"/>
      <c r="BP293" s="62"/>
      <c r="BQ293" s="62"/>
      <c r="BR293" s="62"/>
      <c r="BS293" s="62"/>
      <c r="BT293" s="62"/>
      <c r="BU293" s="62"/>
      <c r="BV293" s="62"/>
      <c r="BW293" s="62"/>
      <c r="BX293" s="62"/>
      <c r="BY293" s="62"/>
      <c r="BZ293" s="62"/>
      <c r="CA293" s="62"/>
      <c r="CB293" s="62"/>
      <c r="CC293" s="62"/>
      <c r="CD293" s="62"/>
      <c r="CE293" s="62"/>
      <c r="CF293" s="62"/>
      <c r="CG293" s="62"/>
      <c r="CH293" s="62"/>
      <c r="CI293" s="62"/>
      <c r="CJ293" s="62"/>
      <c r="CK293" s="62"/>
      <c r="CL293" s="62"/>
      <c r="CM293" s="62"/>
      <c r="CN293" s="62"/>
      <c r="CO293" s="62"/>
      <c r="CP293" s="62"/>
      <c r="CQ293" s="62"/>
      <c r="CR293" s="62"/>
      <c r="CS293" s="62"/>
      <c r="CT293" s="62"/>
      <c r="CU293" s="62"/>
      <c r="CV293" s="62"/>
      <c r="CW293" s="62"/>
      <c r="CX293" s="62"/>
      <c r="CY293" s="62"/>
      <c r="CZ293" s="62"/>
      <c r="DA293" s="62"/>
      <c r="DB293" s="62"/>
      <c r="DC293" s="62"/>
      <c r="DD293" s="62"/>
      <c r="DE293" s="62"/>
      <c r="DF293" s="62"/>
      <c r="DG293" s="62"/>
      <c r="DH293" s="62"/>
      <c r="DI293" s="62"/>
      <c r="DJ293" s="62"/>
      <c r="DK293" s="62"/>
      <c r="DL293" s="62"/>
    </row>
    <row r="294" spans="1:116" hidden="1" x14ac:dyDescent="0.2">
      <c r="A294" s="57">
        <v>35521</v>
      </c>
      <c r="B294" s="58"/>
      <c r="C294" s="66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6"/>
      <c r="P294" s="61"/>
      <c r="Q294" s="62"/>
      <c r="R294" s="62"/>
      <c r="S294" s="62"/>
      <c r="T294" s="62"/>
      <c r="U294" s="62"/>
      <c r="V294" s="62"/>
      <c r="W294" s="62"/>
      <c r="X294" s="62"/>
      <c r="Y294" s="61"/>
      <c r="Z294" s="63"/>
      <c r="AA294" s="64" t="e">
        <v>#N/A</v>
      </c>
      <c r="AB294" s="62" t="e">
        <v>#N/A</v>
      </c>
      <c r="AC294" s="62" t="e">
        <v>#N/A</v>
      </c>
      <c r="AD294" s="62" t="e">
        <v>#N/A</v>
      </c>
      <c r="AE294" s="62" t="e">
        <v>#N/A</v>
      </c>
      <c r="AF294" s="62" t="e">
        <v>#N/A</v>
      </c>
      <c r="AG294" s="62" t="e">
        <v>#N/A</v>
      </c>
      <c r="AH294" s="62" t="e">
        <v>#N/A</v>
      </c>
      <c r="AI294" s="62" t="e">
        <v>#N/A</v>
      </c>
      <c r="AJ294" s="62" t="e">
        <v>#N/A</v>
      </c>
      <c r="AK294" s="64" t="e">
        <v>#N/A</v>
      </c>
      <c r="AL294" s="19">
        <v>98399</v>
      </c>
      <c r="AM294" s="19">
        <v>105132</v>
      </c>
      <c r="AN294" s="23">
        <v>7681</v>
      </c>
      <c r="AO294" s="19">
        <v>97191</v>
      </c>
      <c r="AP294" s="19">
        <v>4968</v>
      </c>
      <c r="AQ294" s="62"/>
      <c r="AR294" s="63"/>
      <c r="AS294" s="63"/>
      <c r="AT294" s="65">
        <f t="shared" si="21"/>
        <v>4082.0219999999999</v>
      </c>
      <c r="AU294" s="65">
        <f t="shared" si="22"/>
        <v>322.60199999999998</v>
      </c>
      <c r="AV294" s="65">
        <f t="shared" si="23"/>
        <v>208.65600000000001</v>
      </c>
      <c r="AW294" s="65">
        <f t="shared" si="25"/>
        <v>4132.7579999999998</v>
      </c>
      <c r="AX294" s="65">
        <f t="shared" si="25"/>
        <v>4415.5439999999999</v>
      </c>
      <c r="AY294" s="65">
        <f t="shared" si="24"/>
        <v>208.65600000000001</v>
      </c>
      <c r="AZ294" s="19">
        <v>44771</v>
      </c>
      <c r="BA294" s="19">
        <v>46746</v>
      </c>
      <c r="BB294" s="19">
        <v>39612</v>
      </c>
      <c r="BC294" s="19">
        <v>2944</v>
      </c>
      <c r="BD294" s="19">
        <v>621</v>
      </c>
      <c r="BE294" s="62"/>
      <c r="BF294" s="62"/>
      <c r="BG294" s="62"/>
      <c r="BH294" s="62"/>
      <c r="BI294" s="62"/>
      <c r="BJ294" s="62"/>
      <c r="BK294" s="62"/>
      <c r="BL294" s="62"/>
      <c r="BM294" s="62"/>
      <c r="BN294" s="62"/>
      <c r="BO294" s="62"/>
      <c r="BP294" s="62"/>
      <c r="BQ294" s="62"/>
      <c r="BR294" s="62"/>
      <c r="BS294" s="62"/>
      <c r="BT294" s="62"/>
      <c r="BU294" s="62"/>
      <c r="BV294" s="62"/>
      <c r="BW294" s="62"/>
      <c r="BX294" s="62"/>
      <c r="BY294" s="62"/>
      <c r="BZ294" s="62"/>
      <c r="CA294" s="62"/>
      <c r="CB294" s="62"/>
      <c r="CC294" s="62"/>
      <c r="CD294" s="62"/>
      <c r="CE294" s="62"/>
      <c r="CF294" s="62"/>
      <c r="CG294" s="62"/>
      <c r="CH294" s="62"/>
      <c r="CI294" s="62"/>
      <c r="CJ294" s="62"/>
      <c r="CK294" s="62"/>
      <c r="CL294" s="62"/>
      <c r="CM294" s="62"/>
      <c r="CN294" s="62"/>
      <c r="CO294" s="62"/>
      <c r="CP294" s="62"/>
      <c r="CQ294" s="62"/>
      <c r="CR294" s="62"/>
      <c r="CS294" s="62"/>
      <c r="CT294" s="62"/>
      <c r="CU294" s="62"/>
      <c r="CV294" s="62"/>
      <c r="CW294" s="62"/>
      <c r="CX294" s="62"/>
      <c r="CY294" s="62"/>
      <c r="CZ294" s="62"/>
      <c r="DA294" s="62"/>
      <c r="DB294" s="62"/>
      <c r="DC294" s="62"/>
      <c r="DD294" s="62"/>
      <c r="DE294" s="62"/>
      <c r="DF294" s="62"/>
      <c r="DG294" s="62"/>
      <c r="DH294" s="62"/>
      <c r="DI294" s="62"/>
      <c r="DJ294" s="62"/>
      <c r="DK294" s="62"/>
      <c r="DL294" s="62"/>
    </row>
    <row r="295" spans="1:116" hidden="1" x14ac:dyDescent="0.2">
      <c r="A295" s="57">
        <v>35551</v>
      </c>
      <c r="B295" s="58"/>
      <c r="C295" s="66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6"/>
      <c r="P295" s="61"/>
      <c r="Q295" s="62"/>
      <c r="R295" s="62"/>
      <c r="S295" s="62"/>
      <c r="T295" s="62"/>
      <c r="U295" s="62"/>
      <c r="V295" s="62"/>
      <c r="W295" s="62"/>
      <c r="X295" s="62"/>
      <c r="Y295" s="61"/>
      <c r="Z295" s="63"/>
      <c r="AA295" s="64" t="e">
        <v>#N/A</v>
      </c>
      <c r="AB295" s="62" t="e">
        <v>#N/A</v>
      </c>
      <c r="AC295" s="62" t="e">
        <v>#N/A</v>
      </c>
      <c r="AD295" s="62" t="e">
        <v>#N/A</v>
      </c>
      <c r="AE295" s="62" t="e">
        <v>#N/A</v>
      </c>
      <c r="AF295" s="62" t="e">
        <v>#N/A</v>
      </c>
      <c r="AG295" s="62" t="e">
        <v>#N/A</v>
      </c>
      <c r="AH295" s="62" t="e">
        <v>#N/A</v>
      </c>
      <c r="AI295" s="62" t="e">
        <v>#N/A</v>
      </c>
      <c r="AJ295" s="62" t="e">
        <v>#N/A</v>
      </c>
      <c r="AK295" s="64" t="e">
        <v>#N/A</v>
      </c>
      <c r="AL295" s="19">
        <v>109341</v>
      </c>
      <c r="AM295" s="19">
        <v>100287</v>
      </c>
      <c r="AN295" s="23">
        <v>6816</v>
      </c>
      <c r="AO295" s="19">
        <v>108319</v>
      </c>
      <c r="AP295" s="19">
        <v>4742</v>
      </c>
      <c r="AQ295" s="62"/>
      <c r="AR295" s="63"/>
      <c r="AS295" s="63"/>
      <c r="AT295" s="65">
        <f t="shared" si="21"/>
        <v>4549.3980000000001</v>
      </c>
      <c r="AU295" s="65">
        <f t="shared" si="22"/>
        <v>286.27199999999999</v>
      </c>
      <c r="AV295" s="65">
        <f t="shared" si="23"/>
        <v>199.16399999999999</v>
      </c>
      <c r="AW295" s="65">
        <f t="shared" si="25"/>
        <v>4592.3220000000001</v>
      </c>
      <c r="AX295" s="65">
        <f t="shared" si="25"/>
        <v>4212.0540000000001</v>
      </c>
      <c r="AY295" s="65">
        <f t="shared" si="24"/>
        <v>199.16399999999999</v>
      </c>
      <c r="AZ295" s="19">
        <v>46946</v>
      </c>
      <c r="BA295" s="19">
        <v>48073</v>
      </c>
      <c r="BB295" s="19">
        <v>41036</v>
      </c>
      <c r="BC295" s="19">
        <v>2826</v>
      </c>
      <c r="BD295" s="19">
        <v>275</v>
      </c>
      <c r="BE295" s="62"/>
      <c r="BF295" s="62"/>
      <c r="BG295" s="62"/>
      <c r="BH295" s="62"/>
      <c r="BI295" s="62"/>
      <c r="BJ295" s="62"/>
      <c r="BK295" s="62"/>
      <c r="BL295" s="62"/>
      <c r="BM295" s="62"/>
      <c r="BN295" s="62"/>
      <c r="BO295" s="62"/>
      <c r="BP295" s="62"/>
      <c r="BQ295" s="62"/>
      <c r="BR295" s="62"/>
      <c r="BS295" s="62"/>
      <c r="BT295" s="62"/>
      <c r="BU295" s="62"/>
      <c r="BV295" s="62"/>
      <c r="BW295" s="62"/>
      <c r="BX295" s="62"/>
      <c r="BY295" s="62"/>
      <c r="BZ295" s="62"/>
      <c r="CA295" s="62"/>
      <c r="CB295" s="62"/>
      <c r="CC295" s="62"/>
      <c r="CD295" s="62"/>
      <c r="CE295" s="62"/>
      <c r="CF295" s="62"/>
      <c r="CG295" s="62"/>
      <c r="CH295" s="62"/>
      <c r="CI295" s="62"/>
      <c r="CJ295" s="62"/>
      <c r="CK295" s="62"/>
      <c r="CL295" s="62"/>
      <c r="CM295" s="62"/>
      <c r="CN295" s="62"/>
      <c r="CO295" s="62"/>
      <c r="CP295" s="62"/>
      <c r="CQ295" s="62"/>
      <c r="CR295" s="62"/>
      <c r="CS295" s="62"/>
      <c r="CT295" s="62"/>
      <c r="CU295" s="62"/>
      <c r="CV295" s="62"/>
      <c r="CW295" s="62"/>
      <c r="CX295" s="62"/>
      <c r="CY295" s="62"/>
      <c r="CZ295" s="62"/>
      <c r="DA295" s="62"/>
      <c r="DB295" s="62"/>
      <c r="DC295" s="62"/>
      <c r="DD295" s="62"/>
      <c r="DE295" s="62"/>
      <c r="DF295" s="62"/>
      <c r="DG295" s="62"/>
      <c r="DH295" s="62"/>
      <c r="DI295" s="62"/>
      <c r="DJ295" s="62"/>
      <c r="DK295" s="62"/>
      <c r="DL295" s="62"/>
    </row>
    <row r="296" spans="1:116" hidden="1" x14ac:dyDescent="0.2">
      <c r="A296" s="57">
        <v>35582</v>
      </c>
      <c r="B296" s="58"/>
      <c r="C296" s="66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6"/>
      <c r="P296" s="61"/>
      <c r="Q296" s="62"/>
      <c r="R296" s="62"/>
      <c r="S296" s="62"/>
      <c r="T296" s="62"/>
      <c r="U296" s="62"/>
      <c r="V296" s="62"/>
      <c r="W296" s="62"/>
      <c r="X296" s="62"/>
      <c r="Y296" s="61"/>
      <c r="Z296" s="63"/>
      <c r="AA296" s="64" t="e">
        <v>#N/A</v>
      </c>
      <c r="AB296" s="62" t="e">
        <v>#N/A</v>
      </c>
      <c r="AC296" s="62" t="e">
        <v>#N/A</v>
      </c>
      <c r="AD296" s="62" t="e">
        <v>#N/A</v>
      </c>
      <c r="AE296" s="62" t="e">
        <v>#N/A</v>
      </c>
      <c r="AF296" s="62" t="e">
        <v>#N/A</v>
      </c>
      <c r="AG296" s="62" t="e">
        <v>#N/A</v>
      </c>
      <c r="AH296" s="62" t="e">
        <v>#N/A</v>
      </c>
      <c r="AI296" s="62" t="e">
        <v>#N/A</v>
      </c>
      <c r="AJ296" s="62" t="e">
        <v>#N/A</v>
      </c>
      <c r="AK296" s="64" t="e">
        <v>#N/A</v>
      </c>
      <c r="AL296" s="19">
        <v>105698</v>
      </c>
      <c r="AM296" s="19">
        <v>97287</v>
      </c>
      <c r="AN296" s="23">
        <v>6564</v>
      </c>
      <c r="AO296" s="19">
        <v>118088</v>
      </c>
      <c r="AP296" s="19">
        <v>5206</v>
      </c>
      <c r="AQ296" s="62"/>
      <c r="AR296" s="63"/>
      <c r="AS296" s="63"/>
      <c r="AT296" s="65">
        <f t="shared" si="21"/>
        <v>4959.6959999999999</v>
      </c>
      <c r="AU296" s="65">
        <f t="shared" si="22"/>
        <v>275.68799999999999</v>
      </c>
      <c r="AV296" s="65">
        <f t="shared" si="23"/>
        <v>218.65199999999999</v>
      </c>
      <c r="AW296" s="65">
        <f t="shared" si="25"/>
        <v>4439.3159999999998</v>
      </c>
      <c r="AX296" s="65">
        <f t="shared" si="25"/>
        <v>4086.0540000000001</v>
      </c>
      <c r="AY296" s="65">
        <f t="shared" si="24"/>
        <v>218.65199999999999</v>
      </c>
      <c r="AZ296" s="19">
        <v>47414</v>
      </c>
      <c r="BA296" s="19">
        <v>47184</v>
      </c>
      <c r="BB296" s="19">
        <v>43365</v>
      </c>
      <c r="BC296" s="19">
        <v>3245</v>
      </c>
      <c r="BD296" s="19">
        <v>1146</v>
      </c>
      <c r="BE296" s="62"/>
      <c r="BF296" s="62"/>
      <c r="BG296" s="62"/>
      <c r="BH296" s="62"/>
      <c r="BI296" s="62"/>
      <c r="BJ296" s="62"/>
      <c r="BK296" s="62"/>
      <c r="BL296" s="62"/>
      <c r="BM296" s="62"/>
      <c r="BN296" s="62"/>
      <c r="BO296" s="62"/>
      <c r="BP296" s="62"/>
      <c r="BQ296" s="62"/>
      <c r="BR296" s="62"/>
      <c r="BS296" s="62"/>
      <c r="BT296" s="62"/>
      <c r="BU296" s="62"/>
      <c r="BV296" s="62"/>
      <c r="BW296" s="62"/>
      <c r="BX296" s="62"/>
      <c r="BY296" s="62"/>
      <c r="BZ296" s="62"/>
      <c r="CA296" s="62"/>
      <c r="CB296" s="62"/>
      <c r="CC296" s="62"/>
      <c r="CD296" s="62"/>
      <c r="CE296" s="62"/>
      <c r="CF296" s="62"/>
      <c r="CG296" s="62"/>
      <c r="CH296" s="62"/>
      <c r="CI296" s="62"/>
      <c r="CJ296" s="62"/>
      <c r="CK296" s="62"/>
      <c r="CL296" s="62"/>
      <c r="CM296" s="62"/>
      <c r="CN296" s="62"/>
      <c r="CO296" s="62"/>
      <c r="CP296" s="62"/>
      <c r="CQ296" s="62"/>
      <c r="CR296" s="62"/>
      <c r="CS296" s="62"/>
      <c r="CT296" s="62"/>
      <c r="CU296" s="62"/>
      <c r="CV296" s="62"/>
      <c r="CW296" s="62"/>
      <c r="CX296" s="62"/>
      <c r="CY296" s="62"/>
      <c r="CZ296" s="62"/>
      <c r="DA296" s="62"/>
      <c r="DB296" s="62"/>
      <c r="DC296" s="62"/>
      <c r="DD296" s="62"/>
      <c r="DE296" s="62"/>
      <c r="DF296" s="62"/>
      <c r="DG296" s="62"/>
      <c r="DH296" s="62"/>
      <c r="DI296" s="62"/>
      <c r="DJ296" s="62"/>
      <c r="DK296" s="62"/>
      <c r="DL296" s="62"/>
    </row>
    <row r="297" spans="1:116" hidden="1" x14ac:dyDescent="0.2">
      <c r="A297" s="57">
        <v>35612</v>
      </c>
      <c r="B297" s="58"/>
      <c r="C297" s="66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6"/>
      <c r="P297" s="61"/>
      <c r="Q297" s="62"/>
      <c r="R297" s="62"/>
      <c r="S297" s="62"/>
      <c r="T297" s="62"/>
      <c r="U297" s="62"/>
      <c r="V297" s="62"/>
      <c r="W297" s="62"/>
      <c r="X297" s="62"/>
      <c r="Y297" s="61"/>
      <c r="Z297" s="63"/>
      <c r="AA297" s="64" t="e">
        <v>#N/A</v>
      </c>
      <c r="AB297" s="62" t="e">
        <v>#N/A</v>
      </c>
      <c r="AC297" s="62" t="e">
        <v>#N/A</v>
      </c>
      <c r="AD297" s="62" t="e">
        <v>#N/A</v>
      </c>
      <c r="AE297" s="62" t="e">
        <v>#N/A</v>
      </c>
      <c r="AF297" s="62" t="e">
        <v>#N/A</v>
      </c>
      <c r="AG297" s="62" t="e">
        <v>#N/A</v>
      </c>
      <c r="AH297" s="62" t="e">
        <v>#N/A</v>
      </c>
      <c r="AI297" s="62" t="e">
        <v>#N/A</v>
      </c>
      <c r="AJ297" s="62" t="e">
        <v>#N/A</v>
      </c>
      <c r="AK297" s="64" t="e">
        <v>#N/A</v>
      </c>
      <c r="AL297" s="19">
        <v>104303</v>
      </c>
      <c r="AM297" s="19">
        <v>101533</v>
      </c>
      <c r="AN297" s="23">
        <v>6898</v>
      </c>
      <c r="AO297" s="19">
        <v>123069</v>
      </c>
      <c r="AP297" s="19">
        <v>4687</v>
      </c>
      <c r="AQ297" s="62"/>
      <c r="AR297" s="63"/>
      <c r="AS297" s="63"/>
      <c r="AT297" s="65">
        <f t="shared" si="21"/>
        <v>5168.8980000000001</v>
      </c>
      <c r="AU297" s="65">
        <f t="shared" si="22"/>
        <v>289.71600000000001</v>
      </c>
      <c r="AV297" s="65">
        <f t="shared" si="23"/>
        <v>196.85400000000001</v>
      </c>
      <c r="AW297" s="65">
        <f t="shared" si="25"/>
        <v>4380.7259999999997</v>
      </c>
      <c r="AX297" s="65">
        <f t="shared" si="25"/>
        <v>4264.3860000000004</v>
      </c>
      <c r="AY297" s="65">
        <f t="shared" si="24"/>
        <v>196.85400000000001</v>
      </c>
      <c r="AZ297" s="19">
        <v>50145</v>
      </c>
      <c r="BA297" s="19">
        <v>52225</v>
      </c>
      <c r="BB297" s="19">
        <v>42939</v>
      </c>
      <c r="BC297" s="19">
        <v>2658</v>
      </c>
      <c r="BD297" s="19">
        <v>1004</v>
      </c>
      <c r="BE297" s="62"/>
      <c r="BF297" s="62"/>
      <c r="BG297" s="62"/>
      <c r="BH297" s="62"/>
      <c r="BI297" s="62"/>
      <c r="BJ297" s="62"/>
      <c r="BK297" s="62"/>
      <c r="BL297" s="62"/>
      <c r="BM297" s="62"/>
      <c r="BN297" s="62"/>
      <c r="BO297" s="62"/>
      <c r="BP297" s="62"/>
      <c r="BQ297" s="62"/>
      <c r="BR297" s="62"/>
      <c r="BS297" s="62"/>
      <c r="BT297" s="62"/>
      <c r="BU297" s="62"/>
      <c r="BV297" s="62"/>
      <c r="BW297" s="62"/>
      <c r="BX297" s="62"/>
      <c r="BY297" s="62"/>
      <c r="BZ297" s="62"/>
      <c r="CA297" s="62"/>
      <c r="CB297" s="62"/>
      <c r="CC297" s="62"/>
      <c r="CD297" s="62"/>
      <c r="CE297" s="62"/>
      <c r="CF297" s="62"/>
      <c r="CG297" s="62"/>
      <c r="CH297" s="62"/>
      <c r="CI297" s="62"/>
      <c r="CJ297" s="62"/>
      <c r="CK297" s="62"/>
      <c r="CL297" s="62"/>
      <c r="CM297" s="62"/>
      <c r="CN297" s="62"/>
      <c r="CO297" s="62"/>
      <c r="CP297" s="62"/>
      <c r="CQ297" s="62"/>
      <c r="CR297" s="62"/>
      <c r="CS297" s="62"/>
      <c r="CT297" s="62"/>
      <c r="CU297" s="62"/>
      <c r="CV297" s="62"/>
      <c r="CW297" s="62"/>
      <c r="CX297" s="62"/>
      <c r="CY297" s="62"/>
      <c r="CZ297" s="62"/>
      <c r="DA297" s="62"/>
      <c r="DB297" s="62"/>
      <c r="DC297" s="62"/>
      <c r="DD297" s="62"/>
      <c r="DE297" s="62"/>
      <c r="DF297" s="62"/>
      <c r="DG297" s="62"/>
      <c r="DH297" s="62"/>
      <c r="DI297" s="62"/>
      <c r="DJ297" s="62"/>
      <c r="DK297" s="62"/>
      <c r="DL297" s="62"/>
    </row>
    <row r="298" spans="1:116" hidden="1" x14ac:dyDescent="0.2">
      <c r="A298" s="57">
        <v>35643</v>
      </c>
      <c r="B298" s="58"/>
      <c r="C298" s="66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6"/>
      <c r="P298" s="61"/>
      <c r="Q298" s="62"/>
      <c r="R298" s="62"/>
      <c r="S298" s="62"/>
      <c r="T298" s="62"/>
      <c r="U298" s="62"/>
      <c r="V298" s="62"/>
      <c r="W298" s="62"/>
      <c r="X298" s="62"/>
      <c r="Y298" s="61"/>
      <c r="Z298" s="63"/>
      <c r="AA298" s="64" t="e">
        <v>#N/A</v>
      </c>
      <c r="AB298" s="62" t="e">
        <v>#N/A</v>
      </c>
      <c r="AC298" s="62" t="e">
        <v>#N/A</v>
      </c>
      <c r="AD298" s="62" t="e">
        <v>#N/A</v>
      </c>
      <c r="AE298" s="62" t="e">
        <v>#N/A</v>
      </c>
      <c r="AF298" s="62" t="e">
        <v>#N/A</v>
      </c>
      <c r="AG298" s="62" t="e">
        <v>#N/A</v>
      </c>
      <c r="AH298" s="62" t="e">
        <v>#N/A</v>
      </c>
      <c r="AI298" s="62" t="e">
        <v>#N/A</v>
      </c>
      <c r="AJ298" s="62" t="e">
        <v>#N/A</v>
      </c>
      <c r="AK298" s="64" t="e">
        <v>#N/A</v>
      </c>
      <c r="AL298" s="19">
        <v>106613</v>
      </c>
      <c r="AM298" s="19">
        <v>97204</v>
      </c>
      <c r="AN298" s="23">
        <v>6260</v>
      </c>
      <c r="AO298" s="19">
        <v>132993</v>
      </c>
      <c r="AP298" s="19">
        <v>5745</v>
      </c>
      <c r="AQ298" s="62"/>
      <c r="AR298" s="63"/>
      <c r="AS298" s="63"/>
      <c r="AT298" s="65">
        <f t="shared" si="21"/>
        <v>5585.7060000000001</v>
      </c>
      <c r="AU298" s="65">
        <f t="shared" si="22"/>
        <v>262.92</v>
      </c>
      <c r="AV298" s="65">
        <f t="shared" si="23"/>
        <v>241.29</v>
      </c>
      <c r="AW298" s="65">
        <f t="shared" si="25"/>
        <v>4477.7460000000001</v>
      </c>
      <c r="AX298" s="65">
        <f t="shared" si="25"/>
        <v>4082.5680000000002</v>
      </c>
      <c r="AY298" s="65">
        <f t="shared" si="24"/>
        <v>241.29</v>
      </c>
      <c r="AZ298" s="19">
        <v>48949</v>
      </c>
      <c r="BA298" s="19">
        <v>51083</v>
      </c>
      <c r="BB298" s="19">
        <v>43164</v>
      </c>
      <c r="BC298" s="19">
        <v>3178</v>
      </c>
      <c r="BD298" s="19">
        <v>819</v>
      </c>
      <c r="BE298" s="62"/>
      <c r="BF298" s="62"/>
      <c r="BG298" s="62"/>
      <c r="BH298" s="62"/>
      <c r="BI298" s="62"/>
      <c r="BJ298" s="62"/>
      <c r="BK298" s="62"/>
      <c r="BL298" s="62"/>
      <c r="BM298" s="62"/>
      <c r="BN298" s="62"/>
      <c r="BO298" s="62"/>
      <c r="BP298" s="62"/>
      <c r="BQ298" s="62"/>
      <c r="BR298" s="62"/>
      <c r="BS298" s="62"/>
      <c r="BT298" s="62"/>
      <c r="BU298" s="62"/>
      <c r="BV298" s="62"/>
      <c r="BW298" s="62"/>
      <c r="BX298" s="62"/>
      <c r="BY298" s="62"/>
      <c r="BZ298" s="62"/>
      <c r="CA298" s="62"/>
      <c r="CB298" s="62"/>
      <c r="CC298" s="62"/>
      <c r="CD298" s="62"/>
      <c r="CE298" s="62"/>
      <c r="CF298" s="62"/>
      <c r="CG298" s="62"/>
      <c r="CH298" s="62"/>
      <c r="CI298" s="62"/>
      <c r="CJ298" s="62"/>
      <c r="CK298" s="62"/>
      <c r="CL298" s="62"/>
      <c r="CM298" s="62"/>
      <c r="CN298" s="62"/>
      <c r="CO298" s="62"/>
      <c r="CP298" s="62"/>
      <c r="CQ298" s="62"/>
      <c r="CR298" s="62"/>
      <c r="CS298" s="62"/>
      <c r="CT298" s="62"/>
      <c r="CU298" s="62"/>
      <c r="CV298" s="62"/>
      <c r="CW298" s="62"/>
      <c r="CX298" s="62"/>
      <c r="CY298" s="62"/>
      <c r="CZ298" s="62"/>
      <c r="DA298" s="62"/>
      <c r="DB298" s="62"/>
      <c r="DC298" s="62"/>
      <c r="DD298" s="62"/>
      <c r="DE298" s="62"/>
      <c r="DF298" s="62"/>
      <c r="DG298" s="62"/>
      <c r="DH298" s="62"/>
      <c r="DI298" s="62"/>
      <c r="DJ298" s="62"/>
      <c r="DK298" s="62"/>
      <c r="DL298" s="62"/>
    </row>
    <row r="299" spans="1:116" hidden="1" x14ac:dyDescent="0.2">
      <c r="A299" s="57">
        <v>35674</v>
      </c>
      <c r="B299" s="58"/>
      <c r="C299" s="66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6"/>
      <c r="P299" s="61"/>
      <c r="Q299" s="62"/>
      <c r="R299" s="62"/>
      <c r="S299" s="62"/>
      <c r="T299" s="62"/>
      <c r="U299" s="62"/>
      <c r="V299" s="62"/>
      <c r="W299" s="62"/>
      <c r="X299" s="62"/>
      <c r="Y299" s="61"/>
      <c r="Z299" s="63"/>
      <c r="AA299" s="64" t="e">
        <v>#N/A</v>
      </c>
      <c r="AB299" s="62" t="e">
        <v>#N/A</v>
      </c>
      <c r="AC299" s="62" t="e">
        <v>#N/A</v>
      </c>
      <c r="AD299" s="62" t="e">
        <v>#N/A</v>
      </c>
      <c r="AE299" s="62" t="e">
        <v>#N/A</v>
      </c>
      <c r="AF299" s="62" t="e">
        <v>#N/A</v>
      </c>
      <c r="AG299" s="62" t="e">
        <v>#N/A</v>
      </c>
      <c r="AH299" s="62" t="e">
        <v>#N/A</v>
      </c>
      <c r="AI299" s="62" t="e">
        <v>#N/A</v>
      </c>
      <c r="AJ299" s="62" t="e">
        <v>#N/A</v>
      </c>
      <c r="AK299" s="64" t="e">
        <v>#N/A</v>
      </c>
      <c r="AL299" s="19">
        <v>103346</v>
      </c>
      <c r="AM299" s="19">
        <v>99170</v>
      </c>
      <c r="AN299" s="23">
        <v>6295</v>
      </c>
      <c r="AO299" s="19">
        <v>138676</v>
      </c>
      <c r="AP299" s="19">
        <v>4788</v>
      </c>
      <c r="AQ299" s="62"/>
      <c r="AR299" s="63"/>
      <c r="AS299" s="63"/>
      <c r="AT299" s="65">
        <f t="shared" si="21"/>
        <v>5824.3919999999998</v>
      </c>
      <c r="AU299" s="65">
        <f t="shared" si="22"/>
        <v>264.39</v>
      </c>
      <c r="AV299" s="65">
        <f t="shared" si="23"/>
        <v>201.096</v>
      </c>
      <c r="AW299" s="65">
        <f t="shared" si="25"/>
        <v>4340.5320000000002</v>
      </c>
      <c r="AX299" s="65">
        <f t="shared" si="25"/>
        <v>4165.1400000000003</v>
      </c>
      <c r="AY299" s="65">
        <f t="shared" si="24"/>
        <v>201.096</v>
      </c>
      <c r="AZ299" s="19">
        <v>47766</v>
      </c>
      <c r="BA299" s="19">
        <v>47546</v>
      </c>
      <c r="BB299" s="19">
        <v>45515</v>
      </c>
      <c r="BC299" s="19">
        <v>2602</v>
      </c>
      <c r="BD299" s="19">
        <v>471</v>
      </c>
      <c r="BE299" s="62"/>
      <c r="BF299" s="62"/>
      <c r="BG299" s="62"/>
      <c r="BH299" s="62"/>
      <c r="BI299" s="62"/>
      <c r="BJ299" s="62"/>
      <c r="BK299" s="62"/>
      <c r="BL299" s="62"/>
      <c r="BM299" s="62"/>
      <c r="BN299" s="62"/>
      <c r="BO299" s="62"/>
      <c r="BP299" s="62"/>
      <c r="BQ299" s="62"/>
      <c r="BR299" s="62"/>
      <c r="BS299" s="62"/>
      <c r="BT299" s="62"/>
      <c r="BU299" s="62"/>
      <c r="BV299" s="62"/>
      <c r="BW299" s="62"/>
      <c r="BX299" s="62"/>
      <c r="BY299" s="62"/>
      <c r="BZ299" s="62"/>
      <c r="CA299" s="62"/>
      <c r="CB299" s="62"/>
      <c r="CC299" s="62"/>
      <c r="CD299" s="62"/>
      <c r="CE299" s="62"/>
      <c r="CF299" s="62"/>
      <c r="CG299" s="62"/>
      <c r="CH299" s="62"/>
      <c r="CI299" s="62"/>
      <c r="CJ299" s="62"/>
      <c r="CK299" s="62"/>
      <c r="CL299" s="62"/>
      <c r="CM299" s="62"/>
      <c r="CN299" s="62"/>
      <c r="CO299" s="62"/>
      <c r="CP299" s="62"/>
      <c r="CQ299" s="62"/>
      <c r="CR299" s="62"/>
      <c r="CS299" s="62"/>
      <c r="CT299" s="62"/>
      <c r="CU299" s="62"/>
      <c r="CV299" s="62"/>
      <c r="CW299" s="62"/>
      <c r="CX299" s="62"/>
      <c r="CY299" s="62"/>
      <c r="CZ299" s="62"/>
      <c r="DA299" s="62"/>
      <c r="DB299" s="62"/>
      <c r="DC299" s="62"/>
      <c r="DD299" s="62"/>
      <c r="DE299" s="62"/>
      <c r="DF299" s="62"/>
      <c r="DG299" s="62"/>
      <c r="DH299" s="62"/>
      <c r="DI299" s="62"/>
      <c r="DJ299" s="62"/>
      <c r="DK299" s="62"/>
      <c r="DL299" s="62"/>
    </row>
    <row r="300" spans="1:116" hidden="1" x14ac:dyDescent="0.2">
      <c r="A300" s="57">
        <v>35704</v>
      </c>
      <c r="B300" s="58"/>
      <c r="C300" s="66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6"/>
      <c r="P300" s="61"/>
      <c r="Q300" s="62"/>
      <c r="R300" s="62"/>
      <c r="S300" s="62"/>
      <c r="T300" s="62"/>
      <c r="U300" s="62"/>
      <c r="V300" s="62"/>
      <c r="W300" s="62"/>
      <c r="X300" s="62"/>
      <c r="Y300" s="61"/>
      <c r="Z300" s="63"/>
      <c r="AA300" s="64" t="e">
        <v>#N/A</v>
      </c>
      <c r="AB300" s="62" t="e">
        <v>#N/A</v>
      </c>
      <c r="AC300" s="62" t="e">
        <v>#N/A</v>
      </c>
      <c r="AD300" s="62" t="e">
        <v>#N/A</v>
      </c>
      <c r="AE300" s="62" t="e">
        <v>#N/A</v>
      </c>
      <c r="AF300" s="62" t="e">
        <v>#N/A</v>
      </c>
      <c r="AG300" s="62" t="e">
        <v>#N/A</v>
      </c>
      <c r="AH300" s="62" t="e">
        <v>#N/A</v>
      </c>
      <c r="AI300" s="62" t="e">
        <v>#N/A</v>
      </c>
      <c r="AJ300" s="62" t="e">
        <v>#N/A</v>
      </c>
      <c r="AK300" s="64" t="e">
        <v>#N/A</v>
      </c>
      <c r="AL300" s="19">
        <v>107893</v>
      </c>
      <c r="AM300" s="19">
        <v>113140</v>
      </c>
      <c r="AN300" s="23">
        <v>6611</v>
      </c>
      <c r="AO300" s="19">
        <v>135931</v>
      </c>
      <c r="AP300" s="19">
        <v>4109</v>
      </c>
      <c r="AQ300" s="62"/>
      <c r="AR300" s="63"/>
      <c r="AS300" s="63"/>
      <c r="AT300" s="65">
        <f t="shared" si="21"/>
        <v>5709.1019999999999</v>
      </c>
      <c r="AU300" s="65">
        <f t="shared" si="22"/>
        <v>277.66199999999998</v>
      </c>
      <c r="AV300" s="65">
        <f t="shared" si="23"/>
        <v>172.578</v>
      </c>
      <c r="AW300" s="65">
        <f t="shared" si="25"/>
        <v>4531.5060000000003</v>
      </c>
      <c r="AX300" s="65">
        <f t="shared" si="25"/>
        <v>4751.88</v>
      </c>
      <c r="AY300" s="65">
        <f t="shared" si="24"/>
        <v>172.578</v>
      </c>
      <c r="AZ300" s="19">
        <v>48976</v>
      </c>
      <c r="BA300" s="19">
        <v>49576</v>
      </c>
      <c r="BB300" s="19">
        <v>46103</v>
      </c>
      <c r="BC300" s="19">
        <v>2402</v>
      </c>
      <c r="BD300" s="19">
        <v>1214</v>
      </c>
      <c r="BE300" s="62"/>
      <c r="BF300" s="62"/>
      <c r="BG300" s="62"/>
      <c r="BH300" s="62"/>
      <c r="BI300" s="62"/>
      <c r="BJ300" s="62"/>
      <c r="BK300" s="62"/>
      <c r="BL300" s="62"/>
      <c r="BM300" s="62"/>
      <c r="BN300" s="62"/>
      <c r="BO300" s="62"/>
      <c r="BP300" s="62"/>
      <c r="BQ300" s="62"/>
      <c r="BR300" s="62"/>
      <c r="BS300" s="62"/>
      <c r="BT300" s="62"/>
      <c r="BU300" s="62"/>
      <c r="BV300" s="62"/>
      <c r="BW300" s="62"/>
      <c r="BX300" s="62"/>
      <c r="BY300" s="62"/>
      <c r="BZ300" s="62"/>
      <c r="CA300" s="62"/>
      <c r="CB300" s="62"/>
      <c r="CC300" s="62"/>
      <c r="CD300" s="62"/>
      <c r="CE300" s="62"/>
      <c r="CF300" s="62"/>
      <c r="CG300" s="62"/>
      <c r="CH300" s="62"/>
      <c r="CI300" s="62"/>
      <c r="CJ300" s="62"/>
      <c r="CK300" s="62"/>
      <c r="CL300" s="62"/>
      <c r="CM300" s="62"/>
      <c r="CN300" s="62"/>
      <c r="CO300" s="62"/>
      <c r="CP300" s="62"/>
      <c r="CQ300" s="62"/>
      <c r="CR300" s="62"/>
      <c r="CS300" s="62"/>
      <c r="CT300" s="62"/>
      <c r="CU300" s="62"/>
      <c r="CV300" s="62"/>
      <c r="CW300" s="62"/>
      <c r="CX300" s="62"/>
      <c r="CY300" s="62"/>
      <c r="CZ300" s="62"/>
      <c r="DA300" s="62"/>
      <c r="DB300" s="62"/>
      <c r="DC300" s="62"/>
      <c r="DD300" s="62"/>
      <c r="DE300" s="62"/>
      <c r="DF300" s="62"/>
      <c r="DG300" s="62"/>
      <c r="DH300" s="62"/>
      <c r="DI300" s="62"/>
      <c r="DJ300" s="62"/>
      <c r="DK300" s="62"/>
      <c r="DL300" s="62"/>
    </row>
    <row r="301" spans="1:116" hidden="1" x14ac:dyDescent="0.2">
      <c r="A301" s="57">
        <v>35735</v>
      </c>
      <c r="B301" s="58"/>
      <c r="C301" s="66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6"/>
      <c r="P301" s="61"/>
      <c r="Q301" s="62"/>
      <c r="R301" s="62"/>
      <c r="S301" s="62"/>
      <c r="T301" s="62"/>
      <c r="U301" s="62"/>
      <c r="V301" s="62"/>
      <c r="W301" s="62"/>
      <c r="X301" s="62"/>
      <c r="Y301" s="61"/>
      <c r="Z301" s="63"/>
      <c r="AA301" s="64" t="e">
        <v>#N/A</v>
      </c>
      <c r="AB301" s="62" t="e">
        <v>#N/A</v>
      </c>
      <c r="AC301" s="62" t="e">
        <v>#N/A</v>
      </c>
      <c r="AD301" s="62" t="e">
        <v>#N/A</v>
      </c>
      <c r="AE301" s="62" t="e">
        <v>#N/A</v>
      </c>
      <c r="AF301" s="62" t="e">
        <v>#N/A</v>
      </c>
      <c r="AG301" s="62" t="e">
        <v>#N/A</v>
      </c>
      <c r="AH301" s="62" t="e">
        <v>#N/A</v>
      </c>
      <c r="AI301" s="62" t="e">
        <v>#N/A</v>
      </c>
      <c r="AJ301" s="62" t="e">
        <v>#N/A</v>
      </c>
      <c r="AK301" s="64" t="e">
        <v>#N/A</v>
      </c>
      <c r="AL301" s="19">
        <v>106974</v>
      </c>
      <c r="AM301" s="19">
        <v>103063</v>
      </c>
      <c r="AN301" s="23">
        <v>5236</v>
      </c>
      <c r="AO301" s="19">
        <v>140610</v>
      </c>
      <c r="AP301" s="19">
        <v>4468</v>
      </c>
      <c r="AQ301" s="62"/>
      <c r="AR301" s="63"/>
      <c r="AS301" s="63"/>
      <c r="AT301" s="65">
        <f t="shared" si="21"/>
        <v>5905.62</v>
      </c>
      <c r="AU301" s="65">
        <f t="shared" si="22"/>
        <v>219.91200000000001</v>
      </c>
      <c r="AV301" s="65">
        <f t="shared" si="23"/>
        <v>187.65600000000001</v>
      </c>
      <c r="AW301" s="65">
        <f t="shared" si="25"/>
        <v>4492.9080000000004</v>
      </c>
      <c r="AX301" s="65">
        <f t="shared" si="25"/>
        <v>4328.6459999999997</v>
      </c>
      <c r="AY301" s="65">
        <f t="shared" si="24"/>
        <v>187.65600000000001</v>
      </c>
      <c r="AZ301" s="19">
        <v>48254</v>
      </c>
      <c r="BA301" s="19">
        <v>48352</v>
      </c>
      <c r="BB301" s="19">
        <v>46336</v>
      </c>
      <c r="BC301" s="19">
        <v>1656</v>
      </c>
      <c r="BD301" s="19">
        <v>1325</v>
      </c>
      <c r="BE301" s="62"/>
      <c r="BF301" s="62"/>
      <c r="BG301" s="62"/>
      <c r="BH301" s="62"/>
      <c r="BI301" s="62"/>
      <c r="BJ301" s="62"/>
      <c r="BK301" s="62"/>
      <c r="BL301" s="62"/>
      <c r="BM301" s="62"/>
      <c r="BN301" s="62"/>
      <c r="BO301" s="62"/>
      <c r="BP301" s="62"/>
      <c r="BQ301" s="62"/>
      <c r="BR301" s="62"/>
      <c r="BS301" s="62"/>
      <c r="BT301" s="62"/>
      <c r="BU301" s="62"/>
      <c r="BV301" s="62"/>
      <c r="BW301" s="62"/>
      <c r="BX301" s="62"/>
      <c r="BY301" s="62"/>
      <c r="BZ301" s="62"/>
      <c r="CA301" s="62"/>
      <c r="CB301" s="62"/>
      <c r="CC301" s="62"/>
      <c r="CD301" s="62"/>
      <c r="CE301" s="62"/>
      <c r="CF301" s="62"/>
      <c r="CG301" s="62"/>
      <c r="CH301" s="62"/>
      <c r="CI301" s="62"/>
      <c r="CJ301" s="62"/>
      <c r="CK301" s="62"/>
      <c r="CL301" s="62"/>
      <c r="CM301" s="62"/>
      <c r="CN301" s="62"/>
      <c r="CO301" s="62"/>
      <c r="CP301" s="62"/>
      <c r="CQ301" s="62"/>
      <c r="CR301" s="62"/>
      <c r="CS301" s="62"/>
      <c r="CT301" s="62"/>
      <c r="CU301" s="62"/>
      <c r="CV301" s="62"/>
      <c r="CW301" s="62"/>
      <c r="CX301" s="62"/>
      <c r="CY301" s="62"/>
      <c r="CZ301" s="62"/>
      <c r="DA301" s="62"/>
      <c r="DB301" s="62"/>
      <c r="DC301" s="62"/>
      <c r="DD301" s="62"/>
      <c r="DE301" s="62"/>
      <c r="DF301" s="62"/>
      <c r="DG301" s="62"/>
      <c r="DH301" s="62"/>
      <c r="DI301" s="62"/>
      <c r="DJ301" s="62"/>
      <c r="DK301" s="62"/>
      <c r="DL301" s="62"/>
    </row>
    <row r="302" spans="1:116" hidden="1" x14ac:dyDescent="0.2">
      <c r="A302" s="57">
        <v>35765</v>
      </c>
      <c r="B302" s="58"/>
      <c r="C302" s="66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6"/>
      <c r="P302" s="61"/>
      <c r="Q302" s="62"/>
      <c r="R302" s="62"/>
      <c r="S302" s="62"/>
      <c r="T302" s="62"/>
      <c r="U302" s="62"/>
      <c r="V302" s="62"/>
      <c r="W302" s="62"/>
      <c r="X302" s="62"/>
      <c r="Y302" s="61"/>
      <c r="Z302" s="63"/>
      <c r="AA302" s="64" t="e">
        <v>#N/A</v>
      </c>
      <c r="AB302" s="62" t="e">
        <v>#N/A</v>
      </c>
      <c r="AC302" s="62" t="e">
        <v>#N/A</v>
      </c>
      <c r="AD302" s="62" t="e">
        <v>#N/A</v>
      </c>
      <c r="AE302" s="62" t="e">
        <v>#N/A</v>
      </c>
      <c r="AF302" s="62" t="e">
        <v>#N/A</v>
      </c>
      <c r="AG302" s="62" t="e">
        <v>#N/A</v>
      </c>
      <c r="AH302" s="62" t="e">
        <v>#N/A</v>
      </c>
      <c r="AI302" s="62" t="e">
        <v>#N/A</v>
      </c>
      <c r="AJ302" s="62" t="e">
        <v>#N/A</v>
      </c>
      <c r="AK302" s="64" t="e">
        <v>#N/A</v>
      </c>
      <c r="AL302" s="19">
        <v>111717</v>
      </c>
      <c r="AM302" s="19">
        <v>115134</v>
      </c>
      <c r="AN302" s="23">
        <v>7191</v>
      </c>
      <c r="AO302" s="19">
        <v>138427</v>
      </c>
      <c r="AP302" s="19">
        <v>5957</v>
      </c>
      <c r="AQ302" s="62"/>
      <c r="AR302" s="63"/>
      <c r="AS302" s="63"/>
      <c r="AT302" s="65">
        <f t="shared" si="21"/>
        <v>5813.9340000000002</v>
      </c>
      <c r="AU302" s="65">
        <f t="shared" si="22"/>
        <v>302.02199999999999</v>
      </c>
      <c r="AV302" s="65">
        <f t="shared" si="23"/>
        <v>250.19399999999999</v>
      </c>
      <c r="AW302" s="65">
        <f t="shared" si="25"/>
        <v>4692.1139999999996</v>
      </c>
      <c r="AX302" s="65">
        <f t="shared" si="25"/>
        <v>4835.6279999999997</v>
      </c>
      <c r="AY302" s="65">
        <f t="shared" si="24"/>
        <v>250.19399999999999</v>
      </c>
      <c r="AZ302" s="19">
        <v>49217</v>
      </c>
      <c r="BA302" s="19">
        <v>51064</v>
      </c>
      <c r="BB302" s="19">
        <v>44009</v>
      </c>
      <c r="BC302" s="19">
        <v>1949</v>
      </c>
      <c r="BD302" s="19">
        <v>2429</v>
      </c>
      <c r="BE302" s="62"/>
      <c r="BF302" s="62"/>
      <c r="BG302" s="62"/>
      <c r="BH302" s="62"/>
      <c r="BI302" s="62"/>
      <c r="BJ302" s="62"/>
      <c r="BK302" s="62"/>
      <c r="BL302" s="62"/>
      <c r="BM302" s="62"/>
      <c r="BN302" s="62"/>
      <c r="BO302" s="62"/>
      <c r="BP302" s="62"/>
      <c r="BQ302" s="62"/>
      <c r="BR302" s="62"/>
      <c r="BS302" s="62"/>
      <c r="BT302" s="62"/>
      <c r="BU302" s="62"/>
      <c r="BV302" s="62"/>
      <c r="BW302" s="62"/>
      <c r="BX302" s="62"/>
      <c r="BY302" s="62"/>
      <c r="BZ302" s="62"/>
      <c r="CA302" s="62"/>
      <c r="CB302" s="62"/>
      <c r="CC302" s="62"/>
      <c r="CD302" s="62"/>
      <c r="CE302" s="62"/>
      <c r="CF302" s="62"/>
      <c r="CG302" s="62"/>
      <c r="CH302" s="62"/>
      <c r="CI302" s="62"/>
      <c r="CJ302" s="62"/>
      <c r="CK302" s="62"/>
      <c r="CL302" s="62"/>
      <c r="CM302" s="62"/>
      <c r="CN302" s="62"/>
      <c r="CO302" s="62"/>
      <c r="CP302" s="62"/>
      <c r="CQ302" s="62"/>
      <c r="CR302" s="62"/>
      <c r="CS302" s="62"/>
      <c r="CT302" s="62"/>
      <c r="CU302" s="62"/>
      <c r="CV302" s="62"/>
      <c r="CW302" s="62"/>
      <c r="CX302" s="62"/>
      <c r="CY302" s="62"/>
      <c r="CZ302" s="62"/>
      <c r="DA302" s="62"/>
      <c r="DB302" s="62"/>
      <c r="DC302" s="62"/>
      <c r="DD302" s="62"/>
      <c r="DE302" s="62"/>
      <c r="DF302" s="62"/>
      <c r="DG302" s="62"/>
      <c r="DH302" s="62"/>
      <c r="DI302" s="62"/>
      <c r="DJ302" s="62"/>
      <c r="DK302" s="62"/>
      <c r="DL302" s="62"/>
    </row>
    <row r="303" spans="1:116" hidden="1" x14ac:dyDescent="0.2">
      <c r="A303" s="57">
        <v>35796</v>
      </c>
      <c r="B303" s="58"/>
      <c r="C303" s="66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6"/>
      <c r="P303" s="61"/>
      <c r="Q303" s="62"/>
      <c r="R303" s="62"/>
      <c r="S303" s="62"/>
      <c r="T303" s="62"/>
      <c r="U303" s="62"/>
      <c r="V303" s="62"/>
      <c r="W303" s="62"/>
      <c r="X303" s="62"/>
      <c r="Y303" s="61"/>
      <c r="Z303" s="63"/>
      <c r="AA303" s="64" t="e">
        <v>#N/A</v>
      </c>
      <c r="AB303" s="62" t="e">
        <v>#N/A</v>
      </c>
      <c r="AC303" s="62" t="e">
        <v>#N/A</v>
      </c>
      <c r="AD303" s="62" t="e">
        <v>#N/A</v>
      </c>
      <c r="AE303" s="62" t="e">
        <v>#N/A</v>
      </c>
      <c r="AF303" s="62" t="e">
        <v>#N/A</v>
      </c>
      <c r="AG303" s="62" t="e">
        <v>#N/A</v>
      </c>
      <c r="AH303" s="62" t="e">
        <v>#N/A</v>
      </c>
      <c r="AI303" s="62" t="e">
        <v>#N/A</v>
      </c>
      <c r="AJ303" s="62" t="e">
        <v>#N/A</v>
      </c>
      <c r="AK303" s="64" t="e">
        <v>#N/A</v>
      </c>
      <c r="AL303" s="19">
        <v>103012</v>
      </c>
      <c r="AM303" s="19">
        <v>110551</v>
      </c>
      <c r="AN303" s="23">
        <v>6032</v>
      </c>
      <c r="AO303" s="19">
        <v>132797</v>
      </c>
      <c r="AP303" s="19">
        <v>4123</v>
      </c>
      <c r="AQ303" s="62"/>
      <c r="AR303" s="63"/>
      <c r="AS303" s="63"/>
      <c r="AT303" s="65">
        <f t="shared" si="21"/>
        <v>5577.4740000000002</v>
      </c>
      <c r="AU303" s="65">
        <f t="shared" si="22"/>
        <v>253.34399999999999</v>
      </c>
      <c r="AV303" s="65">
        <f t="shared" si="23"/>
        <v>173.166</v>
      </c>
      <c r="AW303" s="65">
        <f t="shared" si="25"/>
        <v>4326.5039999999999</v>
      </c>
      <c r="AX303" s="65">
        <f t="shared" si="25"/>
        <v>4643.1419999999998</v>
      </c>
      <c r="AY303" s="65">
        <f t="shared" si="24"/>
        <v>173.166</v>
      </c>
      <c r="AZ303" s="19">
        <v>46869</v>
      </c>
      <c r="BA303" s="19">
        <v>48297</v>
      </c>
      <c r="BB303" s="19">
        <v>44087</v>
      </c>
      <c r="BC303" s="19">
        <v>2643</v>
      </c>
      <c r="BD303" s="19">
        <v>1137</v>
      </c>
      <c r="BE303" s="62"/>
      <c r="BF303" s="62"/>
      <c r="BG303" s="62"/>
      <c r="BH303" s="62"/>
      <c r="BI303" s="62"/>
      <c r="BJ303" s="62"/>
      <c r="BK303" s="62"/>
      <c r="BL303" s="62"/>
      <c r="BM303" s="62"/>
      <c r="BN303" s="62"/>
      <c r="BO303" s="62"/>
      <c r="BP303" s="62"/>
      <c r="BQ303" s="62"/>
      <c r="BR303" s="62"/>
      <c r="BS303" s="62"/>
      <c r="BT303" s="62"/>
      <c r="BU303" s="62"/>
      <c r="BV303" s="62"/>
      <c r="BW303" s="62"/>
      <c r="BX303" s="62"/>
      <c r="BY303" s="62"/>
      <c r="BZ303" s="62"/>
      <c r="CA303" s="62"/>
      <c r="CB303" s="62"/>
      <c r="CC303" s="62"/>
      <c r="CD303" s="62"/>
      <c r="CE303" s="62"/>
      <c r="CF303" s="62"/>
      <c r="CG303" s="62"/>
      <c r="CH303" s="62"/>
      <c r="CI303" s="62"/>
      <c r="CJ303" s="62"/>
      <c r="CK303" s="62"/>
      <c r="CL303" s="62"/>
      <c r="CM303" s="62"/>
      <c r="CN303" s="62"/>
      <c r="CO303" s="62"/>
      <c r="CP303" s="62"/>
      <c r="CQ303" s="62"/>
      <c r="CR303" s="62"/>
      <c r="CS303" s="62"/>
      <c r="CT303" s="62"/>
      <c r="CU303" s="62"/>
      <c r="CV303" s="62"/>
      <c r="CW303" s="62"/>
      <c r="CX303" s="62"/>
      <c r="CY303" s="62"/>
      <c r="CZ303" s="62"/>
      <c r="DA303" s="62"/>
      <c r="DB303" s="62"/>
      <c r="DC303" s="62"/>
      <c r="DD303" s="62"/>
      <c r="DE303" s="62"/>
      <c r="DF303" s="62"/>
      <c r="DG303" s="62"/>
      <c r="DH303" s="62"/>
      <c r="DI303" s="62"/>
      <c r="DJ303" s="62"/>
      <c r="DK303" s="62"/>
      <c r="DL303" s="62"/>
    </row>
    <row r="304" spans="1:116" hidden="1" x14ac:dyDescent="0.2">
      <c r="A304" s="57">
        <v>35827</v>
      </c>
      <c r="B304" s="58"/>
      <c r="C304" s="66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6"/>
      <c r="P304" s="61"/>
      <c r="Q304" s="62"/>
      <c r="R304" s="62"/>
      <c r="S304" s="62"/>
      <c r="T304" s="62"/>
      <c r="U304" s="62"/>
      <c r="V304" s="62"/>
      <c r="W304" s="62"/>
      <c r="X304" s="62"/>
      <c r="Y304" s="61"/>
      <c r="Z304" s="63"/>
      <c r="AA304" s="64" t="e">
        <v>#N/A</v>
      </c>
      <c r="AB304" s="62" t="e">
        <v>#N/A</v>
      </c>
      <c r="AC304" s="62" t="e">
        <v>#N/A</v>
      </c>
      <c r="AD304" s="62" t="e">
        <v>#N/A</v>
      </c>
      <c r="AE304" s="62" t="e">
        <v>#N/A</v>
      </c>
      <c r="AF304" s="62" t="e">
        <v>#N/A</v>
      </c>
      <c r="AG304" s="62" t="e">
        <v>#N/A</v>
      </c>
      <c r="AH304" s="62" t="e">
        <v>#N/A</v>
      </c>
      <c r="AI304" s="62" t="e">
        <v>#N/A</v>
      </c>
      <c r="AJ304" s="62" t="e">
        <v>#N/A</v>
      </c>
      <c r="AK304" s="64" t="e">
        <v>#N/A</v>
      </c>
      <c r="AL304" s="19">
        <v>91838</v>
      </c>
      <c r="AM304" s="19">
        <v>100754</v>
      </c>
      <c r="AN304" s="23">
        <v>5970</v>
      </c>
      <c r="AO304" s="19">
        <v>127643</v>
      </c>
      <c r="AP304" s="19">
        <v>2208</v>
      </c>
      <c r="AQ304" s="62"/>
      <c r="AR304" s="63"/>
      <c r="AS304" s="63"/>
      <c r="AT304" s="65">
        <f t="shared" si="21"/>
        <v>5361.0060000000003</v>
      </c>
      <c r="AU304" s="65">
        <f t="shared" si="22"/>
        <v>250.74</v>
      </c>
      <c r="AV304" s="65">
        <f t="shared" si="23"/>
        <v>92.736000000000004</v>
      </c>
      <c r="AW304" s="65">
        <f t="shared" si="25"/>
        <v>3857.1959999999999</v>
      </c>
      <c r="AX304" s="65">
        <f t="shared" si="25"/>
        <v>4231.6679999999997</v>
      </c>
      <c r="AY304" s="65">
        <f t="shared" si="24"/>
        <v>92.736000000000004</v>
      </c>
      <c r="AZ304" s="19">
        <v>40393</v>
      </c>
      <c r="BA304" s="19">
        <v>44950</v>
      </c>
      <c r="BB304" s="19">
        <v>42373</v>
      </c>
      <c r="BC304" s="19">
        <v>3553</v>
      </c>
      <c r="BD304" s="19">
        <v>710</v>
      </c>
      <c r="BE304" s="62"/>
      <c r="BF304" s="62"/>
      <c r="BG304" s="62"/>
      <c r="BH304" s="62"/>
      <c r="BI304" s="62"/>
      <c r="BJ304" s="62"/>
      <c r="BK304" s="62"/>
      <c r="BL304" s="62"/>
      <c r="BM304" s="62"/>
      <c r="BN304" s="62"/>
      <c r="BO304" s="62"/>
      <c r="BP304" s="62"/>
      <c r="BQ304" s="62"/>
      <c r="BR304" s="62"/>
      <c r="BS304" s="62"/>
      <c r="BT304" s="62"/>
      <c r="BU304" s="62"/>
      <c r="BV304" s="62"/>
      <c r="BW304" s="62"/>
      <c r="BX304" s="62"/>
      <c r="BY304" s="62"/>
      <c r="BZ304" s="62"/>
      <c r="CA304" s="62"/>
      <c r="CB304" s="62"/>
      <c r="CC304" s="62"/>
      <c r="CD304" s="62"/>
      <c r="CE304" s="62"/>
      <c r="CF304" s="62"/>
      <c r="CG304" s="62"/>
      <c r="CH304" s="62"/>
      <c r="CI304" s="62"/>
      <c r="CJ304" s="62"/>
      <c r="CK304" s="62"/>
      <c r="CL304" s="62"/>
      <c r="CM304" s="62"/>
      <c r="CN304" s="62"/>
      <c r="CO304" s="62"/>
      <c r="CP304" s="62"/>
      <c r="CQ304" s="62"/>
      <c r="CR304" s="62"/>
      <c r="CS304" s="62"/>
      <c r="CT304" s="62"/>
      <c r="CU304" s="62"/>
      <c r="CV304" s="62"/>
      <c r="CW304" s="62"/>
      <c r="CX304" s="62"/>
      <c r="CY304" s="62"/>
      <c r="CZ304" s="62"/>
      <c r="DA304" s="62"/>
      <c r="DB304" s="62"/>
      <c r="DC304" s="62"/>
      <c r="DD304" s="62"/>
      <c r="DE304" s="62"/>
      <c r="DF304" s="62"/>
      <c r="DG304" s="62"/>
      <c r="DH304" s="62"/>
      <c r="DI304" s="62"/>
      <c r="DJ304" s="62"/>
      <c r="DK304" s="62"/>
      <c r="DL304" s="62"/>
    </row>
    <row r="305" spans="1:116" hidden="1" x14ac:dyDescent="0.2">
      <c r="A305" s="57">
        <v>35855</v>
      </c>
      <c r="B305" s="58"/>
      <c r="C305" s="66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6"/>
      <c r="P305" s="61"/>
      <c r="Q305" s="62"/>
      <c r="R305" s="62"/>
      <c r="S305" s="62"/>
      <c r="T305" s="62"/>
      <c r="U305" s="62"/>
      <c r="V305" s="62"/>
      <c r="W305" s="62"/>
      <c r="X305" s="62"/>
      <c r="Y305" s="61"/>
      <c r="Z305" s="63"/>
      <c r="AA305" s="64" t="e">
        <v>#N/A</v>
      </c>
      <c r="AB305" s="62" t="e">
        <v>#N/A</v>
      </c>
      <c r="AC305" s="62" t="e">
        <v>#N/A</v>
      </c>
      <c r="AD305" s="62" t="e">
        <v>#N/A</v>
      </c>
      <c r="AE305" s="62" t="e">
        <v>#N/A</v>
      </c>
      <c r="AF305" s="62" t="e">
        <v>#N/A</v>
      </c>
      <c r="AG305" s="62" t="e">
        <v>#N/A</v>
      </c>
      <c r="AH305" s="62" t="e">
        <v>#N/A</v>
      </c>
      <c r="AI305" s="62" t="e">
        <v>#N/A</v>
      </c>
      <c r="AJ305" s="62" t="e">
        <v>#N/A</v>
      </c>
      <c r="AK305" s="64" t="e">
        <v>#N/A</v>
      </c>
      <c r="AL305" s="19">
        <v>105320</v>
      </c>
      <c r="AM305" s="19">
        <v>111771</v>
      </c>
      <c r="AN305" s="23">
        <v>7342</v>
      </c>
      <c r="AO305" s="19">
        <v>124545</v>
      </c>
      <c r="AP305" s="19">
        <v>3989</v>
      </c>
      <c r="AQ305" s="62"/>
      <c r="AR305" s="63"/>
      <c r="AS305" s="63"/>
      <c r="AT305" s="65">
        <f t="shared" si="21"/>
        <v>5230.8900000000003</v>
      </c>
      <c r="AU305" s="65">
        <f t="shared" si="22"/>
        <v>308.36399999999998</v>
      </c>
      <c r="AV305" s="65">
        <f t="shared" si="23"/>
        <v>167.53800000000001</v>
      </c>
      <c r="AW305" s="65">
        <f t="shared" si="25"/>
        <v>4423.4399999999996</v>
      </c>
      <c r="AX305" s="65">
        <f t="shared" si="25"/>
        <v>4694.3819999999996</v>
      </c>
      <c r="AY305" s="65">
        <f t="shared" si="24"/>
        <v>167.53800000000001</v>
      </c>
      <c r="AZ305" s="19">
        <v>46605</v>
      </c>
      <c r="BA305" s="19">
        <v>49464</v>
      </c>
      <c r="BB305" s="19">
        <v>43083</v>
      </c>
      <c r="BC305" s="19">
        <v>4468</v>
      </c>
      <c r="BD305" s="19">
        <v>899</v>
      </c>
      <c r="BE305" s="62"/>
      <c r="BF305" s="62"/>
      <c r="BG305" s="62"/>
      <c r="BH305" s="62"/>
      <c r="BI305" s="62"/>
      <c r="BJ305" s="62"/>
      <c r="BK305" s="62"/>
      <c r="BL305" s="62"/>
      <c r="BM305" s="62"/>
      <c r="BN305" s="62"/>
      <c r="BO305" s="62"/>
      <c r="BP305" s="62"/>
      <c r="BQ305" s="62"/>
      <c r="BR305" s="62"/>
      <c r="BS305" s="62"/>
      <c r="BT305" s="62"/>
      <c r="BU305" s="62"/>
      <c r="BV305" s="62"/>
      <c r="BW305" s="62"/>
      <c r="BX305" s="62"/>
      <c r="BY305" s="62"/>
      <c r="BZ305" s="62"/>
      <c r="CA305" s="62"/>
      <c r="CB305" s="62"/>
      <c r="CC305" s="62"/>
      <c r="CD305" s="62"/>
      <c r="CE305" s="62"/>
      <c r="CF305" s="62"/>
      <c r="CG305" s="62"/>
      <c r="CH305" s="62"/>
      <c r="CI305" s="62"/>
      <c r="CJ305" s="62"/>
      <c r="CK305" s="62"/>
      <c r="CL305" s="62"/>
      <c r="CM305" s="62"/>
      <c r="CN305" s="62"/>
      <c r="CO305" s="62"/>
      <c r="CP305" s="62"/>
      <c r="CQ305" s="62"/>
      <c r="CR305" s="62"/>
      <c r="CS305" s="62"/>
      <c r="CT305" s="62"/>
      <c r="CU305" s="62"/>
      <c r="CV305" s="62"/>
      <c r="CW305" s="62"/>
      <c r="CX305" s="62"/>
      <c r="CY305" s="62"/>
      <c r="CZ305" s="62"/>
      <c r="DA305" s="62"/>
      <c r="DB305" s="62"/>
      <c r="DC305" s="62"/>
      <c r="DD305" s="62"/>
      <c r="DE305" s="62"/>
      <c r="DF305" s="62"/>
      <c r="DG305" s="62"/>
      <c r="DH305" s="62"/>
      <c r="DI305" s="62"/>
      <c r="DJ305" s="62"/>
      <c r="DK305" s="62"/>
      <c r="DL305" s="62"/>
    </row>
    <row r="306" spans="1:116" hidden="1" x14ac:dyDescent="0.2">
      <c r="A306" s="57">
        <v>35886</v>
      </c>
      <c r="B306" s="58"/>
      <c r="C306" s="66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6"/>
      <c r="P306" s="61"/>
      <c r="Q306" s="62"/>
      <c r="R306" s="62"/>
      <c r="S306" s="62"/>
      <c r="T306" s="62"/>
      <c r="U306" s="62"/>
      <c r="V306" s="62"/>
      <c r="W306" s="62"/>
      <c r="X306" s="62"/>
      <c r="Y306" s="61"/>
      <c r="Z306" s="63"/>
      <c r="AA306" s="64" t="e">
        <v>#N/A</v>
      </c>
      <c r="AB306" s="62" t="e">
        <v>#N/A</v>
      </c>
      <c r="AC306" s="62" t="e">
        <v>#N/A</v>
      </c>
      <c r="AD306" s="62" t="e">
        <v>#N/A</v>
      </c>
      <c r="AE306" s="62" t="e">
        <v>#N/A</v>
      </c>
      <c r="AF306" s="62" t="e">
        <v>#N/A</v>
      </c>
      <c r="AG306" s="62" t="e">
        <v>#N/A</v>
      </c>
      <c r="AH306" s="62" t="e">
        <v>#N/A</v>
      </c>
      <c r="AI306" s="62" t="e">
        <v>#N/A</v>
      </c>
      <c r="AJ306" s="62" t="e">
        <v>#N/A</v>
      </c>
      <c r="AK306" s="64" t="e">
        <v>#N/A</v>
      </c>
      <c r="AL306" s="19">
        <v>104031</v>
      </c>
      <c r="AM306" s="19">
        <v>103945</v>
      </c>
      <c r="AN306" s="23">
        <v>6267</v>
      </c>
      <c r="AO306" s="19">
        <v>125313</v>
      </c>
      <c r="AP306" s="19">
        <v>5585</v>
      </c>
      <c r="AQ306" s="62"/>
      <c r="AR306" s="63"/>
      <c r="AS306" s="63"/>
      <c r="AT306" s="65">
        <f t="shared" si="21"/>
        <v>5263.1459999999997</v>
      </c>
      <c r="AU306" s="65">
        <f t="shared" si="22"/>
        <v>263.214</v>
      </c>
      <c r="AV306" s="65">
        <f t="shared" si="23"/>
        <v>234.57</v>
      </c>
      <c r="AW306" s="65">
        <f t="shared" si="25"/>
        <v>4369.3019999999997</v>
      </c>
      <c r="AX306" s="65">
        <f t="shared" si="25"/>
        <v>4365.6899999999996</v>
      </c>
      <c r="AY306" s="65">
        <f t="shared" si="24"/>
        <v>234.57</v>
      </c>
      <c r="AZ306" s="19">
        <v>45696</v>
      </c>
      <c r="BA306" s="19">
        <v>49614</v>
      </c>
      <c r="BB306" s="19">
        <v>41390</v>
      </c>
      <c r="BC306" s="19">
        <v>3182</v>
      </c>
      <c r="BD306" s="19">
        <v>957</v>
      </c>
      <c r="BE306" s="62"/>
      <c r="BF306" s="62"/>
      <c r="BG306" s="62"/>
      <c r="BH306" s="62"/>
      <c r="BI306" s="62"/>
      <c r="BJ306" s="62"/>
      <c r="BK306" s="62"/>
      <c r="BL306" s="62"/>
      <c r="BM306" s="62"/>
      <c r="BN306" s="62"/>
      <c r="BO306" s="62"/>
      <c r="BP306" s="62"/>
      <c r="BQ306" s="62"/>
      <c r="BR306" s="62"/>
      <c r="BS306" s="62"/>
      <c r="BT306" s="62"/>
      <c r="BU306" s="62"/>
      <c r="BV306" s="62"/>
      <c r="BW306" s="62"/>
      <c r="BX306" s="62"/>
      <c r="BY306" s="62"/>
      <c r="BZ306" s="62"/>
      <c r="CA306" s="62"/>
      <c r="CB306" s="62"/>
      <c r="CC306" s="62"/>
      <c r="CD306" s="62"/>
      <c r="CE306" s="62"/>
      <c r="CF306" s="62"/>
      <c r="CG306" s="62"/>
      <c r="CH306" s="62"/>
      <c r="CI306" s="62"/>
      <c r="CJ306" s="62"/>
      <c r="CK306" s="62"/>
      <c r="CL306" s="62"/>
      <c r="CM306" s="62"/>
      <c r="CN306" s="62"/>
      <c r="CO306" s="62"/>
      <c r="CP306" s="62"/>
      <c r="CQ306" s="62"/>
      <c r="CR306" s="62"/>
      <c r="CS306" s="62"/>
      <c r="CT306" s="62"/>
      <c r="CU306" s="62"/>
      <c r="CV306" s="62"/>
      <c r="CW306" s="62"/>
      <c r="CX306" s="62"/>
      <c r="CY306" s="62"/>
      <c r="CZ306" s="62"/>
      <c r="DA306" s="62"/>
      <c r="DB306" s="62"/>
      <c r="DC306" s="62"/>
      <c r="DD306" s="62"/>
      <c r="DE306" s="62"/>
      <c r="DF306" s="62"/>
      <c r="DG306" s="62"/>
      <c r="DH306" s="62"/>
      <c r="DI306" s="62"/>
      <c r="DJ306" s="62"/>
      <c r="DK306" s="62"/>
      <c r="DL306" s="62"/>
    </row>
    <row r="307" spans="1:116" hidden="1" x14ac:dyDescent="0.2">
      <c r="A307" s="57">
        <v>35916</v>
      </c>
      <c r="B307" s="58"/>
      <c r="C307" s="66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6"/>
      <c r="P307" s="61"/>
      <c r="Q307" s="62"/>
      <c r="R307" s="62"/>
      <c r="S307" s="62"/>
      <c r="T307" s="62"/>
      <c r="U307" s="62"/>
      <c r="V307" s="62"/>
      <c r="W307" s="62"/>
      <c r="X307" s="62"/>
      <c r="Y307" s="61"/>
      <c r="Z307" s="63"/>
      <c r="AA307" s="64" t="e">
        <v>#N/A</v>
      </c>
      <c r="AB307" s="62" t="e">
        <v>#N/A</v>
      </c>
      <c r="AC307" s="62" t="e">
        <v>#N/A</v>
      </c>
      <c r="AD307" s="62" t="e">
        <v>#N/A</v>
      </c>
      <c r="AE307" s="62" t="e">
        <v>#N/A</v>
      </c>
      <c r="AF307" s="62" t="e">
        <v>#N/A</v>
      </c>
      <c r="AG307" s="62" t="e">
        <v>#N/A</v>
      </c>
      <c r="AH307" s="62" t="e">
        <v>#N/A</v>
      </c>
      <c r="AI307" s="62" t="e">
        <v>#N/A</v>
      </c>
      <c r="AJ307" s="62" t="e">
        <v>#N/A</v>
      </c>
      <c r="AK307" s="64" t="e">
        <v>#N/A</v>
      </c>
      <c r="AL307" s="19">
        <v>110352</v>
      </c>
      <c r="AM307" s="19">
        <v>101323</v>
      </c>
      <c r="AN307" s="23">
        <v>5731</v>
      </c>
      <c r="AO307" s="19">
        <v>136325</v>
      </c>
      <c r="AP307" s="19">
        <v>3748</v>
      </c>
      <c r="AQ307" s="62"/>
      <c r="AR307" s="63"/>
      <c r="AS307" s="63"/>
      <c r="AT307" s="65">
        <f t="shared" si="21"/>
        <v>5725.65</v>
      </c>
      <c r="AU307" s="65">
        <f t="shared" si="22"/>
        <v>240.702</v>
      </c>
      <c r="AV307" s="65">
        <f t="shared" si="23"/>
        <v>157.416</v>
      </c>
      <c r="AW307" s="65">
        <f t="shared" si="25"/>
        <v>4634.7839999999997</v>
      </c>
      <c r="AX307" s="65">
        <f t="shared" si="25"/>
        <v>4255.5659999999998</v>
      </c>
      <c r="AY307" s="65">
        <f t="shared" si="24"/>
        <v>157.416</v>
      </c>
      <c r="AZ307" s="19">
        <v>46296</v>
      </c>
      <c r="BA307" s="19">
        <v>48612</v>
      </c>
      <c r="BB307" s="19">
        <v>43060</v>
      </c>
      <c r="BC307" s="19">
        <v>4688</v>
      </c>
      <c r="BD307" s="19">
        <v>702</v>
      </c>
      <c r="BE307" s="62"/>
      <c r="BF307" s="62"/>
      <c r="BG307" s="62"/>
      <c r="BH307" s="62"/>
      <c r="BI307" s="62"/>
      <c r="BJ307" s="62"/>
      <c r="BK307" s="62"/>
      <c r="BL307" s="62"/>
      <c r="BM307" s="62"/>
      <c r="BN307" s="62"/>
      <c r="BO307" s="62"/>
      <c r="BP307" s="62"/>
      <c r="BQ307" s="62"/>
      <c r="BR307" s="62"/>
      <c r="BS307" s="62"/>
      <c r="BT307" s="62"/>
      <c r="BU307" s="62"/>
      <c r="BV307" s="62"/>
      <c r="BW307" s="62"/>
      <c r="BX307" s="62"/>
      <c r="BY307" s="62"/>
      <c r="BZ307" s="62"/>
      <c r="CA307" s="62"/>
      <c r="CB307" s="62"/>
      <c r="CC307" s="62"/>
      <c r="CD307" s="62"/>
      <c r="CE307" s="62"/>
      <c r="CF307" s="62"/>
      <c r="CG307" s="62"/>
      <c r="CH307" s="62"/>
      <c r="CI307" s="62"/>
      <c r="CJ307" s="62"/>
      <c r="CK307" s="62"/>
      <c r="CL307" s="62"/>
      <c r="CM307" s="62"/>
      <c r="CN307" s="62"/>
      <c r="CO307" s="62"/>
      <c r="CP307" s="62"/>
      <c r="CQ307" s="62"/>
      <c r="CR307" s="62"/>
      <c r="CS307" s="62"/>
      <c r="CT307" s="62"/>
      <c r="CU307" s="62"/>
      <c r="CV307" s="62"/>
      <c r="CW307" s="62"/>
      <c r="CX307" s="62"/>
      <c r="CY307" s="62"/>
      <c r="CZ307" s="62"/>
      <c r="DA307" s="62"/>
      <c r="DB307" s="62"/>
      <c r="DC307" s="62"/>
      <c r="DD307" s="62"/>
      <c r="DE307" s="62"/>
      <c r="DF307" s="62"/>
      <c r="DG307" s="62"/>
      <c r="DH307" s="62"/>
      <c r="DI307" s="62"/>
      <c r="DJ307" s="62"/>
      <c r="DK307" s="62"/>
      <c r="DL307" s="62"/>
    </row>
    <row r="308" spans="1:116" hidden="1" x14ac:dyDescent="0.2">
      <c r="A308" s="57">
        <v>35947</v>
      </c>
      <c r="B308" s="58"/>
      <c r="C308" s="66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6"/>
      <c r="P308" s="61"/>
      <c r="Q308" s="62"/>
      <c r="R308" s="62"/>
      <c r="S308" s="62"/>
      <c r="T308" s="62"/>
      <c r="U308" s="62"/>
      <c r="V308" s="62"/>
      <c r="W308" s="62"/>
      <c r="X308" s="62"/>
      <c r="Y308" s="61"/>
      <c r="Z308" s="63"/>
      <c r="AA308" s="64" t="e">
        <v>#N/A</v>
      </c>
      <c r="AB308" s="62" t="e">
        <v>#N/A</v>
      </c>
      <c r="AC308" s="62" t="e">
        <v>#N/A</v>
      </c>
      <c r="AD308" s="62" t="e">
        <v>#N/A</v>
      </c>
      <c r="AE308" s="62" t="e">
        <v>#N/A</v>
      </c>
      <c r="AF308" s="62" t="e">
        <v>#N/A</v>
      </c>
      <c r="AG308" s="62" t="e">
        <v>#N/A</v>
      </c>
      <c r="AH308" s="62" t="e">
        <v>#N/A</v>
      </c>
      <c r="AI308" s="62" t="e">
        <v>#N/A</v>
      </c>
      <c r="AJ308" s="62" t="e">
        <v>#N/A</v>
      </c>
      <c r="AK308" s="64" t="e">
        <v>#N/A</v>
      </c>
      <c r="AL308" s="19">
        <v>105614</v>
      </c>
      <c r="AM308" s="19">
        <v>107226</v>
      </c>
      <c r="AN308" s="23">
        <v>6072</v>
      </c>
      <c r="AO308" s="19">
        <v>136330</v>
      </c>
      <c r="AP308" s="19">
        <v>4455</v>
      </c>
      <c r="AQ308" s="62"/>
      <c r="AR308" s="63"/>
      <c r="AS308" s="63"/>
      <c r="AT308" s="65">
        <f t="shared" si="21"/>
        <v>5725.86</v>
      </c>
      <c r="AU308" s="65">
        <f t="shared" si="22"/>
        <v>255.024</v>
      </c>
      <c r="AV308" s="65">
        <f t="shared" si="23"/>
        <v>187.11</v>
      </c>
      <c r="AW308" s="65">
        <f t="shared" si="25"/>
        <v>4435.7879999999996</v>
      </c>
      <c r="AX308" s="65">
        <f t="shared" si="25"/>
        <v>4503.4920000000002</v>
      </c>
      <c r="AY308" s="65">
        <f t="shared" si="24"/>
        <v>187.11</v>
      </c>
      <c r="AZ308" s="19">
        <v>46632</v>
      </c>
      <c r="BA308" s="19">
        <v>48318</v>
      </c>
      <c r="BB308" s="19">
        <v>44103</v>
      </c>
      <c r="BC308" s="19">
        <v>3466</v>
      </c>
      <c r="BD308" s="19">
        <v>737</v>
      </c>
      <c r="BE308" s="62"/>
      <c r="BF308" s="62"/>
      <c r="BG308" s="62"/>
      <c r="BH308" s="62"/>
      <c r="BI308" s="62"/>
      <c r="BJ308" s="62"/>
      <c r="BK308" s="62"/>
      <c r="BL308" s="62"/>
      <c r="BM308" s="62"/>
      <c r="BN308" s="62"/>
      <c r="BO308" s="62"/>
      <c r="BP308" s="62"/>
      <c r="BQ308" s="62"/>
      <c r="BR308" s="62"/>
      <c r="BS308" s="62"/>
      <c r="BT308" s="62"/>
      <c r="BU308" s="62"/>
      <c r="BV308" s="62"/>
      <c r="BW308" s="62"/>
      <c r="BX308" s="62"/>
      <c r="BY308" s="62"/>
      <c r="BZ308" s="62"/>
      <c r="CA308" s="62"/>
      <c r="CB308" s="62"/>
      <c r="CC308" s="62"/>
      <c r="CD308" s="62"/>
      <c r="CE308" s="62"/>
      <c r="CF308" s="62"/>
      <c r="CG308" s="62"/>
      <c r="CH308" s="62"/>
      <c r="CI308" s="62"/>
      <c r="CJ308" s="62"/>
      <c r="CK308" s="62"/>
      <c r="CL308" s="62"/>
      <c r="CM308" s="62"/>
      <c r="CN308" s="62"/>
      <c r="CO308" s="62"/>
      <c r="CP308" s="62"/>
      <c r="CQ308" s="62"/>
      <c r="CR308" s="62"/>
      <c r="CS308" s="62"/>
      <c r="CT308" s="62"/>
      <c r="CU308" s="62"/>
      <c r="CV308" s="62"/>
      <c r="CW308" s="62"/>
      <c r="CX308" s="62"/>
      <c r="CY308" s="62"/>
      <c r="CZ308" s="62"/>
      <c r="DA308" s="62"/>
      <c r="DB308" s="62"/>
      <c r="DC308" s="62"/>
      <c r="DD308" s="62"/>
      <c r="DE308" s="62"/>
      <c r="DF308" s="62"/>
      <c r="DG308" s="62"/>
      <c r="DH308" s="62"/>
      <c r="DI308" s="62"/>
      <c r="DJ308" s="62"/>
      <c r="DK308" s="62"/>
      <c r="DL308" s="62"/>
    </row>
    <row r="309" spans="1:116" hidden="1" x14ac:dyDescent="0.2">
      <c r="A309" s="57">
        <v>35977</v>
      </c>
      <c r="B309" s="58"/>
      <c r="C309" s="66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6"/>
      <c r="P309" s="61"/>
      <c r="Q309" s="62"/>
      <c r="R309" s="62"/>
      <c r="S309" s="62"/>
      <c r="T309" s="62"/>
      <c r="U309" s="62"/>
      <c r="V309" s="62"/>
      <c r="W309" s="62"/>
      <c r="X309" s="62"/>
      <c r="Y309" s="61"/>
      <c r="Z309" s="63"/>
      <c r="AA309" s="64" t="e">
        <v>#N/A</v>
      </c>
      <c r="AB309" s="62" t="e">
        <v>#N/A</v>
      </c>
      <c r="AC309" s="62" t="e">
        <v>#N/A</v>
      </c>
      <c r="AD309" s="62" t="e">
        <v>#N/A</v>
      </c>
      <c r="AE309" s="62" t="e">
        <v>#N/A</v>
      </c>
      <c r="AF309" s="62" t="e">
        <v>#N/A</v>
      </c>
      <c r="AG309" s="62" t="e">
        <v>#N/A</v>
      </c>
      <c r="AH309" s="62" t="e">
        <v>#N/A</v>
      </c>
      <c r="AI309" s="62" t="e">
        <v>#N/A</v>
      </c>
      <c r="AJ309" s="62" t="e">
        <v>#N/A</v>
      </c>
      <c r="AK309" s="64" t="e">
        <v>#N/A</v>
      </c>
      <c r="AL309" s="19">
        <v>110625</v>
      </c>
      <c r="AM309" s="19">
        <v>102123</v>
      </c>
      <c r="AN309" s="23">
        <v>7104</v>
      </c>
      <c r="AO309" s="19">
        <v>146952</v>
      </c>
      <c r="AP309" s="19">
        <v>4984</v>
      </c>
      <c r="AQ309" s="62"/>
      <c r="AR309" s="63"/>
      <c r="AS309" s="63"/>
      <c r="AT309" s="65">
        <f t="shared" si="21"/>
        <v>6171.9840000000004</v>
      </c>
      <c r="AU309" s="65">
        <f t="shared" si="22"/>
        <v>298.36799999999999</v>
      </c>
      <c r="AV309" s="65">
        <f t="shared" si="23"/>
        <v>209.328</v>
      </c>
      <c r="AW309" s="65">
        <f t="shared" si="25"/>
        <v>4646.25</v>
      </c>
      <c r="AX309" s="65">
        <f t="shared" si="25"/>
        <v>4289.1660000000002</v>
      </c>
      <c r="AY309" s="65">
        <f t="shared" si="24"/>
        <v>209.328</v>
      </c>
      <c r="AZ309" s="19">
        <v>46596</v>
      </c>
      <c r="BA309" s="19">
        <v>51442</v>
      </c>
      <c r="BB309" s="19">
        <v>42082</v>
      </c>
      <c r="BC309" s="19">
        <v>3621</v>
      </c>
      <c r="BD309" s="19">
        <v>796</v>
      </c>
      <c r="BE309" s="62"/>
      <c r="BF309" s="62"/>
      <c r="BG309" s="62"/>
      <c r="BH309" s="62"/>
      <c r="BI309" s="62"/>
      <c r="BJ309" s="62"/>
      <c r="BK309" s="62"/>
      <c r="BL309" s="62"/>
      <c r="BM309" s="62"/>
      <c r="BN309" s="62"/>
      <c r="BO309" s="62"/>
      <c r="BP309" s="62"/>
      <c r="BQ309" s="62"/>
      <c r="BR309" s="62"/>
      <c r="BS309" s="62"/>
      <c r="BT309" s="62"/>
      <c r="BU309" s="62"/>
      <c r="BV309" s="62"/>
      <c r="BW309" s="62"/>
      <c r="BX309" s="62"/>
      <c r="BY309" s="62"/>
      <c r="BZ309" s="62"/>
      <c r="CA309" s="62"/>
      <c r="CB309" s="62"/>
      <c r="CC309" s="62"/>
      <c r="CD309" s="62"/>
      <c r="CE309" s="62"/>
      <c r="CF309" s="62"/>
      <c r="CG309" s="62"/>
      <c r="CH309" s="62"/>
      <c r="CI309" s="62"/>
      <c r="CJ309" s="62"/>
      <c r="CK309" s="62"/>
      <c r="CL309" s="62"/>
      <c r="CM309" s="62"/>
      <c r="CN309" s="62"/>
      <c r="CO309" s="62"/>
      <c r="CP309" s="62"/>
      <c r="CQ309" s="62"/>
      <c r="CR309" s="62"/>
      <c r="CS309" s="62"/>
      <c r="CT309" s="62"/>
      <c r="CU309" s="62"/>
      <c r="CV309" s="62"/>
      <c r="CW309" s="62"/>
      <c r="CX309" s="62"/>
      <c r="CY309" s="62"/>
      <c r="CZ309" s="62"/>
      <c r="DA309" s="62"/>
      <c r="DB309" s="62"/>
      <c r="DC309" s="62"/>
      <c r="DD309" s="62"/>
      <c r="DE309" s="62"/>
      <c r="DF309" s="62"/>
      <c r="DG309" s="62"/>
      <c r="DH309" s="62"/>
      <c r="DI309" s="62"/>
      <c r="DJ309" s="62"/>
      <c r="DK309" s="62"/>
      <c r="DL309" s="62"/>
    </row>
    <row r="310" spans="1:116" hidden="1" x14ac:dyDescent="0.2">
      <c r="A310" s="57">
        <v>36008</v>
      </c>
      <c r="B310" s="58"/>
      <c r="C310" s="66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6"/>
      <c r="P310" s="61"/>
      <c r="Q310" s="62"/>
      <c r="R310" s="62"/>
      <c r="S310" s="62"/>
      <c r="T310" s="62"/>
      <c r="U310" s="62"/>
      <c r="V310" s="62"/>
      <c r="W310" s="62"/>
      <c r="X310" s="62"/>
      <c r="Y310" s="61"/>
      <c r="Z310" s="63"/>
      <c r="AA310" s="64" t="e">
        <v>#N/A</v>
      </c>
      <c r="AB310" s="62" t="e">
        <v>#N/A</v>
      </c>
      <c r="AC310" s="62" t="e">
        <v>#N/A</v>
      </c>
      <c r="AD310" s="62" t="e">
        <v>#N/A</v>
      </c>
      <c r="AE310" s="62" t="e">
        <v>#N/A</v>
      </c>
      <c r="AF310" s="62" t="e">
        <v>#N/A</v>
      </c>
      <c r="AG310" s="62" t="e">
        <v>#N/A</v>
      </c>
      <c r="AH310" s="62" t="e">
        <v>#N/A</v>
      </c>
      <c r="AI310" s="62" t="e">
        <v>#N/A</v>
      </c>
      <c r="AJ310" s="62" t="e">
        <v>#N/A</v>
      </c>
      <c r="AK310" s="64" t="e">
        <v>#N/A</v>
      </c>
      <c r="AL310" s="19">
        <v>107943</v>
      </c>
      <c r="AM310" s="19">
        <v>106838</v>
      </c>
      <c r="AN310" s="23">
        <v>5624</v>
      </c>
      <c r="AO310" s="19">
        <v>149042</v>
      </c>
      <c r="AP310" s="19">
        <v>4639</v>
      </c>
      <c r="AQ310" s="62"/>
      <c r="AR310" s="63"/>
      <c r="AS310" s="63"/>
      <c r="AT310" s="65">
        <f t="shared" si="21"/>
        <v>6259.7640000000001</v>
      </c>
      <c r="AU310" s="65">
        <f t="shared" si="22"/>
        <v>236.208</v>
      </c>
      <c r="AV310" s="65">
        <f t="shared" si="23"/>
        <v>194.83799999999999</v>
      </c>
      <c r="AW310" s="65">
        <f t="shared" si="25"/>
        <v>4533.6059999999998</v>
      </c>
      <c r="AX310" s="65">
        <f t="shared" si="25"/>
        <v>4487.1959999999999</v>
      </c>
      <c r="AY310" s="65">
        <f t="shared" si="24"/>
        <v>194.83799999999999</v>
      </c>
      <c r="AZ310" s="19">
        <v>49833</v>
      </c>
      <c r="BA310" s="19">
        <v>49763</v>
      </c>
      <c r="BB310" s="19">
        <v>46443</v>
      </c>
      <c r="BC310" s="19">
        <v>4516</v>
      </c>
      <c r="BD310" s="19">
        <v>225</v>
      </c>
      <c r="BE310" s="62"/>
      <c r="BF310" s="62"/>
      <c r="BG310" s="62"/>
      <c r="BH310" s="62"/>
      <c r="BI310" s="62"/>
      <c r="BJ310" s="62"/>
      <c r="BK310" s="62"/>
      <c r="BL310" s="62"/>
      <c r="BM310" s="62"/>
      <c r="BN310" s="62"/>
      <c r="BO310" s="62"/>
      <c r="BP310" s="62"/>
      <c r="BQ310" s="62"/>
      <c r="BR310" s="62"/>
      <c r="BS310" s="62"/>
      <c r="BT310" s="62"/>
      <c r="BU310" s="62"/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/>
      <c r="CP310" s="62"/>
      <c r="CQ310" s="62"/>
      <c r="CR310" s="62"/>
      <c r="CS310" s="62"/>
      <c r="CT310" s="62"/>
      <c r="CU310" s="62"/>
      <c r="CV310" s="62"/>
      <c r="CW310" s="62"/>
      <c r="CX310" s="62"/>
      <c r="CY310" s="62"/>
      <c r="CZ310" s="62"/>
      <c r="DA310" s="62"/>
      <c r="DB310" s="62"/>
      <c r="DC310" s="62"/>
      <c r="DD310" s="62"/>
      <c r="DE310" s="62"/>
      <c r="DF310" s="62"/>
      <c r="DG310" s="62"/>
      <c r="DH310" s="62"/>
      <c r="DI310" s="62"/>
      <c r="DJ310" s="62"/>
      <c r="DK310" s="62"/>
      <c r="DL310" s="62"/>
    </row>
    <row r="311" spans="1:116" hidden="1" x14ac:dyDescent="0.2">
      <c r="A311" s="57">
        <v>36039</v>
      </c>
      <c r="B311" s="58"/>
      <c r="C311" s="66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6"/>
      <c r="P311" s="61"/>
      <c r="Q311" s="62"/>
      <c r="R311" s="62"/>
      <c r="S311" s="62"/>
      <c r="T311" s="62"/>
      <c r="U311" s="62"/>
      <c r="V311" s="62"/>
      <c r="W311" s="62"/>
      <c r="X311" s="62"/>
      <c r="Y311" s="61"/>
      <c r="Z311" s="63"/>
      <c r="AA311" s="64" t="e">
        <v>#N/A</v>
      </c>
      <c r="AB311" s="62" t="e">
        <v>#N/A</v>
      </c>
      <c r="AC311" s="62" t="e">
        <v>#N/A</v>
      </c>
      <c r="AD311" s="62" t="e">
        <v>#N/A</v>
      </c>
      <c r="AE311" s="62" t="e">
        <v>#N/A</v>
      </c>
      <c r="AF311" s="62" t="e">
        <v>#N/A</v>
      </c>
      <c r="AG311" s="62" t="e">
        <v>#N/A</v>
      </c>
      <c r="AH311" s="62" t="e">
        <v>#N/A</v>
      </c>
      <c r="AI311" s="62" t="e">
        <v>#N/A</v>
      </c>
      <c r="AJ311" s="62" t="e">
        <v>#N/A</v>
      </c>
      <c r="AK311" s="64" t="e">
        <v>#N/A</v>
      </c>
      <c r="AL311" s="19">
        <v>101964</v>
      </c>
      <c r="AM311" s="19">
        <v>101296</v>
      </c>
      <c r="AN311" s="23">
        <v>6103</v>
      </c>
      <c r="AO311" s="19">
        <v>152592</v>
      </c>
      <c r="AP311" s="19">
        <v>3221</v>
      </c>
      <c r="AQ311" s="62"/>
      <c r="AR311" s="63"/>
      <c r="AS311" s="63"/>
      <c r="AT311" s="65">
        <f t="shared" si="21"/>
        <v>6408.8639999999996</v>
      </c>
      <c r="AU311" s="65">
        <f t="shared" si="22"/>
        <v>256.32600000000002</v>
      </c>
      <c r="AV311" s="65">
        <f t="shared" si="23"/>
        <v>135.28200000000001</v>
      </c>
      <c r="AW311" s="65">
        <f t="shared" si="25"/>
        <v>4282.4880000000003</v>
      </c>
      <c r="AX311" s="65">
        <f t="shared" si="25"/>
        <v>4254.4319999999998</v>
      </c>
      <c r="AY311" s="65">
        <f t="shared" si="24"/>
        <v>135.28200000000001</v>
      </c>
      <c r="AZ311" s="19">
        <v>44451</v>
      </c>
      <c r="BA311" s="19">
        <v>46936</v>
      </c>
      <c r="BB311" s="19">
        <v>45932</v>
      </c>
      <c r="BC311" s="19">
        <v>2725</v>
      </c>
      <c r="BD311" s="19">
        <v>751</v>
      </c>
      <c r="BE311" s="62"/>
      <c r="BF311" s="62"/>
      <c r="BG311" s="62"/>
      <c r="BH311" s="62"/>
      <c r="BI311" s="62"/>
      <c r="BJ311" s="62"/>
      <c r="BK311" s="62"/>
      <c r="BL311" s="62"/>
      <c r="BM311" s="62"/>
      <c r="BN311" s="62"/>
      <c r="BO311" s="62"/>
      <c r="BP311" s="62"/>
      <c r="BQ311" s="62"/>
      <c r="BR311" s="62"/>
      <c r="BS311" s="62"/>
      <c r="BT311" s="62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62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  <c r="DK311" s="62"/>
      <c r="DL311" s="62"/>
    </row>
    <row r="312" spans="1:116" hidden="1" x14ac:dyDescent="0.2">
      <c r="A312" s="57">
        <v>36069</v>
      </c>
      <c r="B312" s="58"/>
      <c r="C312" s="66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6"/>
      <c r="P312" s="61"/>
      <c r="Q312" s="62"/>
      <c r="R312" s="62"/>
      <c r="S312" s="62"/>
      <c r="T312" s="62"/>
      <c r="U312" s="62"/>
      <c r="V312" s="62"/>
      <c r="W312" s="62"/>
      <c r="X312" s="62"/>
      <c r="Y312" s="61"/>
      <c r="Z312" s="63"/>
      <c r="AA312" s="64" t="e">
        <v>#N/A</v>
      </c>
      <c r="AB312" s="62" t="e">
        <v>#N/A</v>
      </c>
      <c r="AC312" s="62" t="e">
        <v>#N/A</v>
      </c>
      <c r="AD312" s="62" t="e">
        <v>#N/A</v>
      </c>
      <c r="AE312" s="62" t="e">
        <v>#N/A</v>
      </c>
      <c r="AF312" s="62" t="e">
        <v>#N/A</v>
      </c>
      <c r="AG312" s="62" t="e">
        <v>#N/A</v>
      </c>
      <c r="AH312" s="62" t="e">
        <v>#N/A</v>
      </c>
      <c r="AI312" s="62" t="e">
        <v>#N/A</v>
      </c>
      <c r="AJ312" s="62" t="e">
        <v>#N/A</v>
      </c>
      <c r="AK312" s="64" t="e">
        <v>#N/A</v>
      </c>
      <c r="AL312" s="19">
        <v>99667</v>
      </c>
      <c r="AM312" s="19">
        <v>109969</v>
      </c>
      <c r="AN312" s="23">
        <v>7397</v>
      </c>
      <c r="AO312" s="19">
        <v>147356</v>
      </c>
      <c r="AP312" s="19">
        <v>2331</v>
      </c>
      <c r="AQ312" s="62"/>
      <c r="AR312" s="63"/>
      <c r="AS312" s="63"/>
      <c r="AT312" s="65">
        <f t="shared" si="21"/>
        <v>6188.9520000000002</v>
      </c>
      <c r="AU312" s="65">
        <f t="shared" si="22"/>
        <v>310.67399999999998</v>
      </c>
      <c r="AV312" s="65">
        <f t="shared" si="23"/>
        <v>97.902000000000001</v>
      </c>
      <c r="AW312" s="65">
        <f t="shared" si="25"/>
        <v>4186.0140000000001</v>
      </c>
      <c r="AX312" s="65">
        <f t="shared" si="25"/>
        <v>4618.6980000000003</v>
      </c>
      <c r="AY312" s="65">
        <f t="shared" si="24"/>
        <v>97.902000000000001</v>
      </c>
      <c r="AZ312" s="19">
        <v>44866</v>
      </c>
      <c r="BA312" s="19">
        <v>51701</v>
      </c>
      <c r="BB312" s="19">
        <v>42769</v>
      </c>
      <c r="BC312" s="19">
        <v>4335</v>
      </c>
      <c r="BD312" s="19">
        <v>663</v>
      </c>
      <c r="BE312" s="62"/>
      <c r="BF312" s="62"/>
      <c r="BG312" s="62"/>
      <c r="BH312" s="62"/>
      <c r="BI312" s="62"/>
      <c r="BJ312" s="62"/>
      <c r="BK312" s="62"/>
      <c r="BL312" s="62"/>
      <c r="BM312" s="62"/>
      <c r="BN312" s="62"/>
      <c r="BO312" s="62"/>
      <c r="BP312" s="62"/>
      <c r="BQ312" s="62"/>
      <c r="BR312" s="62"/>
      <c r="BS312" s="62"/>
      <c r="BT312" s="62"/>
      <c r="BU312" s="62"/>
      <c r="BV312" s="62"/>
      <c r="BW312" s="62"/>
      <c r="BX312" s="62"/>
      <c r="BY312" s="62"/>
      <c r="BZ312" s="62"/>
      <c r="CA312" s="62"/>
      <c r="CB312" s="62"/>
      <c r="CC312" s="62"/>
      <c r="CD312" s="62"/>
      <c r="CE312" s="62"/>
      <c r="CF312" s="62"/>
      <c r="CG312" s="62"/>
      <c r="CH312" s="62"/>
      <c r="CI312" s="62"/>
      <c r="CJ312" s="62"/>
      <c r="CK312" s="62"/>
      <c r="CL312" s="62"/>
      <c r="CM312" s="62"/>
      <c r="CN312" s="62"/>
      <c r="CO312" s="62"/>
      <c r="CP312" s="62"/>
      <c r="CQ312" s="62"/>
      <c r="CR312" s="62"/>
      <c r="CS312" s="62"/>
      <c r="CT312" s="62"/>
      <c r="CU312" s="62"/>
      <c r="CV312" s="62"/>
      <c r="CW312" s="62"/>
      <c r="CX312" s="62"/>
      <c r="CY312" s="62"/>
      <c r="CZ312" s="62"/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  <c r="DK312" s="62"/>
      <c r="DL312" s="62"/>
    </row>
    <row r="313" spans="1:116" hidden="1" x14ac:dyDescent="0.2">
      <c r="A313" s="57">
        <v>36100</v>
      </c>
      <c r="B313" s="58"/>
      <c r="C313" s="66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6"/>
      <c r="P313" s="61"/>
      <c r="Q313" s="62"/>
      <c r="R313" s="62"/>
      <c r="S313" s="62"/>
      <c r="T313" s="62"/>
      <c r="U313" s="62"/>
      <c r="V313" s="62"/>
      <c r="W313" s="62"/>
      <c r="X313" s="62"/>
      <c r="Y313" s="61"/>
      <c r="Z313" s="63"/>
      <c r="AA313" s="64" t="e">
        <v>#N/A</v>
      </c>
      <c r="AB313" s="62" t="e">
        <v>#N/A</v>
      </c>
      <c r="AC313" s="62" t="e">
        <v>#N/A</v>
      </c>
      <c r="AD313" s="62" t="e">
        <v>#N/A</v>
      </c>
      <c r="AE313" s="62" t="e">
        <v>#N/A</v>
      </c>
      <c r="AF313" s="62" t="e">
        <v>#N/A</v>
      </c>
      <c r="AG313" s="62" t="e">
        <v>#N/A</v>
      </c>
      <c r="AH313" s="62" t="e">
        <v>#N/A</v>
      </c>
      <c r="AI313" s="62" t="e">
        <v>#N/A</v>
      </c>
      <c r="AJ313" s="62" t="e">
        <v>#N/A</v>
      </c>
      <c r="AK313" s="64" t="e">
        <v>#N/A</v>
      </c>
      <c r="AL313" s="19">
        <v>103148</v>
      </c>
      <c r="AM313" s="19">
        <v>99615</v>
      </c>
      <c r="AN313" s="23">
        <v>5370</v>
      </c>
      <c r="AO313" s="19">
        <v>154625</v>
      </c>
      <c r="AP313" s="19">
        <v>1634</v>
      </c>
      <c r="AQ313" s="62"/>
      <c r="AR313" s="63"/>
      <c r="AS313" s="63"/>
      <c r="AT313" s="65">
        <f t="shared" si="21"/>
        <v>6494.25</v>
      </c>
      <c r="AU313" s="65">
        <f t="shared" si="22"/>
        <v>225.54</v>
      </c>
      <c r="AV313" s="65">
        <f t="shared" si="23"/>
        <v>68.628</v>
      </c>
      <c r="AW313" s="65">
        <f t="shared" si="25"/>
        <v>4332.2160000000003</v>
      </c>
      <c r="AX313" s="65">
        <f t="shared" si="25"/>
        <v>4183.83</v>
      </c>
      <c r="AY313" s="65">
        <f t="shared" si="24"/>
        <v>68.628</v>
      </c>
      <c r="AZ313" s="19">
        <v>48496</v>
      </c>
      <c r="BA313" s="19">
        <v>49017</v>
      </c>
      <c r="BB313" s="19">
        <v>45456</v>
      </c>
      <c r="BC313" s="19">
        <v>3930</v>
      </c>
      <c r="BD313" s="19">
        <v>722</v>
      </c>
      <c r="BE313" s="62"/>
      <c r="BF313" s="62"/>
      <c r="BG313" s="62"/>
      <c r="BH313" s="62"/>
      <c r="BI313" s="62"/>
      <c r="BJ313" s="62"/>
      <c r="BK313" s="62"/>
      <c r="BL313" s="62"/>
      <c r="BM313" s="62"/>
      <c r="BN313" s="62"/>
      <c r="BO313" s="62"/>
      <c r="BP313" s="62"/>
      <c r="BQ313" s="62"/>
      <c r="BR313" s="62"/>
      <c r="BS313" s="62"/>
      <c r="BT313" s="62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62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  <c r="DK313" s="62"/>
      <c r="DL313" s="62"/>
    </row>
    <row r="314" spans="1:116" hidden="1" x14ac:dyDescent="0.2">
      <c r="A314" s="57">
        <v>36130</v>
      </c>
      <c r="B314" s="58"/>
      <c r="C314" s="66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6"/>
      <c r="P314" s="61"/>
      <c r="Q314" s="62"/>
      <c r="R314" s="62"/>
      <c r="S314" s="62"/>
      <c r="T314" s="62"/>
      <c r="U314" s="62"/>
      <c r="V314" s="62"/>
      <c r="W314" s="62"/>
      <c r="X314" s="62"/>
      <c r="Y314" s="61"/>
      <c r="Z314" s="63"/>
      <c r="AA314" s="64" t="e">
        <v>#N/A</v>
      </c>
      <c r="AB314" s="62" t="e">
        <v>#N/A</v>
      </c>
      <c r="AC314" s="62" t="e">
        <v>#N/A</v>
      </c>
      <c r="AD314" s="62" t="e">
        <v>#N/A</v>
      </c>
      <c r="AE314" s="62" t="e">
        <v>#N/A</v>
      </c>
      <c r="AF314" s="62" t="e">
        <v>#N/A</v>
      </c>
      <c r="AG314" s="62" t="e">
        <v>#N/A</v>
      </c>
      <c r="AH314" s="62" t="e">
        <v>#N/A</v>
      </c>
      <c r="AI314" s="62" t="e">
        <v>#N/A</v>
      </c>
      <c r="AJ314" s="62" t="e">
        <v>#N/A</v>
      </c>
      <c r="AK314" s="64" t="e">
        <v>#N/A</v>
      </c>
      <c r="AL314" s="19">
        <v>106367</v>
      </c>
      <c r="AM314" s="19">
        <v>108017</v>
      </c>
      <c r="AN314" s="23">
        <v>7606</v>
      </c>
      <c r="AO314" s="19">
        <v>156075</v>
      </c>
      <c r="AP314" s="19">
        <v>4506</v>
      </c>
      <c r="AQ314" s="62"/>
      <c r="AR314" s="63"/>
      <c r="AS314" s="63"/>
      <c r="AT314" s="65">
        <f t="shared" si="21"/>
        <v>6555.15</v>
      </c>
      <c r="AU314" s="65">
        <f t="shared" si="22"/>
        <v>319.452</v>
      </c>
      <c r="AV314" s="65">
        <f t="shared" si="23"/>
        <v>189.25200000000001</v>
      </c>
      <c r="AW314" s="65">
        <f t="shared" si="25"/>
        <v>4467.4139999999998</v>
      </c>
      <c r="AX314" s="65">
        <f t="shared" si="25"/>
        <v>4536.7139999999999</v>
      </c>
      <c r="AY314" s="65">
        <f t="shared" si="24"/>
        <v>189.25200000000001</v>
      </c>
      <c r="AZ314" s="19">
        <v>49931</v>
      </c>
      <c r="BA314" s="19">
        <v>54237</v>
      </c>
      <c r="BB314" s="19">
        <v>44660</v>
      </c>
      <c r="BC314" s="19">
        <v>4016</v>
      </c>
      <c r="BD314" s="19">
        <v>506</v>
      </c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62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  <c r="DK314" s="62"/>
      <c r="DL314" s="62"/>
    </row>
    <row r="315" spans="1:116" hidden="1" x14ac:dyDescent="0.2">
      <c r="A315" s="57">
        <v>36161</v>
      </c>
      <c r="B315" s="58"/>
      <c r="C315" s="66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6"/>
      <c r="P315" s="61"/>
      <c r="Q315" s="62"/>
      <c r="R315" s="62"/>
      <c r="S315" s="62"/>
      <c r="T315" s="62"/>
      <c r="U315" s="62"/>
      <c r="V315" s="62"/>
      <c r="W315" s="62"/>
      <c r="X315" s="62"/>
      <c r="Y315" s="61"/>
      <c r="Z315" s="63"/>
      <c r="AA315" s="64" t="e">
        <v>#N/A</v>
      </c>
      <c r="AB315" s="62" t="e">
        <v>#N/A</v>
      </c>
      <c r="AC315" s="62" t="e">
        <v>#N/A</v>
      </c>
      <c r="AD315" s="62" t="e">
        <v>#N/A</v>
      </c>
      <c r="AE315" s="62" t="e">
        <v>#N/A</v>
      </c>
      <c r="AF315" s="62" t="e">
        <v>#N/A</v>
      </c>
      <c r="AG315" s="62" t="e">
        <v>#N/A</v>
      </c>
      <c r="AH315" s="62" t="e">
        <v>#N/A</v>
      </c>
      <c r="AI315" s="62" t="e">
        <v>#N/A</v>
      </c>
      <c r="AJ315" s="62" t="e">
        <v>#N/A</v>
      </c>
      <c r="AK315" s="64" t="e">
        <v>#N/A</v>
      </c>
      <c r="AL315" s="19">
        <v>98453</v>
      </c>
      <c r="AM315" s="19">
        <v>117434</v>
      </c>
      <c r="AN315" s="23">
        <v>9409</v>
      </c>
      <c r="AO315" s="19">
        <v>142861</v>
      </c>
      <c r="AP315" s="19">
        <v>3642</v>
      </c>
      <c r="AQ315" s="62"/>
      <c r="AR315" s="63"/>
      <c r="AS315" s="63"/>
      <c r="AT315" s="65">
        <f t="shared" si="21"/>
        <v>6000.1620000000003</v>
      </c>
      <c r="AU315" s="65">
        <f t="shared" si="22"/>
        <v>395.178</v>
      </c>
      <c r="AV315" s="65">
        <f t="shared" si="23"/>
        <v>152.964</v>
      </c>
      <c r="AW315" s="65">
        <f t="shared" si="25"/>
        <v>4135.0259999999998</v>
      </c>
      <c r="AX315" s="65">
        <f t="shared" si="25"/>
        <v>4932.2280000000001</v>
      </c>
      <c r="AY315" s="65">
        <f t="shared" si="24"/>
        <v>152.964</v>
      </c>
      <c r="AZ315" s="19">
        <v>49410</v>
      </c>
      <c r="BA315" s="19">
        <v>52633</v>
      </c>
      <c r="BB315" s="19">
        <v>44753</v>
      </c>
      <c r="BC315" s="19">
        <v>4101</v>
      </c>
      <c r="BD315" s="19">
        <v>785</v>
      </c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62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  <c r="DK315" s="62"/>
      <c r="DL315" s="62"/>
    </row>
    <row r="316" spans="1:116" hidden="1" x14ac:dyDescent="0.2">
      <c r="A316" s="57">
        <v>36192</v>
      </c>
      <c r="B316" s="58"/>
      <c r="C316" s="66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6"/>
      <c r="P316" s="61"/>
      <c r="Q316" s="62"/>
      <c r="R316" s="62"/>
      <c r="S316" s="62"/>
      <c r="T316" s="62"/>
      <c r="U316" s="62"/>
      <c r="V316" s="62"/>
      <c r="W316" s="62"/>
      <c r="X316" s="62"/>
      <c r="Y316" s="61"/>
      <c r="Z316" s="63"/>
      <c r="AA316" s="64" t="e">
        <v>#N/A</v>
      </c>
      <c r="AB316" s="62" t="e">
        <v>#N/A</v>
      </c>
      <c r="AC316" s="62" t="e">
        <v>#N/A</v>
      </c>
      <c r="AD316" s="62" t="e">
        <v>#N/A</v>
      </c>
      <c r="AE316" s="62" t="e">
        <v>#N/A</v>
      </c>
      <c r="AF316" s="62" t="e">
        <v>#N/A</v>
      </c>
      <c r="AG316" s="62" t="e">
        <v>#N/A</v>
      </c>
      <c r="AH316" s="62" t="e">
        <v>#N/A</v>
      </c>
      <c r="AI316" s="62" t="e">
        <v>#N/A</v>
      </c>
      <c r="AJ316" s="62" t="e">
        <v>#N/A</v>
      </c>
      <c r="AK316" s="64" t="e">
        <v>#N/A</v>
      </c>
      <c r="AL316" s="19">
        <v>91086</v>
      </c>
      <c r="AM316" s="19">
        <v>99189</v>
      </c>
      <c r="AN316" s="23">
        <v>9022</v>
      </c>
      <c r="AO316" s="19">
        <v>140524</v>
      </c>
      <c r="AP316" s="19">
        <v>3256</v>
      </c>
      <c r="AQ316" s="62"/>
      <c r="AR316" s="63"/>
      <c r="AS316" s="63"/>
      <c r="AT316" s="65">
        <f t="shared" si="21"/>
        <v>5902.0079999999998</v>
      </c>
      <c r="AU316" s="65">
        <f t="shared" si="22"/>
        <v>378.92399999999998</v>
      </c>
      <c r="AV316" s="65">
        <f t="shared" si="23"/>
        <v>136.75200000000001</v>
      </c>
      <c r="AW316" s="65">
        <f t="shared" si="25"/>
        <v>3825.6120000000001</v>
      </c>
      <c r="AX316" s="65">
        <f t="shared" si="25"/>
        <v>4165.9380000000001</v>
      </c>
      <c r="AY316" s="65">
        <f>AQ316*42/1000</f>
        <v>0</v>
      </c>
      <c r="AZ316" s="19">
        <v>43849</v>
      </c>
      <c r="BA316" s="19">
        <v>47302</v>
      </c>
      <c r="BB316" s="19">
        <v>45465</v>
      </c>
      <c r="BC316" s="19">
        <v>4390</v>
      </c>
      <c r="BD316" s="19">
        <v>225</v>
      </c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62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  <c r="DK316" s="62"/>
      <c r="DL316" s="62"/>
    </row>
    <row r="317" spans="1:116" hidden="1" x14ac:dyDescent="0.2">
      <c r="A317" s="57">
        <v>36220</v>
      </c>
      <c r="B317" s="58"/>
      <c r="C317" s="66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6"/>
      <c r="P317" s="61"/>
      <c r="Q317" s="62"/>
      <c r="R317" s="62"/>
      <c r="S317" s="62"/>
      <c r="T317" s="62"/>
      <c r="U317" s="62"/>
      <c r="V317" s="62"/>
      <c r="W317" s="62"/>
      <c r="X317" s="62"/>
      <c r="Y317" s="61"/>
      <c r="Z317" s="63"/>
      <c r="AA317" s="64" t="e">
        <v>#N/A</v>
      </c>
      <c r="AB317" s="62" t="e">
        <v>#N/A</v>
      </c>
      <c r="AC317" s="62" t="e">
        <v>#N/A</v>
      </c>
      <c r="AD317" s="62" t="e">
        <v>#N/A</v>
      </c>
      <c r="AE317" s="62" t="e">
        <v>#N/A</v>
      </c>
      <c r="AF317" s="62" t="e">
        <v>#N/A</v>
      </c>
      <c r="AG317" s="62" t="e">
        <v>#N/A</v>
      </c>
      <c r="AH317" s="62" t="e">
        <v>#N/A</v>
      </c>
      <c r="AI317" s="62" t="e">
        <v>#N/A</v>
      </c>
      <c r="AJ317" s="62" t="e">
        <v>#N/A</v>
      </c>
      <c r="AK317" s="64" t="e">
        <v>#N/A</v>
      </c>
      <c r="AL317" s="19">
        <v>98667</v>
      </c>
      <c r="AM317" s="19">
        <v>117349</v>
      </c>
      <c r="AN317" s="23">
        <v>7693</v>
      </c>
      <c r="AO317" s="19">
        <v>124621</v>
      </c>
      <c r="AP317" s="19">
        <v>4914</v>
      </c>
      <c r="AQ317" s="62"/>
      <c r="AR317" s="63"/>
      <c r="AS317" s="63"/>
      <c r="AT317" s="65">
        <f t="shared" si="21"/>
        <v>5234.0820000000003</v>
      </c>
      <c r="AU317" s="65">
        <f t="shared" si="22"/>
        <v>323.10599999999999</v>
      </c>
      <c r="AV317" s="65">
        <f t="shared" si="23"/>
        <v>206.38800000000001</v>
      </c>
      <c r="AW317" s="65">
        <f t="shared" si="25"/>
        <v>4144.0140000000001</v>
      </c>
      <c r="AX317" s="65">
        <f t="shared" si="25"/>
        <v>4928.6580000000004</v>
      </c>
      <c r="AY317" s="65">
        <f t="shared" ref="AY317:AY380" si="26">AQ317*42/1000</f>
        <v>0</v>
      </c>
      <c r="AZ317" s="19">
        <v>47121</v>
      </c>
      <c r="BA317" s="19">
        <v>52439</v>
      </c>
      <c r="BB317" s="19">
        <v>42088</v>
      </c>
      <c r="BC317" s="19">
        <v>2638</v>
      </c>
      <c r="BD317" s="19">
        <v>697</v>
      </c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62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  <c r="DK317" s="62"/>
      <c r="DL317" s="62"/>
    </row>
    <row r="318" spans="1:116" hidden="1" x14ac:dyDescent="0.2">
      <c r="A318" s="57">
        <v>36251</v>
      </c>
      <c r="B318" s="58"/>
      <c r="C318" s="66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6"/>
      <c r="P318" s="61"/>
      <c r="Q318" s="62"/>
      <c r="R318" s="62"/>
      <c r="S318" s="62"/>
      <c r="T318" s="62"/>
      <c r="U318" s="62"/>
      <c r="V318" s="62"/>
      <c r="W318" s="62"/>
      <c r="X318" s="62"/>
      <c r="Y318" s="61"/>
      <c r="Z318" s="63"/>
      <c r="AA318" s="64" t="e">
        <v>#N/A</v>
      </c>
      <c r="AB318" s="62" t="e">
        <v>#N/A</v>
      </c>
      <c r="AC318" s="62" t="e">
        <v>#N/A</v>
      </c>
      <c r="AD318" s="62" t="e">
        <v>#N/A</v>
      </c>
      <c r="AE318" s="62" t="e">
        <v>#N/A</v>
      </c>
      <c r="AF318" s="62" t="e">
        <v>#N/A</v>
      </c>
      <c r="AG318" s="62" t="e">
        <v>#N/A</v>
      </c>
      <c r="AH318" s="62" t="e">
        <v>#N/A</v>
      </c>
      <c r="AI318" s="62" t="e">
        <v>#N/A</v>
      </c>
      <c r="AJ318" s="62" t="e">
        <v>#N/A</v>
      </c>
      <c r="AK318" s="64" t="e">
        <v>#N/A</v>
      </c>
      <c r="AL318" s="19">
        <v>102209</v>
      </c>
      <c r="AM318" s="19">
        <v>102443</v>
      </c>
      <c r="AN318" s="23">
        <v>6376</v>
      </c>
      <c r="AO318" s="19">
        <v>125028</v>
      </c>
      <c r="AP318" s="19">
        <v>5735</v>
      </c>
      <c r="AQ318" s="62"/>
      <c r="AR318" s="63"/>
      <c r="AS318" s="63"/>
      <c r="AT318" s="65">
        <f t="shared" si="21"/>
        <v>5251.1760000000004</v>
      </c>
      <c r="AU318" s="65">
        <f t="shared" si="22"/>
        <v>267.79199999999997</v>
      </c>
      <c r="AV318" s="65">
        <f t="shared" si="23"/>
        <v>240.87</v>
      </c>
      <c r="AW318" s="65">
        <f t="shared" si="25"/>
        <v>4292.7780000000002</v>
      </c>
      <c r="AX318" s="65">
        <f t="shared" si="25"/>
        <v>4302.6059999999998</v>
      </c>
      <c r="AY318" s="65">
        <f t="shared" si="26"/>
        <v>0</v>
      </c>
      <c r="AZ318" s="19">
        <v>49225</v>
      </c>
      <c r="BA318" s="19">
        <v>49554</v>
      </c>
      <c r="BB318" s="19">
        <v>45873</v>
      </c>
      <c r="BC318" s="19">
        <v>4850</v>
      </c>
      <c r="BD318" s="19">
        <v>736</v>
      </c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62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  <c r="DK318" s="62"/>
      <c r="DL318" s="62"/>
    </row>
    <row r="319" spans="1:116" hidden="1" x14ac:dyDescent="0.2">
      <c r="A319" s="57">
        <v>36281</v>
      </c>
      <c r="B319" s="58"/>
      <c r="C319" s="66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6"/>
      <c r="P319" s="61"/>
      <c r="Q319" s="62"/>
      <c r="R319" s="62"/>
      <c r="S319" s="62"/>
      <c r="T319" s="62"/>
      <c r="U319" s="62"/>
      <c r="V319" s="62"/>
      <c r="W319" s="62"/>
      <c r="X319" s="62"/>
      <c r="Y319" s="61"/>
      <c r="Z319" s="63"/>
      <c r="AA319" s="64" t="e">
        <v>#N/A</v>
      </c>
      <c r="AB319" s="62" t="e">
        <v>#N/A</v>
      </c>
      <c r="AC319" s="62" t="e">
        <v>#N/A</v>
      </c>
      <c r="AD319" s="62" t="e">
        <v>#N/A</v>
      </c>
      <c r="AE319" s="62" t="e">
        <v>#N/A</v>
      </c>
      <c r="AF319" s="62" t="e">
        <v>#N/A</v>
      </c>
      <c r="AG319" s="62" t="e">
        <v>#N/A</v>
      </c>
      <c r="AH319" s="62" t="e">
        <v>#N/A</v>
      </c>
      <c r="AI319" s="62" t="e">
        <v>#N/A</v>
      </c>
      <c r="AJ319" s="62" t="e">
        <v>#N/A</v>
      </c>
      <c r="AK319" s="64" t="e">
        <v>#N/A</v>
      </c>
      <c r="AL319" s="19">
        <v>107194</v>
      </c>
      <c r="AM319" s="19">
        <v>102735</v>
      </c>
      <c r="AN319" s="23">
        <v>8105</v>
      </c>
      <c r="AO319" s="19">
        <v>131803</v>
      </c>
      <c r="AP319" s="19">
        <v>5789</v>
      </c>
      <c r="AQ319" s="62"/>
      <c r="AR319" s="63"/>
      <c r="AS319" s="63"/>
      <c r="AT319" s="65">
        <f t="shared" si="21"/>
        <v>5535.7259999999997</v>
      </c>
      <c r="AU319" s="65">
        <f t="shared" si="22"/>
        <v>340.41</v>
      </c>
      <c r="AV319" s="65">
        <f t="shared" si="23"/>
        <v>243.13800000000001</v>
      </c>
      <c r="AW319" s="65">
        <f t="shared" si="25"/>
        <v>4502.1480000000001</v>
      </c>
      <c r="AX319" s="65">
        <f t="shared" si="25"/>
        <v>4314.87</v>
      </c>
      <c r="AY319" s="65">
        <f>AQ319*42/1000</f>
        <v>0</v>
      </c>
      <c r="AZ319" s="19">
        <v>47882</v>
      </c>
      <c r="BA319" s="19">
        <v>49888</v>
      </c>
      <c r="BB319" s="19">
        <v>47459</v>
      </c>
      <c r="BC319" s="19">
        <v>4589</v>
      </c>
      <c r="BD319" s="19">
        <v>997</v>
      </c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62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  <c r="DK319" s="62"/>
      <c r="DL319" s="62"/>
    </row>
    <row r="320" spans="1:116" hidden="1" x14ac:dyDescent="0.2">
      <c r="A320" s="57">
        <v>36312</v>
      </c>
      <c r="B320" s="58"/>
      <c r="C320" s="66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6"/>
      <c r="P320" s="61"/>
      <c r="Q320" s="62"/>
      <c r="R320" s="62"/>
      <c r="S320" s="62"/>
      <c r="T320" s="62"/>
      <c r="U320" s="62"/>
      <c r="V320" s="62"/>
      <c r="W320" s="62"/>
      <c r="X320" s="62"/>
      <c r="Y320" s="61"/>
      <c r="Z320" s="63"/>
      <c r="AA320" s="64" t="e">
        <v>#N/A</v>
      </c>
      <c r="AB320" s="62" t="e">
        <v>#N/A</v>
      </c>
      <c r="AC320" s="62" t="e">
        <v>#N/A</v>
      </c>
      <c r="AD320" s="62" t="e">
        <v>#N/A</v>
      </c>
      <c r="AE320" s="62" t="e">
        <v>#N/A</v>
      </c>
      <c r="AF320" s="62" t="e">
        <v>#N/A</v>
      </c>
      <c r="AG320" s="62" t="e">
        <v>#N/A</v>
      </c>
      <c r="AH320" s="62" t="e">
        <v>#N/A</v>
      </c>
      <c r="AI320" s="62" t="e">
        <v>#N/A</v>
      </c>
      <c r="AJ320" s="62" t="e">
        <v>#N/A</v>
      </c>
      <c r="AK320" s="64" t="e">
        <v>#N/A</v>
      </c>
      <c r="AL320" s="19">
        <v>101210</v>
      </c>
      <c r="AM320" s="19">
        <v>102224</v>
      </c>
      <c r="AN320" s="23">
        <v>7150</v>
      </c>
      <c r="AO320" s="19">
        <v>132545</v>
      </c>
      <c r="AP320" s="19">
        <v>5394</v>
      </c>
      <c r="AQ320" s="62"/>
      <c r="AR320" s="63"/>
      <c r="AS320" s="63"/>
      <c r="AT320" s="65">
        <f t="shared" si="21"/>
        <v>5566.89</v>
      </c>
      <c r="AU320" s="65">
        <f t="shared" si="22"/>
        <v>300.3</v>
      </c>
      <c r="AV320" s="65">
        <f t="shared" si="23"/>
        <v>226.548</v>
      </c>
      <c r="AW320" s="65">
        <f t="shared" si="25"/>
        <v>4250.82</v>
      </c>
      <c r="AX320" s="65">
        <f t="shared" si="25"/>
        <v>4293.4080000000004</v>
      </c>
      <c r="AY320" s="65">
        <f>AQ320*42/1000</f>
        <v>0</v>
      </c>
      <c r="AZ320" s="19">
        <v>46231</v>
      </c>
      <c r="BA320" s="19">
        <v>49186</v>
      </c>
      <c r="BB320" s="19">
        <v>45656</v>
      </c>
      <c r="BC320" s="19">
        <v>1944</v>
      </c>
      <c r="BD320" s="19">
        <v>792</v>
      </c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62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  <c r="DK320" s="62"/>
      <c r="DL320" s="62"/>
    </row>
    <row r="321" spans="1:116" hidden="1" x14ac:dyDescent="0.2">
      <c r="A321" s="57">
        <v>36342</v>
      </c>
      <c r="B321" s="58"/>
      <c r="C321" s="66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6"/>
      <c r="P321" s="61"/>
      <c r="Q321" s="62"/>
      <c r="R321" s="62"/>
      <c r="S321" s="62"/>
      <c r="T321" s="62"/>
      <c r="U321" s="62"/>
      <c r="V321" s="62"/>
      <c r="W321" s="62"/>
      <c r="X321" s="62"/>
      <c r="Y321" s="61"/>
      <c r="Z321" s="63"/>
      <c r="AA321" s="64" t="e">
        <v>#N/A</v>
      </c>
      <c r="AB321" s="62" t="e">
        <v>#N/A</v>
      </c>
      <c r="AC321" s="62" t="e">
        <v>#N/A</v>
      </c>
      <c r="AD321" s="62" t="e">
        <v>#N/A</v>
      </c>
      <c r="AE321" s="62" t="e">
        <v>#N/A</v>
      </c>
      <c r="AF321" s="62" t="e">
        <v>#N/A</v>
      </c>
      <c r="AG321" s="62" t="e">
        <v>#N/A</v>
      </c>
      <c r="AH321" s="62" t="e">
        <v>#N/A</v>
      </c>
      <c r="AI321" s="62" t="e">
        <v>#N/A</v>
      </c>
      <c r="AJ321" s="62" t="e">
        <v>#N/A</v>
      </c>
      <c r="AK321" s="64" t="e">
        <v>#N/A</v>
      </c>
      <c r="AL321" s="19">
        <v>109146</v>
      </c>
      <c r="AM321" s="19">
        <v>107838</v>
      </c>
      <c r="AN321" s="23">
        <v>7251</v>
      </c>
      <c r="AO321" s="19">
        <v>137295</v>
      </c>
      <c r="AP321" s="19">
        <v>3809</v>
      </c>
      <c r="AQ321" s="62"/>
      <c r="AR321" s="63"/>
      <c r="AS321" s="63"/>
      <c r="AT321" s="65">
        <f t="shared" si="21"/>
        <v>5766.39</v>
      </c>
      <c r="AU321" s="65">
        <f t="shared" si="22"/>
        <v>304.54199999999997</v>
      </c>
      <c r="AV321" s="65">
        <f t="shared" si="23"/>
        <v>159.97800000000001</v>
      </c>
      <c r="AW321" s="65">
        <f t="shared" si="25"/>
        <v>4584.1319999999996</v>
      </c>
      <c r="AX321" s="65">
        <f t="shared" si="25"/>
        <v>4529.1959999999999</v>
      </c>
      <c r="AY321" s="65">
        <f t="shared" si="26"/>
        <v>0</v>
      </c>
      <c r="AZ321" s="19">
        <v>48059</v>
      </c>
      <c r="BA321" s="19">
        <v>51085</v>
      </c>
      <c r="BB321" s="19">
        <v>46354</v>
      </c>
      <c r="BC321" s="19">
        <v>4797</v>
      </c>
      <c r="BD321" s="19">
        <v>1073</v>
      </c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62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  <c r="DK321" s="62"/>
      <c r="DL321" s="62"/>
    </row>
    <row r="322" spans="1:116" hidden="1" x14ac:dyDescent="0.2">
      <c r="A322" s="57">
        <v>36373</v>
      </c>
      <c r="B322" s="58"/>
      <c r="C322" s="66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6"/>
      <c r="P322" s="61"/>
      <c r="Q322" s="62"/>
      <c r="R322" s="62"/>
      <c r="S322" s="62"/>
      <c r="T322" s="62"/>
      <c r="U322" s="62"/>
      <c r="V322" s="62"/>
      <c r="W322" s="62"/>
      <c r="X322" s="62"/>
      <c r="Y322" s="61"/>
      <c r="Z322" s="63"/>
      <c r="AA322" s="64" t="e">
        <v>#N/A</v>
      </c>
      <c r="AB322" s="62" t="e">
        <v>#N/A</v>
      </c>
      <c r="AC322" s="62" t="e">
        <v>#N/A</v>
      </c>
      <c r="AD322" s="62" t="e">
        <v>#N/A</v>
      </c>
      <c r="AE322" s="62" t="e">
        <v>#N/A</v>
      </c>
      <c r="AF322" s="62" t="e">
        <v>#N/A</v>
      </c>
      <c r="AG322" s="62" t="e">
        <v>#N/A</v>
      </c>
      <c r="AH322" s="62" t="e">
        <v>#N/A</v>
      </c>
      <c r="AI322" s="62" t="e">
        <v>#N/A</v>
      </c>
      <c r="AJ322" s="62" t="e">
        <v>#N/A</v>
      </c>
      <c r="AK322" s="64" t="e">
        <v>#N/A</v>
      </c>
      <c r="AL322" s="19">
        <v>106003</v>
      </c>
      <c r="AM322" s="19">
        <v>106547</v>
      </c>
      <c r="AN322" s="23">
        <v>8463</v>
      </c>
      <c r="AO322" s="19">
        <v>141191</v>
      </c>
      <c r="AP322" s="19">
        <v>4023</v>
      </c>
      <c r="AQ322" s="62"/>
      <c r="AR322" s="63"/>
      <c r="AS322" s="63"/>
      <c r="AT322" s="65">
        <f t="shared" si="21"/>
        <v>5930.0219999999999</v>
      </c>
      <c r="AU322" s="65">
        <f t="shared" si="22"/>
        <v>355.44600000000003</v>
      </c>
      <c r="AV322" s="65">
        <f t="shared" si="23"/>
        <v>168.96600000000001</v>
      </c>
      <c r="AW322" s="65">
        <f t="shared" si="25"/>
        <v>4452.1260000000002</v>
      </c>
      <c r="AX322" s="65">
        <f t="shared" si="25"/>
        <v>4474.9740000000002</v>
      </c>
      <c r="AY322" s="65">
        <f t="shared" si="26"/>
        <v>0</v>
      </c>
      <c r="AZ322" s="19">
        <v>48839</v>
      </c>
      <c r="BA322" s="19">
        <v>53917</v>
      </c>
      <c r="BB322" s="19">
        <v>46477</v>
      </c>
      <c r="BC322" s="19">
        <v>5447</v>
      </c>
      <c r="BD322" s="19">
        <v>246</v>
      </c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62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  <c r="DK322" s="62"/>
      <c r="DL322" s="62"/>
    </row>
    <row r="323" spans="1:116" hidden="1" x14ac:dyDescent="0.2">
      <c r="A323" s="57">
        <v>36404</v>
      </c>
      <c r="B323" s="58"/>
      <c r="C323" s="66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6"/>
      <c r="P323" s="61"/>
      <c r="Q323" s="62"/>
      <c r="R323" s="62"/>
      <c r="S323" s="62"/>
      <c r="T323" s="62"/>
      <c r="U323" s="62"/>
      <c r="V323" s="62"/>
      <c r="W323" s="62"/>
      <c r="X323" s="62"/>
      <c r="Y323" s="61"/>
      <c r="Z323" s="63"/>
      <c r="AA323" s="64" t="e">
        <v>#N/A</v>
      </c>
      <c r="AB323" s="62" t="e">
        <v>#N/A</v>
      </c>
      <c r="AC323" s="62" t="e">
        <v>#N/A</v>
      </c>
      <c r="AD323" s="62" t="e">
        <v>#N/A</v>
      </c>
      <c r="AE323" s="62" t="e">
        <v>#N/A</v>
      </c>
      <c r="AF323" s="62" t="e">
        <v>#N/A</v>
      </c>
      <c r="AG323" s="62" t="e">
        <v>#N/A</v>
      </c>
      <c r="AH323" s="62" t="e">
        <v>#N/A</v>
      </c>
      <c r="AI323" s="62" t="e">
        <v>#N/A</v>
      </c>
      <c r="AJ323" s="62" t="e">
        <v>#N/A</v>
      </c>
      <c r="AK323" s="64" t="e">
        <v>#N/A</v>
      </c>
      <c r="AL323" s="19">
        <v>104450</v>
      </c>
      <c r="AM323" s="19">
        <v>102926</v>
      </c>
      <c r="AN323" s="23">
        <v>7483</v>
      </c>
      <c r="AO323" s="19">
        <v>145347</v>
      </c>
      <c r="AP323" s="19">
        <v>4851</v>
      </c>
      <c r="AQ323" s="62"/>
      <c r="AR323" s="63"/>
      <c r="AS323" s="63"/>
      <c r="AT323" s="65">
        <f t="shared" ref="AT323:AT386" si="27">AO323*42/1000</f>
        <v>6104.5739999999996</v>
      </c>
      <c r="AU323" s="65">
        <f t="shared" ref="AU323:AU386" si="28">AN323*42/1000</f>
        <v>314.286</v>
      </c>
      <c r="AV323" s="65">
        <f t="shared" ref="AV323:AV386" si="29">AP323*42/1000</f>
        <v>203.74199999999999</v>
      </c>
      <c r="AW323" s="65">
        <f t="shared" si="25"/>
        <v>4386.8999999999996</v>
      </c>
      <c r="AX323" s="65">
        <f t="shared" si="25"/>
        <v>4322.8919999999998</v>
      </c>
      <c r="AY323" s="65">
        <f t="shared" si="26"/>
        <v>0</v>
      </c>
      <c r="AZ323" s="19">
        <v>48002</v>
      </c>
      <c r="BA323" s="19">
        <v>49341</v>
      </c>
      <c r="BB323" s="19">
        <v>48688</v>
      </c>
      <c r="BC323" s="19">
        <v>4545</v>
      </c>
      <c r="BD323" s="19">
        <v>995</v>
      </c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62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  <c r="DK323" s="62"/>
      <c r="DL323" s="62"/>
    </row>
    <row r="324" spans="1:116" hidden="1" x14ac:dyDescent="0.2">
      <c r="A324" s="57">
        <v>36434</v>
      </c>
      <c r="B324" s="58"/>
      <c r="C324" s="66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6"/>
      <c r="P324" s="61"/>
      <c r="Q324" s="62"/>
      <c r="R324" s="62"/>
      <c r="S324" s="62"/>
      <c r="T324" s="62"/>
      <c r="U324" s="62"/>
      <c r="V324" s="62"/>
      <c r="W324" s="62"/>
      <c r="X324" s="62"/>
      <c r="Y324" s="61"/>
      <c r="Z324" s="63"/>
      <c r="AA324" s="64" t="e">
        <v>#N/A</v>
      </c>
      <c r="AB324" s="62" t="e">
        <v>#N/A</v>
      </c>
      <c r="AC324" s="62" t="e">
        <v>#N/A</v>
      </c>
      <c r="AD324" s="62" t="e">
        <v>#N/A</v>
      </c>
      <c r="AE324" s="62" t="e">
        <v>#N/A</v>
      </c>
      <c r="AF324" s="62" t="e">
        <v>#N/A</v>
      </c>
      <c r="AG324" s="62" t="e">
        <v>#N/A</v>
      </c>
      <c r="AH324" s="62" t="e">
        <v>#N/A</v>
      </c>
      <c r="AI324" s="62" t="e">
        <v>#N/A</v>
      </c>
      <c r="AJ324" s="62" t="e">
        <v>#N/A</v>
      </c>
      <c r="AK324" s="64" t="e">
        <v>#N/A</v>
      </c>
      <c r="AL324" s="19">
        <v>108682</v>
      </c>
      <c r="AM324" s="19">
        <v>116211</v>
      </c>
      <c r="AN324" s="23">
        <v>6697</v>
      </c>
      <c r="AO324" s="19">
        <v>138571</v>
      </c>
      <c r="AP324" s="19">
        <v>5944</v>
      </c>
      <c r="AQ324" s="62"/>
      <c r="AR324" s="63"/>
      <c r="AS324" s="63"/>
      <c r="AT324" s="65">
        <f t="shared" si="27"/>
        <v>5819.982</v>
      </c>
      <c r="AU324" s="65">
        <f t="shared" si="28"/>
        <v>281.274</v>
      </c>
      <c r="AV324" s="65">
        <f t="shared" si="29"/>
        <v>249.648</v>
      </c>
      <c r="AW324" s="65">
        <f t="shared" si="25"/>
        <v>4564.6440000000002</v>
      </c>
      <c r="AX324" s="65">
        <f t="shared" si="25"/>
        <v>4880.8620000000001</v>
      </c>
      <c r="AY324" s="65">
        <f t="shared" si="26"/>
        <v>0</v>
      </c>
      <c r="AZ324" s="19">
        <v>46493</v>
      </c>
      <c r="BA324" s="19">
        <v>53475</v>
      </c>
      <c r="BB324" s="19">
        <v>43923</v>
      </c>
      <c r="BC324" s="19">
        <v>3017</v>
      </c>
      <c r="BD324" s="19">
        <v>800</v>
      </c>
      <c r="BE324" s="62"/>
      <c r="BF324" s="62"/>
      <c r="BG324" s="62"/>
      <c r="BH324" s="62"/>
      <c r="BI324" s="62"/>
      <c r="BJ324" s="62"/>
      <c r="BK324" s="62"/>
      <c r="BL324" s="62"/>
      <c r="BM324" s="62"/>
      <c r="BN324" s="62"/>
      <c r="BO324" s="62"/>
      <c r="BP324" s="62"/>
      <c r="BQ324" s="62"/>
      <c r="BR324" s="62"/>
      <c r="BS324" s="62"/>
      <c r="BT324" s="62"/>
      <c r="BU324" s="62"/>
      <c r="BV324" s="62"/>
      <c r="BW324" s="62"/>
      <c r="BX324" s="62"/>
      <c r="BY324" s="62"/>
      <c r="BZ324" s="62"/>
      <c r="CA324" s="62"/>
      <c r="CB324" s="62"/>
      <c r="CC324" s="62"/>
      <c r="CD324" s="62"/>
      <c r="CE324" s="62"/>
      <c r="CF324" s="62"/>
      <c r="CG324" s="62"/>
      <c r="CH324" s="62"/>
      <c r="CI324" s="62"/>
      <c r="CJ324" s="62"/>
      <c r="CK324" s="62"/>
      <c r="CL324" s="62"/>
      <c r="CM324" s="62"/>
      <c r="CN324" s="62"/>
      <c r="CO324" s="62"/>
      <c r="CP324" s="62"/>
      <c r="CQ324" s="62"/>
      <c r="CR324" s="62"/>
      <c r="CS324" s="62"/>
      <c r="CT324" s="62"/>
      <c r="CU324" s="62"/>
      <c r="CV324" s="62"/>
      <c r="CW324" s="62"/>
      <c r="CX324" s="62"/>
      <c r="CY324" s="62"/>
      <c r="CZ324" s="62"/>
      <c r="DA324" s="62"/>
      <c r="DB324" s="62"/>
      <c r="DC324" s="62"/>
      <c r="DD324" s="62"/>
      <c r="DE324" s="62"/>
      <c r="DF324" s="62"/>
      <c r="DG324" s="62"/>
      <c r="DH324" s="62"/>
      <c r="DI324" s="62"/>
      <c r="DJ324" s="62"/>
      <c r="DK324" s="62"/>
      <c r="DL324" s="62"/>
    </row>
    <row r="325" spans="1:116" hidden="1" x14ac:dyDescent="0.2">
      <c r="A325" s="57">
        <v>36465</v>
      </c>
      <c r="B325" s="58"/>
      <c r="C325" s="66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6"/>
      <c r="P325" s="61"/>
      <c r="Q325" s="62"/>
      <c r="R325" s="62"/>
      <c r="S325" s="62"/>
      <c r="T325" s="62"/>
      <c r="U325" s="62"/>
      <c r="V325" s="62"/>
      <c r="W325" s="62"/>
      <c r="X325" s="62"/>
      <c r="Y325" s="61"/>
      <c r="Z325" s="63"/>
      <c r="AA325" s="64" t="e">
        <v>#N/A</v>
      </c>
      <c r="AB325" s="62" t="e">
        <v>#N/A</v>
      </c>
      <c r="AC325" s="62" t="e">
        <v>#N/A</v>
      </c>
      <c r="AD325" s="62" t="e">
        <v>#N/A</v>
      </c>
      <c r="AE325" s="62" t="e">
        <v>#N/A</v>
      </c>
      <c r="AF325" s="62" t="e">
        <v>#N/A</v>
      </c>
      <c r="AG325" s="62" t="e">
        <v>#N/A</v>
      </c>
      <c r="AH325" s="62" t="e">
        <v>#N/A</v>
      </c>
      <c r="AI325" s="62" t="e">
        <v>#N/A</v>
      </c>
      <c r="AJ325" s="62" t="e">
        <v>#N/A</v>
      </c>
      <c r="AK325" s="64" t="e">
        <v>#N/A</v>
      </c>
      <c r="AL325" s="19">
        <v>108241</v>
      </c>
      <c r="AM325" s="19">
        <v>108243</v>
      </c>
      <c r="AN325" s="23">
        <v>7939</v>
      </c>
      <c r="AO325" s="19">
        <v>141405</v>
      </c>
      <c r="AP325" s="19">
        <v>5103</v>
      </c>
      <c r="AQ325" s="62"/>
      <c r="AR325" s="63"/>
      <c r="AS325" s="63"/>
      <c r="AT325" s="65">
        <f t="shared" si="27"/>
        <v>5939.01</v>
      </c>
      <c r="AU325" s="65">
        <f t="shared" si="28"/>
        <v>333.43799999999999</v>
      </c>
      <c r="AV325" s="65">
        <f t="shared" si="29"/>
        <v>214.32599999999999</v>
      </c>
      <c r="AW325" s="65">
        <f t="shared" si="25"/>
        <v>4546.1220000000003</v>
      </c>
      <c r="AX325" s="65">
        <f t="shared" si="25"/>
        <v>4546.2060000000001</v>
      </c>
      <c r="AY325" s="65">
        <f t="shared" si="26"/>
        <v>0</v>
      </c>
      <c r="AZ325" s="19">
        <v>45901</v>
      </c>
      <c r="BA325" s="19">
        <v>49209</v>
      </c>
      <c r="BB325" s="19">
        <v>41236</v>
      </c>
      <c r="BC325" s="19">
        <v>2446</v>
      </c>
      <c r="BD325" s="19">
        <v>1825</v>
      </c>
      <c r="BE325" s="62"/>
      <c r="BF325" s="62"/>
      <c r="BG325" s="62"/>
      <c r="BH325" s="62"/>
      <c r="BI325" s="62"/>
      <c r="BJ325" s="62"/>
      <c r="BK325" s="62"/>
      <c r="BL325" s="62"/>
      <c r="BM325" s="62"/>
      <c r="BN325" s="62"/>
      <c r="BO325" s="62"/>
      <c r="BP325" s="62"/>
      <c r="BQ325" s="62"/>
      <c r="BR325" s="62"/>
      <c r="BS325" s="62"/>
      <c r="BT325" s="62"/>
      <c r="BU325" s="62"/>
      <c r="BV325" s="62"/>
      <c r="BW325" s="62"/>
      <c r="BX325" s="62"/>
      <c r="BY325" s="62"/>
      <c r="BZ325" s="62"/>
      <c r="CA325" s="62"/>
      <c r="CB325" s="62"/>
      <c r="CC325" s="62"/>
      <c r="CD325" s="62"/>
      <c r="CE325" s="62"/>
      <c r="CF325" s="62"/>
      <c r="CG325" s="62"/>
      <c r="CH325" s="62"/>
      <c r="CI325" s="62"/>
      <c r="CJ325" s="62"/>
      <c r="CK325" s="62"/>
      <c r="CL325" s="62"/>
      <c r="CM325" s="62"/>
      <c r="CN325" s="62"/>
      <c r="CO325" s="62"/>
      <c r="CP325" s="62"/>
      <c r="CQ325" s="62"/>
      <c r="CR325" s="62"/>
      <c r="CS325" s="62"/>
      <c r="CT325" s="62"/>
      <c r="CU325" s="62"/>
      <c r="CV325" s="62"/>
      <c r="CW325" s="62"/>
      <c r="CX325" s="62"/>
      <c r="CY325" s="62"/>
      <c r="CZ325" s="62"/>
      <c r="DA325" s="62"/>
      <c r="DB325" s="62"/>
      <c r="DC325" s="62"/>
      <c r="DD325" s="62"/>
      <c r="DE325" s="62"/>
      <c r="DF325" s="62"/>
      <c r="DG325" s="62"/>
      <c r="DH325" s="62"/>
      <c r="DI325" s="62"/>
      <c r="DJ325" s="62"/>
      <c r="DK325" s="62"/>
      <c r="DL325" s="62"/>
    </row>
    <row r="326" spans="1:116" hidden="1" x14ac:dyDescent="0.2">
      <c r="A326" s="57">
        <v>36495</v>
      </c>
      <c r="B326" s="58"/>
      <c r="C326" s="66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6"/>
      <c r="P326" s="61"/>
      <c r="Q326" s="62"/>
      <c r="R326" s="62"/>
      <c r="S326" s="62"/>
      <c r="T326" s="62"/>
      <c r="U326" s="62"/>
      <c r="V326" s="62"/>
      <c r="W326" s="62"/>
      <c r="X326" s="62"/>
      <c r="Y326" s="61"/>
      <c r="Z326" s="63"/>
      <c r="AA326" s="64" t="e">
        <v>#N/A</v>
      </c>
      <c r="AB326" s="62" t="e">
        <v>#N/A</v>
      </c>
      <c r="AC326" s="62" t="e">
        <v>#N/A</v>
      </c>
      <c r="AD326" s="62" t="e">
        <v>#N/A</v>
      </c>
      <c r="AE326" s="62" t="e">
        <v>#N/A</v>
      </c>
      <c r="AF326" s="62" t="e">
        <v>#N/A</v>
      </c>
      <c r="AG326" s="62" t="e">
        <v>#N/A</v>
      </c>
      <c r="AH326" s="62" t="e">
        <v>#N/A</v>
      </c>
      <c r="AI326" s="62" t="e">
        <v>#N/A</v>
      </c>
      <c r="AJ326" s="62" t="e">
        <v>#N/A</v>
      </c>
      <c r="AK326" s="64" t="e">
        <v>#N/A</v>
      </c>
      <c r="AL326" s="19">
        <v>105442</v>
      </c>
      <c r="AM326" s="19">
        <v>120641</v>
      </c>
      <c r="AN326" s="23">
        <v>5840</v>
      </c>
      <c r="AO326" s="19">
        <v>125463</v>
      </c>
      <c r="AP326" s="19">
        <v>6583</v>
      </c>
      <c r="AQ326" s="62"/>
      <c r="AR326" s="63"/>
      <c r="AS326" s="63"/>
      <c r="AT326" s="65">
        <f t="shared" si="27"/>
        <v>5269.4459999999999</v>
      </c>
      <c r="AU326" s="65">
        <f t="shared" si="28"/>
        <v>245.28</v>
      </c>
      <c r="AV326" s="65">
        <f t="shared" si="29"/>
        <v>276.48599999999999</v>
      </c>
      <c r="AW326" s="65">
        <f t="shared" si="25"/>
        <v>4428.5640000000003</v>
      </c>
      <c r="AX326" s="65">
        <f t="shared" si="25"/>
        <v>5066.9219999999996</v>
      </c>
      <c r="AY326" s="65">
        <f t="shared" si="26"/>
        <v>0</v>
      </c>
      <c r="AZ326" s="19">
        <v>50062</v>
      </c>
      <c r="BA326" s="19">
        <v>53234</v>
      </c>
      <c r="BB326" s="19">
        <v>40447</v>
      </c>
      <c r="BC326" s="19">
        <v>3968</v>
      </c>
      <c r="BD326" s="19">
        <v>1585</v>
      </c>
      <c r="BE326" s="62"/>
      <c r="BF326" s="62"/>
      <c r="BG326" s="62"/>
      <c r="BH326" s="62"/>
      <c r="BI326" s="62"/>
      <c r="BJ326" s="62"/>
      <c r="BK326" s="62"/>
      <c r="BL326" s="62"/>
      <c r="BM326" s="62"/>
      <c r="BN326" s="62"/>
      <c r="BO326" s="62"/>
      <c r="BP326" s="62"/>
      <c r="BQ326" s="62"/>
      <c r="BR326" s="62"/>
      <c r="BS326" s="62"/>
      <c r="BT326" s="62"/>
      <c r="BU326" s="62"/>
      <c r="BV326" s="62"/>
      <c r="BW326" s="62"/>
      <c r="BX326" s="62"/>
      <c r="BY326" s="62"/>
      <c r="BZ326" s="62"/>
      <c r="CA326" s="62"/>
      <c r="CB326" s="62"/>
      <c r="CC326" s="62"/>
      <c r="CD326" s="62"/>
      <c r="CE326" s="62"/>
      <c r="CF326" s="62"/>
      <c r="CG326" s="62"/>
      <c r="CH326" s="62"/>
      <c r="CI326" s="62"/>
      <c r="CJ326" s="62"/>
      <c r="CK326" s="62"/>
      <c r="CL326" s="62"/>
      <c r="CM326" s="62"/>
      <c r="CN326" s="62"/>
      <c r="CO326" s="62"/>
      <c r="CP326" s="62"/>
      <c r="CQ326" s="62"/>
      <c r="CR326" s="62"/>
      <c r="CS326" s="62"/>
      <c r="CT326" s="62"/>
      <c r="CU326" s="62"/>
      <c r="CV326" s="62"/>
      <c r="CW326" s="62"/>
      <c r="CX326" s="62"/>
      <c r="CY326" s="62"/>
      <c r="CZ326" s="62"/>
      <c r="DA326" s="62"/>
      <c r="DB326" s="62"/>
      <c r="DC326" s="62"/>
      <c r="DD326" s="62"/>
      <c r="DE326" s="62"/>
      <c r="DF326" s="62"/>
      <c r="DG326" s="62"/>
      <c r="DH326" s="62"/>
      <c r="DI326" s="62"/>
      <c r="DJ326" s="62"/>
      <c r="DK326" s="62"/>
      <c r="DL326" s="62"/>
    </row>
    <row r="327" spans="1:116" hidden="1" x14ac:dyDescent="0.2">
      <c r="A327" s="57">
        <v>36526</v>
      </c>
      <c r="B327" s="58"/>
      <c r="C327" s="66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6"/>
      <c r="P327" s="61"/>
      <c r="Q327" s="62"/>
      <c r="R327" s="62"/>
      <c r="S327" s="62"/>
      <c r="T327" s="62"/>
      <c r="U327" s="62"/>
      <c r="V327" s="62"/>
      <c r="W327" s="62"/>
      <c r="X327" s="62"/>
      <c r="Y327" s="61"/>
      <c r="Z327" s="63"/>
      <c r="AA327" s="64" t="e">
        <v>#N/A</v>
      </c>
      <c r="AB327" s="62" t="e">
        <v>#N/A</v>
      </c>
      <c r="AC327" s="62" t="e">
        <v>#N/A</v>
      </c>
      <c r="AD327" s="62" t="e">
        <v>#N/A</v>
      </c>
      <c r="AE327" s="62" t="e">
        <v>#N/A</v>
      </c>
      <c r="AF327" s="62" t="e">
        <v>#N/A</v>
      </c>
      <c r="AG327" s="62" t="e">
        <v>#N/A</v>
      </c>
      <c r="AH327" s="62" t="e">
        <v>#N/A</v>
      </c>
      <c r="AI327" s="62" t="e">
        <v>#N/A</v>
      </c>
      <c r="AJ327" s="62" t="e">
        <v>#N/A</v>
      </c>
      <c r="AK327" s="64" t="e">
        <v>#N/A</v>
      </c>
      <c r="AL327" s="19">
        <v>96816</v>
      </c>
      <c r="AM327" s="19">
        <v>118350</v>
      </c>
      <c r="AN327" s="23">
        <v>6746</v>
      </c>
      <c r="AO327" s="19">
        <v>106577</v>
      </c>
      <c r="AP327" s="19">
        <v>4098</v>
      </c>
      <c r="AQ327" s="62"/>
      <c r="AR327" s="63"/>
      <c r="AS327" s="63"/>
      <c r="AT327" s="65">
        <f t="shared" si="27"/>
        <v>4476.2340000000004</v>
      </c>
      <c r="AU327" s="65">
        <f t="shared" si="28"/>
        <v>283.33199999999999</v>
      </c>
      <c r="AV327" s="65">
        <f t="shared" si="29"/>
        <v>172.11600000000001</v>
      </c>
      <c r="AW327" s="65">
        <f t="shared" ref="AW327:AX390" si="30">AL327*42/1000</f>
        <v>4066.2719999999999</v>
      </c>
      <c r="AX327" s="65">
        <f t="shared" si="30"/>
        <v>4970.7</v>
      </c>
      <c r="AY327" s="65">
        <f t="shared" si="26"/>
        <v>0</v>
      </c>
      <c r="AZ327" s="19">
        <v>49439</v>
      </c>
      <c r="BA327" s="19">
        <v>49718</v>
      </c>
      <c r="BB327" s="19">
        <v>43529</v>
      </c>
      <c r="BC327" s="19">
        <v>3769</v>
      </c>
      <c r="BD327" s="19">
        <v>408</v>
      </c>
      <c r="BE327" s="62"/>
      <c r="BF327" s="62"/>
      <c r="BG327" s="62"/>
      <c r="BH327" s="62"/>
      <c r="BI327" s="67">
        <v>27.26</v>
      </c>
      <c r="BJ327" s="67">
        <v>0.78</v>
      </c>
      <c r="BK327" s="67">
        <v>0.81</v>
      </c>
      <c r="BL327" s="67">
        <v>0.79</v>
      </c>
      <c r="BM327" s="62"/>
      <c r="BN327" s="62"/>
      <c r="BO327" s="62"/>
      <c r="BP327" s="62"/>
      <c r="BQ327" s="62"/>
      <c r="BR327" s="62"/>
      <c r="BS327" s="62"/>
      <c r="BT327" s="62"/>
      <c r="BU327" s="62"/>
      <c r="BV327" s="62"/>
      <c r="BW327" s="62"/>
      <c r="BX327" s="62"/>
      <c r="BY327" s="62"/>
      <c r="BZ327" s="62"/>
      <c r="CA327" s="62"/>
      <c r="CB327" s="62"/>
      <c r="CC327" s="62"/>
      <c r="CD327" s="62"/>
      <c r="CE327" s="62"/>
      <c r="CF327" s="62"/>
      <c r="CG327" s="62"/>
      <c r="CH327" s="62"/>
      <c r="CI327" s="62"/>
      <c r="CJ327" s="62"/>
      <c r="CK327" s="62"/>
      <c r="CL327" s="62"/>
      <c r="CM327" s="62"/>
      <c r="CN327" s="62"/>
      <c r="CO327" s="62"/>
      <c r="CP327" s="62"/>
      <c r="CQ327" s="62"/>
      <c r="CR327" s="62"/>
      <c r="CS327" s="62"/>
      <c r="CT327" s="62"/>
      <c r="CU327" s="62"/>
      <c r="CV327" s="62"/>
      <c r="CW327" s="62"/>
      <c r="CX327" s="62"/>
      <c r="CY327" s="62"/>
      <c r="CZ327" s="62"/>
      <c r="DA327" s="62"/>
      <c r="DB327" s="62"/>
      <c r="DC327" s="62"/>
      <c r="DD327" s="62"/>
      <c r="DE327" s="62"/>
      <c r="DF327" s="62"/>
      <c r="DG327" s="62"/>
      <c r="DH327" s="62"/>
      <c r="DI327" s="62"/>
      <c r="DJ327" s="62"/>
      <c r="DK327" s="62"/>
      <c r="DL327" s="62"/>
    </row>
    <row r="328" spans="1:116" hidden="1" x14ac:dyDescent="0.2">
      <c r="A328" s="57">
        <v>36557</v>
      </c>
      <c r="B328" s="58"/>
      <c r="C328" s="66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6"/>
      <c r="P328" s="61"/>
      <c r="Q328" s="62"/>
      <c r="R328" s="62"/>
      <c r="S328" s="62"/>
      <c r="T328" s="62"/>
      <c r="U328" s="62"/>
      <c r="V328" s="62"/>
      <c r="W328" s="62"/>
      <c r="X328" s="62"/>
      <c r="Y328" s="61"/>
      <c r="Z328" s="63"/>
      <c r="AA328" s="64" t="e">
        <v>#N/A</v>
      </c>
      <c r="AB328" s="62" t="e">
        <v>#N/A</v>
      </c>
      <c r="AC328" s="62" t="e">
        <v>#N/A</v>
      </c>
      <c r="AD328" s="62" t="e">
        <v>#N/A</v>
      </c>
      <c r="AE328" s="62" t="e">
        <v>#N/A</v>
      </c>
      <c r="AF328" s="62" t="e">
        <v>#N/A</v>
      </c>
      <c r="AG328" s="62" t="e">
        <v>#N/A</v>
      </c>
      <c r="AH328" s="62" t="e">
        <v>#N/A</v>
      </c>
      <c r="AI328" s="62" t="e">
        <v>#N/A</v>
      </c>
      <c r="AJ328" s="62" t="e">
        <v>#N/A</v>
      </c>
      <c r="AK328" s="64" t="e">
        <v>#N/A</v>
      </c>
      <c r="AL328" s="19">
        <v>97084</v>
      </c>
      <c r="AM328" s="19">
        <v>110040</v>
      </c>
      <c r="AN328" s="23">
        <v>14780</v>
      </c>
      <c r="AO328" s="19">
        <v>105152</v>
      </c>
      <c r="AP328" s="19">
        <v>3249</v>
      </c>
      <c r="AQ328" s="62"/>
      <c r="AR328" s="63"/>
      <c r="AS328" s="63"/>
      <c r="AT328" s="65">
        <f t="shared" si="27"/>
        <v>4416.384</v>
      </c>
      <c r="AU328" s="65">
        <f t="shared" si="28"/>
        <v>620.76</v>
      </c>
      <c r="AV328" s="65">
        <f t="shared" si="29"/>
        <v>136.458</v>
      </c>
      <c r="AW328" s="65">
        <f t="shared" si="30"/>
        <v>4077.5279999999998</v>
      </c>
      <c r="AX328" s="65">
        <f t="shared" si="30"/>
        <v>4621.68</v>
      </c>
      <c r="AY328" s="65">
        <f t="shared" si="26"/>
        <v>0</v>
      </c>
      <c r="AZ328" s="19">
        <v>42051</v>
      </c>
      <c r="BA328" s="19">
        <v>48619</v>
      </c>
      <c r="BB328" s="19">
        <v>41478</v>
      </c>
      <c r="BC328" s="19">
        <v>5020</v>
      </c>
      <c r="BD328" s="19">
        <v>503</v>
      </c>
      <c r="BE328" s="62"/>
      <c r="BF328" s="62"/>
      <c r="BG328" s="62"/>
      <c r="BH328" s="62"/>
      <c r="BI328" s="67">
        <v>29.37</v>
      </c>
      <c r="BJ328" s="67">
        <v>0.85</v>
      </c>
      <c r="BK328" s="67">
        <v>0.83</v>
      </c>
      <c r="BL328" s="67">
        <v>0.88</v>
      </c>
      <c r="BM328" s="62"/>
      <c r="BN328" s="62"/>
      <c r="BO328" s="62"/>
      <c r="BP328" s="62"/>
      <c r="BQ328" s="62"/>
      <c r="BR328" s="62"/>
      <c r="BS328" s="62"/>
      <c r="BT328" s="62"/>
      <c r="BU328" s="62"/>
      <c r="BV328" s="62"/>
      <c r="BW328" s="62"/>
      <c r="BX328" s="62"/>
      <c r="BY328" s="62"/>
      <c r="BZ328" s="62"/>
      <c r="CA328" s="62"/>
      <c r="CB328" s="62"/>
      <c r="CC328" s="62"/>
      <c r="CD328" s="62"/>
      <c r="CE328" s="62"/>
      <c r="CF328" s="62"/>
      <c r="CG328" s="62"/>
      <c r="CH328" s="62"/>
      <c r="CI328" s="62"/>
      <c r="CJ328" s="62"/>
      <c r="CK328" s="62"/>
      <c r="CL328" s="62"/>
      <c r="CM328" s="62"/>
      <c r="CN328" s="62"/>
      <c r="CO328" s="62"/>
      <c r="CP328" s="62"/>
      <c r="CQ328" s="62"/>
      <c r="CR328" s="62"/>
      <c r="CS328" s="62"/>
      <c r="CT328" s="62"/>
      <c r="CU328" s="62"/>
      <c r="CV328" s="62"/>
      <c r="CW328" s="62"/>
      <c r="CX328" s="62"/>
      <c r="CY328" s="62"/>
      <c r="CZ328" s="62"/>
      <c r="DA328" s="62"/>
      <c r="DB328" s="62"/>
      <c r="DC328" s="62"/>
      <c r="DD328" s="62"/>
      <c r="DE328" s="62"/>
      <c r="DF328" s="62"/>
      <c r="DG328" s="62"/>
      <c r="DH328" s="62"/>
      <c r="DI328" s="62"/>
      <c r="DJ328" s="62"/>
      <c r="DK328" s="62"/>
      <c r="DL328" s="62"/>
    </row>
    <row r="329" spans="1:116" hidden="1" x14ac:dyDescent="0.2">
      <c r="A329" s="57">
        <v>36586</v>
      </c>
      <c r="B329" s="58"/>
      <c r="C329" s="66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6"/>
      <c r="P329" s="61"/>
      <c r="Q329" s="62"/>
      <c r="R329" s="62"/>
      <c r="S329" s="62"/>
      <c r="T329" s="62"/>
      <c r="U329" s="62"/>
      <c r="V329" s="62"/>
      <c r="W329" s="62"/>
      <c r="X329" s="62"/>
      <c r="Y329" s="61"/>
      <c r="Z329" s="63"/>
      <c r="AA329" s="64" t="e">
        <v>#N/A</v>
      </c>
      <c r="AB329" s="62" t="e">
        <v>#N/A</v>
      </c>
      <c r="AC329" s="62" t="e">
        <v>#N/A</v>
      </c>
      <c r="AD329" s="62" t="e">
        <v>#N/A</v>
      </c>
      <c r="AE329" s="62" t="e">
        <v>#N/A</v>
      </c>
      <c r="AF329" s="62" t="e">
        <v>#N/A</v>
      </c>
      <c r="AG329" s="62" t="e">
        <v>#N/A</v>
      </c>
      <c r="AH329" s="62" t="e">
        <v>#N/A</v>
      </c>
      <c r="AI329" s="62" t="e">
        <v>#N/A</v>
      </c>
      <c r="AJ329" s="62" t="e">
        <v>#N/A</v>
      </c>
      <c r="AK329" s="64" t="e">
        <v>#N/A</v>
      </c>
      <c r="AL329" s="19">
        <v>103617</v>
      </c>
      <c r="AM329" s="19">
        <v>114495</v>
      </c>
      <c r="AN329" s="23">
        <v>8060</v>
      </c>
      <c r="AO329" s="19">
        <v>95802</v>
      </c>
      <c r="AP329" s="19">
        <v>6532</v>
      </c>
      <c r="AQ329" s="62"/>
      <c r="AR329" s="63"/>
      <c r="AS329" s="63"/>
      <c r="AT329" s="65">
        <f t="shared" si="27"/>
        <v>4023.6840000000002</v>
      </c>
      <c r="AU329" s="65">
        <f t="shared" si="28"/>
        <v>338.52</v>
      </c>
      <c r="AV329" s="65">
        <f t="shared" si="29"/>
        <v>274.34399999999999</v>
      </c>
      <c r="AW329" s="65">
        <f t="shared" si="30"/>
        <v>4351.9139999999998</v>
      </c>
      <c r="AX329" s="65">
        <f t="shared" si="30"/>
        <v>4808.79</v>
      </c>
      <c r="AY329" s="65">
        <f t="shared" si="26"/>
        <v>0</v>
      </c>
      <c r="AZ329" s="19">
        <v>48390</v>
      </c>
      <c r="BA329" s="19">
        <v>52135</v>
      </c>
      <c r="BB329" s="19">
        <v>40414</v>
      </c>
      <c r="BC329" s="19">
        <v>3711</v>
      </c>
      <c r="BD329" s="19">
        <v>1030</v>
      </c>
      <c r="BE329" s="62"/>
      <c r="BF329" s="62"/>
      <c r="BG329" s="62"/>
      <c r="BH329" s="62"/>
      <c r="BI329" s="67">
        <v>29.84</v>
      </c>
      <c r="BJ329" s="67">
        <v>0.85</v>
      </c>
      <c r="BK329" s="67">
        <v>0.85</v>
      </c>
      <c r="BL329" s="67">
        <v>0.99</v>
      </c>
      <c r="BM329" s="62"/>
      <c r="BN329" s="62"/>
      <c r="BO329" s="62"/>
      <c r="BP329" s="62"/>
      <c r="BQ329" s="62"/>
      <c r="BR329" s="62"/>
      <c r="BS329" s="62"/>
      <c r="BT329" s="62"/>
      <c r="BU329" s="62"/>
      <c r="BV329" s="62"/>
      <c r="BW329" s="62"/>
      <c r="BX329" s="62"/>
      <c r="BY329" s="62"/>
      <c r="BZ329" s="62"/>
      <c r="CA329" s="62"/>
      <c r="CB329" s="62"/>
      <c r="CC329" s="62"/>
      <c r="CD329" s="62"/>
      <c r="CE329" s="62"/>
      <c r="CF329" s="62"/>
      <c r="CG329" s="62"/>
      <c r="CH329" s="62"/>
      <c r="CI329" s="62"/>
      <c r="CJ329" s="62"/>
      <c r="CK329" s="62"/>
      <c r="CL329" s="62"/>
      <c r="CM329" s="62"/>
      <c r="CN329" s="62"/>
      <c r="CO329" s="62"/>
      <c r="CP329" s="62"/>
      <c r="CQ329" s="62"/>
      <c r="CR329" s="62"/>
      <c r="CS329" s="62"/>
      <c r="CT329" s="62"/>
      <c r="CU329" s="62"/>
      <c r="CV329" s="62"/>
      <c r="CW329" s="62"/>
      <c r="CX329" s="62"/>
      <c r="CY329" s="62"/>
      <c r="CZ329" s="62"/>
      <c r="DA329" s="62"/>
      <c r="DB329" s="62"/>
      <c r="DC329" s="62"/>
      <c r="DD329" s="62"/>
      <c r="DE329" s="62"/>
      <c r="DF329" s="62"/>
      <c r="DG329" s="62"/>
      <c r="DH329" s="62"/>
      <c r="DI329" s="62"/>
      <c r="DJ329" s="62"/>
      <c r="DK329" s="62"/>
      <c r="DL329" s="62"/>
    </row>
    <row r="330" spans="1:116" hidden="1" x14ac:dyDescent="0.2">
      <c r="A330" s="57">
        <v>36617</v>
      </c>
      <c r="B330" s="58"/>
      <c r="C330" s="66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6"/>
      <c r="P330" s="61"/>
      <c r="Q330" s="62"/>
      <c r="R330" s="62"/>
      <c r="S330" s="62"/>
      <c r="T330" s="62"/>
      <c r="U330" s="62"/>
      <c r="V330" s="62"/>
      <c r="W330" s="62"/>
      <c r="X330" s="62"/>
      <c r="Y330" s="61"/>
      <c r="Z330" s="63"/>
      <c r="AA330" s="64" t="e">
        <v>#N/A</v>
      </c>
      <c r="AB330" s="62" t="e">
        <v>#N/A</v>
      </c>
      <c r="AC330" s="62" t="e">
        <v>#N/A</v>
      </c>
      <c r="AD330" s="62" t="e">
        <v>#N/A</v>
      </c>
      <c r="AE330" s="62" t="e">
        <v>#N/A</v>
      </c>
      <c r="AF330" s="62" t="e">
        <v>#N/A</v>
      </c>
      <c r="AG330" s="62" t="e">
        <v>#N/A</v>
      </c>
      <c r="AH330" s="62" t="e">
        <v>#N/A</v>
      </c>
      <c r="AI330" s="62" t="e">
        <v>#N/A</v>
      </c>
      <c r="AJ330" s="62" t="e">
        <v>#N/A</v>
      </c>
      <c r="AK330" s="64" t="e">
        <v>#N/A</v>
      </c>
      <c r="AL330" s="19">
        <v>105984</v>
      </c>
      <c r="AM330" s="19">
        <v>103645</v>
      </c>
      <c r="AN330" s="23">
        <v>7032</v>
      </c>
      <c r="AO330" s="19">
        <v>99837</v>
      </c>
      <c r="AP330" s="19">
        <v>5336</v>
      </c>
      <c r="AQ330" s="62"/>
      <c r="AR330" s="63"/>
      <c r="AS330" s="63"/>
      <c r="AT330" s="65">
        <f t="shared" si="27"/>
        <v>4193.1540000000005</v>
      </c>
      <c r="AU330" s="65">
        <f t="shared" si="28"/>
        <v>295.34399999999999</v>
      </c>
      <c r="AV330" s="65">
        <f t="shared" si="29"/>
        <v>224.11199999999999</v>
      </c>
      <c r="AW330" s="65">
        <f t="shared" si="30"/>
        <v>4451.3280000000004</v>
      </c>
      <c r="AX330" s="65">
        <f t="shared" si="30"/>
        <v>4353.09</v>
      </c>
      <c r="AY330" s="65">
        <f t="shared" si="26"/>
        <v>0</v>
      </c>
      <c r="AZ330" s="19">
        <v>48436</v>
      </c>
      <c r="BA330" s="19">
        <v>50299</v>
      </c>
      <c r="BB330" s="19">
        <v>41250</v>
      </c>
      <c r="BC330" s="19">
        <v>3810</v>
      </c>
      <c r="BD330" s="19">
        <v>1111</v>
      </c>
      <c r="BE330" s="62"/>
      <c r="BF330" s="62"/>
      <c r="BG330" s="62"/>
      <c r="BH330" s="62"/>
      <c r="BI330" s="67">
        <v>25.72</v>
      </c>
      <c r="BJ330" s="67">
        <v>0.8</v>
      </c>
      <c r="BK330" s="67">
        <v>0.78</v>
      </c>
      <c r="BL330" s="67">
        <v>0.89</v>
      </c>
      <c r="BM330" s="62"/>
      <c r="BN330" s="62"/>
      <c r="BO330" s="62"/>
      <c r="BP330" s="62"/>
      <c r="BQ330" s="62"/>
      <c r="BR330" s="62"/>
      <c r="BS330" s="62"/>
      <c r="BT330" s="62"/>
      <c r="BU330" s="62"/>
      <c r="BV330" s="62"/>
      <c r="BW330" s="62"/>
      <c r="BX330" s="62"/>
      <c r="BY330" s="62"/>
      <c r="BZ330" s="62"/>
      <c r="CA330" s="62"/>
      <c r="CB330" s="62"/>
      <c r="CC330" s="62"/>
      <c r="CD330" s="62"/>
      <c r="CE330" s="62"/>
      <c r="CF330" s="62"/>
      <c r="CG330" s="62"/>
      <c r="CH330" s="62"/>
      <c r="CI330" s="62"/>
      <c r="CJ330" s="62"/>
      <c r="CK330" s="62"/>
      <c r="CL330" s="62"/>
      <c r="CM330" s="62"/>
      <c r="CN330" s="62"/>
      <c r="CO330" s="62"/>
      <c r="CP330" s="62"/>
      <c r="CQ330" s="62"/>
      <c r="CR330" s="62"/>
      <c r="CS330" s="62"/>
      <c r="CT330" s="62"/>
      <c r="CU330" s="62"/>
      <c r="CV330" s="62"/>
      <c r="CW330" s="62"/>
      <c r="CX330" s="62"/>
      <c r="CY330" s="62"/>
      <c r="CZ330" s="62"/>
      <c r="DA330" s="62"/>
      <c r="DB330" s="62"/>
      <c r="DC330" s="62"/>
      <c r="DD330" s="62"/>
      <c r="DE330" s="62"/>
      <c r="DF330" s="62"/>
      <c r="DG330" s="62"/>
      <c r="DH330" s="62"/>
      <c r="DI330" s="62"/>
      <c r="DJ330" s="62"/>
      <c r="DK330" s="62"/>
      <c r="DL330" s="62"/>
    </row>
    <row r="331" spans="1:116" hidden="1" x14ac:dyDescent="0.2">
      <c r="A331" s="57">
        <v>36647</v>
      </c>
      <c r="B331" s="58"/>
      <c r="C331" s="66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6"/>
      <c r="P331" s="61"/>
      <c r="Q331" s="62"/>
      <c r="R331" s="62"/>
      <c r="S331" s="62"/>
      <c r="T331" s="62"/>
      <c r="U331" s="62"/>
      <c r="V331" s="62"/>
      <c r="W331" s="62"/>
      <c r="X331" s="62"/>
      <c r="Y331" s="61"/>
      <c r="Z331" s="63"/>
      <c r="AA331" s="64" t="e">
        <v>#N/A</v>
      </c>
      <c r="AB331" s="62" t="e">
        <v>#N/A</v>
      </c>
      <c r="AC331" s="62" t="e">
        <v>#N/A</v>
      </c>
      <c r="AD331" s="62" t="e">
        <v>#N/A</v>
      </c>
      <c r="AE331" s="62" t="e">
        <v>#N/A</v>
      </c>
      <c r="AF331" s="62" t="e">
        <v>#N/A</v>
      </c>
      <c r="AG331" s="62" t="e">
        <v>#N/A</v>
      </c>
      <c r="AH331" s="62" t="e">
        <v>#N/A</v>
      </c>
      <c r="AI331" s="62" t="e">
        <v>#N/A</v>
      </c>
      <c r="AJ331" s="62" t="e">
        <v>#N/A</v>
      </c>
      <c r="AK331" s="64" t="e">
        <v>#N/A</v>
      </c>
      <c r="AL331" s="19">
        <v>113154</v>
      </c>
      <c r="AM331" s="19">
        <v>114109</v>
      </c>
      <c r="AN331" s="23">
        <v>9801</v>
      </c>
      <c r="AO331" s="19">
        <v>104735</v>
      </c>
      <c r="AP331" s="19">
        <v>3948</v>
      </c>
      <c r="AQ331" s="62"/>
      <c r="AR331" s="63"/>
      <c r="AS331" s="63"/>
      <c r="AT331" s="65">
        <f t="shared" si="27"/>
        <v>4398.87</v>
      </c>
      <c r="AU331" s="65">
        <f t="shared" si="28"/>
        <v>411.642</v>
      </c>
      <c r="AV331" s="65">
        <f t="shared" si="29"/>
        <v>165.816</v>
      </c>
      <c r="AW331" s="65">
        <f t="shared" si="30"/>
        <v>4752.4679999999998</v>
      </c>
      <c r="AX331" s="65">
        <f t="shared" si="30"/>
        <v>4792.5780000000004</v>
      </c>
      <c r="AY331" s="65">
        <f t="shared" si="26"/>
        <v>0</v>
      </c>
      <c r="AZ331" s="19">
        <v>49252</v>
      </c>
      <c r="BA331" s="19">
        <v>51725</v>
      </c>
      <c r="BB331" s="19">
        <v>42133</v>
      </c>
      <c r="BC331" s="19">
        <v>4451</v>
      </c>
      <c r="BD331" s="19">
        <v>1095</v>
      </c>
      <c r="BE331" s="62"/>
      <c r="BF331" s="62"/>
      <c r="BG331" s="62"/>
      <c r="BH331" s="62"/>
      <c r="BI331" s="67">
        <v>28.79</v>
      </c>
      <c r="BJ331" s="67">
        <v>0.81</v>
      </c>
      <c r="BK331" s="67">
        <v>0.79</v>
      </c>
      <c r="BL331" s="67">
        <v>0.98</v>
      </c>
      <c r="BM331" s="62"/>
      <c r="BN331" s="62"/>
      <c r="BO331" s="62"/>
      <c r="BP331" s="62"/>
      <c r="BQ331" s="62"/>
      <c r="BR331" s="62"/>
      <c r="BS331" s="62"/>
      <c r="BT331" s="62"/>
      <c r="BU331" s="62"/>
      <c r="BV331" s="62"/>
      <c r="BW331" s="62"/>
      <c r="BX331" s="62"/>
      <c r="BY331" s="62"/>
      <c r="BZ331" s="62"/>
      <c r="CA331" s="62"/>
      <c r="CB331" s="62"/>
      <c r="CC331" s="62"/>
      <c r="CD331" s="62"/>
      <c r="CE331" s="62"/>
      <c r="CF331" s="62"/>
      <c r="CG331" s="62"/>
      <c r="CH331" s="62"/>
      <c r="CI331" s="62"/>
      <c r="CJ331" s="62"/>
      <c r="CK331" s="62"/>
      <c r="CL331" s="62"/>
      <c r="CM331" s="62"/>
      <c r="CN331" s="62"/>
      <c r="CO331" s="62"/>
      <c r="CP331" s="62"/>
      <c r="CQ331" s="62"/>
      <c r="CR331" s="62"/>
      <c r="CS331" s="62"/>
      <c r="CT331" s="62"/>
      <c r="CU331" s="62"/>
      <c r="CV331" s="62"/>
      <c r="CW331" s="62"/>
      <c r="CX331" s="62"/>
      <c r="CY331" s="62"/>
      <c r="CZ331" s="62"/>
      <c r="DA331" s="62"/>
      <c r="DB331" s="62"/>
      <c r="DC331" s="62"/>
      <c r="DD331" s="62"/>
      <c r="DE331" s="62"/>
      <c r="DF331" s="62"/>
      <c r="DG331" s="62"/>
      <c r="DH331" s="62"/>
      <c r="DI331" s="62"/>
      <c r="DJ331" s="62"/>
      <c r="DK331" s="62"/>
      <c r="DL331" s="62"/>
    </row>
    <row r="332" spans="1:116" hidden="1" x14ac:dyDescent="0.2">
      <c r="A332" s="57">
        <v>36678</v>
      </c>
      <c r="B332" s="58"/>
      <c r="C332" s="66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6"/>
      <c r="P332" s="61"/>
      <c r="Q332" s="62"/>
      <c r="R332" s="62"/>
      <c r="S332" s="62"/>
      <c r="T332" s="62"/>
      <c r="U332" s="62"/>
      <c r="V332" s="62"/>
      <c r="W332" s="62"/>
      <c r="X332" s="62"/>
      <c r="Y332" s="61"/>
      <c r="Z332" s="63"/>
      <c r="AA332" s="64" t="e">
        <v>#N/A</v>
      </c>
      <c r="AB332" s="62" t="e">
        <v>#N/A</v>
      </c>
      <c r="AC332" s="62" t="e">
        <v>#N/A</v>
      </c>
      <c r="AD332" s="62" t="e">
        <v>#N/A</v>
      </c>
      <c r="AE332" s="62" t="e">
        <v>#N/A</v>
      </c>
      <c r="AF332" s="62" t="e">
        <v>#N/A</v>
      </c>
      <c r="AG332" s="62" t="e">
        <v>#N/A</v>
      </c>
      <c r="AH332" s="62" t="e">
        <v>#N/A</v>
      </c>
      <c r="AI332" s="62" t="e">
        <v>#N/A</v>
      </c>
      <c r="AJ332" s="62" t="e">
        <v>#N/A</v>
      </c>
      <c r="AK332" s="64" t="e">
        <v>#N/A</v>
      </c>
      <c r="AL332" s="19">
        <v>104425</v>
      </c>
      <c r="AM332" s="19">
        <v>106481</v>
      </c>
      <c r="AN332" s="23">
        <v>7751</v>
      </c>
      <c r="AO332" s="19">
        <v>105962</v>
      </c>
      <c r="AP332" s="19">
        <v>4468</v>
      </c>
      <c r="AQ332" s="62"/>
      <c r="AR332" s="63"/>
      <c r="AS332" s="63"/>
      <c r="AT332" s="65">
        <f t="shared" si="27"/>
        <v>4450.4040000000005</v>
      </c>
      <c r="AU332" s="65">
        <f t="shared" si="28"/>
        <v>325.54199999999997</v>
      </c>
      <c r="AV332" s="65">
        <f t="shared" si="29"/>
        <v>187.65600000000001</v>
      </c>
      <c r="AW332" s="65">
        <f t="shared" si="30"/>
        <v>4385.8500000000004</v>
      </c>
      <c r="AX332" s="65">
        <f t="shared" si="30"/>
        <v>4472.2020000000002</v>
      </c>
      <c r="AY332" s="65">
        <f t="shared" si="26"/>
        <v>0</v>
      </c>
      <c r="AZ332" s="19">
        <v>47996</v>
      </c>
      <c r="BA332" s="19">
        <v>51457</v>
      </c>
      <c r="BB332" s="19">
        <v>43684</v>
      </c>
      <c r="BC332" s="19">
        <v>5810</v>
      </c>
      <c r="BD332" s="19">
        <v>798</v>
      </c>
      <c r="BE332" s="62"/>
      <c r="BF332" s="62"/>
      <c r="BG332" s="62"/>
      <c r="BH332" s="62"/>
      <c r="BI332" s="67">
        <v>31.82</v>
      </c>
      <c r="BJ332" s="67">
        <v>0.82</v>
      </c>
      <c r="BK332" s="67">
        <v>0.8</v>
      </c>
      <c r="BL332" s="67">
        <v>1.0900000000000001</v>
      </c>
      <c r="BM332" s="62"/>
      <c r="BN332" s="62"/>
      <c r="BO332" s="62"/>
      <c r="BP332" s="62"/>
      <c r="BQ332" s="62"/>
      <c r="BR332" s="62"/>
      <c r="BS332" s="62"/>
      <c r="BT332" s="62"/>
      <c r="BU332" s="62"/>
      <c r="BV332" s="62"/>
      <c r="BW332" s="62"/>
      <c r="BX332" s="62"/>
      <c r="BY332" s="62"/>
      <c r="BZ332" s="62"/>
      <c r="CA332" s="62"/>
      <c r="CB332" s="62"/>
      <c r="CC332" s="62"/>
      <c r="CD332" s="62"/>
      <c r="CE332" s="62"/>
      <c r="CF332" s="62"/>
      <c r="CG332" s="62"/>
      <c r="CH332" s="62"/>
      <c r="CI332" s="62"/>
      <c r="CJ332" s="62"/>
      <c r="CK332" s="62"/>
      <c r="CL332" s="62"/>
      <c r="CM332" s="62"/>
      <c r="CN332" s="62"/>
      <c r="CO332" s="62"/>
      <c r="CP332" s="62"/>
      <c r="CQ332" s="62"/>
      <c r="CR332" s="62"/>
      <c r="CS332" s="62"/>
      <c r="CT332" s="62"/>
      <c r="CU332" s="62"/>
      <c r="CV332" s="62"/>
      <c r="CW332" s="62"/>
      <c r="CX332" s="62"/>
      <c r="CY332" s="62"/>
      <c r="CZ332" s="62"/>
      <c r="DA332" s="62"/>
      <c r="DB332" s="62"/>
      <c r="DC332" s="62"/>
      <c r="DD332" s="62"/>
      <c r="DE332" s="62"/>
      <c r="DF332" s="62"/>
      <c r="DG332" s="62"/>
      <c r="DH332" s="62"/>
      <c r="DI332" s="62"/>
      <c r="DJ332" s="62"/>
      <c r="DK332" s="62"/>
      <c r="DL332" s="62"/>
    </row>
    <row r="333" spans="1:116" hidden="1" x14ac:dyDescent="0.2">
      <c r="A333" s="57">
        <v>36708</v>
      </c>
      <c r="B333" s="58"/>
      <c r="C333" s="66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6"/>
      <c r="P333" s="61"/>
      <c r="Q333" s="62"/>
      <c r="R333" s="62"/>
      <c r="S333" s="62"/>
      <c r="T333" s="62"/>
      <c r="U333" s="62"/>
      <c r="V333" s="62"/>
      <c r="W333" s="62"/>
      <c r="X333" s="62"/>
      <c r="Y333" s="61"/>
      <c r="Z333" s="63"/>
      <c r="AA333" s="64" t="e">
        <v>#N/A</v>
      </c>
      <c r="AB333" s="62" t="e">
        <v>#N/A</v>
      </c>
      <c r="AC333" s="62" t="e">
        <v>#N/A</v>
      </c>
      <c r="AD333" s="62" t="e">
        <v>#N/A</v>
      </c>
      <c r="AE333" s="62" t="e">
        <v>#N/A</v>
      </c>
      <c r="AF333" s="62" t="e">
        <v>#N/A</v>
      </c>
      <c r="AG333" s="62" t="e">
        <v>#N/A</v>
      </c>
      <c r="AH333" s="62" t="e">
        <v>#N/A</v>
      </c>
      <c r="AI333" s="62" t="e">
        <v>#N/A</v>
      </c>
      <c r="AJ333" s="62" t="e">
        <v>#N/A</v>
      </c>
      <c r="AK333" s="64" t="e">
        <v>#N/A</v>
      </c>
      <c r="AL333" s="19">
        <v>109133</v>
      </c>
      <c r="AM333" s="19">
        <v>104430</v>
      </c>
      <c r="AN333" s="23">
        <v>6181</v>
      </c>
      <c r="AO333" s="19">
        <v>112746</v>
      </c>
      <c r="AP333" s="19">
        <v>4100</v>
      </c>
      <c r="AQ333" s="62"/>
      <c r="AR333" s="63"/>
      <c r="AS333" s="63"/>
      <c r="AT333" s="65">
        <f t="shared" si="27"/>
        <v>4735.3320000000003</v>
      </c>
      <c r="AU333" s="65">
        <f t="shared" si="28"/>
        <v>259.60199999999998</v>
      </c>
      <c r="AV333" s="65">
        <f t="shared" si="29"/>
        <v>172.2</v>
      </c>
      <c r="AW333" s="65">
        <f t="shared" si="30"/>
        <v>4583.5860000000002</v>
      </c>
      <c r="AX333" s="65">
        <f t="shared" si="30"/>
        <v>4386.0600000000004</v>
      </c>
      <c r="AY333" s="65">
        <f t="shared" si="26"/>
        <v>0</v>
      </c>
      <c r="AZ333" s="19">
        <v>51130</v>
      </c>
      <c r="BA333" s="19">
        <v>55145</v>
      </c>
      <c r="BB333" s="19">
        <v>42900</v>
      </c>
      <c r="BC333" s="19">
        <v>3872</v>
      </c>
      <c r="BD333" s="19">
        <v>641</v>
      </c>
      <c r="BE333" s="62"/>
      <c r="BF333" s="62"/>
      <c r="BG333" s="62"/>
      <c r="BH333" s="62"/>
      <c r="BI333" s="67">
        <v>29.7</v>
      </c>
      <c r="BJ333" s="67">
        <v>0.84</v>
      </c>
      <c r="BK333" s="67">
        <v>0.84</v>
      </c>
      <c r="BL333" s="67">
        <v>0.99</v>
      </c>
      <c r="BM333" s="62"/>
      <c r="BN333" s="62"/>
      <c r="BO333" s="62"/>
      <c r="BP333" s="62"/>
      <c r="BQ333" s="62"/>
      <c r="BR333" s="62"/>
      <c r="BS333" s="62"/>
      <c r="BT333" s="62"/>
      <c r="BU333" s="62"/>
      <c r="BV333" s="62"/>
      <c r="BW333" s="62"/>
      <c r="BX333" s="62"/>
      <c r="BY333" s="62"/>
      <c r="BZ333" s="62"/>
      <c r="CA333" s="62"/>
      <c r="CB333" s="62"/>
      <c r="CC333" s="62"/>
      <c r="CD333" s="62"/>
      <c r="CE333" s="62"/>
      <c r="CF333" s="62"/>
      <c r="CG333" s="62"/>
      <c r="CH333" s="62"/>
      <c r="CI333" s="62"/>
      <c r="CJ333" s="62"/>
      <c r="CK333" s="62"/>
      <c r="CL333" s="62"/>
      <c r="CM333" s="62"/>
      <c r="CN333" s="62"/>
      <c r="CO333" s="62"/>
      <c r="CP333" s="62"/>
      <c r="CQ333" s="62"/>
      <c r="CR333" s="62"/>
      <c r="CS333" s="62"/>
      <c r="CT333" s="62"/>
      <c r="CU333" s="62"/>
      <c r="CV333" s="62"/>
      <c r="CW333" s="62"/>
      <c r="CX333" s="62"/>
      <c r="CY333" s="62"/>
      <c r="CZ333" s="62"/>
      <c r="DA333" s="62"/>
      <c r="DB333" s="62"/>
      <c r="DC333" s="62"/>
      <c r="DD333" s="62"/>
      <c r="DE333" s="62"/>
      <c r="DF333" s="62"/>
      <c r="DG333" s="62"/>
      <c r="DH333" s="62"/>
      <c r="DI333" s="62"/>
      <c r="DJ333" s="62"/>
      <c r="DK333" s="62"/>
      <c r="DL333" s="62"/>
    </row>
    <row r="334" spans="1:116" hidden="1" x14ac:dyDescent="0.2">
      <c r="A334" s="57">
        <v>36739</v>
      </c>
      <c r="B334" s="58"/>
      <c r="C334" s="66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6"/>
      <c r="P334" s="61"/>
      <c r="Q334" s="62"/>
      <c r="R334" s="62"/>
      <c r="S334" s="62"/>
      <c r="T334" s="62"/>
      <c r="U334" s="62"/>
      <c r="V334" s="62"/>
      <c r="W334" s="62"/>
      <c r="X334" s="62"/>
      <c r="Y334" s="61"/>
      <c r="Z334" s="63"/>
      <c r="AA334" s="64" t="e">
        <v>#N/A</v>
      </c>
      <c r="AB334" s="62" t="e">
        <v>#N/A</v>
      </c>
      <c r="AC334" s="62" t="e">
        <v>#N/A</v>
      </c>
      <c r="AD334" s="62" t="e">
        <v>#N/A</v>
      </c>
      <c r="AE334" s="62" t="e">
        <v>#N/A</v>
      </c>
      <c r="AF334" s="62" t="e">
        <v>#N/A</v>
      </c>
      <c r="AG334" s="62" t="e">
        <v>#N/A</v>
      </c>
      <c r="AH334" s="62" t="e">
        <v>#N/A</v>
      </c>
      <c r="AI334" s="62" t="e">
        <v>#N/A</v>
      </c>
      <c r="AJ334" s="62" t="e">
        <v>#N/A</v>
      </c>
      <c r="AK334" s="64" t="e">
        <v>#N/A</v>
      </c>
      <c r="AL334" s="19">
        <v>114021</v>
      </c>
      <c r="AM334" s="19">
        <v>115507</v>
      </c>
      <c r="AN334" s="23">
        <v>7251</v>
      </c>
      <c r="AO334" s="19">
        <v>110674</v>
      </c>
      <c r="AP334" s="19">
        <v>7837</v>
      </c>
      <c r="AQ334" s="62"/>
      <c r="AR334" s="63"/>
      <c r="AS334" s="63"/>
      <c r="AT334" s="65">
        <f t="shared" si="27"/>
        <v>4648.308</v>
      </c>
      <c r="AU334" s="65">
        <f t="shared" si="28"/>
        <v>304.54199999999997</v>
      </c>
      <c r="AV334" s="65">
        <f t="shared" si="29"/>
        <v>329.154</v>
      </c>
      <c r="AW334" s="65">
        <f t="shared" si="30"/>
        <v>4788.8819999999996</v>
      </c>
      <c r="AX334" s="65">
        <f t="shared" si="30"/>
        <v>4851.2939999999999</v>
      </c>
      <c r="AY334" s="65">
        <f t="shared" si="26"/>
        <v>0</v>
      </c>
      <c r="AZ334" s="19">
        <v>50717</v>
      </c>
      <c r="BA334" s="19">
        <v>57223</v>
      </c>
      <c r="BB334" s="19">
        <v>42651</v>
      </c>
      <c r="BC334" s="19">
        <v>6840</v>
      </c>
      <c r="BD334" s="19">
        <v>583</v>
      </c>
      <c r="BE334" s="62"/>
      <c r="BF334" s="62"/>
      <c r="BG334" s="62"/>
      <c r="BH334" s="62"/>
      <c r="BI334" s="67">
        <v>31.26</v>
      </c>
      <c r="BJ334" s="67">
        <v>0.92</v>
      </c>
      <c r="BK334" s="67">
        <v>0.89</v>
      </c>
      <c r="BL334" s="67">
        <v>0.97</v>
      </c>
      <c r="BM334" s="62"/>
      <c r="BN334" s="62"/>
      <c r="BO334" s="62"/>
      <c r="BP334" s="62"/>
      <c r="BQ334" s="62"/>
      <c r="BR334" s="62"/>
      <c r="BS334" s="62"/>
      <c r="BT334" s="62"/>
      <c r="BU334" s="62"/>
      <c r="BV334" s="62"/>
      <c r="BW334" s="62"/>
      <c r="BX334" s="62"/>
      <c r="BY334" s="62"/>
      <c r="BZ334" s="62"/>
      <c r="CA334" s="62"/>
      <c r="CB334" s="62"/>
      <c r="CC334" s="62"/>
      <c r="CD334" s="62"/>
      <c r="CE334" s="62"/>
      <c r="CF334" s="62"/>
      <c r="CG334" s="62"/>
      <c r="CH334" s="62"/>
      <c r="CI334" s="62"/>
      <c r="CJ334" s="62"/>
      <c r="CK334" s="62"/>
      <c r="CL334" s="62"/>
      <c r="CM334" s="62"/>
      <c r="CN334" s="62"/>
      <c r="CO334" s="62"/>
      <c r="CP334" s="62"/>
      <c r="CQ334" s="62"/>
      <c r="CR334" s="62"/>
      <c r="CS334" s="62"/>
      <c r="CT334" s="62"/>
      <c r="CU334" s="62"/>
      <c r="CV334" s="62"/>
      <c r="CW334" s="62"/>
      <c r="CX334" s="62"/>
      <c r="CY334" s="62"/>
      <c r="CZ334" s="62"/>
      <c r="DA334" s="62"/>
      <c r="DB334" s="62"/>
      <c r="DC334" s="62"/>
      <c r="DD334" s="62"/>
      <c r="DE334" s="62"/>
      <c r="DF334" s="62"/>
      <c r="DG334" s="62"/>
      <c r="DH334" s="62"/>
      <c r="DI334" s="62"/>
      <c r="DJ334" s="62"/>
      <c r="DK334" s="62"/>
      <c r="DL334" s="62"/>
    </row>
    <row r="335" spans="1:116" hidden="1" x14ac:dyDescent="0.2">
      <c r="A335" s="57">
        <v>36770</v>
      </c>
      <c r="B335" s="58"/>
      <c r="C335" s="66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6"/>
      <c r="P335" s="61"/>
      <c r="Q335" s="62"/>
      <c r="R335" s="62"/>
      <c r="S335" s="62"/>
      <c r="T335" s="62"/>
      <c r="U335" s="62"/>
      <c r="V335" s="62"/>
      <c r="W335" s="62"/>
      <c r="X335" s="62"/>
      <c r="Y335" s="61"/>
      <c r="Z335" s="63"/>
      <c r="AA335" s="64" t="e">
        <v>#N/A</v>
      </c>
      <c r="AB335" s="62" t="e">
        <v>#N/A</v>
      </c>
      <c r="AC335" s="62" t="e">
        <v>#N/A</v>
      </c>
      <c r="AD335" s="62" t="e">
        <v>#N/A</v>
      </c>
      <c r="AE335" s="62" t="e">
        <v>#N/A</v>
      </c>
      <c r="AF335" s="62" t="e">
        <v>#N/A</v>
      </c>
      <c r="AG335" s="62" t="e">
        <v>#N/A</v>
      </c>
      <c r="AH335" s="62" t="e">
        <v>#N/A</v>
      </c>
      <c r="AI335" s="62" t="e">
        <v>#N/A</v>
      </c>
      <c r="AJ335" s="62" t="e">
        <v>#N/A</v>
      </c>
      <c r="AK335" s="64" t="e">
        <v>#N/A</v>
      </c>
      <c r="AL335" s="19">
        <v>115326</v>
      </c>
      <c r="AM335" s="19">
        <v>113581</v>
      </c>
      <c r="AN335" s="23">
        <v>8476</v>
      </c>
      <c r="AO335" s="19">
        <v>115081</v>
      </c>
      <c r="AP335" s="19">
        <v>5814</v>
      </c>
      <c r="AQ335" s="62"/>
      <c r="AR335" s="63"/>
      <c r="AS335" s="63"/>
      <c r="AT335" s="65">
        <f t="shared" si="27"/>
        <v>4833.402</v>
      </c>
      <c r="AU335" s="65">
        <f t="shared" si="28"/>
        <v>355.99200000000002</v>
      </c>
      <c r="AV335" s="65">
        <f t="shared" si="29"/>
        <v>244.18799999999999</v>
      </c>
      <c r="AW335" s="65">
        <f t="shared" si="30"/>
        <v>4843.692</v>
      </c>
      <c r="AX335" s="65">
        <f t="shared" si="30"/>
        <v>4770.402</v>
      </c>
      <c r="AY335" s="65">
        <f t="shared" si="26"/>
        <v>0</v>
      </c>
      <c r="AZ335" s="19">
        <v>49300</v>
      </c>
      <c r="BA335" s="19">
        <v>52488</v>
      </c>
      <c r="BB335" s="19">
        <v>42282</v>
      </c>
      <c r="BC335" s="19">
        <v>3827</v>
      </c>
      <c r="BD335" s="19">
        <v>1008</v>
      </c>
      <c r="BE335" s="62"/>
      <c r="BF335" s="62"/>
      <c r="BG335" s="62"/>
      <c r="BH335" s="62"/>
      <c r="BI335" s="67">
        <v>33.880000000000003</v>
      </c>
      <c r="BJ335" s="67">
        <v>1.05</v>
      </c>
      <c r="BK335" s="67">
        <v>1.06</v>
      </c>
      <c r="BL335" s="67">
        <v>1.05</v>
      </c>
      <c r="BM335" s="62"/>
      <c r="BN335" s="62"/>
      <c r="BO335" s="62"/>
      <c r="BP335" s="62"/>
      <c r="BQ335" s="62"/>
      <c r="BR335" s="62"/>
      <c r="BS335" s="62"/>
      <c r="BT335" s="62"/>
      <c r="BU335" s="62"/>
      <c r="BV335" s="62"/>
      <c r="BW335" s="62"/>
      <c r="BX335" s="62"/>
      <c r="BY335" s="62"/>
      <c r="BZ335" s="62"/>
      <c r="CA335" s="62"/>
      <c r="CB335" s="62"/>
      <c r="CC335" s="62"/>
      <c r="CD335" s="62"/>
      <c r="CE335" s="62"/>
      <c r="CF335" s="62"/>
      <c r="CG335" s="62"/>
      <c r="CH335" s="62"/>
      <c r="CI335" s="62"/>
      <c r="CJ335" s="62"/>
      <c r="CK335" s="62"/>
      <c r="CL335" s="62"/>
      <c r="CM335" s="62"/>
      <c r="CN335" s="62"/>
      <c r="CO335" s="62"/>
      <c r="CP335" s="62"/>
      <c r="CQ335" s="62"/>
      <c r="CR335" s="62"/>
      <c r="CS335" s="62"/>
      <c r="CT335" s="62"/>
      <c r="CU335" s="62"/>
      <c r="CV335" s="62"/>
      <c r="CW335" s="62"/>
      <c r="CX335" s="62"/>
      <c r="CY335" s="62"/>
      <c r="CZ335" s="62"/>
      <c r="DA335" s="62"/>
      <c r="DB335" s="62"/>
      <c r="DC335" s="62"/>
      <c r="DD335" s="62"/>
      <c r="DE335" s="62"/>
      <c r="DF335" s="62"/>
      <c r="DG335" s="62"/>
      <c r="DH335" s="62"/>
      <c r="DI335" s="62"/>
      <c r="DJ335" s="62"/>
      <c r="DK335" s="62"/>
      <c r="DL335" s="62"/>
    </row>
    <row r="336" spans="1:116" hidden="1" x14ac:dyDescent="0.2">
      <c r="A336" s="57">
        <v>36800</v>
      </c>
      <c r="B336" s="58"/>
      <c r="C336" s="66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6"/>
      <c r="P336" s="61"/>
      <c r="Q336" s="62"/>
      <c r="R336" s="62"/>
      <c r="S336" s="62"/>
      <c r="T336" s="62"/>
      <c r="U336" s="62"/>
      <c r="V336" s="62"/>
      <c r="W336" s="62"/>
      <c r="X336" s="62"/>
      <c r="Y336" s="61"/>
      <c r="Z336" s="63"/>
      <c r="AA336" s="64" t="e">
        <v>#N/A</v>
      </c>
      <c r="AB336" s="62" t="e">
        <v>#N/A</v>
      </c>
      <c r="AC336" s="62" t="e">
        <v>#N/A</v>
      </c>
      <c r="AD336" s="62" t="e">
        <v>#N/A</v>
      </c>
      <c r="AE336" s="62" t="e">
        <v>#N/A</v>
      </c>
      <c r="AF336" s="62" t="e">
        <v>#N/A</v>
      </c>
      <c r="AG336" s="62" t="e">
        <v>#N/A</v>
      </c>
      <c r="AH336" s="62" t="e">
        <v>#N/A</v>
      </c>
      <c r="AI336" s="62" t="e">
        <v>#N/A</v>
      </c>
      <c r="AJ336" s="62" t="e">
        <v>#N/A</v>
      </c>
      <c r="AK336" s="64" t="e">
        <v>#N/A</v>
      </c>
      <c r="AL336" s="19">
        <v>116993</v>
      </c>
      <c r="AM336" s="19">
        <v>115083</v>
      </c>
      <c r="AN336" s="23">
        <v>8024</v>
      </c>
      <c r="AO336" s="19">
        <v>117119</v>
      </c>
      <c r="AP336" s="19">
        <v>7896</v>
      </c>
      <c r="AQ336" s="62"/>
      <c r="AR336" s="63"/>
      <c r="AS336" s="63"/>
      <c r="AT336" s="65">
        <f t="shared" si="27"/>
        <v>4918.9979999999996</v>
      </c>
      <c r="AU336" s="65">
        <f t="shared" si="28"/>
        <v>337.00799999999998</v>
      </c>
      <c r="AV336" s="65">
        <f t="shared" si="29"/>
        <v>331.63200000000001</v>
      </c>
      <c r="AW336" s="65">
        <f t="shared" si="30"/>
        <v>4913.7060000000001</v>
      </c>
      <c r="AX336" s="65">
        <f t="shared" si="30"/>
        <v>4833.4859999999999</v>
      </c>
      <c r="AY336" s="65">
        <f t="shared" si="26"/>
        <v>0</v>
      </c>
      <c r="AZ336" s="19">
        <v>50992</v>
      </c>
      <c r="BA336" s="19">
        <v>55122</v>
      </c>
      <c r="BB336" s="19">
        <v>42626</v>
      </c>
      <c r="BC336" s="19">
        <v>5763</v>
      </c>
      <c r="BD336" s="19">
        <v>1289</v>
      </c>
      <c r="BE336" s="62"/>
      <c r="BF336" s="62"/>
      <c r="BG336" s="62"/>
      <c r="BH336" s="62"/>
      <c r="BI336" s="67">
        <v>33.11</v>
      </c>
      <c r="BJ336" s="67">
        <v>1.04</v>
      </c>
      <c r="BK336" s="67">
        <v>1.04</v>
      </c>
      <c r="BL336" s="67">
        <v>1.02</v>
      </c>
      <c r="BM336" s="62"/>
      <c r="BN336" s="62"/>
      <c r="BO336" s="62"/>
      <c r="BP336" s="62"/>
      <c r="BQ336" s="62"/>
      <c r="BR336" s="62"/>
      <c r="BS336" s="62"/>
      <c r="BT336" s="62"/>
      <c r="BU336" s="62"/>
      <c r="BV336" s="62"/>
      <c r="BW336" s="62"/>
      <c r="BX336" s="62"/>
      <c r="BY336" s="62"/>
      <c r="BZ336" s="62"/>
      <c r="CA336" s="62"/>
      <c r="CB336" s="62"/>
      <c r="CC336" s="62"/>
      <c r="CD336" s="62"/>
      <c r="CE336" s="62"/>
      <c r="CF336" s="62"/>
      <c r="CG336" s="62"/>
      <c r="CH336" s="62"/>
      <c r="CI336" s="62"/>
      <c r="CJ336" s="62"/>
      <c r="CK336" s="62"/>
      <c r="CL336" s="62"/>
      <c r="CM336" s="62"/>
      <c r="CN336" s="62"/>
      <c r="CO336" s="62"/>
      <c r="CP336" s="62"/>
      <c r="CQ336" s="62"/>
      <c r="CR336" s="62"/>
      <c r="CS336" s="62"/>
      <c r="CT336" s="62"/>
      <c r="CU336" s="62"/>
      <c r="CV336" s="62"/>
      <c r="CW336" s="62"/>
      <c r="CX336" s="62"/>
      <c r="CY336" s="62"/>
      <c r="CZ336" s="62"/>
      <c r="DA336" s="62"/>
      <c r="DB336" s="62"/>
      <c r="DC336" s="62"/>
      <c r="DD336" s="62"/>
      <c r="DE336" s="62"/>
      <c r="DF336" s="62"/>
      <c r="DG336" s="62"/>
      <c r="DH336" s="62"/>
      <c r="DI336" s="62"/>
      <c r="DJ336" s="62"/>
      <c r="DK336" s="62"/>
      <c r="DL336" s="62"/>
    </row>
    <row r="337" spans="1:116" hidden="1" x14ac:dyDescent="0.2">
      <c r="A337" s="57">
        <v>36831</v>
      </c>
      <c r="B337" s="58"/>
      <c r="C337" s="66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6"/>
      <c r="P337" s="61"/>
      <c r="Q337" s="62"/>
      <c r="R337" s="62"/>
      <c r="S337" s="62"/>
      <c r="T337" s="62"/>
      <c r="U337" s="62"/>
      <c r="V337" s="62"/>
      <c r="W337" s="62"/>
      <c r="X337" s="62"/>
      <c r="Y337" s="61"/>
      <c r="Z337" s="63"/>
      <c r="AA337" s="64" t="e">
        <v>#N/A</v>
      </c>
      <c r="AB337" s="62" t="e">
        <v>#N/A</v>
      </c>
      <c r="AC337" s="62" t="e">
        <v>#N/A</v>
      </c>
      <c r="AD337" s="62" t="e">
        <v>#N/A</v>
      </c>
      <c r="AE337" s="62" t="e">
        <v>#N/A</v>
      </c>
      <c r="AF337" s="62" t="e">
        <v>#N/A</v>
      </c>
      <c r="AG337" s="62" t="e">
        <v>#N/A</v>
      </c>
      <c r="AH337" s="62" t="e">
        <v>#N/A</v>
      </c>
      <c r="AI337" s="62" t="e">
        <v>#N/A</v>
      </c>
      <c r="AJ337" s="62" t="e">
        <v>#N/A</v>
      </c>
      <c r="AK337" s="64" t="e">
        <v>#N/A</v>
      </c>
      <c r="AL337" s="19">
        <v>113563</v>
      </c>
      <c r="AM337" s="19">
        <v>114858</v>
      </c>
      <c r="AN337" s="23">
        <v>9956</v>
      </c>
      <c r="AO337" s="19">
        <v>120042</v>
      </c>
      <c r="AP337" s="19">
        <v>5738</v>
      </c>
      <c r="AQ337" s="62"/>
      <c r="AR337" s="63"/>
      <c r="AS337" s="63"/>
      <c r="AT337" s="65">
        <f t="shared" si="27"/>
        <v>5041.7640000000001</v>
      </c>
      <c r="AU337" s="65">
        <f t="shared" si="28"/>
        <v>418.15199999999999</v>
      </c>
      <c r="AV337" s="65">
        <f t="shared" si="29"/>
        <v>240.99600000000001</v>
      </c>
      <c r="AW337" s="65">
        <f t="shared" si="30"/>
        <v>4769.6459999999997</v>
      </c>
      <c r="AX337" s="65">
        <f t="shared" si="30"/>
        <v>4824.0360000000001</v>
      </c>
      <c r="AY337" s="65">
        <f t="shared" si="26"/>
        <v>0</v>
      </c>
      <c r="AZ337" s="19">
        <v>48592</v>
      </c>
      <c r="BA337" s="19">
        <v>51877</v>
      </c>
      <c r="BB337" s="19">
        <v>42286</v>
      </c>
      <c r="BC337" s="19">
        <v>4847</v>
      </c>
      <c r="BD337" s="19">
        <v>1902</v>
      </c>
      <c r="BE337" s="62"/>
      <c r="BF337" s="62"/>
      <c r="BG337" s="62"/>
      <c r="BH337" s="62"/>
      <c r="BI337" s="67">
        <v>34.42</v>
      </c>
      <c r="BJ337" s="67">
        <v>1.03</v>
      </c>
      <c r="BK337" s="67">
        <v>1.07</v>
      </c>
      <c r="BL337" s="67">
        <v>1</v>
      </c>
      <c r="BM337" s="62"/>
      <c r="BN337" s="62"/>
      <c r="BO337" s="62"/>
      <c r="BP337" s="62"/>
      <c r="BQ337" s="62"/>
      <c r="BR337" s="62"/>
      <c r="BS337" s="62"/>
      <c r="BT337" s="62"/>
      <c r="BU337" s="62"/>
      <c r="BV337" s="62"/>
      <c r="BW337" s="62"/>
      <c r="BX337" s="62"/>
      <c r="BY337" s="62"/>
      <c r="BZ337" s="62"/>
      <c r="CA337" s="62"/>
      <c r="CB337" s="62"/>
      <c r="CC337" s="62"/>
      <c r="CD337" s="62"/>
      <c r="CE337" s="62"/>
      <c r="CF337" s="62"/>
      <c r="CG337" s="62"/>
      <c r="CH337" s="62"/>
      <c r="CI337" s="62"/>
      <c r="CJ337" s="62"/>
      <c r="CK337" s="62"/>
      <c r="CL337" s="62"/>
      <c r="CM337" s="62"/>
      <c r="CN337" s="62"/>
      <c r="CO337" s="62"/>
      <c r="CP337" s="62"/>
      <c r="CQ337" s="62"/>
      <c r="CR337" s="62"/>
      <c r="CS337" s="62"/>
      <c r="CT337" s="62"/>
      <c r="CU337" s="62"/>
      <c r="CV337" s="62"/>
      <c r="CW337" s="62"/>
      <c r="CX337" s="62"/>
      <c r="CY337" s="62"/>
      <c r="CZ337" s="62"/>
      <c r="DA337" s="62"/>
      <c r="DB337" s="62"/>
      <c r="DC337" s="62"/>
      <c r="DD337" s="62"/>
      <c r="DE337" s="62"/>
      <c r="DF337" s="62"/>
      <c r="DG337" s="62"/>
      <c r="DH337" s="62"/>
      <c r="DI337" s="62"/>
      <c r="DJ337" s="62"/>
      <c r="DK337" s="62"/>
      <c r="DL337" s="62"/>
    </row>
    <row r="338" spans="1:116" hidden="1" x14ac:dyDescent="0.2">
      <c r="A338" s="57">
        <v>36861</v>
      </c>
      <c r="B338" s="58"/>
      <c r="C338" s="66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6"/>
      <c r="P338" s="61"/>
      <c r="Q338" s="62"/>
      <c r="R338" s="62"/>
      <c r="S338" s="62"/>
      <c r="T338" s="62"/>
      <c r="U338" s="62"/>
      <c r="V338" s="62"/>
      <c r="W338" s="62"/>
      <c r="X338" s="62"/>
      <c r="Y338" s="61"/>
      <c r="Z338" s="63"/>
      <c r="AA338" s="64" t="e">
        <v>#N/A</v>
      </c>
      <c r="AB338" s="62" t="e">
        <v>#N/A</v>
      </c>
      <c r="AC338" s="62" t="e">
        <v>#N/A</v>
      </c>
      <c r="AD338" s="62" t="e">
        <v>#N/A</v>
      </c>
      <c r="AE338" s="62" t="e">
        <v>#N/A</v>
      </c>
      <c r="AF338" s="62" t="e">
        <v>#N/A</v>
      </c>
      <c r="AG338" s="62" t="e">
        <v>#N/A</v>
      </c>
      <c r="AH338" s="62" t="e">
        <v>#N/A</v>
      </c>
      <c r="AI338" s="62" t="e">
        <v>#N/A</v>
      </c>
      <c r="AJ338" s="62" t="e">
        <v>#N/A</v>
      </c>
      <c r="AK338" s="64" t="e">
        <v>#N/A</v>
      </c>
      <c r="AL338" s="19">
        <v>120042</v>
      </c>
      <c r="AM338" s="19">
        <v>131735</v>
      </c>
      <c r="AN338" s="23">
        <v>13861</v>
      </c>
      <c r="AO338" s="19">
        <v>118027</v>
      </c>
      <c r="AP338" s="19">
        <v>4183</v>
      </c>
      <c r="AQ338" s="62"/>
      <c r="AR338" s="63"/>
      <c r="AS338" s="63"/>
      <c r="AT338" s="65">
        <f t="shared" si="27"/>
        <v>4957.134</v>
      </c>
      <c r="AU338" s="65">
        <f t="shared" si="28"/>
        <v>582.16200000000003</v>
      </c>
      <c r="AV338" s="65">
        <f t="shared" si="29"/>
        <v>175.68600000000001</v>
      </c>
      <c r="AW338" s="65">
        <f t="shared" si="30"/>
        <v>5041.7640000000001</v>
      </c>
      <c r="AX338" s="65">
        <f t="shared" si="30"/>
        <v>5532.87</v>
      </c>
      <c r="AY338" s="65">
        <f t="shared" si="26"/>
        <v>0</v>
      </c>
      <c r="AZ338" s="19">
        <v>51604</v>
      </c>
      <c r="BA338" s="19">
        <v>55665</v>
      </c>
      <c r="BB338" s="19">
        <v>44409</v>
      </c>
      <c r="BC338" s="19">
        <v>7405</v>
      </c>
      <c r="BD338" s="19">
        <v>1221</v>
      </c>
      <c r="BE338" s="62"/>
      <c r="BF338" s="62"/>
      <c r="BG338" s="62"/>
      <c r="BH338" s="62"/>
      <c r="BI338" s="67">
        <v>28.44</v>
      </c>
      <c r="BJ338" s="67">
        <v>0.94</v>
      </c>
      <c r="BK338" s="67">
        <v>1</v>
      </c>
      <c r="BL338" s="67">
        <v>0.88</v>
      </c>
      <c r="BM338" s="62"/>
      <c r="BN338" s="62"/>
      <c r="BO338" s="62"/>
      <c r="BP338" s="62"/>
      <c r="BQ338" s="62"/>
      <c r="BR338" s="62"/>
      <c r="BS338" s="62"/>
      <c r="BT338" s="62"/>
      <c r="BU338" s="62"/>
      <c r="BV338" s="62"/>
      <c r="BW338" s="62"/>
      <c r="BX338" s="62"/>
      <c r="BY338" s="62"/>
      <c r="BZ338" s="62"/>
      <c r="CA338" s="62"/>
      <c r="CB338" s="62"/>
      <c r="CC338" s="62"/>
      <c r="CD338" s="62"/>
      <c r="CE338" s="62"/>
      <c r="CF338" s="62"/>
      <c r="CG338" s="62"/>
      <c r="CH338" s="62"/>
      <c r="CI338" s="62"/>
      <c r="CJ338" s="62"/>
      <c r="CK338" s="62"/>
      <c r="CL338" s="62"/>
      <c r="CM338" s="62"/>
      <c r="CN338" s="62"/>
      <c r="CO338" s="62"/>
      <c r="CP338" s="62"/>
      <c r="CQ338" s="62"/>
      <c r="CR338" s="62"/>
      <c r="CS338" s="62"/>
      <c r="CT338" s="62"/>
      <c r="CU338" s="62"/>
      <c r="CV338" s="62"/>
      <c r="CW338" s="62"/>
      <c r="CX338" s="62"/>
      <c r="CY338" s="62"/>
      <c r="CZ338" s="62"/>
      <c r="DA338" s="62"/>
      <c r="DB338" s="62"/>
      <c r="DC338" s="62"/>
      <c r="DD338" s="62"/>
      <c r="DE338" s="62"/>
      <c r="DF338" s="62"/>
      <c r="DG338" s="62"/>
      <c r="DH338" s="62"/>
      <c r="DI338" s="62"/>
      <c r="DJ338" s="62"/>
      <c r="DK338" s="62"/>
      <c r="DL338" s="62"/>
    </row>
    <row r="339" spans="1:116" x14ac:dyDescent="0.2">
      <c r="A339" s="57">
        <v>36892</v>
      </c>
      <c r="B339" s="58">
        <v>2001</v>
      </c>
      <c r="C339" s="66">
        <v>9.4E-2</v>
      </c>
      <c r="D339" s="62">
        <v>1E-3</v>
      </c>
      <c r="E339" s="62">
        <v>17.343</v>
      </c>
      <c r="F339" s="62">
        <v>0.72799999999999998</v>
      </c>
      <c r="G339" s="62">
        <v>9.2999999999999999E-2</v>
      </c>
      <c r="H339" s="62">
        <v>2.984</v>
      </c>
      <c r="I339" s="62">
        <v>3.2189999999999999</v>
      </c>
      <c r="J339" s="62">
        <v>-0.23499999999999999</v>
      </c>
      <c r="K339" s="62"/>
      <c r="L339" s="62"/>
      <c r="M339" s="62">
        <v>17.108000000000001</v>
      </c>
      <c r="N339" s="62">
        <v>0.71899999999999997</v>
      </c>
      <c r="O339" s="66">
        <v>9.1999999999999998E-2</v>
      </c>
      <c r="P339" s="61"/>
      <c r="Q339" s="62"/>
      <c r="R339" s="62"/>
      <c r="S339" s="62"/>
      <c r="T339" s="62"/>
      <c r="U339" s="62"/>
      <c r="V339" s="62"/>
      <c r="W339" s="62"/>
      <c r="X339" s="62"/>
      <c r="Y339" s="61"/>
      <c r="Z339" s="63"/>
      <c r="AA339" s="64" t="e">
        <v>#N/A</v>
      </c>
      <c r="AB339" s="62" t="e">
        <v>#N/A</v>
      </c>
      <c r="AC339" s="62" t="e">
        <v>#N/A</v>
      </c>
      <c r="AD339" s="62" t="e">
        <v>#N/A</v>
      </c>
      <c r="AE339" s="62" t="e">
        <v>#N/A</v>
      </c>
      <c r="AF339" s="62" t="e">
        <v>#N/A</v>
      </c>
      <c r="AG339" s="62" t="e">
        <v>#N/A</v>
      </c>
      <c r="AH339" s="62" t="e">
        <v>#N/A</v>
      </c>
      <c r="AI339" s="62" t="e">
        <v>#N/A</v>
      </c>
      <c r="AJ339" s="62" t="e">
        <v>#N/A</v>
      </c>
      <c r="AK339" s="64" t="e">
        <v>#N/A</v>
      </c>
      <c r="AL339" s="19">
        <v>111869</v>
      </c>
      <c r="AM339" s="19">
        <v>134088</v>
      </c>
      <c r="AN339" s="23">
        <v>24474</v>
      </c>
      <c r="AO339" s="19">
        <v>118205</v>
      </c>
      <c r="AP339" s="19">
        <v>2077</v>
      </c>
      <c r="AQ339" s="62"/>
      <c r="AR339" s="63"/>
      <c r="AS339" s="63"/>
      <c r="AT339" s="65">
        <f t="shared" si="27"/>
        <v>4964.6099999999997</v>
      </c>
      <c r="AU339" s="65">
        <f t="shared" si="28"/>
        <v>1027.9079999999999</v>
      </c>
      <c r="AV339" s="65">
        <f t="shared" si="29"/>
        <v>87.233999999999995</v>
      </c>
      <c r="AW339" s="65">
        <f t="shared" si="30"/>
        <v>4698.4979999999996</v>
      </c>
      <c r="AX339" s="65">
        <f t="shared" si="30"/>
        <v>5631.6959999999999</v>
      </c>
      <c r="AY339" s="65">
        <f t="shared" si="26"/>
        <v>0</v>
      </c>
      <c r="AZ339" s="19">
        <v>46739</v>
      </c>
      <c r="BA339" s="19">
        <v>54023</v>
      </c>
      <c r="BB339" s="19">
        <v>43780</v>
      </c>
      <c r="BC339" s="19">
        <v>7494</v>
      </c>
      <c r="BD339" s="19">
        <v>839</v>
      </c>
      <c r="BE339" s="62"/>
      <c r="BF339" s="62"/>
      <c r="BG339" s="62"/>
      <c r="BH339" s="62"/>
      <c r="BI339" s="67">
        <v>29.59</v>
      </c>
      <c r="BJ339" s="67">
        <v>0.91</v>
      </c>
      <c r="BK339" s="67">
        <v>0.88</v>
      </c>
      <c r="BL339" s="67">
        <v>0.94</v>
      </c>
      <c r="BM339" s="62"/>
      <c r="BN339" s="62"/>
      <c r="BO339" s="62"/>
      <c r="BP339" s="62"/>
      <c r="BQ339" s="62"/>
      <c r="BR339" s="62"/>
      <c r="BS339" s="62"/>
      <c r="BT339" s="62"/>
      <c r="BU339" s="62"/>
      <c r="BV339" s="62"/>
      <c r="BW339" s="62"/>
      <c r="BX339" s="62"/>
      <c r="BY339" s="62"/>
      <c r="BZ339" s="62"/>
      <c r="CA339" s="62"/>
      <c r="CB339" s="62"/>
      <c r="CC339" s="62"/>
      <c r="CD339" s="62"/>
      <c r="CE339" s="62"/>
      <c r="CF339" s="62"/>
      <c r="CG339" s="62"/>
      <c r="CH339" s="62"/>
      <c r="CI339" s="62"/>
      <c r="CJ339" s="62"/>
      <c r="CK339" s="62"/>
      <c r="CL339" s="62"/>
      <c r="CM339" s="62"/>
      <c r="CN339" s="62"/>
      <c r="CO339" s="62"/>
      <c r="CP339" s="62"/>
      <c r="CQ339" s="62"/>
      <c r="CR339" s="62"/>
      <c r="CS339" s="62"/>
      <c r="CT339" s="62"/>
      <c r="CU339" s="62"/>
      <c r="CV339" s="62"/>
      <c r="CW339" s="62"/>
      <c r="CX339" s="62"/>
      <c r="CY339" s="62"/>
      <c r="CZ339" s="62"/>
      <c r="DA339" s="62"/>
      <c r="DB339" s="62"/>
      <c r="DC339" s="62"/>
      <c r="DD339" s="62"/>
      <c r="DE339" s="62"/>
      <c r="DF339" s="62"/>
      <c r="DG339" s="62"/>
      <c r="DH339" s="62"/>
      <c r="DI339" s="62"/>
      <c r="DJ339" s="62"/>
      <c r="DK339" s="62"/>
      <c r="DL339" s="62"/>
    </row>
    <row r="340" spans="1:116" x14ac:dyDescent="0.2">
      <c r="A340" s="57">
        <v>36923</v>
      </c>
      <c r="B340" s="58">
        <v>2001</v>
      </c>
      <c r="C340" s="66">
        <v>8.5000000000000006E-2</v>
      </c>
      <c r="D340" s="62">
        <v>1E-3</v>
      </c>
      <c r="E340" s="62">
        <v>15.664999999999999</v>
      </c>
      <c r="F340" s="62">
        <v>0.65800000000000003</v>
      </c>
      <c r="G340" s="62">
        <v>8.4000000000000005E-2</v>
      </c>
      <c r="H340" s="62">
        <v>1.413</v>
      </c>
      <c r="I340" s="62">
        <v>5.1189999999999998</v>
      </c>
      <c r="J340" s="62">
        <v>-3.706</v>
      </c>
      <c r="K340" s="62"/>
      <c r="L340" s="62"/>
      <c r="M340" s="62">
        <v>11.959</v>
      </c>
      <c r="N340" s="62">
        <v>0.502</v>
      </c>
      <c r="O340" s="66">
        <v>6.4000000000000001E-2</v>
      </c>
      <c r="P340" s="61"/>
      <c r="Q340" s="62"/>
      <c r="R340" s="62"/>
      <c r="S340" s="62"/>
      <c r="T340" s="62"/>
      <c r="U340" s="62"/>
      <c r="V340" s="62"/>
      <c r="W340" s="62"/>
      <c r="X340" s="62"/>
      <c r="Y340" s="61"/>
      <c r="Z340" s="63"/>
      <c r="AA340" s="64" t="e">
        <v>#N/A</v>
      </c>
      <c r="AB340" s="62" t="e">
        <v>#N/A</v>
      </c>
      <c r="AC340" s="62" t="e">
        <v>#N/A</v>
      </c>
      <c r="AD340" s="62" t="e">
        <v>#N/A</v>
      </c>
      <c r="AE340" s="62" t="e">
        <v>#N/A</v>
      </c>
      <c r="AF340" s="62" t="e">
        <v>#N/A</v>
      </c>
      <c r="AG340" s="62" t="e">
        <v>#N/A</v>
      </c>
      <c r="AH340" s="62" t="e">
        <v>#N/A</v>
      </c>
      <c r="AI340" s="62" t="e">
        <v>#N/A</v>
      </c>
      <c r="AJ340" s="62" t="e">
        <v>#N/A</v>
      </c>
      <c r="AK340" s="64" t="e">
        <v>#N/A</v>
      </c>
      <c r="AL340" s="19">
        <v>101146</v>
      </c>
      <c r="AM340" s="19">
        <v>117950</v>
      </c>
      <c r="AN340" s="23">
        <v>17771</v>
      </c>
      <c r="AO340" s="19">
        <v>117023</v>
      </c>
      <c r="AP340" s="19">
        <v>2149</v>
      </c>
      <c r="AQ340" s="62"/>
      <c r="AR340" s="63"/>
      <c r="AS340" s="63"/>
      <c r="AT340" s="65">
        <f t="shared" si="27"/>
        <v>4914.9660000000003</v>
      </c>
      <c r="AU340" s="65">
        <f t="shared" si="28"/>
        <v>746.38199999999995</v>
      </c>
      <c r="AV340" s="65">
        <f t="shared" si="29"/>
        <v>90.257999999999996</v>
      </c>
      <c r="AW340" s="65">
        <f t="shared" si="30"/>
        <v>4248.1319999999996</v>
      </c>
      <c r="AX340" s="65">
        <f t="shared" si="30"/>
        <v>4953.8999999999996</v>
      </c>
      <c r="AY340" s="65">
        <f t="shared" si="26"/>
        <v>0</v>
      </c>
      <c r="AZ340" s="19">
        <v>41911</v>
      </c>
      <c r="BA340" s="19">
        <v>49049</v>
      </c>
      <c r="BB340" s="19">
        <v>42648</v>
      </c>
      <c r="BC340" s="19">
        <v>6443</v>
      </c>
      <c r="BD340" s="19">
        <v>437</v>
      </c>
      <c r="BE340" s="62"/>
      <c r="BF340" s="62"/>
      <c r="BG340" s="62"/>
      <c r="BH340" s="62"/>
      <c r="BI340" s="67">
        <v>29.61</v>
      </c>
      <c r="BJ340" s="67">
        <v>0.86</v>
      </c>
      <c r="BK340" s="67">
        <v>0.87</v>
      </c>
      <c r="BL340" s="67">
        <v>0.94</v>
      </c>
      <c r="BM340" s="62"/>
      <c r="BN340" s="62"/>
      <c r="BO340" s="62"/>
      <c r="BP340" s="62"/>
      <c r="BQ340" s="62"/>
      <c r="BR340" s="62"/>
      <c r="BS340" s="62"/>
      <c r="BT340" s="62"/>
      <c r="BU340" s="62"/>
      <c r="BV340" s="62"/>
      <c r="BW340" s="62"/>
      <c r="BX340" s="62"/>
      <c r="BY340" s="62"/>
      <c r="BZ340" s="62"/>
      <c r="CA340" s="62"/>
      <c r="CB340" s="62"/>
      <c r="CC340" s="62"/>
      <c r="CD340" s="62"/>
      <c r="CE340" s="62"/>
      <c r="CF340" s="62"/>
      <c r="CG340" s="62"/>
      <c r="CH340" s="62"/>
      <c r="CI340" s="62"/>
      <c r="CJ340" s="62"/>
      <c r="CK340" s="62"/>
      <c r="CL340" s="62"/>
      <c r="CM340" s="62"/>
      <c r="CN340" s="62"/>
      <c r="CO340" s="62"/>
      <c r="CP340" s="62"/>
      <c r="CQ340" s="62"/>
      <c r="CR340" s="62"/>
      <c r="CS340" s="62"/>
      <c r="CT340" s="62"/>
      <c r="CU340" s="62"/>
      <c r="CV340" s="62"/>
      <c r="CW340" s="62"/>
      <c r="CX340" s="62"/>
      <c r="CY340" s="62"/>
      <c r="CZ340" s="62"/>
      <c r="DA340" s="62"/>
      <c r="DB340" s="62"/>
      <c r="DC340" s="62"/>
      <c r="DD340" s="62"/>
      <c r="DE340" s="62"/>
      <c r="DF340" s="62"/>
      <c r="DG340" s="62"/>
      <c r="DH340" s="62"/>
      <c r="DI340" s="62"/>
      <c r="DJ340" s="62"/>
      <c r="DK340" s="62"/>
      <c r="DL340" s="62"/>
    </row>
    <row r="341" spans="1:116" x14ac:dyDescent="0.2">
      <c r="A341" s="57">
        <v>36951</v>
      </c>
      <c r="B341" s="58">
        <v>2001</v>
      </c>
      <c r="C341" s="66">
        <v>9.4E-2</v>
      </c>
      <c r="D341" s="62">
        <v>1E-3</v>
      </c>
      <c r="E341" s="62">
        <v>17.343</v>
      </c>
      <c r="F341" s="62">
        <v>0.72799999999999998</v>
      </c>
      <c r="G341" s="62">
        <v>9.2999999999999999E-2</v>
      </c>
      <c r="H341" s="62">
        <v>6.9480000000000004</v>
      </c>
      <c r="I341" s="62">
        <v>4.9560000000000004</v>
      </c>
      <c r="J341" s="62">
        <v>1.992</v>
      </c>
      <c r="K341" s="62"/>
      <c r="L341" s="62"/>
      <c r="M341" s="62">
        <v>19.335000000000001</v>
      </c>
      <c r="N341" s="62">
        <v>0.81200000000000006</v>
      </c>
      <c r="O341" s="66">
        <v>0.104</v>
      </c>
      <c r="P341" s="61"/>
      <c r="Q341" s="62"/>
      <c r="R341" s="62"/>
      <c r="S341" s="62"/>
      <c r="T341" s="62"/>
      <c r="U341" s="62"/>
      <c r="V341" s="62"/>
      <c r="W341" s="62"/>
      <c r="X341" s="62"/>
      <c r="Y341" s="61"/>
      <c r="Z341" s="63"/>
      <c r="AA341" s="64" t="e">
        <v>#N/A</v>
      </c>
      <c r="AB341" s="62" t="e">
        <v>#N/A</v>
      </c>
      <c r="AC341" s="62" t="e">
        <v>#N/A</v>
      </c>
      <c r="AD341" s="62" t="e">
        <v>#N/A</v>
      </c>
      <c r="AE341" s="62" t="e">
        <v>#N/A</v>
      </c>
      <c r="AF341" s="62" t="e">
        <v>#N/A</v>
      </c>
      <c r="AG341" s="62" t="e">
        <v>#N/A</v>
      </c>
      <c r="AH341" s="62" t="e">
        <v>#N/A</v>
      </c>
      <c r="AI341" s="62" t="e">
        <v>#N/A</v>
      </c>
      <c r="AJ341" s="62" t="e">
        <v>#N/A</v>
      </c>
      <c r="AK341" s="64" t="e">
        <v>#N/A</v>
      </c>
      <c r="AL341" s="19">
        <v>107982</v>
      </c>
      <c r="AM341" s="19">
        <v>128438</v>
      </c>
      <c r="AN341" s="23">
        <v>10787</v>
      </c>
      <c r="AO341" s="19">
        <v>105021</v>
      </c>
      <c r="AP341" s="19">
        <v>2333</v>
      </c>
      <c r="AQ341" s="62"/>
      <c r="AR341" s="63"/>
      <c r="AS341" s="63"/>
      <c r="AT341" s="65">
        <f t="shared" si="27"/>
        <v>4410.8819999999996</v>
      </c>
      <c r="AU341" s="65">
        <f t="shared" si="28"/>
        <v>453.05399999999997</v>
      </c>
      <c r="AV341" s="65">
        <f t="shared" si="29"/>
        <v>97.986000000000004</v>
      </c>
      <c r="AW341" s="65">
        <f t="shared" si="30"/>
        <v>4535.2439999999997</v>
      </c>
      <c r="AX341" s="65">
        <f t="shared" si="30"/>
        <v>5394.3959999999997</v>
      </c>
      <c r="AY341" s="65">
        <f t="shared" si="26"/>
        <v>0</v>
      </c>
      <c r="AZ341" s="19">
        <v>46879</v>
      </c>
      <c r="BA341" s="19">
        <v>52241</v>
      </c>
      <c r="BB341" s="19">
        <v>40520</v>
      </c>
      <c r="BC341" s="19">
        <v>4496</v>
      </c>
      <c r="BD341" s="19">
        <v>1262</v>
      </c>
      <c r="BE341" s="62"/>
      <c r="BF341" s="62"/>
      <c r="BG341" s="62"/>
      <c r="BH341" s="62"/>
      <c r="BI341" s="67">
        <v>27.25</v>
      </c>
      <c r="BJ341" s="67">
        <v>0.78</v>
      </c>
      <c r="BK341" s="67">
        <v>0.81</v>
      </c>
      <c r="BL341" s="67">
        <v>0.91</v>
      </c>
      <c r="BM341" s="62"/>
      <c r="BN341" s="62"/>
      <c r="BO341" s="62"/>
      <c r="BP341" s="62"/>
      <c r="BQ341" s="62"/>
      <c r="BR341" s="62"/>
      <c r="BS341" s="62"/>
      <c r="BT341" s="62"/>
      <c r="BU341" s="62"/>
      <c r="BV341" s="62"/>
      <c r="BW341" s="62"/>
      <c r="BX341" s="62"/>
      <c r="BY341" s="62"/>
      <c r="BZ341" s="62"/>
      <c r="CA341" s="62"/>
      <c r="CB341" s="62"/>
      <c r="CC341" s="62"/>
      <c r="CD341" s="62"/>
      <c r="CE341" s="62"/>
      <c r="CF341" s="62"/>
      <c r="CG341" s="62"/>
      <c r="CH341" s="62"/>
      <c r="CI341" s="62"/>
      <c r="CJ341" s="62"/>
      <c r="CK341" s="62"/>
      <c r="CL341" s="62"/>
      <c r="CM341" s="62"/>
      <c r="CN341" s="62"/>
      <c r="CO341" s="62"/>
      <c r="CP341" s="62"/>
      <c r="CQ341" s="62"/>
      <c r="CR341" s="62"/>
      <c r="CS341" s="62"/>
      <c r="CT341" s="62"/>
      <c r="CU341" s="62"/>
      <c r="CV341" s="62"/>
      <c r="CW341" s="62"/>
      <c r="CX341" s="62"/>
      <c r="CY341" s="62"/>
      <c r="CZ341" s="62"/>
      <c r="DA341" s="62"/>
      <c r="DB341" s="62"/>
      <c r="DC341" s="62"/>
      <c r="DD341" s="62"/>
      <c r="DE341" s="62"/>
      <c r="DF341" s="62"/>
      <c r="DG341" s="62"/>
      <c r="DH341" s="62"/>
      <c r="DI341" s="62"/>
      <c r="DJ341" s="62"/>
      <c r="DK341" s="62"/>
      <c r="DL341" s="62"/>
    </row>
    <row r="342" spans="1:116" x14ac:dyDescent="0.2">
      <c r="A342" s="57">
        <v>36982</v>
      </c>
      <c r="B342" s="58">
        <v>2001</v>
      </c>
      <c r="C342" s="66">
        <v>9.0999999999999998E-2</v>
      </c>
      <c r="D342" s="62">
        <v>1E-3</v>
      </c>
      <c r="E342" s="62">
        <v>16.783999999999999</v>
      </c>
      <c r="F342" s="62">
        <v>0.70499999999999996</v>
      </c>
      <c r="G342" s="62">
        <v>0.09</v>
      </c>
      <c r="H342" s="62">
        <v>2.1560000000000001</v>
      </c>
      <c r="I342" s="62">
        <v>3.8929999999999998</v>
      </c>
      <c r="J342" s="62">
        <v>-1.736</v>
      </c>
      <c r="K342" s="62"/>
      <c r="L342" s="62"/>
      <c r="M342" s="62">
        <v>15.047000000000001</v>
      </c>
      <c r="N342" s="62">
        <v>0.63200000000000001</v>
      </c>
      <c r="O342" s="66">
        <v>8.1000000000000003E-2</v>
      </c>
      <c r="P342" s="61"/>
      <c r="Q342" s="62"/>
      <c r="R342" s="62"/>
      <c r="S342" s="62"/>
      <c r="T342" s="62"/>
      <c r="U342" s="62"/>
      <c r="V342" s="62"/>
      <c r="W342" s="62"/>
      <c r="X342" s="62"/>
      <c r="Y342" s="61"/>
      <c r="Z342" s="63"/>
      <c r="AA342" s="64" t="e">
        <v>#N/A</v>
      </c>
      <c r="AB342" s="62" t="e">
        <v>#N/A</v>
      </c>
      <c r="AC342" s="62" t="e">
        <v>#N/A</v>
      </c>
      <c r="AD342" s="62" t="e">
        <v>#N/A</v>
      </c>
      <c r="AE342" s="62" t="e">
        <v>#N/A</v>
      </c>
      <c r="AF342" s="62" t="e">
        <v>#N/A</v>
      </c>
      <c r="AG342" s="62" t="e">
        <v>#N/A</v>
      </c>
      <c r="AH342" s="62" t="e">
        <v>#N/A</v>
      </c>
      <c r="AI342" s="62" t="e">
        <v>#N/A</v>
      </c>
      <c r="AJ342" s="62" t="e">
        <v>#N/A</v>
      </c>
      <c r="AK342" s="64" t="e">
        <v>#N/A</v>
      </c>
      <c r="AL342" s="19">
        <v>109490</v>
      </c>
      <c r="AM342" s="19">
        <v>115012</v>
      </c>
      <c r="AN342" s="23">
        <v>8642</v>
      </c>
      <c r="AO342" s="19">
        <v>104945</v>
      </c>
      <c r="AP342" s="19">
        <v>3196</v>
      </c>
      <c r="AQ342" s="62"/>
      <c r="AR342" s="63"/>
      <c r="AS342" s="63"/>
      <c r="AT342" s="65">
        <f t="shared" si="27"/>
        <v>4407.6899999999996</v>
      </c>
      <c r="AU342" s="65">
        <f t="shared" si="28"/>
        <v>362.964</v>
      </c>
      <c r="AV342" s="65">
        <f t="shared" si="29"/>
        <v>134.232</v>
      </c>
      <c r="AW342" s="65">
        <f t="shared" si="30"/>
        <v>4598.58</v>
      </c>
      <c r="AX342" s="65">
        <f t="shared" si="30"/>
        <v>4830.5039999999999</v>
      </c>
      <c r="AY342" s="65">
        <f t="shared" si="26"/>
        <v>0</v>
      </c>
      <c r="AZ342" s="19">
        <v>46420</v>
      </c>
      <c r="BA342" s="19">
        <v>50624</v>
      </c>
      <c r="BB342" s="19">
        <v>40406</v>
      </c>
      <c r="BC342" s="19">
        <v>4596</v>
      </c>
      <c r="BD342" s="19">
        <v>506</v>
      </c>
      <c r="BE342" s="62"/>
      <c r="BF342" s="62"/>
      <c r="BG342" s="62"/>
      <c r="BH342" s="62"/>
      <c r="BI342" s="67">
        <v>27.49</v>
      </c>
      <c r="BJ342" s="67">
        <v>0.83</v>
      </c>
      <c r="BK342" s="67">
        <v>0.8</v>
      </c>
      <c r="BL342" s="67">
        <v>1.06</v>
      </c>
      <c r="BM342" s="62"/>
      <c r="BN342" s="62"/>
      <c r="BO342" s="62"/>
      <c r="BP342" s="62"/>
      <c r="BQ342" s="62"/>
      <c r="BR342" s="62"/>
      <c r="BS342" s="62"/>
      <c r="BT342" s="62"/>
      <c r="BU342" s="62"/>
      <c r="BV342" s="62"/>
      <c r="BW342" s="62"/>
      <c r="BX342" s="62"/>
      <c r="BY342" s="62"/>
      <c r="BZ342" s="62"/>
      <c r="CA342" s="62"/>
      <c r="CB342" s="62"/>
      <c r="CC342" s="62"/>
      <c r="CD342" s="62"/>
      <c r="CE342" s="62"/>
      <c r="CF342" s="62"/>
      <c r="CG342" s="62"/>
      <c r="CH342" s="62"/>
      <c r="CI342" s="62"/>
      <c r="CJ342" s="62"/>
      <c r="CK342" s="62"/>
      <c r="CL342" s="62"/>
      <c r="CM342" s="62"/>
      <c r="CN342" s="62"/>
      <c r="CO342" s="62"/>
      <c r="CP342" s="62"/>
      <c r="CQ342" s="62"/>
      <c r="CR342" s="62"/>
      <c r="CS342" s="62"/>
      <c r="CT342" s="62"/>
      <c r="CU342" s="62"/>
      <c r="CV342" s="62"/>
      <c r="CW342" s="62"/>
      <c r="CX342" s="62"/>
      <c r="CY342" s="62"/>
      <c r="CZ342" s="62"/>
      <c r="DA342" s="62"/>
      <c r="DB342" s="62"/>
      <c r="DC342" s="62"/>
      <c r="DD342" s="62"/>
      <c r="DE342" s="62"/>
      <c r="DF342" s="62"/>
      <c r="DG342" s="62"/>
      <c r="DH342" s="62"/>
      <c r="DI342" s="62"/>
      <c r="DJ342" s="62"/>
      <c r="DK342" s="62"/>
      <c r="DL342" s="62"/>
    </row>
    <row r="343" spans="1:116" x14ac:dyDescent="0.2">
      <c r="A343" s="57">
        <v>37012</v>
      </c>
      <c r="B343" s="58">
        <v>2001</v>
      </c>
      <c r="C343" s="66">
        <v>9.4E-2</v>
      </c>
      <c r="D343" s="62">
        <v>1E-3</v>
      </c>
      <c r="E343" s="62">
        <v>17.343</v>
      </c>
      <c r="F343" s="62">
        <v>0.72799999999999998</v>
      </c>
      <c r="G343" s="62">
        <v>9.2999999999999999E-2</v>
      </c>
      <c r="H343" s="62">
        <v>1.9330000000000001</v>
      </c>
      <c r="I343" s="62">
        <v>2.016</v>
      </c>
      <c r="J343" s="62">
        <v>-8.3000000000000004E-2</v>
      </c>
      <c r="K343" s="62"/>
      <c r="L343" s="62"/>
      <c r="M343" s="62">
        <v>17.260000000000002</v>
      </c>
      <c r="N343" s="62">
        <v>0.72499999999999998</v>
      </c>
      <c r="O343" s="66">
        <v>9.1999999999999998E-2</v>
      </c>
      <c r="P343" s="61"/>
      <c r="Q343" s="62"/>
      <c r="R343" s="62"/>
      <c r="S343" s="62"/>
      <c r="T343" s="62"/>
      <c r="U343" s="62"/>
      <c r="V343" s="62"/>
      <c r="W343" s="62"/>
      <c r="X343" s="62"/>
      <c r="Y343" s="61"/>
      <c r="Z343" s="63"/>
      <c r="AA343" s="64" t="e">
        <v>#N/A</v>
      </c>
      <c r="AB343" s="62" t="e">
        <v>#N/A</v>
      </c>
      <c r="AC343" s="62" t="e">
        <v>#N/A</v>
      </c>
      <c r="AD343" s="62" t="e">
        <v>#N/A</v>
      </c>
      <c r="AE343" s="62" t="e">
        <v>#N/A</v>
      </c>
      <c r="AF343" s="62" t="e">
        <v>#N/A</v>
      </c>
      <c r="AG343" s="62" t="e">
        <v>#N/A</v>
      </c>
      <c r="AH343" s="62" t="e">
        <v>#N/A</v>
      </c>
      <c r="AI343" s="62" t="e">
        <v>#N/A</v>
      </c>
      <c r="AJ343" s="62" t="e">
        <v>#N/A</v>
      </c>
      <c r="AK343" s="64" t="e">
        <v>#N/A</v>
      </c>
      <c r="AL343" s="19">
        <v>113219</v>
      </c>
      <c r="AM343" s="19">
        <v>116132</v>
      </c>
      <c r="AN343" s="23">
        <v>9625</v>
      </c>
      <c r="AO343" s="19">
        <v>107142</v>
      </c>
      <c r="AP343" s="19">
        <v>4515</v>
      </c>
      <c r="AQ343" s="62"/>
      <c r="AR343" s="63"/>
      <c r="AS343" s="63"/>
      <c r="AT343" s="65">
        <f t="shared" si="27"/>
        <v>4499.9639999999999</v>
      </c>
      <c r="AU343" s="65">
        <f t="shared" si="28"/>
        <v>404.25</v>
      </c>
      <c r="AV343" s="65">
        <f t="shared" si="29"/>
        <v>189.63</v>
      </c>
      <c r="AW343" s="65">
        <f t="shared" si="30"/>
        <v>4755.1980000000003</v>
      </c>
      <c r="AX343" s="65">
        <f t="shared" si="30"/>
        <v>4877.5439999999999</v>
      </c>
      <c r="AY343" s="65">
        <f t="shared" si="26"/>
        <v>0</v>
      </c>
      <c r="AZ343" s="19">
        <v>50217</v>
      </c>
      <c r="BA343" s="19">
        <v>53380</v>
      </c>
      <c r="BB343" s="19">
        <v>42143</v>
      </c>
      <c r="BC343" s="19">
        <v>5413</v>
      </c>
      <c r="BD343" s="19">
        <v>513</v>
      </c>
      <c r="BE343" s="62"/>
      <c r="BF343" s="62"/>
      <c r="BG343" s="62"/>
      <c r="BH343" s="62"/>
      <c r="BI343" s="67">
        <v>28.63</v>
      </c>
      <c r="BJ343" s="67">
        <v>0.9</v>
      </c>
      <c r="BK343" s="67">
        <v>0.84</v>
      </c>
      <c r="BL343" s="67">
        <v>1.1499999999999999</v>
      </c>
      <c r="BM343" s="62"/>
      <c r="BN343" s="62"/>
      <c r="BO343" s="62"/>
      <c r="BP343" s="62"/>
      <c r="BQ343" s="62"/>
      <c r="BR343" s="62"/>
      <c r="BS343" s="62"/>
      <c r="BT343" s="62"/>
      <c r="BU343" s="62"/>
      <c r="BV343" s="62"/>
      <c r="BW343" s="62"/>
      <c r="BX343" s="62"/>
      <c r="BY343" s="62"/>
      <c r="BZ343" s="62"/>
      <c r="CA343" s="62"/>
      <c r="CB343" s="62"/>
      <c r="CC343" s="62"/>
      <c r="CD343" s="62"/>
      <c r="CE343" s="62"/>
      <c r="CF343" s="62"/>
      <c r="CG343" s="62"/>
      <c r="CH343" s="62"/>
      <c r="CI343" s="62"/>
      <c r="CJ343" s="62"/>
      <c r="CK343" s="62"/>
      <c r="CL343" s="62"/>
      <c r="CM343" s="62"/>
      <c r="CN343" s="62"/>
      <c r="CO343" s="62"/>
      <c r="CP343" s="62"/>
      <c r="CQ343" s="62"/>
      <c r="CR343" s="62"/>
      <c r="CS343" s="62"/>
      <c r="CT343" s="62"/>
      <c r="CU343" s="62"/>
      <c r="CV343" s="62"/>
      <c r="CW343" s="62"/>
      <c r="CX343" s="62"/>
      <c r="CY343" s="62"/>
      <c r="CZ343" s="62"/>
      <c r="DA343" s="62"/>
      <c r="DB343" s="62"/>
      <c r="DC343" s="62"/>
      <c r="DD343" s="62"/>
      <c r="DE343" s="62"/>
      <c r="DF343" s="62"/>
      <c r="DG343" s="62"/>
      <c r="DH343" s="62"/>
      <c r="DI343" s="62"/>
      <c r="DJ343" s="62"/>
      <c r="DK343" s="62"/>
      <c r="DL343" s="62"/>
    </row>
    <row r="344" spans="1:116" x14ac:dyDescent="0.2">
      <c r="A344" s="57">
        <v>37043</v>
      </c>
      <c r="B344" s="58">
        <v>2001</v>
      </c>
      <c r="C344" s="66">
        <v>9.0999999999999998E-2</v>
      </c>
      <c r="D344" s="62">
        <v>1E-3</v>
      </c>
      <c r="E344" s="62">
        <v>16.783999999999999</v>
      </c>
      <c r="F344" s="62">
        <v>0.70499999999999996</v>
      </c>
      <c r="G344" s="62">
        <v>0.09</v>
      </c>
      <c r="H344" s="62">
        <v>2.8639999999999999</v>
      </c>
      <c r="I344" s="62">
        <v>1.9319999999999999</v>
      </c>
      <c r="J344" s="62">
        <v>0.93100000000000005</v>
      </c>
      <c r="K344" s="62"/>
      <c r="L344" s="62"/>
      <c r="M344" s="62">
        <v>17.715</v>
      </c>
      <c r="N344" s="62">
        <v>0.74399999999999999</v>
      </c>
      <c r="O344" s="66">
        <v>9.5000000000000001E-2</v>
      </c>
      <c r="P344" s="61"/>
      <c r="Q344" s="62"/>
      <c r="R344" s="62"/>
      <c r="S344" s="62"/>
      <c r="T344" s="62"/>
      <c r="U344" s="62"/>
      <c r="V344" s="62"/>
      <c r="W344" s="62"/>
      <c r="X344" s="62"/>
      <c r="Y344" s="61"/>
      <c r="Z344" s="63"/>
      <c r="AA344" s="64" t="e">
        <v>#N/A</v>
      </c>
      <c r="AB344" s="62" t="e">
        <v>#N/A</v>
      </c>
      <c r="AC344" s="62" t="e">
        <v>#N/A</v>
      </c>
      <c r="AD344" s="62" t="e">
        <v>#N/A</v>
      </c>
      <c r="AE344" s="62" t="e">
        <v>#N/A</v>
      </c>
      <c r="AF344" s="62" t="e">
        <v>#N/A</v>
      </c>
      <c r="AG344" s="62" t="e">
        <v>#N/A</v>
      </c>
      <c r="AH344" s="62" t="e">
        <v>#N/A</v>
      </c>
      <c r="AI344" s="62" t="e">
        <v>#N/A</v>
      </c>
      <c r="AJ344" s="62" t="e">
        <v>#N/A</v>
      </c>
      <c r="AK344" s="64" t="e">
        <v>#N/A</v>
      </c>
      <c r="AL344" s="19">
        <v>111053</v>
      </c>
      <c r="AM344" s="19">
        <v>109764</v>
      </c>
      <c r="AN344" s="23">
        <v>9059</v>
      </c>
      <c r="AO344" s="19">
        <v>113877</v>
      </c>
      <c r="AP344" s="19">
        <v>3613</v>
      </c>
      <c r="AQ344" s="62"/>
      <c r="AR344" s="63"/>
      <c r="AS344" s="63"/>
      <c r="AT344" s="65">
        <f t="shared" si="27"/>
        <v>4782.8339999999998</v>
      </c>
      <c r="AU344" s="65">
        <f t="shared" si="28"/>
        <v>380.47800000000001</v>
      </c>
      <c r="AV344" s="65">
        <f t="shared" si="29"/>
        <v>151.74600000000001</v>
      </c>
      <c r="AW344" s="65">
        <f t="shared" si="30"/>
        <v>4664.2259999999997</v>
      </c>
      <c r="AX344" s="65">
        <f t="shared" si="30"/>
        <v>4610.0879999999997</v>
      </c>
      <c r="AY344" s="65">
        <f t="shared" si="26"/>
        <v>0</v>
      </c>
      <c r="AZ344" s="19">
        <v>49096</v>
      </c>
      <c r="BA344" s="19">
        <v>52484</v>
      </c>
      <c r="BB344" s="19">
        <v>43040</v>
      </c>
      <c r="BC344" s="19">
        <v>4829</v>
      </c>
      <c r="BD344" s="19">
        <v>544</v>
      </c>
      <c r="BE344" s="62"/>
      <c r="BF344" s="62"/>
      <c r="BG344" s="62"/>
      <c r="BH344" s="62"/>
      <c r="BI344" s="67">
        <v>27.6</v>
      </c>
      <c r="BJ344" s="67">
        <v>0.85</v>
      </c>
      <c r="BK344" s="67">
        <v>0.84</v>
      </c>
      <c r="BL344" s="67">
        <v>0.98</v>
      </c>
      <c r="BM344" s="62"/>
      <c r="BN344" s="62"/>
      <c r="BO344" s="62"/>
      <c r="BP344" s="62"/>
      <c r="BQ344" s="62"/>
      <c r="BR344" s="62"/>
      <c r="BS344" s="62"/>
      <c r="BT344" s="62"/>
      <c r="BU344" s="62"/>
      <c r="BV344" s="62"/>
      <c r="BW344" s="62"/>
      <c r="BX344" s="62"/>
      <c r="BY344" s="62"/>
      <c r="BZ344" s="62"/>
      <c r="CA344" s="62"/>
      <c r="CB344" s="62"/>
      <c r="CC344" s="62"/>
      <c r="CD344" s="62"/>
      <c r="CE344" s="62"/>
      <c r="CF344" s="62"/>
      <c r="CG344" s="62"/>
      <c r="CH344" s="62"/>
      <c r="CI344" s="62"/>
      <c r="CJ344" s="62"/>
      <c r="CK344" s="62"/>
      <c r="CL344" s="62"/>
      <c r="CM344" s="62"/>
      <c r="CN344" s="62"/>
      <c r="CO344" s="62"/>
      <c r="CP344" s="62"/>
      <c r="CQ344" s="62"/>
      <c r="CR344" s="62"/>
      <c r="CS344" s="62"/>
      <c r="CT344" s="62"/>
      <c r="CU344" s="62"/>
      <c r="CV344" s="62"/>
      <c r="CW344" s="62"/>
      <c r="CX344" s="62"/>
      <c r="CY344" s="62"/>
      <c r="CZ344" s="62"/>
      <c r="DA344" s="62"/>
      <c r="DB344" s="62"/>
      <c r="DC344" s="62"/>
      <c r="DD344" s="62"/>
      <c r="DE344" s="62"/>
      <c r="DF344" s="62"/>
      <c r="DG344" s="62"/>
      <c r="DH344" s="62"/>
      <c r="DI344" s="62"/>
      <c r="DJ344" s="62"/>
      <c r="DK344" s="62"/>
      <c r="DL344" s="62"/>
    </row>
    <row r="345" spans="1:116" x14ac:dyDescent="0.2">
      <c r="A345" s="57">
        <v>37073</v>
      </c>
      <c r="B345" s="58">
        <v>2001</v>
      </c>
      <c r="C345" s="66">
        <v>9.4E-2</v>
      </c>
      <c r="D345" s="62">
        <v>1E-3</v>
      </c>
      <c r="E345" s="62">
        <v>17.343</v>
      </c>
      <c r="F345" s="62">
        <v>0.72799999999999998</v>
      </c>
      <c r="G345" s="62">
        <v>9.2999999999999999E-2</v>
      </c>
      <c r="H345" s="62">
        <v>13.066000000000001</v>
      </c>
      <c r="I345" s="62">
        <v>2.2040000000000002</v>
      </c>
      <c r="J345" s="62">
        <v>10.862</v>
      </c>
      <c r="K345" s="62"/>
      <c r="L345" s="62"/>
      <c r="M345" s="62">
        <v>28.204999999999998</v>
      </c>
      <c r="N345" s="62">
        <v>1.1850000000000001</v>
      </c>
      <c r="O345" s="66">
        <v>0.151</v>
      </c>
      <c r="P345" s="61"/>
      <c r="Q345" s="62"/>
      <c r="R345" s="62"/>
      <c r="S345" s="62"/>
      <c r="T345" s="62"/>
      <c r="U345" s="62"/>
      <c r="V345" s="62"/>
      <c r="W345" s="62"/>
      <c r="X345" s="62"/>
      <c r="Y345" s="61"/>
      <c r="Z345" s="63"/>
      <c r="AA345" s="64" t="e">
        <v>#N/A</v>
      </c>
      <c r="AB345" s="62" t="e">
        <v>#N/A</v>
      </c>
      <c r="AC345" s="62" t="e">
        <v>#N/A</v>
      </c>
      <c r="AD345" s="62" t="e">
        <v>#N/A</v>
      </c>
      <c r="AE345" s="62" t="e">
        <v>#N/A</v>
      </c>
      <c r="AF345" s="62" t="e">
        <v>#N/A</v>
      </c>
      <c r="AG345" s="62" t="e">
        <v>#N/A</v>
      </c>
      <c r="AH345" s="62" t="e">
        <v>#N/A</v>
      </c>
      <c r="AI345" s="62" t="e">
        <v>#N/A</v>
      </c>
      <c r="AJ345" s="62" t="e">
        <v>#N/A</v>
      </c>
      <c r="AK345" s="64" t="e">
        <v>#N/A</v>
      </c>
      <c r="AL345" s="19">
        <v>118949</v>
      </c>
      <c r="AM345" s="19">
        <v>110645</v>
      </c>
      <c r="AN345" s="23">
        <v>6494</v>
      </c>
      <c r="AO345" s="19">
        <v>125176</v>
      </c>
      <c r="AP345" s="19">
        <v>3499</v>
      </c>
      <c r="AQ345" s="62"/>
      <c r="AR345" s="63"/>
      <c r="AS345" s="63"/>
      <c r="AT345" s="65">
        <f t="shared" si="27"/>
        <v>5257.3919999999998</v>
      </c>
      <c r="AU345" s="65">
        <f t="shared" si="28"/>
        <v>272.74799999999999</v>
      </c>
      <c r="AV345" s="65">
        <f t="shared" si="29"/>
        <v>146.958</v>
      </c>
      <c r="AW345" s="65">
        <f t="shared" si="30"/>
        <v>4995.8580000000002</v>
      </c>
      <c r="AX345" s="65">
        <f t="shared" si="30"/>
        <v>4647.09</v>
      </c>
      <c r="AY345" s="65">
        <f t="shared" si="26"/>
        <v>0</v>
      </c>
      <c r="AZ345" s="19">
        <v>50609</v>
      </c>
      <c r="BA345" s="19">
        <v>54646</v>
      </c>
      <c r="BB345" s="19">
        <v>42281</v>
      </c>
      <c r="BC345" s="19">
        <v>4000</v>
      </c>
      <c r="BD345" s="19">
        <v>722</v>
      </c>
      <c r="BE345" s="62"/>
      <c r="BF345" s="62"/>
      <c r="BG345" s="62"/>
      <c r="BH345" s="62"/>
      <c r="BI345" s="67">
        <v>26.43</v>
      </c>
      <c r="BJ345" s="67">
        <v>0.76</v>
      </c>
      <c r="BK345" s="67">
        <v>0.77</v>
      </c>
      <c r="BL345" s="67">
        <v>0.84</v>
      </c>
      <c r="BM345" s="62"/>
      <c r="BN345" s="62"/>
      <c r="BO345" s="62"/>
      <c r="BP345" s="62"/>
      <c r="BQ345" s="62"/>
      <c r="BR345" s="62"/>
      <c r="BS345" s="62"/>
      <c r="BT345" s="62"/>
      <c r="BU345" s="62"/>
      <c r="BV345" s="62"/>
      <c r="BW345" s="62"/>
      <c r="BX345" s="62"/>
      <c r="BY345" s="62"/>
      <c r="BZ345" s="62"/>
      <c r="CA345" s="62"/>
      <c r="CB345" s="62"/>
      <c r="CC345" s="62"/>
      <c r="CD345" s="62"/>
      <c r="CE345" s="62"/>
      <c r="CF345" s="62"/>
      <c r="CG345" s="62"/>
      <c r="CH345" s="62"/>
      <c r="CI345" s="62"/>
      <c r="CJ345" s="62"/>
      <c r="CK345" s="62"/>
      <c r="CL345" s="62"/>
      <c r="CM345" s="62"/>
      <c r="CN345" s="62"/>
      <c r="CO345" s="62"/>
      <c r="CP345" s="62"/>
      <c r="CQ345" s="62"/>
      <c r="CR345" s="62"/>
      <c r="CS345" s="62"/>
      <c r="CT345" s="62"/>
      <c r="CU345" s="62"/>
      <c r="CV345" s="62"/>
      <c r="CW345" s="62"/>
      <c r="CX345" s="62"/>
      <c r="CY345" s="62"/>
      <c r="CZ345" s="62"/>
      <c r="DA345" s="62"/>
      <c r="DB345" s="62"/>
      <c r="DC345" s="62"/>
      <c r="DD345" s="62"/>
      <c r="DE345" s="62"/>
      <c r="DF345" s="62"/>
      <c r="DG345" s="62"/>
      <c r="DH345" s="62"/>
      <c r="DI345" s="62"/>
      <c r="DJ345" s="62"/>
      <c r="DK345" s="62"/>
      <c r="DL345" s="62"/>
    </row>
    <row r="346" spans="1:116" x14ac:dyDescent="0.2">
      <c r="A346" s="57">
        <v>37104</v>
      </c>
      <c r="B346" s="58">
        <v>2001</v>
      </c>
      <c r="C346" s="66">
        <v>9.4E-2</v>
      </c>
      <c r="D346" s="62">
        <v>1E-3</v>
      </c>
      <c r="E346" s="62">
        <v>17.343</v>
      </c>
      <c r="F346" s="62">
        <v>0.72799999999999998</v>
      </c>
      <c r="G346" s="62">
        <v>9.2999999999999999E-2</v>
      </c>
      <c r="H346" s="62">
        <v>2.4089999999999998</v>
      </c>
      <c r="I346" s="62">
        <v>3.0209999999999999</v>
      </c>
      <c r="J346" s="62">
        <v>-0.61199999999999999</v>
      </c>
      <c r="K346" s="62"/>
      <c r="L346" s="62"/>
      <c r="M346" s="62">
        <v>16.731000000000002</v>
      </c>
      <c r="N346" s="62">
        <v>0.70299999999999996</v>
      </c>
      <c r="O346" s="66">
        <v>0.09</v>
      </c>
      <c r="P346" s="61"/>
      <c r="Q346" s="62"/>
      <c r="R346" s="62"/>
      <c r="S346" s="62"/>
      <c r="T346" s="62"/>
      <c r="U346" s="62"/>
      <c r="V346" s="62"/>
      <c r="W346" s="62"/>
      <c r="X346" s="62"/>
      <c r="Y346" s="61"/>
      <c r="Z346" s="63"/>
      <c r="AA346" s="64" t="e">
        <v>#N/A</v>
      </c>
      <c r="AB346" s="62" t="e">
        <v>#N/A</v>
      </c>
      <c r="AC346" s="62" t="e">
        <v>#N/A</v>
      </c>
      <c r="AD346" s="62" t="e">
        <v>#N/A</v>
      </c>
      <c r="AE346" s="62" t="e">
        <v>#N/A</v>
      </c>
      <c r="AF346" s="62" t="e">
        <v>#N/A</v>
      </c>
      <c r="AG346" s="62" t="e">
        <v>#N/A</v>
      </c>
      <c r="AH346" s="62" t="e">
        <v>#N/A</v>
      </c>
      <c r="AI346" s="62" t="e">
        <v>#N/A</v>
      </c>
      <c r="AJ346" s="62" t="e">
        <v>#N/A</v>
      </c>
      <c r="AK346" s="64" t="e">
        <v>#N/A</v>
      </c>
      <c r="AL346" s="19">
        <v>113289</v>
      </c>
      <c r="AM346" s="19">
        <v>118701</v>
      </c>
      <c r="AN346" s="23">
        <v>6565</v>
      </c>
      <c r="AO346" s="19">
        <v>122004</v>
      </c>
      <c r="AP346" s="19">
        <v>4325</v>
      </c>
      <c r="AQ346" s="62"/>
      <c r="AR346" s="63"/>
      <c r="AS346" s="63"/>
      <c r="AT346" s="65">
        <f t="shared" si="27"/>
        <v>5124.1679999999997</v>
      </c>
      <c r="AU346" s="65">
        <f t="shared" si="28"/>
        <v>275.73</v>
      </c>
      <c r="AV346" s="65">
        <f t="shared" si="29"/>
        <v>181.65</v>
      </c>
      <c r="AW346" s="65">
        <f t="shared" si="30"/>
        <v>4758.1379999999999</v>
      </c>
      <c r="AX346" s="65">
        <f t="shared" si="30"/>
        <v>4985.442</v>
      </c>
      <c r="AY346" s="65">
        <f t="shared" si="26"/>
        <v>0</v>
      </c>
      <c r="AZ346" s="19">
        <v>49500</v>
      </c>
      <c r="BA346" s="19">
        <v>53329</v>
      </c>
      <c r="BB346" s="19">
        <v>41528</v>
      </c>
      <c r="BC346" s="19">
        <v>3819</v>
      </c>
      <c r="BD346" s="19">
        <v>743</v>
      </c>
      <c r="BE346" s="62"/>
      <c r="BF346" s="62"/>
      <c r="BG346" s="62"/>
      <c r="BH346" s="62"/>
      <c r="BI346" s="67">
        <v>27.37</v>
      </c>
      <c r="BJ346" s="67">
        <v>0.81</v>
      </c>
      <c r="BK346" s="67">
        <v>0.78</v>
      </c>
      <c r="BL346" s="67">
        <v>0.91</v>
      </c>
      <c r="BM346" s="62"/>
      <c r="BN346" s="62"/>
      <c r="BO346" s="62"/>
      <c r="BP346" s="62"/>
      <c r="BQ346" s="62"/>
      <c r="BR346" s="62"/>
      <c r="BS346" s="62"/>
      <c r="BT346" s="62"/>
      <c r="BU346" s="62"/>
      <c r="BV346" s="62"/>
      <c r="BW346" s="62"/>
      <c r="BX346" s="62"/>
      <c r="BY346" s="62"/>
      <c r="BZ346" s="62"/>
      <c r="CA346" s="62"/>
      <c r="CB346" s="62"/>
      <c r="CC346" s="62"/>
      <c r="CD346" s="62"/>
      <c r="CE346" s="62"/>
      <c r="CF346" s="62"/>
      <c r="CG346" s="62"/>
      <c r="CH346" s="62"/>
      <c r="CI346" s="62"/>
      <c r="CJ346" s="62"/>
      <c r="CK346" s="62"/>
      <c r="CL346" s="62"/>
      <c r="CM346" s="62"/>
      <c r="CN346" s="62"/>
      <c r="CO346" s="62"/>
      <c r="CP346" s="62"/>
      <c r="CQ346" s="62"/>
      <c r="CR346" s="62"/>
      <c r="CS346" s="62"/>
      <c r="CT346" s="62"/>
      <c r="CU346" s="62"/>
      <c r="CV346" s="62"/>
      <c r="CW346" s="62"/>
      <c r="CX346" s="62"/>
      <c r="CY346" s="62"/>
      <c r="CZ346" s="62"/>
      <c r="DA346" s="62"/>
      <c r="DB346" s="62"/>
      <c r="DC346" s="62"/>
      <c r="DD346" s="62"/>
      <c r="DE346" s="62"/>
      <c r="DF346" s="62"/>
      <c r="DG346" s="62"/>
      <c r="DH346" s="62"/>
      <c r="DI346" s="62"/>
      <c r="DJ346" s="62"/>
      <c r="DK346" s="62"/>
      <c r="DL346" s="62"/>
    </row>
    <row r="347" spans="1:116" x14ac:dyDescent="0.2">
      <c r="A347" s="57">
        <v>37135</v>
      </c>
      <c r="B347" s="58">
        <v>2001</v>
      </c>
      <c r="C347" s="66">
        <v>9.0999999999999998E-2</v>
      </c>
      <c r="D347" s="62">
        <v>1E-3</v>
      </c>
      <c r="E347" s="62">
        <v>16.783999999999999</v>
      </c>
      <c r="F347" s="62">
        <v>0.70499999999999996</v>
      </c>
      <c r="G347" s="62">
        <v>0.09</v>
      </c>
      <c r="H347" s="62">
        <v>12.564</v>
      </c>
      <c r="I347" s="62">
        <v>5.1020000000000003</v>
      </c>
      <c r="J347" s="62">
        <v>7.4619999999999997</v>
      </c>
      <c r="K347" s="62"/>
      <c r="L347" s="62"/>
      <c r="M347" s="62">
        <v>24.245999999999999</v>
      </c>
      <c r="N347" s="62">
        <v>1.018</v>
      </c>
      <c r="O347" s="66">
        <v>0.13</v>
      </c>
      <c r="P347" s="61"/>
      <c r="Q347" s="62"/>
      <c r="R347" s="62"/>
      <c r="S347" s="62"/>
      <c r="T347" s="62"/>
      <c r="U347" s="62"/>
      <c r="V347" s="62"/>
      <c r="W347" s="62"/>
      <c r="X347" s="62"/>
      <c r="Y347" s="61"/>
      <c r="Z347" s="63"/>
      <c r="AA347" s="64" t="e">
        <v>#N/A</v>
      </c>
      <c r="AB347" s="62" t="e">
        <v>#N/A</v>
      </c>
      <c r="AC347" s="62" t="e">
        <v>#N/A</v>
      </c>
      <c r="AD347" s="62" t="e">
        <v>#N/A</v>
      </c>
      <c r="AE347" s="62" t="e">
        <v>#N/A</v>
      </c>
      <c r="AF347" s="62" t="e">
        <v>#N/A</v>
      </c>
      <c r="AG347" s="62" t="e">
        <v>#N/A</v>
      </c>
      <c r="AH347" s="62" t="e">
        <v>#N/A</v>
      </c>
      <c r="AI347" s="62" t="e">
        <v>#N/A</v>
      </c>
      <c r="AJ347" s="62" t="e">
        <v>#N/A</v>
      </c>
      <c r="AK347" s="64" t="e">
        <v>#N/A</v>
      </c>
      <c r="AL347" s="19">
        <v>108743</v>
      </c>
      <c r="AM347" s="19">
        <v>108720</v>
      </c>
      <c r="AN347" s="23">
        <v>9511</v>
      </c>
      <c r="AO347" s="19">
        <v>126991</v>
      </c>
      <c r="AP347" s="19">
        <v>4547</v>
      </c>
      <c r="AQ347" s="62"/>
      <c r="AR347" s="63"/>
      <c r="AS347" s="63"/>
      <c r="AT347" s="65">
        <f t="shared" si="27"/>
        <v>5333.6220000000003</v>
      </c>
      <c r="AU347" s="65">
        <f t="shared" si="28"/>
        <v>399.46199999999999</v>
      </c>
      <c r="AV347" s="65">
        <f t="shared" si="29"/>
        <v>190.97399999999999</v>
      </c>
      <c r="AW347" s="65">
        <f t="shared" si="30"/>
        <v>4567.2060000000001</v>
      </c>
      <c r="AX347" s="65">
        <f t="shared" si="30"/>
        <v>4566.24</v>
      </c>
      <c r="AY347" s="65">
        <f t="shared" si="26"/>
        <v>0</v>
      </c>
      <c r="AZ347" s="19">
        <v>42602</v>
      </c>
      <c r="BA347" s="19">
        <v>45756</v>
      </c>
      <c r="BB347" s="19">
        <v>42728</v>
      </c>
      <c r="BC347" s="19">
        <v>4974</v>
      </c>
      <c r="BD347" s="19">
        <v>620</v>
      </c>
      <c r="BE347" s="62"/>
      <c r="BF347" s="62"/>
      <c r="BG347" s="62"/>
      <c r="BH347" s="62"/>
      <c r="BI347" s="67">
        <v>26.2</v>
      </c>
      <c r="BJ347" s="67">
        <v>0.84</v>
      </c>
      <c r="BK347" s="67">
        <v>0.82</v>
      </c>
      <c r="BL347" s="67">
        <v>0.94</v>
      </c>
      <c r="BM347" s="62"/>
      <c r="BN347" s="62"/>
      <c r="BO347" s="62"/>
      <c r="BP347" s="62"/>
      <c r="BQ347" s="62"/>
      <c r="BR347" s="62"/>
      <c r="BS347" s="62"/>
      <c r="BT347" s="62"/>
      <c r="BU347" s="62"/>
      <c r="BV347" s="62"/>
      <c r="BW347" s="62"/>
      <c r="BX347" s="62"/>
      <c r="BY347" s="62"/>
      <c r="BZ347" s="62"/>
      <c r="CA347" s="62"/>
      <c r="CB347" s="62"/>
      <c r="CC347" s="62"/>
      <c r="CD347" s="62"/>
      <c r="CE347" s="62"/>
      <c r="CF347" s="62"/>
      <c r="CG347" s="62"/>
      <c r="CH347" s="62"/>
      <c r="CI347" s="62"/>
      <c r="CJ347" s="62"/>
      <c r="CK347" s="62"/>
      <c r="CL347" s="62"/>
      <c r="CM347" s="62"/>
      <c r="CN347" s="62"/>
      <c r="CO347" s="62"/>
      <c r="CP347" s="62"/>
      <c r="CQ347" s="62"/>
      <c r="CR347" s="62"/>
      <c r="CS347" s="62"/>
      <c r="CT347" s="62"/>
      <c r="CU347" s="62"/>
      <c r="CV347" s="62"/>
      <c r="CW347" s="62"/>
      <c r="CX347" s="62"/>
      <c r="CY347" s="62"/>
      <c r="CZ347" s="62"/>
      <c r="DA347" s="62"/>
      <c r="DB347" s="62"/>
      <c r="DC347" s="62"/>
      <c r="DD347" s="62"/>
      <c r="DE347" s="62"/>
      <c r="DF347" s="62"/>
      <c r="DG347" s="62"/>
      <c r="DH347" s="62"/>
      <c r="DI347" s="62"/>
      <c r="DJ347" s="62"/>
      <c r="DK347" s="62"/>
      <c r="DL347" s="62"/>
    </row>
    <row r="348" spans="1:116" x14ac:dyDescent="0.2">
      <c r="A348" s="57">
        <v>37165</v>
      </c>
      <c r="B348" s="58">
        <v>2001</v>
      </c>
      <c r="C348" s="66">
        <v>9.4E-2</v>
      </c>
      <c r="D348" s="62">
        <v>1E-3</v>
      </c>
      <c r="E348" s="62">
        <v>17.343</v>
      </c>
      <c r="F348" s="62">
        <v>0.72799999999999998</v>
      </c>
      <c r="G348" s="62">
        <v>9.2999999999999999E-2</v>
      </c>
      <c r="H348" s="62">
        <v>13.315</v>
      </c>
      <c r="I348" s="62">
        <v>3.2829999999999999</v>
      </c>
      <c r="J348" s="62">
        <v>10.031000000000001</v>
      </c>
      <c r="K348" s="62"/>
      <c r="L348" s="62"/>
      <c r="M348" s="62">
        <v>27.375</v>
      </c>
      <c r="N348" s="62">
        <v>1.1499999999999999</v>
      </c>
      <c r="O348" s="66">
        <v>0.14699999999999999</v>
      </c>
      <c r="P348" s="61"/>
      <c r="Q348" s="62"/>
      <c r="R348" s="62"/>
      <c r="S348" s="62"/>
      <c r="T348" s="62"/>
      <c r="U348" s="62"/>
      <c r="V348" s="62"/>
      <c r="W348" s="62"/>
      <c r="X348" s="62"/>
      <c r="Y348" s="61"/>
      <c r="Z348" s="63"/>
      <c r="AA348" s="64" t="e">
        <v>#N/A</v>
      </c>
      <c r="AB348" s="62" t="e">
        <v>#N/A</v>
      </c>
      <c r="AC348" s="62" t="e">
        <v>#N/A</v>
      </c>
      <c r="AD348" s="62" t="e">
        <v>#N/A</v>
      </c>
      <c r="AE348" s="62" t="e">
        <v>#N/A</v>
      </c>
      <c r="AF348" s="62" t="e">
        <v>#N/A</v>
      </c>
      <c r="AG348" s="62" t="e">
        <v>#N/A</v>
      </c>
      <c r="AH348" s="62" t="e">
        <v>#N/A</v>
      </c>
      <c r="AI348" s="62" t="e">
        <v>#N/A</v>
      </c>
      <c r="AJ348" s="62" t="e">
        <v>#N/A</v>
      </c>
      <c r="AK348" s="64" t="e">
        <v>#N/A</v>
      </c>
      <c r="AL348" s="19">
        <v>117685</v>
      </c>
      <c r="AM348" s="19">
        <v>120533</v>
      </c>
      <c r="AN348" s="23">
        <v>7856</v>
      </c>
      <c r="AO348" s="19">
        <v>128919</v>
      </c>
      <c r="AP348" s="19">
        <v>3080</v>
      </c>
      <c r="AQ348" s="62"/>
      <c r="AR348" s="63"/>
      <c r="AS348" s="63"/>
      <c r="AT348" s="65">
        <f t="shared" si="27"/>
        <v>5414.598</v>
      </c>
      <c r="AU348" s="65">
        <f t="shared" si="28"/>
        <v>329.952</v>
      </c>
      <c r="AV348" s="65">
        <f t="shared" si="29"/>
        <v>129.36000000000001</v>
      </c>
      <c r="AW348" s="65">
        <f t="shared" si="30"/>
        <v>4942.7700000000004</v>
      </c>
      <c r="AX348" s="65">
        <f t="shared" si="30"/>
        <v>5062.3860000000004</v>
      </c>
      <c r="AY348" s="65">
        <f t="shared" si="26"/>
        <v>0</v>
      </c>
      <c r="AZ348" s="19">
        <v>45190</v>
      </c>
      <c r="BA348" s="19">
        <v>48596</v>
      </c>
      <c r="BB348" s="19">
        <v>40316</v>
      </c>
      <c r="BC348" s="19">
        <v>1960</v>
      </c>
      <c r="BD348" s="19">
        <v>966</v>
      </c>
      <c r="BE348" s="62"/>
      <c r="BF348" s="62"/>
      <c r="BG348" s="62"/>
      <c r="BH348" s="62"/>
      <c r="BI348" s="67">
        <v>22.17</v>
      </c>
      <c r="BJ348" s="67">
        <v>0.71</v>
      </c>
      <c r="BK348" s="67">
        <v>0.68</v>
      </c>
      <c r="BL348" s="67">
        <v>0.74</v>
      </c>
      <c r="BM348" s="62"/>
      <c r="BN348" s="62"/>
      <c r="BO348" s="62"/>
      <c r="BP348" s="62"/>
      <c r="BQ348" s="62"/>
      <c r="BR348" s="62"/>
      <c r="BS348" s="62"/>
      <c r="BT348" s="62"/>
      <c r="BU348" s="62"/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/>
      <c r="CP348" s="62"/>
      <c r="CQ348" s="62"/>
      <c r="CR348" s="62"/>
      <c r="CS348" s="62"/>
      <c r="CT348" s="62"/>
      <c r="CU348" s="62"/>
      <c r="CV348" s="62"/>
      <c r="CW348" s="62"/>
      <c r="CX348" s="62"/>
      <c r="CY348" s="62"/>
      <c r="CZ348" s="62"/>
      <c r="DA348" s="62"/>
      <c r="DB348" s="62"/>
      <c r="DC348" s="62"/>
      <c r="DD348" s="62"/>
      <c r="DE348" s="62"/>
      <c r="DF348" s="62"/>
      <c r="DG348" s="62"/>
      <c r="DH348" s="62"/>
      <c r="DI348" s="62"/>
      <c r="DJ348" s="62"/>
      <c r="DK348" s="62"/>
      <c r="DL348" s="62"/>
    </row>
    <row r="349" spans="1:116" x14ac:dyDescent="0.2">
      <c r="A349" s="57">
        <v>37196</v>
      </c>
      <c r="B349" s="58">
        <v>2001</v>
      </c>
      <c r="C349" s="66">
        <v>9.0999999999999998E-2</v>
      </c>
      <c r="D349" s="62">
        <v>1E-3</v>
      </c>
      <c r="E349" s="62">
        <v>16.783999999999999</v>
      </c>
      <c r="F349" s="62">
        <v>0.70499999999999996</v>
      </c>
      <c r="G349" s="62">
        <v>0.09</v>
      </c>
      <c r="H349" s="62">
        <v>19.273</v>
      </c>
      <c r="I349" s="62">
        <v>3.5129999999999999</v>
      </c>
      <c r="J349" s="62">
        <v>15.759</v>
      </c>
      <c r="K349" s="62"/>
      <c r="L349" s="62"/>
      <c r="M349" s="62">
        <v>32.542999999999999</v>
      </c>
      <c r="N349" s="62">
        <v>1.367</v>
      </c>
      <c r="O349" s="66">
        <v>0.17399999999999999</v>
      </c>
      <c r="P349" s="61"/>
      <c r="Q349" s="62"/>
      <c r="R349" s="62"/>
      <c r="S349" s="62"/>
      <c r="T349" s="62"/>
      <c r="U349" s="62"/>
      <c r="V349" s="62"/>
      <c r="W349" s="62"/>
      <c r="X349" s="62"/>
      <c r="Y349" s="61"/>
      <c r="Z349" s="63"/>
      <c r="AA349" s="64" t="e">
        <v>#N/A</v>
      </c>
      <c r="AB349" s="62" t="e">
        <v>#N/A</v>
      </c>
      <c r="AC349" s="62" t="e">
        <v>#N/A</v>
      </c>
      <c r="AD349" s="62" t="e">
        <v>#N/A</v>
      </c>
      <c r="AE349" s="62" t="e">
        <v>#N/A</v>
      </c>
      <c r="AF349" s="62" t="e">
        <v>#N/A</v>
      </c>
      <c r="AG349" s="62" t="e">
        <v>#N/A</v>
      </c>
      <c r="AH349" s="62" t="e">
        <v>#N/A</v>
      </c>
      <c r="AI349" s="62" t="e">
        <v>#N/A</v>
      </c>
      <c r="AJ349" s="62" t="e">
        <v>#N/A</v>
      </c>
      <c r="AK349" s="64" t="e">
        <v>#N/A</v>
      </c>
      <c r="AL349" s="19">
        <v>119039</v>
      </c>
      <c r="AM349" s="19">
        <v>112376</v>
      </c>
      <c r="AN349" s="23">
        <v>7318</v>
      </c>
      <c r="AO349" s="19">
        <v>138943</v>
      </c>
      <c r="AP349" s="19">
        <v>3957</v>
      </c>
      <c r="AQ349" s="62"/>
      <c r="AR349" s="63"/>
      <c r="AS349" s="63"/>
      <c r="AT349" s="65">
        <f t="shared" si="27"/>
        <v>5835.6059999999998</v>
      </c>
      <c r="AU349" s="65">
        <f t="shared" si="28"/>
        <v>307.35599999999999</v>
      </c>
      <c r="AV349" s="65">
        <f t="shared" si="29"/>
        <v>166.19399999999999</v>
      </c>
      <c r="AW349" s="65">
        <f t="shared" si="30"/>
        <v>4999.6379999999999</v>
      </c>
      <c r="AX349" s="65">
        <f t="shared" si="30"/>
        <v>4719.7920000000004</v>
      </c>
      <c r="AY349" s="65">
        <f t="shared" si="26"/>
        <v>0</v>
      </c>
      <c r="AZ349" s="19">
        <v>41925</v>
      </c>
      <c r="BA349" s="19">
        <v>43325</v>
      </c>
      <c r="BB349" s="19">
        <v>40115</v>
      </c>
      <c r="BC349" s="19">
        <v>3116</v>
      </c>
      <c r="BD349" s="19">
        <v>1917</v>
      </c>
      <c r="BE349" s="62"/>
      <c r="BF349" s="62"/>
      <c r="BG349" s="62"/>
      <c r="BH349" s="62"/>
      <c r="BI349" s="67">
        <v>19.64</v>
      </c>
      <c r="BJ349" s="67">
        <v>0.61</v>
      </c>
      <c r="BK349" s="67">
        <v>0.63</v>
      </c>
      <c r="BL349" s="67">
        <v>0.63</v>
      </c>
      <c r="BM349" s="62"/>
      <c r="BN349" s="62"/>
      <c r="BO349" s="62"/>
      <c r="BP349" s="62"/>
      <c r="BQ349" s="62"/>
      <c r="BR349" s="62"/>
      <c r="BS349" s="62"/>
      <c r="BT349" s="62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62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  <c r="DK349" s="62"/>
      <c r="DL349" s="62"/>
    </row>
    <row r="350" spans="1:116" x14ac:dyDescent="0.2">
      <c r="A350" s="57">
        <v>37226</v>
      </c>
      <c r="B350" s="58">
        <v>2001</v>
      </c>
      <c r="C350" s="66">
        <v>9.4E-2</v>
      </c>
      <c r="D350" s="62">
        <v>1E-3</v>
      </c>
      <c r="E350" s="62">
        <v>17.343</v>
      </c>
      <c r="F350" s="62">
        <v>0.72799999999999998</v>
      </c>
      <c r="G350" s="62">
        <v>9.2999999999999999E-2</v>
      </c>
      <c r="H350" s="62">
        <v>1.998</v>
      </c>
      <c r="I350" s="62">
        <v>2.3879999999999999</v>
      </c>
      <c r="J350" s="62">
        <v>-0.38900000000000001</v>
      </c>
      <c r="K350" s="62"/>
      <c r="L350" s="62"/>
      <c r="M350" s="62">
        <v>16.954000000000001</v>
      </c>
      <c r="N350" s="62">
        <v>0.71199999999999997</v>
      </c>
      <c r="O350" s="66">
        <v>9.0999999999999998E-2</v>
      </c>
      <c r="P350" s="61"/>
      <c r="Q350" s="62"/>
      <c r="R350" s="62"/>
      <c r="S350" s="62"/>
      <c r="T350" s="62"/>
      <c r="U350" s="62"/>
      <c r="V350" s="62"/>
      <c r="W350" s="62"/>
      <c r="X350" s="62"/>
      <c r="Y350" s="61"/>
      <c r="Z350" s="63"/>
      <c r="AA350" s="64" t="e">
        <v>#N/A</v>
      </c>
      <c r="AB350" s="62" t="e">
        <v>#N/A</v>
      </c>
      <c r="AC350" s="62" t="e">
        <v>#N/A</v>
      </c>
      <c r="AD350" s="62" t="e">
        <v>#N/A</v>
      </c>
      <c r="AE350" s="62" t="e">
        <v>#N/A</v>
      </c>
      <c r="AF350" s="62" t="e">
        <v>#N/A</v>
      </c>
      <c r="AG350" s="62" t="e">
        <v>#N/A</v>
      </c>
      <c r="AH350" s="62" t="e">
        <v>#N/A</v>
      </c>
      <c r="AI350" s="62" t="e">
        <v>#N/A</v>
      </c>
      <c r="AJ350" s="62" t="e">
        <v>#N/A</v>
      </c>
      <c r="AK350" s="64" t="e">
        <v>#N/A</v>
      </c>
      <c r="AL350" s="19">
        <v>116061</v>
      </c>
      <c r="AM350" s="19">
        <v>111724</v>
      </c>
      <c r="AN350" s="23">
        <v>7484</v>
      </c>
      <c r="AO350" s="19">
        <v>144513</v>
      </c>
      <c r="AP350" s="19">
        <v>6251</v>
      </c>
      <c r="AQ350" s="62"/>
      <c r="AR350" s="63"/>
      <c r="AS350" s="63"/>
      <c r="AT350" s="65">
        <f t="shared" si="27"/>
        <v>6069.5460000000003</v>
      </c>
      <c r="AU350" s="65">
        <f t="shared" si="28"/>
        <v>314.32799999999997</v>
      </c>
      <c r="AV350" s="65">
        <f t="shared" si="29"/>
        <v>262.54199999999997</v>
      </c>
      <c r="AW350" s="65">
        <f t="shared" si="30"/>
        <v>4874.5619999999999</v>
      </c>
      <c r="AX350" s="65">
        <f t="shared" si="30"/>
        <v>4692.4080000000004</v>
      </c>
      <c r="AY350" s="65">
        <f t="shared" si="26"/>
        <v>0</v>
      </c>
      <c r="AZ350" s="19">
        <v>47142</v>
      </c>
      <c r="BA350" s="19">
        <v>46885</v>
      </c>
      <c r="BB350" s="19">
        <v>41871</v>
      </c>
      <c r="BC350" s="19">
        <v>2925</v>
      </c>
      <c r="BD350" s="19">
        <v>1426</v>
      </c>
      <c r="BE350" s="62"/>
      <c r="BF350" s="62"/>
      <c r="BG350" s="62"/>
      <c r="BH350" s="62"/>
      <c r="BI350" s="67">
        <v>19.39</v>
      </c>
      <c r="BJ350" s="67">
        <v>0.55000000000000004</v>
      </c>
      <c r="BK350" s="67">
        <v>0.56000000000000005</v>
      </c>
      <c r="BL350" s="67">
        <v>0.57999999999999996</v>
      </c>
      <c r="BM350" s="62"/>
      <c r="BN350" s="62"/>
      <c r="BO350" s="62"/>
      <c r="BP350" s="62"/>
      <c r="BQ350" s="62"/>
      <c r="BR350" s="62"/>
      <c r="BS350" s="62"/>
      <c r="BT350" s="62"/>
      <c r="BU350" s="62"/>
      <c r="BV350" s="62"/>
      <c r="BW350" s="62"/>
      <c r="BX350" s="62"/>
      <c r="BY350" s="62"/>
      <c r="BZ350" s="62"/>
      <c r="CA350" s="62"/>
      <c r="CB350" s="62"/>
      <c r="CC350" s="62"/>
      <c r="CD350" s="62"/>
      <c r="CE350" s="62"/>
      <c r="CF350" s="62"/>
      <c r="CG350" s="62"/>
      <c r="CH350" s="62"/>
      <c r="CI350" s="62"/>
      <c r="CJ350" s="62"/>
      <c r="CK350" s="62"/>
      <c r="CL350" s="62"/>
      <c r="CM350" s="62"/>
      <c r="CN350" s="62"/>
      <c r="CO350" s="62"/>
      <c r="CP350" s="62"/>
      <c r="CQ350" s="62"/>
      <c r="CR350" s="62"/>
      <c r="CS350" s="62"/>
      <c r="CT350" s="62"/>
      <c r="CU350" s="62"/>
      <c r="CV350" s="62"/>
      <c r="CW350" s="62"/>
      <c r="CX350" s="62"/>
      <c r="CY350" s="62"/>
      <c r="CZ350" s="62"/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  <c r="DK350" s="62"/>
      <c r="DL350" s="62"/>
    </row>
    <row r="351" spans="1:116" x14ac:dyDescent="0.2">
      <c r="A351" s="57">
        <v>37257</v>
      </c>
      <c r="B351" s="58">
        <v>2002</v>
      </c>
      <c r="C351" s="66">
        <v>0.115</v>
      </c>
      <c r="D351" s="62">
        <v>2E-3</v>
      </c>
      <c r="E351" s="62">
        <v>21.201000000000001</v>
      </c>
      <c r="F351" s="62">
        <v>0.89</v>
      </c>
      <c r="G351" s="62">
        <v>0.114</v>
      </c>
      <c r="H351" s="62">
        <v>13.843999999999999</v>
      </c>
      <c r="I351" s="62">
        <v>3.6880000000000002</v>
      </c>
      <c r="J351" s="62">
        <v>10.156000000000001</v>
      </c>
      <c r="K351" s="62"/>
      <c r="L351" s="62"/>
      <c r="M351" s="62">
        <v>31.356999999999999</v>
      </c>
      <c r="N351" s="62">
        <v>1.3169999999999999</v>
      </c>
      <c r="O351" s="66">
        <v>0.16800000000000001</v>
      </c>
      <c r="P351" s="61"/>
      <c r="Q351" s="62"/>
      <c r="R351" s="62"/>
      <c r="S351" s="62"/>
      <c r="T351" s="62"/>
      <c r="U351" s="62"/>
      <c r="V351" s="62"/>
      <c r="W351" s="62"/>
      <c r="X351" s="62"/>
      <c r="Y351" s="61"/>
      <c r="Z351" s="63"/>
      <c r="AA351" s="64" t="e">
        <v>#N/A</v>
      </c>
      <c r="AB351" s="62" t="e">
        <v>#N/A</v>
      </c>
      <c r="AC351" s="62" t="e">
        <v>#N/A</v>
      </c>
      <c r="AD351" s="62" t="e">
        <v>#N/A</v>
      </c>
      <c r="AE351" s="62" t="e">
        <v>#N/A</v>
      </c>
      <c r="AF351" s="62" t="e">
        <v>#N/A</v>
      </c>
      <c r="AG351" s="62" t="e">
        <v>#N/A</v>
      </c>
      <c r="AH351" s="62" t="e">
        <v>#N/A</v>
      </c>
      <c r="AI351" s="62" t="e">
        <v>#N/A</v>
      </c>
      <c r="AJ351" s="62" t="e">
        <v>#N/A</v>
      </c>
      <c r="AK351" s="64" t="e">
        <v>#N/A</v>
      </c>
      <c r="AL351" s="19">
        <v>108740</v>
      </c>
      <c r="AM351" s="19">
        <v>122155</v>
      </c>
      <c r="AN351" s="23">
        <v>9239</v>
      </c>
      <c r="AO351" s="19">
        <v>136945</v>
      </c>
      <c r="AP351" s="19">
        <v>3392</v>
      </c>
      <c r="AQ351" s="62"/>
      <c r="AR351" s="63"/>
      <c r="AS351" s="63"/>
      <c r="AT351" s="65">
        <f t="shared" si="27"/>
        <v>5751.69</v>
      </c>
      <c r="AU351" s="65">
        <f t="shared" si="28"/>
        <v>388.03800000000001</v>
      </c>
      <c r="AV351" s="65">
        <f t="shared" si="29"/>
        <v>142.464</v>
      </c>
      <c r="AW351" s="65">
        <f t="shared" si="30"/>
        <v>4567.08</v>
      </c>
      <c r="AX351" s="65">
        <f t="shared" si="30"/>
        <v>5130.51</v>
      </c>
      <c r="AY351" s="65">
        <f t="shared" si="26"/>
        <v>0</v>
      </c>
      <c r="AZ351" s="19">
        <v>45797</v>
      </c>
      <c r="BA351" s="19">
        <v>49326</v>
      </c>
      <c r="BB351" s="19">
        <v>41162</v>
      </c>
      <c r="BC351" s="19">
        <v>3084</v>
      </c>
      <c r="BD351" s="19">
        <v>264</v>
      </c>
      <c r="BE351" s="62"/>
      <c r="BF351" s="62"/>
      <c r="BG351" s="62"/>
      <c r="BH351" s="62"/>
      <c r="BI351" s="67">
        <v>19.71</v>
      </c>
      <c r="BJ351" s="67">
        <v>0.55000000000000004</v>
      </c>
      <c r="BK351" s="67">
        <v>0.57999999999999996</v>
      </c>
      <c r="BL351" s="67">
        <v>0.61</v>
      </c>
      <c r="BM351" s="62"/>
      <c r="BN351" s="62"/>
      <c r="BO351" s="62"/>
      <c r="BP351" s="62"/>
      <c r="BQ351" s="62"/>
      <c r="BR351" s="62"/>
      <c r="BS351" s="62"/>
      <c r="BT351" s="62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62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  <c r="DK351" s="62"/>
      <c r="DL351" s="62"/>
    </row>
    <row r="352" spans="1:116" x14ac:dyDescent="0.2">
      <c r="A352" s="57">
        <v>37288</v>
      </c>
      <c r="B352" s="58">
        <v>2002</v>
      </c>
      <c r="C352" s="66">
        <v>0.104</v>
      </c>
      <c r="D352" s="62">
        <v>1E-3</v>
      </c>
      <c r="E352" s="62">
        <v>19.149000000000001</v>
      </c>
      <c r="F352" s="62">
        <v>0.80400000000000005</v>
      </c>
      <c r="G352" s="62">
        <v>0.10299999999999999</v>
      </c>
      <c r="H352" s="62">
        <v>28.79</v>
      </c>
      <c r="I352" s="62">
        <v>4.0960000000000001</v>
      </c>
      <c r="J352" s="62">
        <v>24.695</v>
      </c>
      <c r="K352" s="62"/>
      <c r="L352" s="62"/>
      <c r="M352" s="62">
        <v>43.844000000000001</v>
      </c>
      <c r="N352" s="62">
        <v>1.841</v>
      </c>
      <c r="O352" s="66">
        <v>0.23499999999999999</v>
      </c>
      <c r="P352" s="61"/>
      <c r="Q352" s="62"/>
      <c r="R352" s="62"/>
      <c r="S352" s="62"/>
      <c r="T352" s="62"/>
      <c r="U352" s="62"/>
      <c r="V352" s="62"/>
      <c r="W352" s="62"/>
      <c r="X352" s="62"/>
      <c r="Y352" s="61"/>
      <c r="Z352" s="63"/>
      <c r="AA352" s="64" t="e">
        <v>#N/A</v>
      </c>
      <c r="AB352" s="62" t="e">
        <v>#N/A</v>
      </c>
      <c r="AC352" s="62" t="e">
        <v>#N/A</v>
      </c>
      <c r="AD352" s="62" t="e">
        <v>#N/A</v>
      </c>
      <c r="AE352" s="62" t="e">
        <v>#N/A</v>
      </c>
      <c r="AF352" s="62" t="e">
        <v>#N/A</v>
      </c>
      <c r="AG352" s="62" t="e">
        <v>#N/A</v>
      </c>
      <c r="AH352" s="62" t="e">
        <v>#N/A</v>
      </c>
      <c r="AI352" s="62" t="e">
        <v>#N/A</v>
      </c>
      <c r="AJ352" s="62" t="e">
        <v>#N/A</v>
      </c>
      <c r="AK352" s="64" t="e">
        <v>#N/A</v>
      </c>
      <c r="AL352" s="19">
        <v>97931</v>
      </c>
      <c r="AM352" s="19">
        <v>103995</v>
      </c>
      <c r="AN352" s="23">
        <v>6941</v>
      </c>
      <c r="AO352" s="19">
        <v>130004</v>
      </c>
      <c r="AP352" s="19">
        <v>7818</v>
      </c>
      <c r="AQ352" s="62"/>
      <c r="AR352" s="63"/>
      <c r="AS352" s="63"/>
      <c r="AT352" s="65">
        <f t="shared" si="27"/>
        <v>5460.1679999999997</v>
      </c>
      <c r="AU352" s="65">
        <f t="shared" si="28"/>
        <v>291.52199999999999</v>
      </c>
      <c r="AV352" s="65">
        <f t="shared" si="29"/>
        <v>328.35599999999999</v>
      </c>
      <c r="AW352" s="65">
        <f t="shared" si="30"/>
        <v>4113.1019999999999</v>
      </c>
      <c r="AX352" s="65">
        <f t="shared" si="30"/>
        <v>4367.79</v>
      </c>
      <c r="AY352" s="65">
        <f t="shared" si="26"/>
        <v>0</v>
      </c>
      <c r="AZ352" s="19">
        <v>40618</v>
      </c>
      <c r="BA352" s="19">
        <v>42888</v>
      </c>
      <c r="BB352" s="19">
        <v>40756</v>
      </c>
      <c r="BC352" s="19">
        <v>2994</v>
      </c>
      <c r="BD352" s="19">
        <v>1130</v>
      </c>
      <c r="BE352" s="62"/>
      <c r="BF352" s="62"/>
      <c r="BG352" s="62"/>
      <c r="BH352" s="62"/>
      <c r="BI352" s="67">
        <v>20.72</v>
      </c>
      <c r="BJ352" s="67">
        <v>0.56999999999999995</v>
      </c>
      <c r="BK352" s="67">
        <v>0.57999999999999996</v>
      </c>
      <c r="BL352" s="67">
        <v>0.63</v>
      </c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62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  <c r="DK352" s="62"/>
      <c r="DL352" s="62"/>
    </row>
    <row r="353" spans="1:116" x14ac:dyDescent="0.2">
      <c r="A353" s="57">
        <v>37316</v>
      </c>
      <c r="B353" s="58">
        <v>2002</v>
      </c>
      <c r="C353" s="66">
        <v>0.115</v>
      </c>
      <c r="D353" s="62">
        <v>2E-3</v>
      </c>
      <c r="E353" s="62">
        <v>21.201000000000001</v>
      </c>
      <c r="F353" s="62">
        <v>0.89</v>
      </c>
      <c r="G353" s="62">
        <v>0.114</v>
      </c>
      <c r="H353" s="62">
        <v>43.526000000000003</v>
      </c>
      <c r="I353" s="62">
        <v>4.9059999999999997</v>
      </c>
      <c r="J353" s="62">
        <v>38.619999999999997</v>
      </c>
      <c r="K353" s="62"/>
      <c r="L353" s="62"/>
      <c r="M353" s="62">
        <v>59.82</v>
      </c>
      <c r="N353" s="62">
        <v>2.512</v>
      </c>
      <c r="O353" s="66">
        <v>0.32100000000000001</v>
      </c>
      <c r="P353" s="61"/>
      <c r="Q353" s="62"/>
      <c r="R353" s="62"/>
      <c r="S353" s="62"/>
      <c r="T353" s="62"/>
      <c r="U353" s="62"/>
      <c r="V353" s="62"/>
      <c r="W353" s="62"/>
      <c r="X353" s="62"/>
      <c r="Y353" s="61"/>
      <c r="Z353" s="63"/>
      <c r="AA353" s="64" t="e">
        <v>#N/A</v>
      </c>
      <c r="AB353" s="62" t="e">
        <v>#N/A</v>
      </c>
      <c r="AC353" s="62" t="e">
        <v>#N/A</v>
      </c>
      <c r="AD353" s="62" t="e">
        <v>#N/A</v>
      </c>
      <c r="AE353" s="62" t="e">
        <v>#N/A</v>
      </c>
      <c r="AF353" s="62" t="e">
        <v>#N/A</v>
      </c>
      <c r="AG353" s="62" t="e">
        <v>#N/A</v>
      </c>
      <c r="AH353" s="62" t="e">
        <v>#N/A</v>
      </c>
      <c r="AI353" s="62" t="e">
        <v>#N/A</v>
      </c>
      <c r="AJ353" s="62" t="e">
        <v>#N/A</v>
      </c>
      <c r="AK353" s="64" t="e">
        <v>#N/A</v>
      </c>
      <c r="AL353" s="19">
        <v>104158</v>
      </c>
      <c r="AM353" s="19">
        <v>116236</v>
      </c>
      <c r="AN353" s="23">
        <v>7263</v>
      </c>
      <c r="AO353" s="19">
        <v>123099</v>
      </c>
      <c r="AP353" s="19">
        <v>2090</v>
      </c>
      <c r="AQ353" s="62"/>
      <c r="AR353" s="63"/>
      <c r="AS353" s="63"/>
      <c r="AT353" s="65">
        <f t="shared" si="27"/>
        <v>5170.1580000000004</v>
      </c>
      <c r="AU353" s="65">
        <f t="shared" si="28"/>
        <v>305.04599999999999</v>
      </c>
      <c r="AV353" s="65">
        <f t="shared" si="29"/>
        <v>87.78</v>
      </c>
      <c r="AW353" s="65">
        <f t="shared" si="30"/>
        <v>4374.6360000000004</v>
      </c>
      <c r="AX353" s="65">
        <f t="shared" si="30"/>
        <v>4881.9120000000003</v>
      </c>
      <c r="AY353" s="65">
        <f t="shared" si="26"/>
        <v>0</v>
      </c>
      <c r="AZ353" s="19">
        <v>46655</v>
      </c>
      <c r="BA353" s="19">
        <v>49004</v>
      </c>
      <c r="BB353" s="19">
        <v>41711</v>
      </c>
      <c r="BC353" s="19">
        <v>3366</v>
      </c>
      <c r="BD353" s="19">
        <v>62</v>
      </c>
      <c r="BE353" s="62"/>
      <c r="BF353" s="62"/>
      <c r="BG353" s="62"/>
      <c r="BH353" s="62"/>
      <c r="BI353" s="67">
        <v>24.53</v>
      </c>
      <c r="BJ353" s="67">
        <v>0.67</v>
      </c>
      <c r="BK353" s="67">
        <v>0.64</v>
      </c>
      <c r="BL353" s="67">
        <v>0.78</v>
      </c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62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  <c r="DK353" s="62"/>
      <c r="DL353" s="62"/>
    </row>
    <row r="354" spans="1:116" x14ac:dyDescent="0.2">
      <c r="A354" s="57">
        <v>37347</v>
      </c>
      <c r="B354" s="58">
        <v>2002</v>
      </c>
      <c r="C354" s="66">
        <v>0.111</v>
      </c>
      <c r="D354" s="62">
        <v>2E-3</v>
      </c>
      <c r="E354" s="62">
        <v>20.516999999999999</v>
      </c>
      <c r="F354" s="62">
        <v>0.86199999999999999</v>
      </c>
      <c r="G354" s="62">
        <v>0.11</v>
      </c>
      <c r="H354" s="62">
        <v>9.9570000000000007</v>
      </c>
      <c r="I354" s="62">
        <v>4.8339999999999996</v>
      </c>
      <c r="J354" s="62">
        <v>5.1230000000000002</v>
      </c>
      <c r="K354" s="62"/>
      <c r="L354" s="62"/>
      <c r="M354" s="62">
        <v>25.638999999999999</v>
      </c>
      <c r="N354" s="62">
        <v>1.077</v>
      </c>
      <c r="O354" s="66">
        <v>0.13700000000000001</v>
      </c>
      <c r="P354" s="61"/>
      <c r="Q354" s="62"/>
      <c r="R354" s="62"/>
      <c r="S354" s="62"/>
      <c r="T354" s="62"/>
      <c r="U354" s="62"/>
      <c r="V354" s="62"/>
      <c r="W354" s="62"/>
      <c r="X354" s="62"/>
      <c r="Y354" s="61"/>
      <c r="Z354" s="63"/>
      <c r="AA354" s="64" t="e">
        <v>#N/A</v>
      </c>
      <c r="AB354" s="62" t="e">
        <v>#N/A</v>
      </c>
      <c r="AC354" s="62" t="e">
        <v>#N/A</v>
      </c>
      <c r="AD354" s="62" t="e">
        <v>#N/A</v>
      </c>
      <c r="AE354" s="62" t="e">
        <v>#N/A</v>
      </c>
      <c r="AF354" s="62" t="e">
        <v>#N/A</v>
      </c>
      <c r="AG354" s="62" t="e">
        <v>#N/A</v>
      </c>
      <c r="AH354" s="62" t="e">
        <v>#N/A</v>
      </c>
      <c r="AI354" s="62" t="e">
        <v>#N/A</v>
      </c>
      <c r="AJ354" s="62" t="e">
        <v>#N/A</v>
      </c>
      <c r="AK354" s="64" t="e">
        <v>#N/A</v>
      </c>
      <c r="AL354" s="19">
        <v>109410</v>
      </c>
      <c r="AM354" s="19">
        <v>114644</v>
      </c>
      <c r="AN354" s="23">
        <v>6583</v>
      </c>
      <c r="AO354" s="19">
        <v>122397</v>
      </c>
      <c r="AP354" s="19">
        <v>2051</v>
      </c>
      <c r="AQ354" s="62"/>
      <c r="AR354" s="63"/>
      <c r="AS354" s="63"/>
      <c r="AT354" s="65">
        <f t="shared" si="27"/>
        <v>5140.674</v>
      </c>
      <c r="AU354" s="65">
        <f t="shared" si="28"/>
        <v>276.48599999999999</v>
      </c>
      <c r="AV354" s="65">
        <f t="shared" si="29"/>
        <v>86.141999999999996</v>
      </c>
      <c r="AW354" s="65">
        <f t="shared" si="30"/>
        <v>4595.22</v>
      </c>
      <c r="AX354" s="65">
        <f t="shared" si="30"/>
        <v>4815.0479999999998</v>
      </c>
      <c r="AY354" s="65">
        <f t="shared" si="26"/>
        <v>0</v>
      </c>
      <c r="AZ354" s="19">
        <v>44742</v>
      </c>
      <c r="BA354" s="19">
        <v>50225</v>
      </c>
      <c r="BB354" s="19">
        <v>40287</v>
      </c>
      <c r="BC354" s="19">
        <v>4097</v>
      </c>
      <c r="BD354" s="19">
        <v>38</v>
      </c>
      <c r="BE354" s="62"/>
      <c r="BF354" s="62"/>
      <c r="BG354" s="62"/>
      <c r="BH354" s="62"/>
      <c r="BI354" s="67">
        <v>26.18</v>
      </c>
      <c r="BJ354" s="67">
        <v>0.71</v>
      </c>
      <c r="BK354" s="67">
        <v>0.7</v>
      </c>
      <c r="BL354" s="67">
        <v>0.87</v>
      </c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62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  <c r="DK354" s="62"/>
      <c r="DL354" s="62"/>
    </row>
    <row r="355" spans="1:116" x14ac:dyDescent="0.2">
      <c r="A355" s="57">
        <v>37377</v>
      </c>
      <c r="B355" s="58">
        <v>2002</v>
      </c>
      <c r="C355" s="66">
        <v>0.115</v>
      </c>
      <c r="D355" s="62">
        <v>2E-3</v>
      </c>
      <c r="E355" s="62">
        <v>21.201000000000001</v>
      </c>
      <c r="F355" s="62">
        <v>0.89</v>
      </c>
      <c r="G355" s="62">
        <v>0.114</v>
      </c>
      <c r="H355" s="62">
        <v>16.445</v>
      </c>
      <c r="I355" s="62">
        <v>6.3440000000000003</v>
      </c>
      <c r="J355" s="62">
        <v>10.101000000000001</v>
      </c>
      <c r="K355" s="62"/>
      <c r="L355" s="62"/>
      <c r="M355" s="62">
        <v>31.300999999999998</v>
      </c>
      <c r="N355" s="62">
        <v>1.3149999999999999</v>
      </c>
      <c r="O355" s="66">
        <v>0.16800000000000001</v>
      </c>
      <c r="P355" s="61"/>
      <c r="Q355" s="62"/>
      <c r="R355" s="62"/>
      <c r="S355" s="62"/>
      <c r="T355" s="62"/>
      <c r="U355" s="62"/>
      <c r="V355" s="62"/>
      <c r="W355" s="62"/>
      <c r="X355" s="62"/>
      <c r="Y355" s="61"/>
      <c r="Z355" s="63"/>
      <c r="AA355" s="64" t="e">
        <v>#N/A</v>
      </c>
      <c r="AB355" s="62" t="e">
        <v>#N/A</v>
      </c>
      <c r="AC355" s="62" t="e">
        <v>#N/A</v>
      </c>
      <c r="AD355" s="62" t="e">
        <v>#N/A</v>
      </c>
      <c r="AE355" s="62" t="e">
        <v>#N/A</v>
      </c>
      <c r="AF355" s="62" t="e">
        <v>#N/A</v>
      </c>
      <c r="AG355" s="62" t="e">
        <v>#N/A</v>
      </c>
      <c r="AH355" s="62" t="e">
        <v>#N/A</v>
      </c>
      <c r="AI355" s="62" t="e">
        <v>#N/A</v>
      </c>
      <c r="AJ355" s="62" t="e">
        <v>#N/A</v>
      </c>
      <c r="AK355" s="64" t="e">
        <v>#N/A</v>
      </c>
      <c r="AL355" s="19">
        <v>114976</v>
      </c>
      <c r="AM355" s="19">
        <v>114060</v>
      </c>
      <c r="AN355" s="23">
        <v>5990</v>
      </c>
      <c r="AO355" s="19">
        <v>127021</v>
      </c>
      <c r="AP355" s="19">
        <v>2282</v>
      </c>
      <c r="AQ355" s="62"/>
      <c r="AR355" s="63"/>
      <c r="AS355" s="63"/>
      <c r="AT355" s="65">
        <f t="shared" si="27"/>
        <v>5334.8819999999996</v>
      </c>
      <c r="AU355" s="65">
        <f t="shared" si="28"/>
        <v>251.58</v>
      </c>
      <c r="AV355" s="65">
        <f t="shared" si="29"/>
        <v>95.843999999999994</v>
      </c>
      <c r="AW355" s="65">
        <f t="shared" si="30"/>
        <v>4828.9920000000002</v>
      </c>
      <c r="AX355" s="65">
        <f t="shared" si="30"/>
        <v>4790.5200000000004</v>
      </c>
      <c r="AY355" s="65">
        <f t="shared" si="26"/>
        <v>0</v>
      </c>
      <c r="AZ355" s="19">
        <v>45852</v>
      </c>
      <c r="BA355" s="19">
        <v>47593</v>
      </c>
      <c r="BB355" s="19">
        <v>40906</v>
      </c>
      <c r="BC355" s="19">
        <v>2454</v>
      </c>
      <c r="BD355" s="19">
        <v>94</v>
      </c>
      <c r="BE355" s="62"/>
      <c r="BF355" s="62"/>
      <c r="BG355" s="62"/>
      <c r="BH355" s="62"/>
      <c r="BI355" s="67">
        <v>27.04</v>
      </c>
      <c r="BJ355" s="67">
        <v>0.71</v>
      </c>
      <c r="BK355" s="67">
        <v>0.71</v>
      </c>
      <c r="BL355" s="67">
        <v>0.86</v>
      </c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62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  <c r="DK355" s="62"/>
      <c r="DL355" s="62"/>
    </row>
    <row r="356" spans="1:116" x14ac:dyDescent="0.2">
      <c r="A356" s="57">
        <v>37408</v>
      </c>
      <c r="B356" s="58">
        <v>2002</v>
      </c>
      <c r="C356" s="66">
        <v>0.111</v>
      </c>
      <c r="D356" s="62">
        <v>2E-3</v>
      </c>
      <c r="E356" s="62">
        <v>20.516999999999999</v>
      </c>
      <c r="F356" s="62">
        <v>0.86199999999999999</v>
      </c>
      <c r="G356" s="62">
        <v>0.11</v>
      </c>
      <c r="H356" s="62">
        <v>17.907</v>
      </c>
      <c r="I356" s="62">
        <v>5.4349999999999996</v>
      </c>
      <c r="J356" s="62">
        <v>12.472</v>
      </c>
      <c r="K356" s="62"/>
      <c r="L356" s="62"/>
      <c r="M356" s="62">
        <v>32.988999999999997</v>
      </c>
      <c r="N356" s="62">
        <v>1.3859999999999999</v>
      </c>
      <c r="O356" s="66">
        <v>0.17699999999999999</v>
      </c>
      <c r="P356" s="61"/>
      <c r="Q356" s="62"/>
      <c r="R356" s="62"/>
      <c r="S356" s="62"/>
      <c r="T356" s="62"/>
      <c r="U356" s="62"/>
      <c r="V356" s="62"/>
      <c r="W356" s="62"/>
      <c r="X356" s="62"/>
      <c r="Y356" s="61"/>
      <c r="Z356" s="63"/>
      <c r="AA356" s="64" t="e">
        <v>#N/A</v>
      </c>
      <c r="AB356" s="62" t="e">
        <v>#N/A</v>
      </c>
      <c r="AC356" s="62" t="e">
        <v>#N/A</v>
      </c>
      <c r="AD356" s="62" t="e">
        <v>#N/A</v>
      </c>
      <c r="AE356" s="62" t="e">
        <v>#N/A</v>
      </c>
      <c r="AF356" s="62" t="e">
        <v>#N/A</v>
      </c>
      <c r="AG356" s="62" t="e">
        <v>#N/A</v>
      </c>
      <c r="AH356" s="62" t="e">
        <v>#N/A</v>
      </c>
      <c r="AI356" s="62" t="e">
        <v>#N/A</v>
      </c>
      <c r="AJ356" s="62" t="e">
        <v>#N/A</v>
      </c>
      <c r="AK356" s="64" t="e">
        <v>#N/A</v>
      </c>
      <c r="AL356" s="19">
        <v>110375</v>
      </c>
      <c r="AM356" s="19">
        <v>107607</v>
      </c>
      <c r="AN356" s="23">
        <v>6116</v>
      </c>
      <c r="AO356" s="19">
        <v>133124</v>
      </c>
      <c r="AP356" s="19">
        <v>2781</v>
      </c>
      <c r="AQ356" s="62"/>
      <c r="AR356" s="63"/>
      <c r="AS356" s="63"/>
      <c r="AT356" s="65">
        <f t="shared" si="27"/>
        <v>5591.2079999999996</v>
      </c>
      <c r="AU356" s="65">
        <f t="shared" si="28"/>
        <v>256.87200000000001</v>
      </c>
      <c r="AV356" s="65">
        <f t="shared" si="29"/>
        <v>116.80200000000001</v>
      </c>
      <c r="AW356" s="65">
        <f t="shared" si="30"/>
        <v>4635.75</v>
      </c>
      <c r="AX356" s="65">
        <f t="shared" si="30"/>
        <v>4519.4939999999997</v>
      </c>
      <c r="AY356" s="65">
        <f t="shared" si="26"/>
        <v>0</v>
      </c>
      <c r="AZ356" s="19">
        <v>45369</v>
      </c>
      <c r="BA356" s="19">
        <v>49671</v>
      </c>
      <c r="BB356" s="19">
        <v>38991</v>
      </c>
      <c r="BC356" s="19">
        <v>2416</v>
      </c>
      <c r="BD356" s="19">
        <v>29</v>
      </c>
      <c r="BE356" s="62"/>
      <c r="BF356" s="62"/>
      <c r="BG356" s="62"/>
      <c r="BH356" s="62"/>
      <c r="BI356" s="67">
        <v>25.52</v>
      </c>
      <c r="BJ356" s="67">
        <v>0.68</v>
      </c>
      <c r="BK356" s="67">
        <v>0.69</v>
      </c>
      <c r="BL356" s="67">
        <v>0.86</v>
      </c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62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  <c r="DK356" s="62"/>
      <c r="DL356" s="62"/>
    </row>
    <row r="357" spans="1:116" x14ac:dyDescent="0.2">
      <c r="A357" s="57">
        <v>37438</v>
      </c>
      <c r="B357" s="58">
        <v>2002</v>
      </c>
      <c r="C357" s="66">
        <v>0.115</v>
      </c>
      <c r="D357" s="62">
        <v>2E-3</v>
      </c>
      <c r="E357" s="62">
        <v>21.201000000000001</v>
      </c>
      <c r="F357" s="62">
        <v>0.89</v>
      </c>
      <c r="G357" s="62">
        <v>0.114</v>
      </c>
      <c r="H357" s="62">
        <v>21.85</v>
      </c>
      <c r="I357" s="62">
        <v>4.4169999999999998</v>
      </c>
      <c r="J357" s="62">
        <v>17.433</v>
      </c>
      <c r="K357" s="62"/>
      <c r="L357" s="62"/>
      <c r="M357" s="62">
        <v>38.634</v>
      </c>
      <c r="N357" s="62">
        <v>1.623</v>
      </c>
      <c r="O357" s="66">
        <v>0.20699999999999999</v>
      </c>
      <c r="P357" s="61"/>
      <c r="Q357" s="62"/>
      <c r="R357" s="62"/>
      <c r="S357" s="62"/>
      <c r="T357" s="62"/>
      <c r="U357" s="62"/>
      <c r="V357" s="62"/>
      <c r="W357" s="62"/>
      <c r="X357" s="62"/>
      <c r="Y357" s="61"/>
      <c r="Z357" s="63"/>
      <c r="AA357" s="64" t="e">
        <v>#N/A</v>
      </c>
      <c r="AB357" s="62" t="e">
        <v>#N/A</v>
      </c>
      <c r="AC357" s="62" t="e">
        <v>#N/A</v>
      </c>
      <c r="AD357" s="62" t="e">
        <v>#N/A</v>
      </c>
      <c r="AE357" s="62" t="e">
        <v>#N/A</v>
      </c>
      <c r="AF357" s="62" t="e">
        <v>#N/A</v>
      </c>
      <c r="AG357" s="62" t="e">
        <v>#N/A</v>
      </c>
      <c r="AH357" s="62" t="e">
        <v>#N/A</v>
      </c>
      <c r="AI357" s="62" t="e">
        <v>#N/A</v>
      </c>
      <c r="AJ357" s="62" t="e">
        <v>#N/A</v>
      </c>
      <c r="AK357" s="64" t="e">
        <v>#N/A</v>
      </c>
      <c r="AL357" s="19">
        <v>110392</v>
      </c>
      <c r="AM357" s="19">
        <v>114178</v>
      </c>
      <c r="AN357" s="23">
        <v>5834</v>
      </c>
      <c r="AO357" s="19">
        <v>133795</v>
      </c>
      <c r="AP357" s="19">
        <v>1377</v>
      </c>
      <c r="AQ357" s="62"/>
      <c r="AR357" s="63"/>
      <c r="AS357" s="63"/>
      <c r="AT357" s="65">
        <f t="shared" si="27"/>
        <v>5619.39</v>
      </c>
      <c r="AU357" s="65">
        <f t="shared" si="28"/>
        <v>245.02799999999999</v>
      </c>
      <c r="AV357" s="65">
        <f t="shared" si="29"/>
        <v>57.834000000000003</v>
      </c>
      <c r="AW357" s="65">
        <f t="shared" si="30"/>
        <v>4636.4639999999999</v>
      </c>
      <c r="AX357" s="65">
        <f t="shared" si="30"/>
        <v>4795.4759999999997</v>
      </c>
      <c r="AY357" s="65">
        <f t="shared" si="26"/>
        <v>0</v>
      </c>
      <c r="AZ357" s="19">
        <v>48621</v>
      </c>
      <c r="BA357" s="19">
        <v>52052</v>
      </c>
      <c r="BB357" s="19">
        <v>38358</v>
      </c>
      <c r="BC357" s="19">
        <v>2865</v>
      </c>
      <c r="BD357" s="19">
        <v>67</v>
      </c>
      <c r="BE357" s="62"/>
      <c r="BF357" s="62"/>
      <c r="BG357" s="62"/>
      <c r="BH357" s="62"/>
      <c r="BI357" s="67">
        <v>26.97</v>
      </c>
      <c r="BJ357" s="67">
        <v>0.71</v>
      </c>
      <c r="BK357" s="67">
        <v>0.72</v>
      </c>
      <c r="BL357" s="67">
        <v>0.88</v>
      </c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62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  <c r="DK357" s="62"/>
      <c r="DL357" s="62"/>
    </row>
    <row r="358" spans="1:116" x14ac:dyDescent="0.2">
      <c r="A358" s="57">
        <v>37469</v>
      </c>
      <c r="B358" s="58">
        <v>2002</v>
      </c>
      <c r="C358" s="66">
        <v>0.115</v>
      </c>
      <c r="D358" s="62">
        <v>2E-3</v>
      </c>
      <c r="E358" s="62">
        <v>21.201000000000001</v>
      </c>
      <c r="F358" s="62">
        <v>0.89</v>
      </c>
      <c r="G358" s="62">
        <v>0.114</v>
      </c>
      <c r="H358" s="62">
        <v>7.2949999999999999</v>
      </c>
      <c r="I358" s="62">
        <v>4.7869999999999999</v>
      </c>
      <c r="J358" s="62">
        <v>2.508</v>
      </c>
      <c r="K358" s="62"/>
      <c r="L358" s="62"/>
      <c r="M358" s="62">
        <v>23.709</v>
      </c>
      <c r="N358" s="62">
        <v>0.996</v>
      </c>
      <c r="O358" s="66">
        <v>0.127</v>
      </c>
      <c r="P358" s="61"/>
      <c r="Q358" s="62"/>
      <c r="R358" s="62"/>
      <c r="S358" s="62"/>
      <c r="T358" s="62"/>
      <c r="U358" s="62"/>
      <c r="V358" s="62"/>
      <c r="W358" s="62"/>
      <c r="X358" s="62"/>
      <c r="Y358" s="61"/>
      <c r="Z358" s="63"/>
      <c r="AA358" s="64" t="e">
        <v>#N/A</v>
      </c>
      <c r="AB358" s="62" t="e">
        <v>#N/A</v>
      </c>
      <c r="AC358" s="62" t="e">
        <v>#N/A</v>
      </c>
      <c r="AD358" s="62" t="e">
        <v>#N/A</v>
      </c>
      <c r="AE358" s="62" t="e">
        <v>#N/A</v>
      </c>
      <c r="AF358" s="62" t="e">
        <v>#N/A</v>
      </c>
      <c r="AG358" s="62" t="e">
        <v>#N/A</v>
      </c>
      <c r="AH358" s="62" t="e">
        <v>#N/A</v>
      </c>
      <c r="AI358" s="62" t="e">
        <v>#N/A</v>
      </c>
      <c r="AJ358" s="62" t="e">
        <v>#N/A</v>
      </c>
      <c r="AK358" s="64" t="e">
        <v>#N/A</v>
      </c>
      <c r="AL358" s="19">
        <v>109689</v>
      </c>
      <c r="AM358" s="19">
        <v>115561</v>
      </c>
      <c r="AN358" s="23">
        <v>6346</v>
      </c>
      <c r="AO358" s="19">
        <v>130584</v>
      </c>
      <c r="AP358" s="19">
        <v>3685</v>
      </c>
      <c r="AQ358" s="62"/>
      <c r="AR358" s="63"/>
      <c r="AS358" s="63"/>
      <c r="AT358" s="65">
        <f t="shared" si="27"/>
        <v>5484.5280000000002</v>
      </c>
      <c r="AU358" s="65">
        <f t="shared" si="28"/>
        <v>266.53199999999998</v>
      </c>
      <c r="AV358" s="65">
        <f t="shared" si="29"/>
        <v>154.77000000000001</v>
      </c>
      <c r="AW358" s="65">
        <f t="shared" si="30"/>
        <v>4606.9380000000001</v>
      </c>
      <c r="AX358" s="65">
        <f t="shared" si="30"/>
        <v>4853.5619999999999</v>
      </c>
      <c r="AY358" s="65">
        <f t="shared" si="26"/>
        <v>0</v>
      </c>
      <c r="AZ358" s="19">
        <v>47690</v>
      </c>
      <c r="BA358" s="19">
        <v>50103</v>
      </c>
      <c r="BB358" s="19">
        <v>39352</v>
      </c>
      <c r="BC358" s="19">
        <v>3457</v>
      </c>
      <c r="BD358" s="19">
        <v>50</v>
      </c>
      <c r="BE358" s="62"/>
      <c r="BF358" s="62"/>
      <c r="BG358" s="62"/>
      <c r="BH358" s="62"/>
      <c r="BI358" s="67">
        <v>28.39</v>
      </c>
      <c r="BJ358" s="67">
        <v>0.76</v>
      </c>
      <c r="BK358" s="67">
        <v>0.75</v>
      </c>
      <c r="BL358" s="67">
        <v>0.87</v>
      </c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62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  <c r="DK358" s="62"/>
      <c r="DL358" s="62"/>
    </row>
    <row r="359" spans="1:116" x14ac:dyDescent="0.2">
      <c r="A359" s="57">
        <v>37500</v>
      </c>
      <c r="B359" s="58">
        <v>2002</v>
      </c>
      <c r="C359" s="66">
        <v>0.111</v>
      </c>
      <c r="D359" s="62">
        <v>2E-3</v>
      </c>
      <c r="E359" s="62">
        <v>20.516999999999999</v>
      </c>
      <c r="F359" s="62">
        <v>0.86199999999999999</v>
      </c>
      <c r="G359" s="62">
        <v>0.11</v>
      </c>
      <c r="H359" s="62">
        <v>7.0339999999999998</v>
      </c>
      <c r="I359" s="62">
        <v>3.7639999999999998</v>
      </c>
      <c r="J359" s="62">
        <v>3.27</v>
      </c>
      <c r="K359" s="62"/>
      <c r="L359" s="62"/>
      <c r="M359" s="62">
        <v>23.786999999999999</v>
      </c>
      <c r="N359" s="62">
        <v>0.999</v>
      </c>
      <c r="O359" s="66">
        <v>0.127</v>
      </c>
      <c r="P359" s="61"/>
      <c r="Q359" s="62"/>
      <c r="R359" s="62"/>
      <c r="S359" s="62"/>
      <c r="T359" s="62"/>
      <c r="U359" s="62"/>
      <c r="V359" s="62"/>
      <c r="W359" s="62"/>
      <c r="X359" s="62"/>
      <c r="Y359" s="61"/>
      <c r="Z359" s="63"/>
      <c r="AA359" s="64" t="e">
        <v>#N/A</v>
      </c>
      <c r="AB359" s="62" t="e">
        <v>#N/A</v>
      </c>
      <c r="AC359" s="62" t="e">
        <v>#N/A</v>
      </c>
      <c r="AD359" s="62" t="e">
        <v>#N/A</v>
      </c>
      <c r="AE359" s="62" t="e">
        <v>#N/A</v>
      </c>
      <c r="AF359" s="62" t="e">
        <v>#N/A</v>
      </c>
      <c r="AG359" s="62" t="e">
        <v>#N/A</v>
      </c>
      <c r="AH359" s="62" t="e">
        <v>#N/A</v>
      </c>
      <c r="AI359" s="62" t="e">
        <v>#N/A</v>
      </c>
      <c r="AJ359" s="62" t="e">
        <v>#N/A</v>
      </c>
      <c r="AK359" s="64" t="e">
        <v>#N/A</v>
      </c>
      <c r="AL359" s="19">
        <v>106082</v>
      </c>
      <c r="AM359" s="19">
        <v>111897</v>
      </c>
      <c r="AN359" s="23">
        <v>5883</v>
      </c>
      <c r="AO359" s="19">
        <v>126853</v>
      </c>
      <c r="AP359" s="19">
        <v>3799</v>
      </c>
      <c r="AQ359" s="62"/>
      <c r="AR359" s="63"/>
      <c r="AS359" s="63"/>
      <c r="AT359" s="65">
        <f t="shared" si="27"/>
        <v>5327.826</v>
      </c>
      <c r="AU359" s="65">
        <f t="shared" si="28"/>
        <v>247.08600000000001</v>
      </c>
      <c r="AV359" s="65">
        <f t="shared" si="29"/>
        <v>159.55799999999999</v>
      </c>
      <c r="AW359" s="65">
        <f t="shared" si="30"/>
        <v>4455.4440000000004</v>
      </c>
      <c r="AX359" s="65">
        <f t="shared" si="30"/>
        <v>4699.674</v>
      </c>
      <c r="AY359" s="65">
        <f t="shared" si="26"/>
        <v>0</v>
      </c>
      <c r="AZ359" s="19">
        <v>46567</v>
      </c>
      <c r="BA359" s="19">
        <v>48262</v>
      </c>
      <c r="BB359" s="19">
        <v>40563</v>
      </c>
      <c r="BC359" s="19">
        <v>3330</v>
      </c>
      <c r="BD359" s="19">
        <v>424</v>
      </c>
      <c r="BE359" s="62"/>
      <c r="BF359" s="62"/>
      <c r="BG359" s="62"/>
      <c r="BH359" s="62"/>
      <c r="BI359" s="67">
        <v>29.66</v>
      </c>
      <c r="BJ359" s="67">
        <v>0.83</v>
      </c>
      <c r="BK359" s="67">
        <v>0.83</v>
      </c>
      <c r="BL359" s="67">
        <v>0.89</v>
      </c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62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  <c r="DK359" s="62"/>
      <c r="DL359" s="62"/>
    </row>
    <row r="360" spans="1:116" x14ac:dyDescent="0.2">
      <c r="A360" s="57">
        <v>37530</v>
      </c>
      <c r="B360" s="58">
        <v>2002</v>
      </c>
      <c r="C360" s="66">
        <v>0.115</v>
      </c>
      <c r="D360" s="62">
        <v>2E-3</v>
      </c>
      <c r="E360" s="62">
        <v>21.201000000000001</v>
      </c>
      <c r="F360" s="62">
        <v>0.89</v>
      </c>
      <c r="G360" s="62">
        <v>0.114</v>
      </c>
      <c r="H360" s="62">
        <v>8.8130000000000006</v>
      </c>
      <c r="I360" s="62">
        <v>4.8129999999999997</v>
      </c>
      <c r="J360" s="62">
        <v>4.0010000000000003</v>
      </c>
      <c r="K360" s="62"/>
      <c r="L360" s="62"/>
      <c r="M360" s="62">
        <v>25.201000000000001</v>
      </c>
      <c r="N360" s="62">
        <v>1.0580000000000001</v>
      </c>
      <c r="O360" s="66">
        <v>0.13500000000000001</v>
      </c>
      <c r="P360" s="61"/>
      <c r="Q360" s="62"/>
      <c r="R360" s="62"/>
      <c r="S360" s="62"/>
      <c r="T360" s="62"/>
      <c r="U360" s="62"/>
      <c r="V360" s="62"/>
      <c r="W360" s="62"/>
      <c r="X360" s="62"/>
      <c r="Y360" s="61"/>
      <c r="Z360" s="63"/>
      <c r="AA360" s="64" t="e">
        <v>#N/A</v>
      </c>
      <c r="AB360" s="62" t="e">
        <v>#N/A</v>
      </c>
      <c r="AC360" s="62" t="e">
        <v>#N/A</v>
      </c>
      <c r="AD360" s="62" t="e">
        <v>#N/A</v>
      </c>
      <c r="AE360" s="62" t="e">
        <v>#N/A</v>
      </c>
      <c r="AF360" s="62" t="e">
        <v>#N/A</v>
      </c>
      <c r="AG360" s="62" t="e">
        <v>#N/A</v>
      </c>
      <c r="AH360" s="62" t="e">
        <v>#N/A</v>
      </c>
      <c r="AI360" s="62" t="e">
        <v>#N/A</v>
      </c>
      <c r="AJ360" s="62" t="e">
        <v>#N/A</v>
      </c>
      <c r="AK360" s="64" t="e">
        <v>#N/A</v>
      </c>
      <c r="AL360" s="19">
        <v>104782</v>
      </c>
      <c r="AM360" s="19">
        <v>118053</v>
      </c>
      <c r="AN360" s="23">
        <v>10836</v>
      </c>
      <c r="AO360" s="19">
        <v>121433</v>
      </c>
      <c r="AP360" s="19">
        <v>2985</v>
      </c>
      <c r="AQ360" s="62"/>
      <c r="AR360" s="63"/>
      <c r="AS360" s="63"/>
      <c r="AT360" s="65">
        <f t="shared" si="27"/>
        <v>5100.1859999999997</v>
      </c>
      <c r="AU360" s="65">
        <f t="shared" si="28"/>
        <v>455.11200000000002</v>
      </c>
      <c r="AV360" s="65">
        <f t="shared" si="29"/>
        <v>125.37</v>
      </c>
      <c r="AW360" s="65">
        <f t="shared" si="30"/>
        <v>4400.8440000000001</v>
      </c>
      <c r="AX360" s="65">
        <f t="shared" si="30"/>
        <v>4958.2259999999997</v>
      </c>
      <c r="AY360" s="65">
        <f t="shared" si="26"/>
        <v>0</v>
      </c>
      <c r="AZ360" s="19">
        <v>46346</v>
      </c>
      <c r="BA360" s="19">
        <v>50511</v>
      </c>
      <c r="BB360" s="19">
        <v>41673</v>
      </c>
      <c r="BC360" s="19">
        <v>5314</v>
      </c>
      <c r="BD360" s="19">
        <v>39</v>
      </c>
      <c r="BE360" s="62"/>
      <c r="BF360" s="62"/>
      <c r="BG360" s="62"/>
      <c r="BH360" s="62"/>
      <c r="BI360" s="67">
        <v>28.84</v>
      </c>
      <c r="BJ360" s="67">
        <v>0.86</v>
      </c>
      <c r="BK360" s="67">
        <v>0.85</v>
      </c>
      <c r="BL360" s="67">
        <v>0.93</v>
      </c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62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  <c r="DK360" s="62"/>
      <c r="DL360" s="62"/>
    </row>
    <row r="361" spans="1:116" x14ac:dyDescent="0.2">
      <c r="A361" s="57">
        <v>37561</v>
      </c>
      <c r="B361" s="58">
        <v>2002</v>
      </c>
      <c r="C361" s="66">
        <v>0.111</v>
      </c>
      <c r="D361" s="62">
        <v>2E-3</v>
      </c>
      <c r="E361" s="62">
        <v>20.516999999999999</v>
      </c>
      <c r="F361" s="62">
        <v>0.86199999999999999</v>
      </c>
      <c r="G361" s="62">
        <v>0.11</v>
      </c>
      <c r="H361" s="62">
        <v>11.5</v>
      </c>
      <c r="I361" s="62">
        <v>5.157</v>
      </c>
      <c r="J361" s="62">
        <v>6.343</v>
      </c>
      <c r="K361" s="62"/>
      <c r="L361" s="62"/>
      <c r="M361" s="62">
        <v>26.86</v>
      </c>
      <c r="N361" s="62">
        <v>1.1279999999999999</v>
      </c>
      <c r="O361" s="66">
        <v>0.14399999999999999</v>
      </c>
      <c r="P361" s="61"/>
      <c r="Q361" s="62"/>
      <c r="R361" s="62"/>
      <c r="S361" s="62"/>
      <c r="T361" s="62"/>
      <c r="U361" s="62"/>
      <c r="V361" s="62"/>
      <c r="W361" s="62"/>
      <c r="X361" s="62"/>
      <c r="Y361" s="61"/>
      <c r="Z361" s="63"/>
      <c r="AA361" s="64" t="e">
        <v>#N/A</v>
      </c>
      <c r="AB361" s="62" t="e">
        <v>#N/A</v>
      </c>
      <c r="AC361" s="62" t="e">
        <v>#N/A</v>
      </c>
      <c r="AD361" s="62" t="e">
        <v>#N/A</v>
      </c>
      <c r="AE361" s="62" t="e">
        <v>#N/A</v>
      </c>
      <c r="AF361" s="62" t="e">
        <v>#N/A</v>
      </c>
      <c r="AG361" s="62" t="e">
        <v>#N/A</v>
      </c>
      <c r="AH361" s="62" t="e">
        <v>#N/A</v>
      </c>
      <c r="AI361" s="62" t="e">
        <v>#N/A</v>
      </c>
      <c r="AJ361" s="62" t="e">
        <v>#N/A</v>
      </c>
      <c r="AK361" s="64" t="e">
        <v>#N/A</v>
      </c>
      <c r="AL361" s="19">
        <v>113045</v>
      </c>
      <c r="AM361" s="19">
        <v>117870</v>
      </c>
      <c r="AN361" s="23">
        <v>11202</v>
      </c>
      <c r="AO361" s="19">
        <v>124403</v>
      </c>
      <c r="AP361" s="19">
        <v>3407</v>
      </c>
      <c r="AQ361" s="62"/>
      <c r="AR361" s="63"/>
      <c r="AS361" s="63"/>
      <c r="AT361" s="65">
        <f t="shared" si="27"/>
        <v>5224.9260000000004</v>
      </c>
      <c r="AU361" s="65">
        <f t="shared" si="28"/>
        <v>470.48399999999998</v>
      </c>
      <c r="AV361" s="65">
        <f t="shared" si="29"/>
        <v>143.09399999999999</v>
      </c>
      <c r="AW361" s="65">
        <f t="shared" si="30"/>
        <v>4747.8900000000003</v>
      </c>
      <c r="AX361" s="65">
        <f t="shared" si="30"/>
        <v>4950.54</v>
      </c>
      <c r="AY361" s="65">
        <f t="shared" si="26"/>
        <v>0</v>
      </c>
      <c r="AZ361" s="19">
        <v>46289</v>
      </c>
      <c r="BA361" s="19">
        <v>48461</v>
      </c>
      <c r="BB361" s="19">
        <v>42666</v>
      </c>
      <c r="BC361" s="19">
        <v>3516</v>
      </c>
      <c r="BD361" s="19">
        <v>351</v>
      </c>
      <c r="BE361" s="62"/>
      <c r="BF361" s="62"/>
      <c r="BG361" s="62"/>
      <c r="BH361" s="62"/>
      <c r="BI361" s="67">
        <v>26.35</v>
      </c>
      <c r="BJ361" s="67">
        <v>0.79</v>
      </c>
      <c r="BK361" s="67">
        <v>0.77</v>
      </c>
      <c r="BL361" s="67">
        <v>0.85</v>
      </c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62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  <c r="DK361" s="62"/>
      <c r="DL361" s="62"/>
    </row>
    <row r="362" spans="1:116" x14ac:dyDescent="0.2">
      <c r="A362" s="57">
        <v>37591</v>
      </c>
      <c r="B362" s="58">
        <v>2002</v>
      </c>
      <c r="C362" s="66">
        <v>0.115</v>
      </c>
      <c r="D362" s="62">
        <v>2E-3</v>
      </c>
      <c r="E362" s="62">
        <v>21.201000000000001</v>
      </c>
      <c r="F362" s="62">
        <v>0.89</v>
      </c>
      <c r="G362" s="62">
        <v>0.114</v>
      </c>
      <c r="H362" s="62">
        <v>10.38</v>
      </c>
      <c r="I362" s="62">
        <v>5.1840000000000002</v>
      </c>
      <c r="J362" s="62">
        <v>5.1950000000000003</v>
      </c>
      <c r="K362" s="62"/>
      <c r="L362" s="62"/>
      <c r="M362" s="62">
        <v>26.396000000000001</v>
      </c>
      <c r="N362" s="62">
        <v>1.109</v>
      </c>
      <c r="O362" s="66">
        <v>0.14099999999999999</v>
      </c>
      <c r="P362" s="61"/>
      <c r="Q362" s="62"/>
      <c r="R362" s="62"/>
      <c r="S362" s="62"/>
      <c r="T362" s="62"/>
      <c r="U362" s="62"/>
      <c r="V362" s="62"/>
      <c r="W362" s="62"/>
      <c r="X362" s="62"/>
      <c r="Y362" s="61"/>
      <c r="Z362" s="63"/>
      <c r="AA362" s="64" t="e">
        <v>#N/A</v>
      </c>
      <c r="AB362" s="62" t="e">
        <v>#N/A</v>
      </c>
      <c r="AC362" s="62" t="e">
        <v>#N/A</v>
      </c>
      <c r="AD362" s="62" t="e">
        <v>#N/A</v>
      </c>
      <c r="AE362" s="62" t="e">
        <v>#N/A</v>
      </c>
      <c r="AF362" s="62" t="e">
        <v>#N/A</v>
      </c>
      <c r="AG362" s="62" t="e">
        <v>#N/A</v>
      </c>
      <c r="AH362" s="62" t="e">
        <v>#N/A</v>
      </c>
      <c r="AI362" s="62" t="e">
        <v>#N/A</v>
      </c>
      <c r="AJ362" s="62" t="e">
        <v>#N/A</v>
      </c>
      <c r="AK362" s="64" t="e">
        <v>#N/A</v>
      </c>
      <c r="AL362" s="19">
        <v>121571</v>
      </c>
      <c r="AM362" s="19">
        <v>121950</v>
      </c>
      <c r="AN362" s="23">
        <v>15370</v>
      </c>
      <c r="AO362" s="19">
        <v>134085</v>
      </c>
      <c r="AP362" s="19">
        <v>5309</v>
      </c>
      <c r="AQ362" s="62"/>
      <c r="AR362" s="63"/>
      <c r="AS362" s="63"/>
      <c r="AT362" s="65">
        <f t="shared" si="27"/>
        <v>5631.57</v>
      </c>
      <c r="AU362" s="65">
        <f t="shared" si="28"/>
        <v>645.54</v>
      </c>
      <c r="AV362" s="65">
        <f t="shared" si="29"/>
        <v>222.97800000000001</v>
      </c>
      <c r="AW362" s="65">
        <f t="shared" si="30"/>
        <v>5105.982</v>
      </c>
      <c r="AX362" s="65">
        <f t="shared" si="30"/>
        <v>5121.8999999999996</v>
      </c>
      <c r="AY362" s="65">
        <f t="shared" si="26"/>
        <v>0</v>
      </c>
      <c r="AZ362" s="19">
        <v>47965</v>
      </c>
      <c r="BA362" s="19">
        <v>53393</v>
      </c>
      <c r="BB362" s="19">
        <v>39123</v>
      </c>
      <c r="BC362" s="19">
        <v>2332</v>
      </c>
      <c r="BD362" s="19">
        <v>447</v>
      </c>
      <c r="BE362" s="62"/>
      <c r="BF362" s="62"/>
      <c r="BG362" s="62"/>
      <c r="BH362" s="62"/>
      <c r="BI362" s="67">
        <v>29.46</v>
      </c>
      <c r="BJ362" s="67">
        <v>0.82</v>
      </c>
      <c r="BK362" s="67">
        <v>0.81</v>
      </c>
      <c r="BL362" s="67">
        <v>0.86</v>
      </c>
      <c r="BM362" s="62"/>
      <c r="BN362" s="62"/>
      <c r="BO362" s="62"/>
      <c r="BP362" s="62"/>
      <c r="BQ362" s="62"/>
      <c r="BR362" s="62"/>
      <c r="BS362" s="62"/>
      <c r="BT362" s="62"/>
      <c r="BU362" s="62"/>
      <c r="BV362" s="62"/>
      <c r="BW362" s="62"/>
      <c r="BX362" s="62"/>
      <c r="BY362" s="62"/>
      <c r="BZ362" s="62"/>
      <c r="CA362" s="62"/>
      <c r="CB362" s="62"/>
      <c r="CC362" s="62"/>
      <c r="CD362" s="62"/>
      <c r="CE362" s="62"/>
      <c r="CF362" s="62"/>
      <c r="CG362" s="62"/>
      <c r="CH362" s="62"/>
      <c r="CI362" s="62"/>
      <c r="CJ362" s="62"/>
      <c r="CK362" s="62"/>
      <c r="CL362" s="62"/>
      <c r="CM362" s="62"/>
      <c r="CN362" s="62"/>
      <c r="CO362" s="62"/>
      <c r="CP362" s="62"/>
      <c r="CQ362" s="62"/>
      <c r="CR362" s="62"/>
      <c r="CS362" s="62"/>
      <c r="CT362" s="62"/>
      <c r="CU362" s="62"/>
      <c r="CV362" s="62"/>
      <c r="CW362" s="62"/>
      <c r="CX362" s="62"/>
      <c r="CY362" s="62"/>
      <c r="CZ362" s="62"/>
      <c r="DA362" s="62"/>
      <c r="DB362" s="62"/>
      <c r="DC362" s="62"/>
      <c r="DD362" s="62"/>
      <c r="DE362" s="62"/>
      <c r="DF362" s="62"/>
      <c r="DG362" s="62"/>
      <c r="DH362" s="62"/>
      <c r="DI362" s="62"/>
      <c r="DJ362" s="62"/>
      <c r="DK362" s="62"/>
      <c r="DL362" s="62"/>
    </row>
    <row r="363" spans="1:116" x14ac:dyDescent="0.2">
      <c r="A363" s="57">
        <v>37622</v>
      </c>
      <c r="B363" s="58">
        <v>2003</v>
      </c>
      <c r="C363" s="66">
        <v>0.156</v>
      </c>
      <c r="D363" s="62">
        <v>2E-3</v>
      </c>
      <c r="E363" s="62">
        <v>28.734000000000002</v>
      </c>
      <c r="F363" s="62">
        <v>1.2070000000000001</v>
      </c>
      <c r="G363" s="62">
        <v>0.154</v>
      </c>
      <c r="H363" s="62">
        <v>14.164999999999999</v>
      </c>
      <c r="I363" s="62">
        <v>8.8960000000000008</v>
      </c>
      <c r="J363" s="62">
        <v>5.2679999999999998</v>
      </c>
      <c r="K363" s="62"/>
      <c r="L363" s="62"/>
      <c r="M363" s="62">
        <v>34.002000000000002</v>
      </c>
      <c r="N363" s="62">
        <v>1.4279999999999999</v>
      </c>
      <c r="O363" s="66">
        <v>0.182</v>
      </c>
      <c r="P363" s="61"/>
      <c r="Q363" s="62"/>
      <c r="R363" s="62"/>
      <c r="S363" s="62"/>
      <c r="T363" s="62"/>
      <c r="U363" s="62"/>
      <c r="V363" s="62"/>
      <c r="W363" s="62"/>
      <c r="X363" s="62"/>
      <c r="Y363" s="61"/>
      <c r="Z363" s="63"/>
      <c r="AA363" s="64" t="e">
        <v>#N/A</v>
      </c>
      <c r="AB363" s="62" t="e">
        <v>#N/A</v>
      </c>
      <c r="AC363" s="62" t="e">
        <v>#N/A</v>
      </c>
      <c r="AD363" s="62" t="e">
        <v>#N/A</v>
      </c>
      <c r="AE363" s="62" t="e">
        <v>#N/A</v>
      </c>
      <c r="AF363" s="62" t="e">
        <v>#N/A</v>
      </c>
      <c r="AG363" s="62" t="e">
        <v>#N/A</v>
      </c>
      <c r="AH363" s="62" t="e">
        <v>#N/A</v>
      </c>
      <c r="AI363" s="62" t="e">
        <v>#N/A</v>
      </c>
      <c r="AJ363" s="62" t="e">
        <v>#N/A</v>
      </c>
      <c r="AK363" s="64" t="e">
        <v>#N/A</v>
      </c>
      <c r="AL363" s="19">
        <v>105483</v>
      </c>
      <c r="AM363" s="19">
        <v>133342</v>
      </c>
      <c r="AN363" s="23">
        <v>10064</v>
      </c>
      <c r="AO363" s="19">
        <v>112589</v>
      </c>
      <c r="AP363" s="19">
        <v>3701</v>
      </c>
      <c r="AQ363" s="62"/>
      <c r="AR363" s="63"/>
      <c r="AS363" s="63"/>
      <c r="AT363" s="65">
        <f t="shared" si="27"/>
        <v>4728.7380000000003</v>
      </c>
      <c r="AU363" s="65">
        <f t="shared" si="28"/>
        <v>422.68799999999999</v>
      </c>
      <c r="AV363" s="65">
        <f t="shared" si="29"/>
        <v>155.44200000000001</v>
      </c>
      <c r="AW363" s="65">
        <f t="shared" si="30"/>
        <v>4430.2860000000001</v>
      </c>
      <c r="AX363" s="65">
        <f t="shared" si="30"/>
        <v>5600.3639999999996</v>
      </c>
      <c r="AY363" s="65">
        <f t="shared" si="26"/>
        <v>0</v>
      </c>
      <c r="AZ363" s="19">
        <v>46330</v>
      </c>
      <c r="BA363" s="19">
        <v>46668</v>
      </c>
      <c r="BB363" s="19">
        <v>40582</v>
      </c>
      <c r="BC363" s="19">
        <v>2922</v>
      </c>
      <c r="BD363" s="19">
        <v>1125</v>
      </c>
      <c r="BE363" s="62"/>
      <c r="BF363" s="62"/>
      <c r="BG363" s="62"/>
      <c r="BH363" s="62"/>
      <c r="BI363" s="67">
        <v>32.950000000000003</v>
      </c>
      <c r="BJ363" s="67">
        <v>0.89</v>
      </c>
      <c r="BK363" s="67">
        <v>0.91</v>
      </c>
      <c r="BL363" s="67">
        <v>0.95</v>
      </c>
      <c r="BM363" s="62"/>
      <c r="BN363" s="62"/>
      <c r="BO363" s="62"/>
      <c r="BP363" s="62"/>
      <c r="BQ363" s="62"/>
      <c r="BR363" s="62"/>
      <c r="BS363" s="62"/>
      <c r="BT363" s="62"/>
      <c r="BU363" s="62"/>
      <c r="BV363" s="62"/>
      <c r="BW363" s="62"/>
      <c r="BX363" s="62"/>
      <c r="BY363" s="62"/>
      <c r="BZ363" s="62"/>
      <c r="CA363" s="62"/>
      <c r="CB363" s="62"/>
      <c r="CC363" s="62"/>
      <c r="CD363" s="62"/>
      <c r="CE363" s="62"/>
      <c r="CF363" s="62"/>
      <c r="CG363" s="62"/>
      <c r="CH363" s="62"/>
      <c r="CI363" s="62"/>
      <c r="CJ363" s="62"/>
      <c r="CK363" s="62"/>
      <c r="CL363" s="62"/>
      <c r="CM363" s="62"/>
      <c r="CN363" s="62"/>
      <c r="CO363" s="62"/>
      <c r="CP363" s="62"/>
      <c r="CQ363" s="62"/>
      <c r="CR363" s="62"/>
      <c r="CS363" s="62"/>
      <c r="CT363" s="62"/>
      <c r="CU363" s="62"/>
      <c r="CV363" s="62"/>
      <c r="CW363" s="62"/>
      <c r="CX363" s="62"/>
      <c r="CY363" s="62"/>
      <c r="CZ363" s="62"/>
      <c r="DA363" s="62"/>
      <c r="DB363" s="62"/>
      <c r="DC363" s="62"/>
      <c r="DD363" s="62"/>
      <c r="DE363" s="62"/>
      <c r="DF363" s="62"/>
      <c r="DG363" s="62"/>
      <c r="DH363" s="62"/>
      <c r="DI363" s="62"/>
      <c r="DJ363" s="62"/>
      <c r="DK363" s="62"/>
      <c r="DL363" s="62"/>
    </row>
    <row r="364" spans="1:116" x14ac:dyDescent="0.2">
      <c r="A364" s="57">
        <v>37653</v>
      </c>
      <c r="B364" s="58">
        <v>2003</v>
      </c>
      <c r="C364" s="66">
        <v>0.14099999999999999</v>
      </c>
      <c r="D364" s="62">
        <v>2E-3</v>
      </c>
      <c r="E364" s="62">
        <v>25.952999999999999</v>
      </c>
      <c r="F364" s="62">
        <v>1.0900000000000001</v>
      </c>
      <c r="G364" s="62">
        <v>0.13900000000000001</v>
      </c>
      <c r="H364" s="62">
        <v>2.7170000000000001</v>
      </c>
      <c r="I364" s="62">
        <v>9.4779999999999998</v>
      </c>
      <c r="J364" s="62">
        <v>-6.7610000000000001</v>
      </c>
      <c r="K364" s="62"/>
      <c r="L364" s="62"/>
      <c r="M364" s="62">
        <v>19.192</v>
      </c>
      <c r="N364" s="62">
        <v>0.80600000000000005</v>
      </c>
      <c r="O364" s="66">
        <v>0.10299999999999999</v>
      </c>
      <c r="P364" s="61"/>
      <c r="Q364" s="62"/>
      <c r="R364" s="62"/>
      <c r="S364" s="62"/>
      <c r="T364" s="62"/>
      <c r="U364" s="62"/>
      <c r="V364" s="62"/>
      <c r="W364" s="62"/>
      <c r="X364" s="62"/>
      <c r="Y364" s="61"/>
      <c r="Z364" s="63"/>
      <c r="AA364" s="64" t="e">
        <v>#N/A</v>
      </c>
      <c r="AB364" s="62" t="e">
        <v>#N/A</v>
      </c>
      <c r="AC364" s="62" t="e">
        <v>#N/A</v>
      </c>
      <c r="AD364" s="62" t="e">
        <v>#N/A</v>
      </c>
      <c r="AE364" s="62" t="e">
        <v>#N/A</v>
      </c>
      <c r="AF364" s="62" t="e">
        <v>#N/A</v>
      </c>
      <c r="AG364" s="62" t="e">
        <v>#N/A</v>
      </c>
      <c r="AH364" s="62" t="e">
        <v>#N/A</v>
      </c>
      <c r="AI364" s="62" t="e">
        <v>#N/A</v>
      </c>
      <c r="AJ364" s="62" t="e">
        <v>#N/A</v>
      </c>
      <c r="AK364" s="64" t="e">
        <v>#N/A</v>
      </c>
      <c r="AL364" s="19">
        <v>96843</v>
      </c>
      <c r="AM364" s="19">
        <v>122143</v>
      </c>
      <c r="AN364" s="23">
        <v>14097</v>
      </c>
      <c r="AO364" s="19">
        <v>97684</v>
      </c>
      <c r="AP364" s="19">
        <v>3702</v>
      </c>
      <c r="AQ364" s="62"/>
      <c r="AR364" s="63"/>
      <c r="AS364" s="63"/>
      <c r="AT364" s="65">
        <f t="shared" si="27"/>
        <v>4102.7280000000001</v>
      </c>
      <c r="AU364" s="65">
        <f t="shared" si="28"/>
        <v>592.07399999999996</v>
      </c>
      <c r="AV364" s="65">
        <f t="shared" si="29"/>
        <v>155.48400000000001</v>
      </c>
      <c r="AW364" s="65">
        <f t="shared" si="30"/>
        <v>4067.4059999999999</v>
      </c>
      <c r="AX364" s="65">
        <f t="shared" si="30"/>
        <v>5130.0060000000003</v>
      </c>
      <c r="AY364" s="65">
        <f t="shared" si="26"/>
        <v>0</v>
      </c>
      <c r="AZ364" s="19">
        <v>39643</v>
      </c>
      <c r="BA364" s="19">
        <v>44255</v>
      </c>
      <c r="BB364" s="19">
        <v>38516</v>
      </c>
      <c r="BC364" s="19">
        <v>3065</v>
      </c>
      <c r="BD364" s="19">
        <v>519</v>
      </c>
      <c r="BE364" s="62"/>
      <c r="BF364" s="62"/>
      <c r="BG364" s="62"/>
      <c r="BH364" s="62"/>
      <c r="BI364" s="67">
        <v>35.83</v>
      </c>
      <c r="BJ364" s="67">
        <v>1.08</v>
      </c>
      <c r="BK364" s="67">
        <v>1.02</v>
      </c>
      <c r="BL364" s="67">
        <v>1.1000000000000001</v>
      </c>
      <c r="BM364" s="62"/>
      <c r="BN364" s="62"/>
      <c r="BO364" s="62"/>
      <c r="BP364" s="62"/>
      <c r="BQ364" s="62"/>
      <c r="BR364" s="62"/>
      <c r="BS364" s="62"/>
      <c r="BT364" s="62"/>
      <c r="BU364" s="62"/>
      <c r="BV364" s="62"/>
      <c r="BW364" s="62"/>
      <c r="BX364" s="62"/>
      <c r="BY364" s="62"/>
      <c r="BZ364" s="62"/>
      <c r="CA364" s="62"/>
      <c r="CB364" s="62"/>
      <c r="CC364" s="62"/>
      <c r="CD364" s="62"/>
      <c r="CE364" s="62"/>
      <c r="CF364" s="62"/>
      <c r="CG364" s="62"/>
      <c r="CH364" s="62"/>
      <c r="CI364" s="62"/>
      <c r="CJ364" s="62"/>
      <c r="CK364" s="62"/>
      <c r="CL364" s="62"/>
      <c r="CM364" s="62"/>
      <c r="CN364" s="62"/>
      <c r="CO364" s="62"/>
      <c r="CP364" s="62"/>
      <c r="CQ364" s="62"/>
      <c r="CR364" s="62"/>
      <c r="CS364" s="62"/>
      <c r="CT364" s="62"/>
      <c r="CU364" s="62"/>
      <c r="CV364" s="62"/>
      <c r="CW364" s="62"/>
      <c r="CX364" s="62"/>
      <c r="CY364" s="62"/>
      <c r="CZ364" s="62"/>
      <c r="DA364" s="62"/>
      <c r="DB364" s="62"/>
      <c r="DC364" s="62"/>
      <c r="DD364" s="62"/>
      <c r="DE364" s="62"/>
      <c r="DF364" s="62"/>
      <c r="DG364" s="62"/>
      <c r="DH364" s="62"/>
      <c r="DI364" s="62"/>
      <c r="DJ364" s="62"/>
      <c r="DK364" s="62"/>
      <c r="DL364" s="62"/>
    </row>
    <row r="365" spans="1:116" x14ac:dyDescent="0.2">
      <c r="A365" s="57">
        <v>37681</v>
      </c>
      <c r="B365" s="58">
        <v>2003</v>
      </c>
      <c r="C365" s="66">
        <v>0.156</v>
      </c>
      <c r="D365" s="62">
        <v>2E-3</v>
      </c>
      <c r="E365" s="62">
        <v>28.734000000000002</v>
      </c>
      <c r="F365" s="62">
        <v>1.2070000000000001</v>
      </c>
      <c r="G365" s="62">
        <v>0.154</v>
      </c>
      <c r="H365" s="62">
        <v>4.2430000000000003</v>
      </c>
      <c r="I365" s="62">
        <v>8.4870000000000001</v>
      </c>
      <c r="J365" s="62">
        <v>-4.2439999999999998</v>
      </c>
      <c r="K365" s="62"/>
      <c r="L365" s="62"/>
      <c r="M365" s="62">
        <v>24.49</v>
      </c>
      <c r="N365" s="62">
        <v>1.0289999999999999</v>
      </c>
      <c r="O365" s="66">
        <v>0.13100000000000001</v>
      </c>
      <c r="P365" s="61"/>
      <c r="Q365" s="62"/>
      <c r="R365" s="62"/>
      <c r="S365" s="62"/>
      <c r="T365" s="62"/>
      <c r="U365" s="62"/>
      <c r="V365" s="62"/>
      <c r="W365" s="62"/>
      <c r="X365" s="62"/>
      <c r="Y365" s="61"/>
      <c r="Z365" s="63"/>
      <c r="AA365" s="64" t="e">
        <v>#N/A</v>
      </c>
      <c r="AB365" s="62" t="e">
        <v>#N/A</v>
      </c>
      <c r="AC365" s="62" t="e">
        <v>#N/A</v>
      </c>
      <c r="AD365" s="62" t="e">
        <v>#N/A</v>
      </c>
      <c r="AE365" s="62" t="e">
        <v>#N/A</v>
      </c>
      <c r="AF365" s="62" t="e">
        <v>#N/A</v>
      </c>
      <c r="AG365" s="62" t="e">
        <v>#N/A</v>
      </c>
      <c r="AH365" s="62" t="e">
        <v>#N/A</v>
      </c>
      <c r="AI365" s="62" t="e">
        <v>#N/A</v>
      </c>
      <c r="AJ365" s="62" t="e">
        <v>#N/A</v>
      </c>
      <c r="AK365" s="64" t="e">
        <v>#N/A</v>
      </c>
      <c r="AL365" s="19">
        <v>115686</v>
      </c>
      <c r="AM365" s="19">
        <v>124044</v>
      </c>
      <c r="AN365" s="23">
        <v>14253</v>
      </c>
      <c r="AO365" s="19">
        <v>98602</v>
      </c>
      <c r="AP365" s="19">
        <v>4977</v>
      </c>
      <c r="AQ365" s="62"/>
      <c r="AR365" s="63"/>
      <c r="AS365" s="63"/>
      <c r="AT365" s="65">
        <f t="shared" si="27"/>
        <v>4141.2839999999997</v>
      </c>
      <c r="AU365" s="65">
        <f t="shared" si="28"/>
        <v>598.62599999999998</v>
      </c>
      <c r="AV365" s="65">
        <f t="shared" si="29"/>
        <v>209.03399999999999</v>
      </c>
      <c r="AW365" s="65">
        <f t="shared" si="30"/>
        <v>4858.8119999999999</v>
      </c>
      <c r="AX365" s="65">
        <f t="shared" si="30"/>
        <v>5209.848</v>
      </c>
      <c r="AY365" s="65">
        <f t="shared" si="26"/>
        <v>0</v>
      </c>
      <c r="AZ365" s="19">
        <v>44330</v>
      </c>
      <c r="BA365" s="19">
        <v>48833</v>
      </c>
      <c r="BB365" s="19">
        <v>36582</v>
      </c>
      <c r="BC365" s="19">
        <v>3636</v>
      </c>
      <c r="BD365" s="19">
        <v>1067</v>
      </c>
      <c r="BE365" s="62"/>
      <c r="BF365" s="62"/>
      <c r="BG365" s="62"/>
      <c r="BH365" s="62"/>
      <c r="BI365" s="67">
        <v>33.51</v>
      </c>
      <c r="BJ365" s="67">
        <v>1.02</v>
      </c>
      <c r="BK365" s="67">
        <v>1.04</v>
      </c>
      <c r="BL365" s="67">
        <v>1.1299999999999999</v>
      </c>
      <c r="BM365" s="62"/>
      <c r="BN365" s="62"/>
      <c r="BO365" s="62"/>
      <c r="BP365" s="62"/>
      <c r="BQ365" s="62"/>
      <c r="BR365" s="62"/>
      <c r="BS365" s="62"/>
      <c r="BT365" s="62"/>
      <c r="BU365" s="62"/>
      <c r="BV365" s="62"/>
      <c r="BW365" s="62"/>
      <c r="BX365" s="62"/>
      <c r="BY365" s="62"/>
      <c r="BZ365" s="62"/>
      <c r="CA365" s="62"/>
      <c r="CB365" s="62"/>
      <c r="CC365" s="62"/>
      <c r="CD365" s="62"/>
      <c r="CE365" s="62"/>
      <c r="CF365" s="62"/>
      <c r="CG365" s="62"/>
      <c r="CH365" s="62"/>
      <c r="CI365" s="62"/>
      <c r="CJ365" s="62"/>
      <c r="CK365" s="62"/>
      <c r="CL365" s="62"/>
      <c r="CM365" s="62"/>
      <c r="CN365" s="62"/>
      <c r="CO365" s="62"/>
      <c r="CP365" s="62"/>
      <c r="CQ365" s="62"/>
      <c r="CR365" s="62"/>
      <c r="CS365" s="62"/>
      <c r="CT365" s="62"/>
      <c r="CU365" s="62"/>
      <c r="CV365" s="62"/>
      <c r="CW365" s="62"/>
      <c r="CX365" s="62"/>
      <c r="CY365" s="62"/>
      <c r="CZ365" s="62"/>
      <c r="DA365" s="62"/>
      <c r="DB365" s="62"/>
      <c r="DC365" s="62"/>
      <c r="DD365" s="62"/>
      <c r="DE365" s="62"/>
      <c r="DF365" s="62"/>
      <c r="DG365" s="62"/>
      <c r="DH365" s="62"/>
      <c r="DI365" s="62"/>
      <c r="DJ365" s="62"/>
      <c r="DK365" s="62"/>
      <c r="DL365" s="62"/>
    </row>
    <row r="366" spans="1:116" x14ac:dyDescent="0.2">
      <c r="A366" s="57">
        <v>37712</v>
      </c>
      <c r="B366" s="58">
        <v>2003</v>
      </c>
      <c r="C366" s="66">
        <v>0.151</v>
      </c>
      <c r="D366" s="62">
        <v>2E-3</v>
      </c>
      <c r="E366" s="62">
        <v>27.806999999999999</v>
      </c>
      <c r="F366" s="62">
        <v>1.1679999999999999</v>
      </c>
      <c r="G366" s="62">
        <v>0.14899999999999999</v>
      </c>
      <c r="H366" s="62">
        <v>3.996</v>
      </c>
      <c r="I366" s="62">
        <v>11.574</v>
      </c>
      <c r="J366" s="62">
        <v>-7.5780000000000003</v>
      </c>
      <c r="K366" s="62"/>
      <c r="L366" s="62"/>
      <c r="M366" s="62">
        <v>20.228999999999999</v>
      </c>
      <c r="N366" s="62">
        <v>0.85</v>
      </c>
      <c r="O366" s="66">
        <v>0.108</v>
      </c>
      <c r="P366" s="61"/>
      <c r="Q366" s="62"/>
      <c r="R366" s="62"/>
      <c r="S366" s="62"/>
      <c r="T366" s="62"/>
      <c r="U366" s="62"/>
      <c r="V366" s="62"/>
      <c r="W366" s="62"/>
      <c r="X366" s="62"/>
      <c r="Y366" s="61"/>
      <c r="Z366" s="63"/>
      <c r="AA366" s="64" t="e">
        <v>#N/A</v>
      </c>
      <c r="AB366" s="62" t="e">
        <v>#N/A</v>
      </c>
      <c r="AC366" s="62" t="e">
        <v>#N/A</v>
      </c>
      <c r="AD366" s="62" t="e">
        <v>#N/A</v>
      </c>
      <c r="AE366" s="62" t="e">
        <v>#N/A</v>
      </c>
      <c r="AF366" s="62" t="e">
        <v>#N/A</v>
      </c>
      <c r="AG366" s="62" t="e">
        <v>#N/A</v>
      </c>
      <c r="AH366" s="62" t="e">
        <v>#N/A</v>
      </c>
      <c r="AI366" s="62" t="e">
        <v>#N/A</v>
      </c>
      <c r="AJ366" s="62" t="e">
        <v>#N/A</v>
      </c>
      <c r="AK366" s="64" t="e">
        <v>#N/A</v>
      </c>
      <c r="AL366" s="19">
        <v>113892</v>
      </c>
      <c r="AM366" s="19">
        <v>118530</v>
      </c>
      <c r="AN366" s="23">
        <v>7388</v>
      </c>
      <c r="AO366" s="19">
        <v>97181</v>
      </c>
      <c r="AP366" s="19">
        <v>4171</v>
      </c>
      <c r="AQ366" s="62"/>
      <c r="AR366" s="63"/>
      <c r="AS366" s="63"/>
      <c r="AT366" s="65">
        <f t="shared" si="27"/>
        <v>4081.6019999999999</v>
      </c>
      <c r="AU366" s="65">
        <f t="shared" si="28"/>
        <v>310.29599999999999</v>
      </c>
      <c r="AV366" s="65">
        <f t="shared" si="29"/>
        <v>175.18199999999999</v>
      </c>
      <c r="AW366" s="65">
        <f t="shared" si="30"/>
        <v>4783.4639999999999</v>
      </c>
      <c r="AX366" s="65">
        <f t="shared" si="30"/>
        <v>4978.26</v>
      </c>
      <c r="AY366" s="65">
        <f t="shared" si="26"/>
        <v>0</v>
      </c>
      <c r="AZ366" s="19">
        <v>43343</v>
      </c>
      <c r="BA366" s="19">
        <v>45609</v>
      </c>
      <c r="BB366" s="19">
        <v>36477</v>
      </c>
      <c r="BC366" s="19">
        <v>3179</v>
      </c>
      <c r="BD366" s="19">
        <v>1018</v>
      </c>
      <c r="BE366" s="62"/>
      <c r="BF366" s="62"/>
      <c r="BG366" s="62"/>
      <c r="BH366" s="62"/>
      <c r="BI366" s="67">
        <v>28.17</v>
      </c>
      <c r="BJ366" s="67">
        <v>0.86</v>
      </c>
      <c r="BK366" s="67">
        <v>0.82</v>
      </c>
      <c r="BL366" s="67">
        <v>1</v>
      </c>
      <c r="BM366" s="62"/>
      <c r="BN366" s="62"/>
      <c r="BO366" s="62"/>
      <c r="BP366" s="62"/>
      <c r="BQ366" s="62"/>
      <c r="BR366" s="62"/>
      <c r="BS366" s="62"/>
      <c r="BT366" s="62"/>
      <c r="BU366" s="62"/>
      <c r="BV366" s="62"/>
      <c r="BW366" s="62"/>
      <c r="BX366" s="62"/>
      <c r="BY366" s="62"/>
      <c r="BZ366" s="62"/>
      <c r="CA366" s="62"/>
      <c r="CB366" s="62"/>
      <c r="CC366" s="62"/>
      <c r="CD366" s="62"/>
      <c r="CE366" s="62"/>
      <c r="CF366" s="62"/>
      <c r="CG366" s="62"/>
      <c r="CH366" s="62"/>
      <c r="CI366" s="62"/>
      <c r="CJ366" s="62"/>
      <c r="CK366" s="62"/>
      <c r="CL366" s="62"/>
      <c r="CM366" s="62"/>
      <c r="CN366" s="62"/>
      <c r="CO366" s="62"/>
      <c r="CP366" s="62"/>
      <c r="CQ366" s="62"/>
      <c r="CR366" s="62"/>
      <c r="CS366" s="62"/>
      <c r="CT366" s="62"/>
      <c r="CU366" s="62"/>
      <c r="CV366" s="62"/>
      <c r="CW366" s="62"/>
      <c r="CX366" s="62"/>
      <c r="CY366" s="62"/>
      <c r="CZ366" s="62"/>
      <c r="DA366" s="62"/>
      <c r="DB366" s="62"/>
      <c r="DC366" s="62"/>
      <c r="DD366" s="62"/>
      <c r="DE366" s="62"/>
      <c r="DF366" s="62"/>
      <c r="DG366" s="62"/>
      <c r="DH366" s="62"/>
      <c r="DI366" s="62"/>
      <c r="DJ366" s="62"/>
      <c r="DK366" s="62"/>
      <c r="DL366" s="62"/>
    </row>
    <row r="367" spans="1:116" x14ac:dyDescent="0.2">
      <c r="A367" s="57">
        <v>37742</v>
      </c>
      <c r="B367" s="58">
        <v>2003</v>
      </c>
      <c r="C367" s="66">
        <v>0.156</v>
      </c>
      <c r="D367" s="62">
        <v>2E-3</v>
      </c>
      <c r="E367" s="62">
        <v>28.734000000000002</v>
      </c>
      <c r="F367" s="62">
        <v>1.2070000000000001</v>
      </c>
      <c r="G367" s="62">
        <v>0.154</v>
      </c>
      <c r="H367" s="62">
        <v>3.7189999999999999</v>
      </c>
      <c r="I367" s="62">
        <v>11.439</v>
      </c>
      <c r="J367" s="62">
        <v>-7.72</v>
      </c>
      <c r="K367" s="62"/>
      <c r="L367" s="62"/>
      <c r="M367" s="62">
        <v>21.013999999999999</v>
      </c>
      <c r="N367" s="62">
        <v>0.88300000000000001</v>
      </c>
      <c r="O367" s="66">
        <v>0.113</v>
      </c>
      <c r="P367" s="61"/>
      <c r="Q367" s="62"/>
      <c r="R367" s="62"/>
      <c r="S367" s="62"/>
      <c r="T367" s="62"/>
      <c r="U367" s="62"/>
      <c r="V367" s="62"/>
      <c r="W367" s="62"/>
      <c r="X367" s="62"/>
      <c r="Y367" s="61"/>
      <c r="Z367" s="63"/>
      <c r="AA367" s="64" t="e">
        <v>#N/A</v>
      </c>
      <c r="AB367" s="62" t="e">
        <v>#N/A</v>
      </c>
      <c r="AC367" s="62" t="e">
        <v>#N/A</v>
      </c>
      <c r="AD367" s="62" t="e">
        <v>#N/A</v>
      </c>
      <c r="AE367" s="62" t="e">
        <v>#N/A</v>
      </c>
      <c r="AF367" s="62" t="e">
        <v>#N/A</v>
      </c>
      <c r="AG367" s="62" t="e">
        <v>#N/A</v>
      </c>
      <c r="AH367" s="62" t="e">
        <v>#N/A</v>
      </c>
      <c r="AI367" s="62" t="e">
        <v>#N/A</v>
      </c>
      <c r="AJ367" s="62" t="e">
        <v>#N/A</v>
      </c>
      <c r="AK367" s="64" t="e">
        <v>#N/A</v>
      </c>
      <c r="AL367" s="19">
        <v>118811</v>
      </c>
      <c r="AM367" s="19">
        <v>113175</v>
      </c>
      <c r="AN367" s="23">
        <v>8884</v>
      </c>
      <c r="AO367" s="19">
        <v>106689</v>
      </c>
      <c r="AP367" s="19">
        <v>5012</v>
      </c>
      <c r="AQ367" s="62"/>
      <c r="AR367" s="63"/>
      <c r="AS367" s="63"/>
      <c r="AT367" s="65">
        <f t="shared" si="27"/>
        <v>4480.9380000000001</v>
      </c>
      <c r="AU367" s="65">
        <f t="shared" si="28"/>
        <v>373.12799999999999</v>
      </c>
      <c r="AV367" s="65">
        <f t="shared" si="29"/>
        <v>210.50399999999999</v>
      </c>
      <c r="AW367" s="65">
        <f t="shared" si="30"/>
        <v>4990.0619999999999</v>
      </c>
      <c r="AX367" s="65">
        <f t="shared" si="30"/>
        <v>4753.3500000000004</v>
      </c>
      <c r="AY367" s="65">
        <f t="shared" si="26"/>
        <v>0</v>
      </c>
      <c r="AZ367" s="19">
        <v>46019</v>
      </c>
      <c r="BA367" s="19">
        <v>45568</v>
      </c>
      <c r="BB367" s="19">
        <v>40092</v>
      </c>
      <c r="BC367" s="19">
        <v>3767</v>
      </c>
      <c r="BD367" s="19">
        <v>603</v>
      </c>
      <c r="BE367" s="62"/>
      <c r="BF367" s="62"/>
      <c r="BG367" s="62"/>
      <c r="BH367" s="62"/>
      <c r="BI367" s="67">
        <v>28.11</v>
      </c>
      <c r="BJ367" s="67">
        <v>0.79</v>
      </c>
      <c r="BK367" s="67">
        <v>0.76</v>
      </c>
      <c r="BL367" s="67">
        <v>0.94</v>
      </c>
      <c r="BM367" s="62"/>
      <c r="BN367" s="62"/>
      <c r="BO367" s="62"/>
      <c r="BP367" s="62"/>
      <c r="BQ367" s="62"/>
      <c r="BR367" s="62"/>
      <c r="BS367" s="62"/>
      <c r="BT367" s="62"/>
      <c r="BU367" s="62"/>
      <c r="BV367" s="62"/>
      <c r="BW367" s="62"/>
      <c r="BX367" s="62"/>
      <c r="BY367" s="62"/>
      <c r="BZ367" s="62"/>
      <c r="CA367" s="62"/>
      <c r="CB367" s="62"/>
      <c r="CC367" s="62"/>
      <c r="CD367" s="62"/>
      <c r="CE367" s="62"/>
      <c r="CF367" s="62"/>
      <c r="CG367" s="62"/>
      <c r="CH367" s="62"/>
      <c r="CI367" s="62"/>
      <c r="CJ367" s="62"/>
      <c r="CK367" s="62"/>
      <c r="CL367" s="62"/>
      <c r="CM367" s="62"/>
      <c r="CN367" s="62"/>
      <c r="CO367" s="62"/>
      <c r="CP367" s="62"/>
      <c r="CQ367" s="62"/>
      <c r="CR367" s="62"/>
      <c r="CS367" s="62"/>
      <c r="CT367" s="62"/>
      <c r="CU367" s="62"/>
      <c r="CV367" s="62"/>
      <c r="CW367" s="62"/>
      <c r="CX367" s="62"/>
      <c r="CY367" s="62"/>
      <c r="CZ367" s="62"/>
      <c r="DA367" s="62"/>
      <c r="DB367" s="62"/>
      <c r="DC367" s="62"/>
      <c r="DD367" s="62"/>
      <c r="DE367" s="62"/>
      <c r="DF367" s="62"/>
      <c r="DG367" s="62"/>
      <c r="DH367" s="62"/>
      <c r="DI367" s="62"/>
      <c r="DJ367" s="62"/>
      <c r="DK367" s="62"/>
      <c r="DL367" s="62"/>
    </row>
    <row r="368" spans="1:116" x14ac:dyDescent="0.2">
      <c r="A368" s="57">
        <v>37773</v>
      </c>
      <c r="B368" s="58">
        <v>2003</v>
      </c>
      <c r="C368" s="66">
        <v>0.151</v>
      </c>
      <c r="D368" s="62">
        <v>2E-3</v>
      </c>
      <c r="E368" s="62">
        <v>27.806999999999999</v>
      </c>
      <c r="F368" s="62">
        <v>1.1679999999999999</v>
      </c>
      <c r="G368" s="62">
        <v>0.14899999999999999</v>
      </c>
      <c r="H368" s="62">
        <v>3.7229999999999999</v>
      </c>
      <c r="I368" s="62">
        <v>10.109</v>
      </c>
      <c r="J368" s="62">
        <v>-6.3860000000000001</v>
      </c>
      <c r="K368" s="62"/>
      <c r="L368" s="62"/>
      <c r="M368" s="62">
        <v>21.420999999999999</v>
      </c>
      <c r="N368" s="62">
        <v>0.9</v>
      </c>
      <c r="O368" s="66">
        <v>0.115</v>
      </c>
      <c r="P368" s="61"/>
      <c r="Q368" s="62"/>
      <c r="R368" s="62"/>
      <c r="S368" s="62"/>
      <c r="T368" s="62"/>
      <c r="U368" s="62"/>
      <c r="V368" s="62"/>
      <c r="W368" s="62"/>
      <c r="X368" s="62"/>
      <c r="Y368" s="61"/>
      <c r="Z368" s="63"/>
      <c r="AA368" s="64" t="e">
        <v>#N/A</v>
      </c>
      <c r="AB368" s="62" t="e">
        <v>#N/A</v>
      </c>
      <c r="AC368" s="62" t="e">
        <v>#N/A</v>
      </c>
      <c r="AD368" s="62" t="e">
        <v>#N/A</v>
      </c>
      <c r="AE368" s="62" t="e">
        <v>#N/A</v>
      </c>
      <c r="AF368" s="62" t="e">
        <v>#N/A</v>
      </c>
      <c r="AG368" s="62" t="e">
        <v>#N/A</v>
      </c>
      <c r="AH368" s="62" t="e">
        <v>#N/A</v>
      </c>
      <c r="AI368" s="62" t="e">
        <v>#N/A</v>
      </c>
      <c r="AJ368" s="62" t="e">
        <v>#N/A</v>
      </c>
      <c r="AK368" s="64" t="e">
        <v>#N/A</v>
      </c>
      <c r="AL368" s="19">
        <v>111847</v>
      </c>
      <c r="AM368" s="19">
        <v>113431</v>
      </c>
      <c r="AN368" s="23">
        <v>10121</v>
      </c>
      <c r="AO368" s="19">
        <v>112204</v>
      </c>
      <c r="AP368" s="19">
        <v>3022</v>
      </c>
      <c r="AQ368" s="62"/>
      <c r="AR368" s="63"/>
      <c r="AS368" s="63"/>
      <c r="AT368" s="65">
        <f t="shared" si="27"/>
        <v>4712.5680000000002</v>
      </c>
      <c r="AU368" s="65">
        <f t="shared" si="28"/>
        <v>425.08199999999999</v>
      </c>
      <c r="AV368" s="65">
        <f t="shared" si="29"/>
        <v>126.92400000000001</v>
      </c>
      <c r="AW368" s="65">
        <f t="shared" si="30"/>
        <v>4697.5739999999996</v>
      </c>
      <c r="AX368" s="65">
        <f t="shared" si="30"/>
        <v>4764.1019999999999</v>
      </c>
      <c r="AY368" s="65">
        <f t="shared" si="26"/>
        <v>0</v>
      </c>
      <c r="AZ368" s="19">
        <v>41787</v>
      </c>
      <c r="BA368" s="19">
        <v>46952</v>
      </c>
      <c r="BB368" s="19">
        <v>38288</v>
      </c>
      <c r="BC368" s="19">
        <v>3561</v>
      </c>
      <c r="BD368" s="19">
        <v>200</v>
      </c>
      <c r="BE368" s="62"/>
      <c r="BF368" s="62"/>
      <c r="BG368" s="62"/>
      <c r="BH368" s="62"/>
      <c r="BI368" s="67">
        <v>30.66</v>
      </c>
      <c r="BJ368" s="67">
        <v>0.81</v>
      </c>
      <c r="BK368" s="67">
        <v>0.77</v>
      </c>
      <c r="BL368" s="67">
        <v>0.96</v>
      </c>
      <c r="BM368" s="62"/>
      <c r="BN368" s="62"/>
      <c r="BO368" s="62"/>
      <c r="BP368" s="62"/>
      <c r="BQ368" s="62"/>
      <c r="BR368" s="62"/>
      <c r="BS368" s="62"/>
      <c r="BT368" s="62"/>
      <c r="BU368" s="62"/>
      <c r="BV368" s="62"/>
      <c r="BW368" s="62"/>
      <c r="BX368" s="62"/>
      <c r="BY368" s="62"/>
      <c r="BZ368" s="62"/>
      <c r="CA368" s="62"/>
      <c r="CB368" s="62"/>
      <c r="CC368" s="62"/>
      <c r="CD368" s="62"/>
      <c r="CE368" s="62"/>
      <c r="CF368" s="62"/>
      <c r="CG368" s="62"/>
      <c r="CH368" s="62"/>
      <c r="CI368" s="62"/>
      <c r="CJ368" s="62"/>
      <c r="CK368" s="62"/>
      <c r="CL368" s="62"/>
      <c r="CM368" s="62"/>
      <c r="CN368" s="62"/>
      <c r="CO368" s="62"/>
      <c r="CP368" s="62"/>
      <c r="CQ368" s="62"/>
      <c r="CR368" s="62"/>
      <c r="CS368" s="62"/>
      <c r="CT368" s="62"/>
      <c r="CU368" s="62"/>
      <c r="CV368" s="62"/>
      <c r="CW368" s="62"/>
      <c r="CX368" s="62"/>
      <c r="CY368" s="62"/>
      <c r="CZ368" s="62"/>
      <c r="DA368" s="62"/>
      <c r="DB368" s="62"/>
      <c r="DC368" s="62"/>
      <c r="DD368" s="62"/>
      <c r="DE368" s="62"/>
      <c r="DF368" s="62"/>
      <c r="DG368" s="62"/>
      <c r="DH368" s="62"/>
      <c r="DI368" s="62"/>
      <c r="DJ368" s="62"/>
      <c r="DK368" s="62"/>
      <c r="DL368" s="62"/>
    </row>
    <row r="369" spans="1:116" x14ac:dyDescent="0.2">
      <c r="A369" s="57">
        <v>37803</v>
      </c>
      <c r="B369" s="58">
        <v>2003</v>
      </c>
      <c r="C369" s="66">
        <v>0.156</v>
      </c>
      <c r="D369" s="62">
        <v>2E-3</v>
      </c>
      <c r="E369" s="62">
        <v>28.734000000000002</v>
      </c>
      <c r="F369" s="62">
        <v>1.2070000000000001</v>
      </c>
      <c r="G369" s="62">
        <v>0.154</v>
      </c>
      <c r="H369" s="62">
        <v>4.1749999999999998</v>
      </c>
      <c r="I369" s="62">
        <v>10.211</v>
      </c>
      <c r="J369" s="62">
        <v>-6.0359999999999996</v>
      </c>
      <c r="K369" s="62"/>
      <c r="L369" s="62"/>
      <c r="M369" s="62">
        <v>22.698</v>
      </c>
      <c r="N369" s="62">
        <v>0.95299999999999996</v>
      </c>
      <c r="O369" s="66">
        <v>0.122</v>
      </c>
      <c r="P369" s="61"/>
      <c r="Q369" s="62"/>
      <c r="R369" s="62"/>
      <c r="S369" s="62"/>
      <c r="T369" s="62"/>
      <c r="U369" s="62"/>
      <c r="V369" s="62"/>
      <c r="W369" s="62"/>
      <c r="X369" s="62"/>
      <c r="Y369" s="61"/>
      <c r="Z369" s="63"/>
      <c r="AA369" s="64" t="e">
        <v>#N/A</v>
      </c>
      <c r="AB369" s="62" t="e">
        <v>#N/A</v>
      </c>
      <c r="AC369" s="62" t="e">
        <v>#N/A</v>
      </c>
      <c r="AD369" s="62" t="e">
        <v>#N/A</v>
      </c>
      <c r="AE369" s="62" t="e">
        <v>#N/A</v>
      </c>
      <c r="AF369" s="62" t="e">
        <v>#N/A</v>
      </c>
      <c r="AG369" s="62" t="e">
        <v>#N/A</v>
      </c>
      <c r="AH369" s="62" t="e">
        <v>#N/A</v>
      </c>
      <c r="AI369" s="62" t="e">
        <v>#N/A</v>
      </c>
      <c r="AJ369" s="62" t="e">
        <v>#N/A</v>
      </c>
      <c r="AK369" s="64" t="e">
        <v>#N/A</v>
      </c>
      <c r="AL369" s="19">
        <v>113869</v>
      </c>
      <c r="AM369" s="19">
        <v>114093</v>
      </c>
      <c r="AN369" s="23">
        <v>9256</v>
      </c>
      <c r="AO369" s="19">
        <v>118045</v>
      </c>
      <c r="AP369" s="19">
        <v>3191</v>
      </c>
      <c r="AQ369" s="62"/>
      <c r="AR369" s="63"/>
      <c r="AS369" s="63"/>
      <c r="AT369" s="65">
        <f t="shared" si="27"/>
        <v>4957.8900000000003</v>
      </c>
      <c r="AU369" s="65">
        <f t="shared" si="28"/>
        <v>388.75200000000001</v>
      </c>
      <c r="AV369" s="65">
        <f t="shared" si="29"/>
        <v>134.02199999999999</v>
      </c>
      <c r="AW369" s="65">
        <f t="shared" si="30"/>
        <v>4782.4979999999996</v>
      </c>
      <c r="AX369" s="65">
        <f t="shared" si="30"/>
        <v>4791.9059999999999</v>
      </c>
      <c r="AY369" s="65">
        <f t="shared" si="26"/>
        <v>0</v>
      </c>
      <c r="AZ369" s="19">
        <v>46217</v>
      </c>
      <c r="BA369" s="19">
        <v>49797</v>
      </c>
      <c r="BB369" s="19">
        <v>38237</v>
      </c>
      <c r="BC369" s="19">
        <v>3902</v>
      </c>
      <c r="BD369" s="19">
        <v>373</v>
      </c>
      <c r="BE369" s="62"/>
      <c r="BF369" s="62"/>
      <c r="BG369" s="62"/>
      <c r="BH369" s="62"/>
      <c r="BI369" s="67">
        <v>30.75</v>
      </c>
      <c r="BJ369" s="67">
        <v>0.84</v>
      </c>
      <c r="BK369" s="67">
        <v>0.82</v>
      </c>
      <c r="BL369" s="67">
        <v>0.98</v>
      </c>
      <c r="BM369" s="62"/>
      <c r="BN369" s="62"/>
      <c r="BO369" s="62"/>
      <c r="BP369" s="62"/>
      <c r="BQ369" s="62"/>
      <c r="BR369" s="62"/>
      <c r="BS369" s="62"/>
      <c r="BT369" s="62"/>
      <c r="BU369" s="62"/>
      <c r="BV369" s="62"/>
      <c r="BW369" s="62"/>
      <c r="BX369" s="62"/>
      <c r="BY369" s="62"/>
      <c r="BZ369" s="62"/>
      <c r="CA369" s="62"/>
      <c r="CB369" s="62"/>
      <c r="CC369" s="62"/>
      <c r="CD369" s="62"/>
      <c r="CE369" s="62"/>
      <c r="CF369" s="62"/>
      <c r="CG369" s="62"/>
      <c r="CH369" s="62"/>
      <c r="CI369" s="62"/>
      <c r="CJ369" s="62"/>
      <c r="CK369" s="62"/>
      <c r="CL369" s="62"/>
      <c r="CM369" s="62"/>
      <c r="CN369" s="62"/>
      <c r="CO369" s="62"/>
      <c r="CP369" s="62"/>
      <c r="CQ369" s="62"/>
      <c r="CR369" s="62"/>
      <c r="CS369" s="62"/>
      <c r="CT369" s="62"/>
      <c r="CU369" s="62"/>
      <c r="CV369" s="62"/>
      <c r="CW369" s="62"/>
      <c r="CX369" s="62"/>
      <c r="CY369" s="62"/>
      <c r="CZ369" s="62"/>
      <c r="DA369" s="62"/>
      <c r="DB369" s="62"/>
      <c r="DC369" s="62"/>
      <c r="DD369" s="62"/>
      <c r="DE369" s="62"/>
      <c r="DF369" s="62"/>
      <c r="DG369" s="62"/>
      <c r="DH369" s="62"/>
      <c r="DI369" s="62"/>
      <c r="DJ369" s="62"/>
      <c r="DK369" s="62"/>
      <c r="DL369" s="62"/>
    </row>
    <row r="370" spans="1:116" x14ac:dyDescent="0.2">
      <c r="A370" s="57">
        <v>37834</v>
      </c>
      <c r="B370" s="58">
        <v>2003</v>
      </c>
      <c r="C370" s="66">
        <v>0.156</v>
      </c>
      <c r="D370" s="62">
        <v>2E-3</v>
      </c>
      <c r="E370" s="62">
        <v>28.734000000000002</v>
      </c>
      <c r="F370" s="62">
        <v>1.2070000000000001</v>
      </c>
      <c r="G370" s="62">
        <v>0.154</v>
      </c>
      <c r="H370" s="62">
        <v>9.7460000000000004</v>
      </c>
      <c r="I370" s="62">
        <v>8.2170000000000005</v>
      </c>
      <c r="J370" s="62">
        <v>1.5289999999999999</v>
      </c>
      <c r="K370" s="62"/>
      <c r="L370" s="62"/>
      <c r="M370" s="62">
        <v>30.263000000000002</v>
      </c>
      <c r="N370" s="62">
        <v>1.2709999999999999</v>
      </c>
      <c r="O370" s="66">
        <v>0.16200000000000001</v>
      </c>
      <c r="P370" s="61"/>
      <c r="Q370" s="62"/>
      <c r="R370" s="62"/>
      <c r="S370" s="62"/>
      <c r="T370" s="62"/>
      <c r="U370" s="62"/>
      <c r="V370" s="62"/>
      <c r="W370" s="62"/>
      <c r="X370" s="62"/>
      <c r="Y370" s="61"/>
      <c r="Z370" s="63"/>
      <c r="AA370" s="64" t="e">
        <v>#N/A</v>
      </c>
      <c r="AB370" s="62" t="e">
        <v>#N/A</v>
      </c>
      <c r="AC370" s="62" t="e">
        <v>#N/A</v>
      </c>
      <c r="AD370" s="62" t="e">
        <v>#N/A</v>
      </c>
      <c r="AE370" s="62" t="e">
        <v>#N/A</v>
      </c>
      <c r="AF370" s="62" t="e">
        <v>#N/A</v>
      </c>
      <c r="AG370" s="62" t="e">
        <v>#N/A</v>
      </c>
      <c r="AH370" s="62" t="e">
        <v>#N/A</v>
      </c>
      <c r="AI370" s="62" t="e">
        <v>#N/A</v>
      </c>
      <c r="AJ370" s="62" t="e">
        <v>#N/A</v>
      </c>
      <c r="AK370" s="64" t="e">
        <v>#N/A</v>
      </c>
      <c r="AL370" s="19">
        <v>115643</v>
      </c>
      <c r="AM370" s="19">
        <v>116323</v>
      </c>
      <c r="AN370" s="23">
        <v>11640</v>
      </c>
      <c r="AO370" s="19">
        <v>126524</v>
      </c>
      <c r="AP370" s="19">
        <v>2481</v>
      </c>
      <c r="AQ370" s="62"/>
      <c r="AR370" s="63"/>
      <c r="AS370" s="63"/>
      <c r="AT370" s="65">
        <f t="shared" si="27"/>
        <v>5314.0079999999998</v>
      </c>
      <c r="AU370" s="65">
        <f t="shared" si="28"/>
        <v>488.88</v>
      </c>
      <c r="AV370" s="65">
        <f t="shared" si="29"/>
        <v>104.202</v>
      </c>
      <c r="AW370" s="65">
        <f t="shared" si="30"/>
        <v>4857.0060000000003</v>
      </c>
      <c r="AX370" s="65">
        <f t="shared" si="30"/>
        <v>4885.5659999999998</v>
      </c>
      <c r="AY370" s="65">
        <f t="shared" si="26"/>
        <v>0</v>
      </c>
      <c r="AZ370" s="19">
        <v>48077</v>
      </c>
      <c r="BA370" s="19">
        <v>51494</v>
      </c>
      <c r="BB370" s="19">
        <v>38614</v>
      </c>
      <c r="BC370" s="19">
        <v>4008</v>
      </c>
      <c r="BD370" s="19">
        <v>214</v>
      </c>
      <c r="BE370" s="62"/>
      <c r="BF370" s="62"/>
      <c r="BG370" s="62"/>
      <c r="BH370" s="62"/>
      <c r="BI370" s="67">
        <v>31.57</v>
      </c>
      <c r="BJ370" s="67">
        <v>0.89</v>
      </c>
      <c r="BK370" s="67">
        <v>0.87</v>
      </c>
      <c r="BL370" s="67">
        <v>1.1000000000000001</v>
      </c>
      <c r="BM370" s="62"/>
      <c r="BN370" s="62"/>
      <c r="BO370" s="62"/>
      <c r="BP370" s="62"/>
      <c r="BQ370" s="62"/>
      <c r="BR370" s="62"/>
      <c r="BS370" s="62"/>
      <c r="BT370" s="62"/>
      <c r="BU370" s="62"/>
      <c r="BV370" s="62"/>
      <c r="BW370" s="62"/>
      <c r="BX370" s="62"/>
      <c r="BY370" s="62"/>
      <c r="BZ370" s="62"/>
      <c r="CA370" s="62"/>
      <c r="CB370" s="62"/>
      <c r="CC370" s="62"/>
      <c r="CD370" s="62"/>
      <c r="CE370" s="62"/>
      <c r="CF370" s="62"/>
      <c r="CG370" s="62"/>
      <c r="CH370" s="62"/>
      <c r="CI370" s="62"/>
      <c r="CJ370" s="62"/>
      <c r="CK370" s="62"/>
      <c r="CL370" s="62"/>
      <c r="CM370" s="62"/>
      <c r="CN370" s="62"/>
      <c r="CO370" s="62"/>
      <c r="CP370" s="62"/>
      <c r="CQ370" s="62"/>
      <c r="CR370" s="62"/>
      <c r="CS370" s="62"/>
      <c r="CT370" s="62"/>
      <c r="CU370" s="62"/>
      <c r="CV370" s="62"/>
      <c r="CW370" s="62"/>
      <c r="CX370" s="62"/>
      <c r="CY370" s="62"/>
      <c r="CZ370" s="62"/>
      <c r="DA370" s="62"/>
      <c r="DB370" s="62"/>
      <c r="DC370" s="62"/>
      <c r="DD370" s="62"/>
      <c r="DE370" s="62"/>
      <c r="DF370" s="62"/>
      <c r="DG370" s="62"/>
      <c r="DH370" s="62"/>
      <c r="DI370" s="62"/>
      <c r="DJ370" s="62"/>
      <c r="DK370" s="62"/>
      <c r="DL370" s="62"/>
    </row>
    <row r="371" spans="1:116" x14ac:dyDescent="0.2">
      <c r="A371" s="57">
        <v>37865</v>
      </c>
      <c r="B371" s="58">
        <v>2003</v>
      </c>
      <c r="C371" s="66">
        <v>0.151</v>
      </c>
      <c r="D371" s="62">
        <v>2E-3</v>
      </c>
      <c r="E371" s="62">
        <v>27.806999999999999</v>
      </c>
      <c r="F371" s="62">
        <v>1.1679999999999999</v>
      </c>
      <c r="G371" s="62">
        <v>0.14899999999999999</v>
      </c>
      <c r="H371" s="62">
        <v>14.551</v>
      </c>
      <c r="I371" s="62">
        <v>6.4809999999999999</v>
      </c>
      <c r="J371" s="62">
        <v>8.07</v>
      </c>
      <c r="K371" s="62"/>
      <c r="L371" s="62"/>
      <c r="M371" s="62">
        <v>35.877000000000002</v>
      </c>
      <c r="N371" s="62">
        <v>1.5069999999999999</v>
      </c>
      <c r="O371" s="66">
        <v>0.192</v>
      </c>
      <c r="P371" s="61"/>
      <c r="Q371" s="62"/>
      <c r="R371" s="62"/>
      <c r="S371" s="62"/>
      <c r="T371" s="62"/>
      <c r="U371" s="62"/>
      <c r="V371" s="62"/>
      <c r="W371" s="62"/>
      <c r="X371" s="62"/>
      <c r="Y371" s="61"/>
      <c r="Z371" s="63"/>
      <c r="AA371" s="64" t="e">
        <v>#N/A</v>
      </c>
      <c r="AB371" s="62" t="e">
        <v>#N/A</v>
      </c>
      <c r="AC371" s="62" t="e">
        <v>#N/A</v>
      </c>
      <c r="AD371" s="62" t="e">
        <v>#N/A</v>
      </c>
      <c r="AE371" s="62" t="e">
        <v>#N/A</v>
      </c>
      <c r="AF371" s="62" t="e">
        <v>#N/A</v>
      </c>
      <c r="AG371" s="62" t="e">
        <v>#N/A</v>
      </c>
      <c r="AH371" s="62" t="e">
        <v>#N/A</v>
      </c>
      <c r="AI371" s="62" t="e">
        <v>#N/A</v>
      </c>
      <c r="AJ371" s="62" t="e">
        <v>#N/A</v>
      </c>
      <c r="AK371" s="64" t="e">
        <v>#N/A</v>
      </c>
      <c r="AL371" s="19">
        <v>111615</v>
      </c>
      <c r="AM371" s="19">
        <v>116136</v>
      </c>
      <c r="AN371" s="23">
        <v>10571</v>
      </c>
      <c r="AO371" s="19">
        <v>131293</v>
      </c>
      <c r="AP371" s="19">
        <v>1281</v>
      </c>
      <c r="AQ371" s="62"/>
      <c r="AR371" s="63"/>
      <c r="AS371" s="63"/>
      <c r="AT371" s="65">
        <f t="shared" si="27"/>
        <v>5514.3059999999996</v>
      </c>
      <c r="AU371" s="65">
        <f t="shared" si="28"/>
        <v>443.98200000000003</v>
      </c>
      <c r="AV371" s="65">
        <f t="shared" si="29"/>
        <v>53.802</v>
      </c>
      <c r="AW371" s="65">
        <f t="shared" si="30"/>
        <v>4687.83</v>
      </c>
      <c r="AX371" s="65">
        <f t="shared" si="30"/>
        <v>4877.7120000000004</v>
      </c>
      <c r="AY371" s="65">
        <f t="shared" si="26"/>
        <v>0</v>
      </c>
      <c r="AZ371" s="19">
        <v>45392</v>
      </c>
      <c r="BA371" s="19">
        <v>47417</v>
      </c>
      <c r="BB371" s="19">
        <v>40071</v>
      </c>
      <c r="BC371" s="19">
        <v>4070</v>
      </c>
      <c r="BD371" s="19">
        <v>588</v>
      </c>
      <c r="BE371" s="62"/>
      <c r="BF371" s="62"/>
      <c r="BG371" s="62"/>
      <c r="BH371" s="62"/>
      <c r="BI371" s="67">
        <v>28.31</v>
      </c>
      <c r="BJ371" s="67">
        <v>0.81</v>
      </c>
      <c r="BK371" s="67">
        <v>0.82</v>
      </c>
      <c r="BL371" s="67">
        <v>1.02</v>
      </c>
      <c r="BM371" s="62"/>
      <c r="BN371" s="62"/>
      <c r="BO371" s="62"/>
      <c r="BP371" s="62"/>
      <c r="BQ371" s="62"/>
      <c r="BR371" s="62"/>
      <c r="BS371" s="62"/>
      <c r="BT371" s="62"/>
      <c r="BU371" s="62"/>
      <c r="BV371" s="62"/>
      <c r="BW371" s="62"/>
      <c r="BX371" s="62"/>
      <c r="BY371" s="62"/>
      <c r="BZ371" s="62"/>
      <c r="CA371" s="62"/>
      <c r="CB371" s="62"/>
      <c r="CC371" s="62"/>
      <c r="CD371" s="62"/>
      <c r="CE371" s="62"/>
      <c r="CF371" s="62"/>
      <c r="CG371" s="62"/>
      <c r="CH371" s="62"/>
      <c r="CI371" s="62"/>
      <c r="CJ371" s="62"/>
      <c r="CK371" s="62"/>
      <c r="CL371" s="62"/>
      <c r="CM371" s="62"/>
      <c r="CN371" s="62"/>
      <c r="CO371" s="62"/>
      <c r="CP371" s="62"/>
      <c r="CQ371" s="62"/>
      <c r="CR371" s="62"/>
      <c r="CS371" s="62"/>
      <c r="CT371" s="62"/>
      <c r="CU371" s="62"/>
      <c r="CV371" s="62"/>
      <c r="CW371" s="62"/>
      <c r="CX371" s="62"/>
      <c r="CY371" s="62"/>
      <c r="CZ371" s="62"/>
      <c r="DA371" s="62"/>
      <c r="DB371" s="62"/>
      <c r="DC371" s="62"/>
      <c r="DD371" s="62"/>
      <c r="DE371" s="62"/>
      <c r="DF371" s="62"/>
      <c r="DG371" s="62"/>
      <c r="DH371" s="62"/>
      <c r="DI371" s="62"/>
      <c r="DJ371" s="62"/>
      <c r="DK371" s="62"/>
      <c r="DL371" s="62"/>
    </row>
    <row r="372" spans="1:116" x14ac:dyDescent="0.2">
      <c r="A372" s="57">
        <v>37895</v>
      </c>
      <c r="B372" s="58">
        <v>2003</v>
      </c>
      <c r="C372" s="66">
        <v>0.156</v>
      </c>
      <c r="D372" s="62">
        <v>2E-3</v>
      </c>
      <c r="E372" s="62">
        <v>28.734000000000002</v>
      </c>
      <c r="F372" s="62">
        <v>1.2070000000000001</v>
      </c>
      <c r="G372" s="62">
        <v>0.154</v>
      </c>
      <c r="H372" s="62">
        <v>2.9620000000000002</v>
      </c>
      <c r="I372" s="62">
        <v>8.6449999999999996</v>
      </c>
      <c r="J372" s="62">
        <v>-5.6820000000000004</v>
      </c>
      <c r="K372" s="62"/>
      <c r="L372" s="62"/>
      <c r="M372" s="62">
        <v>23.052</v>
      </c>
      <c r="N372" s="62">
        <v>0.96799999999999997</v>
      </c>
      <c r="O372" s="66">
        <v>0.124</v>
      </c>
      <c r="P372" s="61"/>
      <c r="Q372" s="62"/>
      <c r="R372" s="62"/>
      <c r="S372" s="62"/>
      <c r="T372" s="62"/>
      <c r="U372" s="62"/>
      <c r="V372" s="62"/>
      <c r="W372" s="62"/>
      <c r="X372" s="62"/>
      <c r="Y372" s="61"/>
      <c r="Z372" s="63"/>
      <c r="AA372" s="64" t="e">
        <v>#N/A</v>
      </c>
      <c r="AB372" s="62" t="e">
        <v>#N/A</v>
      </c>
      <c r="AC372" s="62" t="e">
        <v>#N/A</v>
      </c>
      <c r="AD372" s="62" t="e">
        <v>#N/A</v>
      </c>
      <c r="AE372" s="62" t="e">
        <v>#N/A</v>
      </c>
      <c r="AF372" s="62" t="e">
        <v>#N/A</v>
      </c>
      <c r="AG372" s="62" t="e">
        <v>#N/A</v>
      </c>
      <c r="AH372" s="62" t="e">
        <v>#N/A</v>
      </c>
      <c r="AI372" s="62" t="e">
        <v>#N/A</v>
      </c>
      <c r="AJ372" s="62" t="e">
        <v>#N/A</v>
      </c>
      <c r="AK372" s="64" t="e">
        <v>#N/A</v>
      </c>
      <c r="AL372" s="19">
        <v>116259</v>
      </c>
      <c r="AM372" s="19">
        <v>122285</v>
      </c>
      <c r="AN372" s="23">
        <v>8721</v>
      </c>
      <c r="AO372" s="19">
        <v>132067</v>
      </c>
      <c r="AP372" s="19">
        <v>1921</v>
      </c>
      <c r="AQ372" s="62"/>
      <c r="AR372" s="63"/>
      <c r="AS372" s="63"/>
      <c r="AT372" s="65">
        <f t="shared" si="27"/>
        <v>5546.8140000000003</v>
      </c>
      <c r="AU372" s="65">
        <f t="shared" si="28"/>
        <v>366.28199999999998</v>
      </c>
      <c r="AV372" s="65">
        <f t="shared" si="29"/>
        <v>80.682000000000002</v>
      </c>
      <c r="AW372" s="65">
        <f t="shared" si="30"/>
        <v>4882.8779999999997</v>
      </c>
      <c r="AX372" s="65">
        <f t="shared" si="30"/>
        <v>5135.97</v>
      </c>
      <c r="AY372" s="65">
        <f t="shared" si="26"/>
        <v>0</v>
      </c>
      <c r="AZ372" s="19">
        <v>46796</v>
      </c>
      <c r="BA372" s="19">
        <v>48994</v>
      </c>
      <c r="BB372" s="19">
        <v>40192</v>
      </c>
      <c r="BC372" s="19">
        <v>3202</v>
      </c>
      <c r="BD372" s="19">
        <v>883</v>
      </c>
      <c r="BE372" s="62"/>
      <c r="BF372" s="62"/>
      <c r="BG372" s="62"/>
      <c r="BH372" s="62"/>
      <c r="BI372" s="67">
        <v>30.34</v>
      </c>
      <c r="BJ372" s="67">
        <v>0.87</v>
      </c>
      <c r="BK372" s="67">
        <v>0.84</v>
      </c>
      <c r="BL372" s="67">
        <v>0.98</v>
      </c>
      <c r="BM372" s="62"/>
      <c r="BN372" s="62"/>
      <c r="BO372" s="62"/>
      <c r="BP372" s="62"/>
      <c r="BQ372" s="62"/>
      <c r="BR372" s="62"/>
      <c r="BS372" s="62"/>
      <c r="BT372" s="62"/>
      <c r="BU372" s="62"/>
      <c r="BV372" s="62"/>
      <c r="BW372" s="62"/>
      <c r="BX372" s="62"/>
      <c r="BY372" s="62"/>
      <c r="BZ372" s="62"/>
      <c r="CA372" s="62"/>
      <c r="CB372" s="62"/>
      <c r="CC372" s="62"/>
      <c r="CD372" s="62"/>
      <c r="CE372" s="62"/>
      <c r="CF372" s="62"/>
      <c r="CG372" s="62"/>
      <c r="CH372" s="62"/>
      <c r="CI372" s="62"/>
      <c r="CJ372" s="62"/>
      <c r="CK372" s="62"/>
      <c r="CL372" s="62"/>
      <c r="CM372" s="62"/>
      <c r="CN372" s="62"/>
      <c r="CO372" s="62"/>
      <c r="CP372" s="62"/>
      <c r="CQ372" s="62"/>
      <c r="CR372" s="62"/>
      <c r="CS372" s="62"/>
      <c r="CT372" s="62"/>
      <c r="CU372" s="62"/>
      <c r="CV372" s="62"/>
      <c r="CW372" s="62"/>
      <c r="CX372" s="62"/>
      <c r="CY372" s="62"/>
      <c r="CZ372" s="62"/>
      <c r="DA372" s="62"/>
      <c r="DB372" s="62"/>
      <c r="DC372" s="62"/>
      <c r="DD372" s="62"/>
      <c r="DE372" s="62"/>
      <c r="DF372" s="62"/>
      <c r="DG372" s="62"/>
      <c r="DH372" s="62"/>
      <c r="DI372" s="62"/>
      <c r="DJ372" s="62"/>
      <c r="DK372" s="62"/>
      <c r="DL372" s="62"/>
    </row>
    <row r="373" spans="1:116" x14ac:dyDescent="0.2">
      <c r="A373" s="57">
        <v>37926</v>
      </c>
      <c r="B373" s="58">
        <v>2003</v>
      </c>
      <c r="C373" s="66">
        <v>0.151</v>
      </c>
      <c r="D373" s="62">
        <v>2E-3</v>
      </c>
      <c r="E373" s="62">
        <v>27.806999999999999</v>
      </c>
      <c r="F373" s="62">
        <v>1.1679999999999999</v>
      </c>
      <c r="G373" s="62">
        <v>0.14899999999999999</v>
      </c>
      <c r="H373" s="62">
        <v>29.379000000000001</v>
      </c>
      <c r="I373" s="62">
        <v>9.75</v>
      </c>
      <c r="J373" s="62">
        <v>19.629000000000001</v>
      </c>
      <c r="K373" s="62"/>
      <c r="L373" s="62"/>
      <c r="M373" s="62">
        <v>47.436999999999998</v>
      </c>
      <c r="N373" s="62">
        <v>1.992</v>
      </c>
      <c r="O373" s="66">
        <v>0.254</v>
      </c>
      <c r="P373" s="61"/>
      <c r="Q373" s="62"/>
      <c r="R373" s="62"/>
      <c r="S373" s="62"/>
      <c r="T373" s="62"/>
      <c r="U373" s="62"/>
      <c r="V373" s="62"/>
      <c r="W373" s="62"/>
      <c r="X373" s="62"/>
      <c r="Y373" s="61"/>
      <c r="Z373" s="63"/>
      <c r="AA373" s="64" t="e">
        <v>#N/A</v>
      </c>
      <c r="AB373" s="62" t="e">
        <v>#N/A</v>
      </c>
      <c r="AC373" s="62" t="e">
        <v>#N/A</v>
      </c>
      <c r="AD373" s="62" t="e">
        <v>#N/A</v>
      </c>
      <c r="AE373" s="62" t="e">
        <v>#N/A</v>
      </c>
      <c r="AF373" s="62" t="e">
        <v>#N/A</v>
      </c>
      <c r="AG373" s="62" t="e">
        <v>#N/A</v>
      </c>
      <c r="AH373" s="62" t="e">
        <v>#N/A</v>
      </c>
      <c r="AI373" s="62" t="e">
        <v>#N/A</v>
      </c>
      <c r="AJ373" s="62" t="e">
        <v>#N/A</v>
      </c>
      <c r="AK373" s="64" t="e">
        <v>#N/A</v>
      </c>
      <c r="AL373" s="19">
        <v>113990</v>
      </c>
      <c r="AM373" s="19">
        <v>114712</v>
      </c>
      <c r="AN373" s="23">
        <v>7227</v>
      </c>
      <c r="AO373" s="19">
        <v>136137</v>
      </c>
      <c r="AP373" s="19">
        <v>2435</v>
      </c>
      <c r="AQ373" s="62"/>
      <c r="AR373" s="63"/>
      <c r="AS373" s="63"/>
      <c r="AT373" s="65">
        <f t="shared" si="27"/>
        <v>5717.7539999999999</v>
      </c>
      <c r="AU373" s="65">
        <f t="shared" si="28"/>
        <v>303.53399999999999</v>
      </c>
      <c r="AV373" s="65">
        <f t="shared" si="29"/>
        <v>102.27</v>
      </c>
      <c r="AW373" s="65">
        <f t="shared" si="30"/>
        <v>4787.58</v>
      </c>
      <c r="AX373" s="65">
        <f t="shared" si="30"/>
        <v>4817.9040000000005</v>
      </c>
      <c r="AY373" s="65">
        <f t="shared" si="26"/>
        <v>0</v>
      </c>
      <c r="AZ373" s="19">
        <v>45667</v>
      </c>
      <c r="BA373" s="19">
        <v>48924</v>
      </c>
      <c r="BB373" s="19">
        <v>38007</v>
      </c>
      <c r="BC373" s="19">
        <v>1367</v>
      </c>
      <c r="BD373" s="19">
        <v>295</v>
      </c>
      <c r="BE373" s="62"/>
      <c r="BF373" s="62"/>
      <c r="BG373" s="62"/>
      <c r="BH373" s="62"/>
      <c r="BI373" s="67">
        <v>31.11</v>
      </c>
      <c r="BJ373" s="67">
        <v>0.86</v>
      </c>
      <c r="BK373" s="67">
        <v>0.88</v>
      </c>
      <c r="BL373" s="67">
        <v>0.94</v>
      </c>
      <c r="BM373" s="62"/>
      <c r="BN373" s="62"/>
      <c r="BO373" s="62"/>
      <c r="BP373" s="62"/>
      <c r="BQ373" s="62"/>
      <c r="BR373" s="62"/>
      <c r="BS373" s="62"/>
      <c r="BT373" s="62"/>
      <c r="BU373" s="62"/>
      <c r="BV373" s="62"/>
      <c r="BW373" s="62"/>
      <c r="BX373" s="62"/>
      <c r="BY373" s="62"/>
      <c r="BZ373" s="62"/>
      <c r="CA373" s="62"/>
      <c r="CB373" s="62"/>
      <c r="CC373" s="62"/>
      <c r="CD373" s="62"/>
      <c r="CE373" s="62"/>
      <c r="CF373" s="62"/>
      <c r="CG373" s="62"/>
      <c r="CH373" s="62"/>
      <c r="CI373" s="62"/>
      <c r="CJ373" s="62"/>
      <c r="CK373" s="62"/>
      <c r="CL373" s="62"/>
      <c r="CM373" s="62"/>
      <c r="CN373" s="62"/>
      <c r="CO373" s="62"/>
      <c r="CP373" s="62"/>
      <c r="CQ373" s="62"/>
      <c r="CR373" s="62"/>
      <c r="CS373" s="62"/>
      <c r="CT373" s="62"/>
      <c r="CU373" s="62"/>
      <c r="CV373" s="62"/>
      <c r="CW373" s="62"/>
      <c r="CX373" s="62"/>
      <c r="CY373" s="62"/>
      <c r="CZ373" s="62"/>
      <c r="DA373" s="62"/>
      <c r="DB373" s="62"/>
      <c r="DC373" s="62"/>
      <c r="DD373" s="62"/>
      <c r="DE373" s="62"/>
      <c r="DF373" s="62"/>
      <c r="DG373" s="62"/>
      <c r="DH373" s="62"/>
      <c r="DI373" s="62"/>
      <c r="DJ373" s="62"/>
      <c r="DK373" s="62"/>
      <c r="DL373" s="62"/>
    </row>
    <row r="374" spans="1:116" x14ac:dyDescent="0.2">
      <c r="A374" s="57">
        <v>37956</v>
      </c>
      <c r="B374" s="58">
        <v>2003</v>
      </c>
      <c r="C374" s="66">
        <v>0.156</v>
      </c>
      <c r="D374" s="62">
        <v>2E-3</v>
      </c>
      <c r="E374" s="62">
        <v>28.734000000000002</v>
      </c>
      <c r="F374" s="62">
        <v>1.2070000000000001</v>
      </c>
      <c r="G374" s="62">
        <v>0.154</v>
      </c>
      <c r="H374" s="62">
        <v>3.4279999999999999</v>
      </c>
      <c r="I374" s="62">
        <v>10.179</v>
      </c>
      <c r="J374" s="62">
        <v>-6.7510000000000003</v>
      </c>
      <c r="K374" s="62"/>
      <c r="L374" s="62"/>
      <c r="M374" s="62">
        <v>21.983000000000001</v>
      </c>
      <c r="N374" s="62">
        <v>0.92300000000000004</v>
      </c>
      <c r="O374" s="66">
        <v>0.11799999999999999</v>
      </c>
      <c r="P374" s="61"/>
      <c r="Q374" s="62"/>
      <c r="R374" s="62"/>
      <c r="S374" s="62"/>
      <c r="T374" s="62"/>
      <c r="U374" s="62"/>
      <c r="V374" s="62"/>
      <c r="W374" s="62"/>
      <c r="X374" s="62"/>
      <c r="Y374" s="61"/>
      <c r="Z374" s="63"/>
      <c r="AA374" s="64" t="e">
        <v>#N/A</v>
      </c>
      <c r="AB374" s="62" t="e">
        <v>#N/A</v>
      </c>
      <c r="AC374" s="62" t="e">
        <v>#N/A</v>
      </c>
      <c r="AD374" s="62" t="e">
        <v>#N/A</v>
      </c>
      <c r="AE374" s="62" t="e">
        <v>#N/A</v>
      </c>
      <c r="AF374" s="62" t="e">
        <v>#N/A</v>
      </c>
      <c r="AG374" s="62" t="e">
        <v>#N/A</v>
      </c>
      <c r="AH374" s="62" t="e">
        <v>#N/A</v>
      </c>
      <c r="AI374" s="62" t="e">
        <v>#N/A</v>
      </c>
      <c r="AJ374" s="62" t="e">
        <v>#N/A</v>
      </c>
      <c r="AK374" s="64" t="e">
        <v>#N/A</v>
      </c>
      <c r="AL374" s="19">
        <v>119200</v>
      </c>
      <c r="AM374" s="19">
        <v>125159</v>
      </c>
      <c r="AN374" s="23">
        <v>9450</v>
      </c>
      <c r="AO374" s="19">
        <v>136542</v>
      </c>
      <c r="AP374" s="19">
        <v>3086</v>
      </c>
      <c r="AQ374" s="62"/>
      <c r="AR374" s="63"/>
      <c r="AS374" s="63"/>
      <c r="AT374" s="65">
        <f t="shared" si="27"/>
        <v>5734.7640000000001</v>
      </c>
      <c r="AU374" s="65">
        <f t="shared" si="28"/>
        <v>396.9</v>
      </c>
      <c r="AV374" s="65">
        <f t="shared" si="29"/>
        <v>129.61199999999999</v>
      </c>
      <c r="AW374" s="65">
        <f t="shared" si="30"/>
        <v>5006.3999999999996</v>
      </c>
      <c r="AX374" s="65">
        <f t="shared" si="30"/>
        <v>5256.6779999999999</v>
      </c>
      <c r="AY374" s="65">
        <f t="shared" si="26"/>
        <v>0</v>
      </c>
      <c r="AZ374" s="19">
        <v>49744</v>
      </c>
      <c r="BA374" s="19">
        <v>51565</v>
      </c>
      <c r="BB374" s="19">
        <v>38767</v>
      </c>
      <c r="BC374" s="19">
        <v>3130</v>
      </c>
      <c r="BD374" s="19">
        <v>549</v>
      </c>
      <c r="BE374" s="62"/>
      <c r="BF374" s="62"/>
      <c r="BG374" s="62"/>
      <c r="BH374" s="62"/>
      <c r="BI374" s="67">
        <v>32.130000000000003</v>
      </c>
      <c r="BJ374" s="67">
        <v>0.89</v>
      </c>
      <c r="BK374" s="67">
        <v>0.93</v>
      </c>
      <c r="BL374" s="67">
        <v>0.94</v>
      </c>
      <c r="BM374" s="62"/>
      <c r="BN374" s="62"/>
      <c r="BO374" s="62"/>
      <c r="BP374" s="62"/>
      <c r="BQ374" s="62"/>
      <c r="BR374" s="62"/>
      <c r="BS374" s="62"/>
      <c r="BT374" s="62"/>
      <c r="BU374" s="62"/>
      <c r="BV374" s="62"/>
      <c r="BW374" s="62"/>
      <c r="BX374" s="62"/>
      <c r="BY374" s="62"/>
      <c r="BZ374" s="62"/>
      <c r="CA374" s="62"/>
      <c r="CB374" s="62"/>
      <c r="CC374" s="62"/>
      <c r="CD374" s="62"/>
      <c r="CE374" s="62"/>
      <c r="CF374" s="62"/>
      <c r="CG374" s="62"/>
      <c r="CH374" s="62"/>
      <c r="CI374" s="62"/>
      <c r="CJ374" s="62"/>
      <c r="CK374" s="62"/>
      <c r="CL374" s="62"/>
      <c r="CM374" s="62"/>
      <c r="CN374" s="62"/>
      <c r="CO374" s="62"/>
      <c r="CP374" s="62"/>
      <c r="CQ374" s="62"/>
      <c r="CR374" s="62"/>
      <c r="CS374" s="62"/>
      <c r="CT374" s="62"/>
      <c r="CU374" s="62"/>
      <c r="CV374" s="62"/>
      <c r="CW374" s="62"/>
      <c r="CX374" s="62"/>
      <c r="CY374" s="62"/>
      <c r="CZ374" s="62"/>
      <c r="DA374" s="62"/>
      <c r="DB374" s="62"/>
      <c r="DC374" s="62"/>
      <c r="DD374" s="62"/>
      <c r="DE374" s="62"/>
      <c r="DF374" s="62"/>
      <c r="DG374" s="62"/>
      <c r="DH374" s="62"/>
      <c r="DI374" s="62"/>
      <c r="DJ374" s="62"/>
      <c r="DK374" s="62"/>
      <c r="DL374" s="62"/>
    </row>
    <row r="375" spans="1:116" x14ac:dyDescent="0.2">
      <c r="A375" s="57">
        <v>37987</v>
      </c>
      <c r="B375" s="58">
        <v>2004</v>
      </c>
      <c r="C375" s="66">
        <v>0.307</v>
      </c>
      <c r="D375" s="62">
        <v>4.0000000000000001E-3</v>
      </c>
      <c r="E375" s="62">
        <v>56.43</v>
      </c>
      <c r="F375" s="62">
        <v>2.37</v>
      </c>
      <c r="G375" s="62">
        <v>0.30199999999999999</v>
      </c>
      <c r="H375" s="62">
        <v>10.584</v>
      </c>
      <c r="I375" s="62">
        <v>5.157</v>
      </c>
      <c r="J375" s="62">
        <v>5.4269999999999996</v>
      </c>
      <c r="K375" s="62"/>
      <c r="L375" s="62"/>
      <c r="M375" s="62">
        <v>61.856999999999999</v>
      </c>
      <c r="N375" s="62">
        <v>2.5979999999999999</v>
      </c>
      <c r="O375" s="66">
        <v>0.33100000000000002</v>
      </c>
      <c r="P375" s="61"/>
      <c r="Q375" s="62"/>
      <c r="R375" s="62"/>
      <c r="S375" s="62"/>
      <c r="T375" s="62"/>
      <c r="U375" s="62"/>
      <c r="V375" s="62"/>
      <c r="W375" s="62"/>
      <c r="X375" s="62"/>
      <c r="Y375" s="61"/>
      <c r="Z375" s="63"/>
      <c r="AA375" s="64" t="e">
        <v>#N/A</v>
      </c>
      <c r="AB375" s="62" t="e">
        <v>#N/A</v>
      </c>
      <c r="AC375" s="62" t="e">
        <v>#N/A</v>
      </c>
      <c r="AD375" s="62" t="e">
        <v>#N/A</v>
      </c>
      <c r="AE375" s="62" t="e">
        <v>#N/A</v>
      </c>
      <c r="AF375" s="62" t="e">
        <v>#N/A</v>
      </c>
      <c r="AG375" s="62" t="e">
        <v>#N/A</v>
      </c>
      <c r="AH375" s="62" t="e">
        <v>#N/A</v>
      </c>
      <c r="AI375" s="62" t="e">
        <v>#N/A</v>
      </c>
      <c r="AJ375" s="62" t="e">
        <v>#N/A</v>
      </c>
      <c r="AK375" s="64" t="e">
        <v>#N/A</v>
      </c>
      <c r="AL375" s="19">
        <v>111366</v>
      </c>
      <c r="AM375" s="19">
        <v>134342</v>
      </c>
      <c r="AN375" s="23">
        <v>11466</v>
      </c>
      <c r="AO375" s="19">
        <v>122791</v>
      </c>
      <c r="AP375" s="19">
        <v>2241</v>
      </c>
      <c r="AQ375" s="62"/>
      <c r="AR375" s="63"/>
      <c r="AS375" s="63"/>
      <c r="AT375" s="65">
        <f t="shared" si="27"/>
        <v>5157.2219999999998</v>
      </c>
      <c r="AU375" s="65">
        <f t="shared" si="28"/>
        <v>481.572</v>
      </c>
      <c r="AV375" s="65">
        <f t="shared" si="29"/>
        <v>94.122</v>
      </c>
      <c r="AW375" s="65">
        <f t="shared" si="30"/>
        <v>4677.3720000000003</v>
      </c>
      <c r="AX375" s="65">
        <f t="shared" si="30"/>
        <v>5642.3639999999996</v>
      </c>
      <c r="AY375" s="65">
        <f t="shared" si="26"/>
        <v>0</v>
      </c>
      <c r="AZ375" s="19">
        <v>46026</v>
      </c>
      <c r="BA375" s="19">
        <v>46650</v>
      </c>
      <c r="BB375" s="19">
        <v>39867</v>
      </c>
      <c r="BC375" s="19">
        <v>2402</v>
      </c>
      <c r="BD375" s="19">
        <v>678</v>
      </c>
      <c r="BE375" s="62"/>
      <c r="BF375" s="62"/>
      <c r="BG375" s="62"/>
      <c r="BH375" s="62"/>
      <c r="BI375" s="67">
        <v>34.31</v>
      </c>
      <c r="BJ375" s="67">
        <v>0.96</v>
      </c>
      <c r="BK375" s="67">
        <v>1</v>
      </c>
      <c r="BL375" s="67">
        <v>1.05</v>
      </c>
      <c r="BM375" s="62"/>
      <c r="BN375" s="62"/>
      <c r="BO375" s="62"/>
      <c r="BP375" s="62"/>
      <c r="BQ375" s="62"/>
      <c r="BR375" s="62"/>
      <c r="BS375" s="62"/>
      <c r="BT375" s="62"/>
      <c r="BU375" s="62"/>
      <c r="BV375" s="62"/>
      <c r="BW375" s="62"/>
      <c r="BX375" s="62"/>
      <c r="BY375" s="62"/>
      <c r="BZ375" s="62"/>
      <c r="CA375" s="62"/>
      <c r="CB375" s="62"/>
      <c r="CC375" s="62"/>
      <c r="CD375" s="62"/>
      <c r="CE375" s="62"/>
      <c r="CF375" s="62"/>
      <c r="CG375" s="62"/>
      <c r="CH375" s="62"/>
      <c r="CI375" s="62"/>
      <c r="CJ375" s="62"/>
      <c r="CK375" s="62"/>
      <c r="CL375" s="62"/>
      <c r="CM375" s="62"/>
      <c r="CN375" s="62"/>
      <c r="CO375" s="62"/>
      <c r="CP375" s="62"/>
      <c r="CQ375" s="62"/>
      <c r="CR375" s="62"/>
      <c r="CS375" s="62"/>
      <c r="CT375" s="62"/>
      <c r="CU375" s="62"/>
      <c r="CV375" s="62"/>
      <c r="CW375" s="62"/>
      <c r="CX375" s="62"/>
      <c r="CY375" s="62"/>
      <c r="CZ375" s="62"/>
      <c r="DA375" s="62"/>
      <c r="DB375" s="62"/>
      <c r="DC375" s="62"/>
      <c r="DD375" s="62"/>
      <c r="DE375" s="62"/>
      <c r="DF375" s="62"/>
      <c r="DG375" s="62"/>
      <c r="DH375" s="62"/>
      <c r="DI375" s="62"/>
      <c r="DJ375" s="62"/>
      <c r="DK375" s="62"/>
      <c r="DL375" s="62"/>
    </row>
    <row r="376" spans="1:116" x14ac:dyDescent="0.2">
      <c r="A376" s="57">
        <v>38018</v>
      </c>
      <c r="B376" s="58">
        <v>2004</v>
      </c>
      <c r="C376" s="66">
        <v>0.28699999999999998</v>
      </c>
      <c r="D376" s="62">
        <v>4.0000000000000001E-3</v>
      </c>
      <c r="E376" s="62">
        <v>52.789000000000001</v>
      </c>
      <c r="F376" s="62">
        <v>2.2170000000000001</v>
      </c>
      <c r="G376" s="62">
        <v>0.28299999999999997</v>
      </c>
      <c r="H376" s="62">
        <v>18.844999999999999</v>
      </c>
      <c r="I376" s="62">
        <v>8.2330000000000005</v>
      </c>
      <c r="J376" s="62">
        <v>10.612</v>
      </c>
      <c r="K376" s="62"/>
      <c r="L376" s="62"/>
      <c r="M376" s="62">
        <v>63.401000000000003</v>
      </c>
      <c r="N376" s="62">
        <v>2.6629999999999998</v>
      </c>
      <c r="O376" s="66">
        <v>0.34</v>
      </c>
      <c r="P376" s="61"/>
      <c r="Q376" s="62"/>
      <c r="R376" s="62"/>
      <c r="S376" s="62"/>
      <c r="T376" s="62"/>
      <c r="U376" s="62"/>
      <c r="V376" s="62"/>
      <c r="W376" s="62"/>
      <c r="X376" s="62"/>
      <c r="Y376" s="61"/>
      <c r="Z376" s="63"/>
      <c r="AA376" s="64" t="e">
        <v>#N/A</v>
      </c>
      <c r="AB376" s="62" t="e">
        <v>#N/A</v>
      </c>
      <c r="AC376" s="62" t="e">
        <v>#N/A</v>
      </c>
      <c r="AD376" s="62" t="e">
        <v>#N/A</v>
      </c>
      <c r="AE376" s="62" t="e">
        <v>#N/A</v>
      </c>
      <c r="AF376" s="62" t="e">
        <v>#N/A</v>
      </c>
      <c r="AG376" s="62" t="e">
        <v>#N/A</v>
      </c>
      <c r="AH376" s="62" t="e">
        <v>#N/A</v>
      </c>
      <c r="AI376" s="62" t="e">
        <v>#N/A</v>
      </c>
      <c r="AJ376" s="62" t="e">
        <v>#N/A</v>
      </c>
      <c r="AK376" s="64" t="e">
        <v>#N/A</v>
      </c>
      <c r="AL376" s="19">
        <v>99928</v>
      </c>
      <c r="AM376" s="19">
        <v>122730</v>
      </c>
      <c r="AN376" s="23">
        <v>14704</v>
      </c>
      <c r="AO376" s="19">
        <v>112198</v>
      </c>
      <c r="AP376" s="19">
        <v>2495</v>
      </c>
      <c r="AQ376" s="62"/>
      <c r="AR376" s="63"/>
      <c r="AS376" s="63"/>
      <c r="AT376" s="65">
        <f t="shared" si="27"/>
        <v>4712.3159999999998</v>
      </c>
      <c r="AU376" s="65">
        <f t="shared" si="28"/>
        <v>617.56799999999998</v>
      </c>
      <c r="AV376" s="65">
        <f t="shared" si="29"/>
        <v>104.79</v>
      </c>
      <c r="AW376" s="65">
        <f t="shared" si="30"/>
        <v>4196.9759999999997</v>
      </c>
      <c r="AX376" s="65">
        <f t="shared" si="30"/>
        <v>5154.66</v>
      </c>
      <c r="AY376" s="65">
        <f t="shared" si="26"/>
        <v>0</v>
      </c>
      <c r="AZ376" s="19">
        <v>42398</v>
      </c>
      <c r="BA376" s="19">
        <v>48488</v>
      </c>
      <c r="BB376" s="19">
        <v>36408</v>
      </c>
      <c r="BC376" s="19">
        <v>3187</v>
      </c>
      <c r="BD376" s="19">
        <v>556</v>
      </c>
      <c r="BE376" s="62"/>
      <c r="BF376" s="62"/>
      <c r="BG376" s="62"/>
      <c r="BH376" s="62"/>
      <c r="BI376" s="67">
        <v>34.69</v>
      </c>
      <c r="BJ376" s="67">
        <v>0.97</v>
      </c>
      <c r="BK376" s="67">
        <v>1.01</v>
      </c>
      <c r="BL376" s="67">
        <v>1.1299999999999999</v>
      </c>
      <c r="BM376" s="62"/>
      <c r="BN376" s="62"/>
      <c r="BO376" s="62"/>
      <c r="BP376" s="62"/>
      <c r="BQ376" s="62"/>
      <c r="BR376" s="62"/>
      <c r="BS376" s="62"/>
      <c r="BT376" s="62"/>
      <c r="BU376" s="62"/>
      <c r="BV376" s="62"/>
      <c r="BW376" s="62"/>
      <c r="BX376" s="62"/>
      <c r="BY376" s="62"/>
      <c r="BZ376" s="62"/>
      <c r="CA376" s="62"/>
      <c r="CB376" s="62"/>
      <c r="CC376" s="62"/>
      <c r="CD376" s="62"/>
      <c r="CE376" s="62"/>
      <c r="CF376" s="62"/>
      <c r="CG376" s="62"/>
      <c r="CH376" s="62"/>
      <c r="CI376" s="62"/>
      <c r="CJ376" s="62"/>
      <c r="CK376" s="62"/>
      <c r="CL376" s="62"/>
      <c r="CM376" s="62"/>
      <c r="CN376" s="62"/>
      <c r="CO376" s="62"/>
      <c r="CP376" s="62"/>
      <c r="CQ376" s="62"/>
      <c r="CR376" s="62"/>
      <c r="CS376" s="62"/>
      <c r="CT376" s="62"/>
      <c r="CU376" s="62"/>
      <c r="CV376" s="62"/>
      <c r="CW376" s="62"/>
      <c r="CX376" s="62"/>
      <c r="CY376" s="62"/>
      <c r="CZ376" s="62"/>
      <c r="DA376" s="62"/>
      <c r="DB376" s="62"/>
      <c r="DC376" s="62"/>
      <c r="DD376" s="62"/>
      <c r="DE376" s="62"/>
      <c r="DF376" s="62"/>
      <c r="DG376" s="62"/>
      <c r="DH376" s="62"/>
      <c r="DI376" s="62"/>
      <c r="DJ376" s="62"/>
      <c r="DK376" s="62"/>
      <c r="DL376" s="62"/>
    </row>
    <row r="377" spans="1:116" x14ac:dyDescent="0.2">
      <c r="A377" s="57">
        <v>38047</v>
      </c>
      <c r="B377" s="58">
        <v>2004</v>
      </c>
      <c r="C377" s="66">
        <v>0.307</v>
      </c>
      <c r="D377" s="62">
        <v>4.0000000000000001E-3</v>
      </c>
      <c r="E377" s="62">
        <v>56.43</v>
      </c>
      <c r="F377" s="62">
        <v>2.37</v>
      </c>
      <c r="G377" s="62">
        <v>0.30199999999999999</v>
      </c>
      <c r="H377" s="62">
        <v>4.2350000000000003</v>
      </c>
      <c r="I377" s="62">
        <v>7.835</v>
      </c>
      <c r="J377" s="62">
        <v>-3.6</v>
      </c>
      <c r="K377" s="62"/>
      <c r="L377" s="62"/>
      <c r="M377" s="62">
        <v>52.83</v>
      </c>
      <c r="N377" s="62">
        <v>2.2189999999999999</v>
      </c>
      <c r="O377" s="66">
        <v>0.28299999999999997</v>
      </c>
      <c r="P377" s="61"/>
      <c r="Q377" s="62"/>
      <c r="R377" s="62"/>
      <c r="S377" s="62"/>
      <c r="T377" s="62"/>
      <c r="U377" s="62"/>
      <c r="V377" s="62"/>
      <c r="W377" s="62"/>
      <c r="X377" s="62"/>
      <c r="Y377" s="61"/>
      <c r="Z377" s="63"/>
      <c r="AA377" s="64" t="e">
        <v>#N/A</v>
      </c>
      <c r="AB377" s="62" t="e">
        <v>#N/A</v>
      </c>
      <c r="AC377" s="62" t="e">
        <v>#N/A</v>
      </c>
      <c r="AD377" s="62" t="e">
        <v>#N/A</v>
      </c>
      <c r="AE377" s="62" t="e">
        <v>#N/A</v>
      </c>
      <c r="AF377" s="62" t="e">
        <v>#N/A</v>
      </c>
      <c r="AG377" s="62" t="e">
        <v>#N/A</v>
      </c>
      <c r="AH377" s="62" t="e">
        <v>#N/A</v>
      </c>
      <c r="AI377" s="62" t="e">
        <v>#N/A</v>
      </c>
      <c r="AJ377" s="62" t="e">
        <v>#N/A</v>
      </c>
      <c r="AK377" s="64" t="e">
        <v>#N/A</v>
      </c>
      <c r="AL377" s="19">
        <v>110064</v>
      </c>
      <c r="AM377" s="19">
        <v>128722</v>
      </c>
      <c r="AN377" s="23">
        <v>13918</v>
      </c>
      <c r="AO377" s="19">
        <v>104380</v>
      </c>
      <c r="AP377" s="19">
        <v>3078</v>
      </c>
      <c r="AQ377" s="62"/>
      <c r="AR377" s="63"/>
      <c r="AS377" s="63"/>
      <c r="AT377" s="65">
        <f t="shared" si="27"/>
        <v>4383.96</v>
      </c>
      <c r="AU377" s="65">
        <f t="shared" si="28"/>
        <v>584.55600000000004</v>
      </c>
      <c r="AV377" s="65">
        <f t="shared" si="29"/>
        <v>129.27600000000001</v>
      </c>
      <c r="AW377" s="65">
        <f t="shared" si="30"/>
        <v>4622.6880000000001</v>
      </c>
      <c r="AX377" s="65">
        <f t="shared" si="30"/>
        <v>5406.3239999999996</v>
      </c>
      <c r="AY377" s="65">
        <f t="shared" si="26"/>
        <v>0</v>
      </c>
      <c r="AZ377" s="19">
        <v>46543</v>
      </c>
      <c r="BA377" s="19">
        <v>48368</v>
      </c>
      <c r="BB377" s="19">
        <v>35594</v>
      </c>
      <c r="BC377" s="19">
        <v>2222</v>
      </c>
      <c r="BD377" s="19">
        <v>1211</v>
      </c>
      <c r="BE377" s="62"/>
      <c r="BF377" s="62"/>
      <c r="BG377" s="62"/>
      <c r="BH377" s="62"/>
      <c r="BI377" s="67">
        <v>36.74</v>
      </c>
      <c r="BJ377" s="67">
        <v>1.01</v>
      </c>
      <c r="BK377" s="67">
        <v>1.03</v>
      </c>
      <c r="BL377" s="67">
        <v>1.2</v>
      </c>
      <c r="BM377" s="62"/>
      <c r="BN377" s="62"/>
      <c r="BO377" s="62"/>
      <c r="BP377" s="62"/>
      <c r="BQ377" s="62"/>
      <c r="BR377" s="62"/>
      <c r="BS377" s="62"/>
      <c r="BT377" s="62"/>
      <c r="BU377" s="62"/>
      <c r="BV377" s="62"/>
      <c r="BW377" s="62"/>
      <c r="BX377" s="62"/>
      <c r="BY377" s="62"/>
      <c r="BZ377" s="62"/>
      <c r="CA377" s="62"/>
      <c r="CB377" s="62"/>
      <c r="CC377" s="62"/>
      <c r="CD377" s="62"/>
      <c r="CE377" s="62"/>
      <c r="CF377" s="62"/>
      <c r="CG377" s="62"/>
      <c r="CH377" s="62"/>
      <c r="CI377" s="62"/>
      <c r="CJ377" s="62"/>
      <c r="CK377" s="62"/>
      <c r="CL377" s="62"/>
      <c r="CM377" s="62"/>
      <c r="CN377" s="62"/>
      <c r="CO377" s="62"/>
      <c r="CP377" s="62"/>
      <c r="CQ377" s="62"/>
      <c r="CR377" s="62"/>
      <c r="CS377" s="62"/>
      <c r="CT377" s="62"/>
      <c r="CU377" s="62"/>
      <c r="CV377" s="62"/>
      <c r="CW377" s="62"/>
      <c r="CX377" s="62"/>
      <c r="CY377" s="62"/>
      <c r="CZ377" s="62"/>
      <c r="DA377" s="62"/>
      <c r="DB377" s="62"/>
      <c r="DC377" s="62"/>
      <c r="DD377" s="62"/>
      <c r="DE377" s="62"/>
      <c r="DF377" s="62"/>
      <c r="DG377" s="62"/>
      <c r="DH377" s="62"/>
      <c r="DI377" s="62"/>
      <c r="DJ377" s="62"/>
      <c r="DK377" s="62"/>
      <c r="DL377" s="62"/>
    </row>
    <row r="378" spans="1:116" x14ac:dyDescent="0.2">
      <c r="A378" s="57">
        <v>38078</v>
      </c>
      <c r="B378" s="58">
        <v>2004</v>
      </c>
      <c r="C378" s="66">
        <v>0.29699999999999999</v>
      </c>
      <c r="D378" s="62">
        <v>4.0000000000000001E-3</v>
      </c>
      <c r="E378" s="62">
        <v>54.61</v>
      </c>
      <c r="F378" s="62">
        <v>2.294</v>
      </c>
      <c r="G378" s="62">
        <v>0.29299999999999998</v>
      </c>
      <c r="H378" s="62">
        <v>15.971</v>
      </c>
      <c r="I378" s="62">
        <v>10.7</v>
      </c>
      <c r="J378" s="62">
        <v>5.2720000000000002</v>
      </c>
      <c r="K378" s="62"/>
      <c r="L378" s="62"/>
      <c r="M378" s="62">
        <v>59.881</v>
      </c>
      <c r="N378" s="62">
        <v>2.5150000000000001</v>
      </c>
      <c r="O378" s="66">
        <v>0.32100000000000001</v>
      </c>
      <c r="P378" s="61"/>
      <c r="Q378" s="62"/>
      <c r="R378" s="62"/>
      <c r="S378" s="62"/>
      <c r="T378" s="62"/>
      <c r="U378" s="62"/>
      <c r="V378" s="62"/>
      <c r="W378" s="62"/>
      <c r="X378" s="62"/>
      <c r="Y378" s="61"/>
      <c r="Z378" s="63"/>
      <c r="AA378" s="64" t="e">
        <v>#N/A</v>
      </c>
      <c r="AB378" s="62" t="e">
        <v>#N/A</v>
      </c>
      <c r="AC378" s="62" t="e">
        <v>#N/A</v>
      </c>
      <c r="AD378" s="62" t="e">
        <v>#N/A</v>
      </c>
      <c r="AE378" s="62" t="e">
        <v>#N/A</v>
      </c>
      <c r="AF378" s="62" t="e">
        <v>#N/A</v>
      </c>
      <c r="AG378" s="62" t="e">
        <v>#N/A</v>
      </c>
      <c r="AH378" s="62" t="e">
        <v>#N/A</v>
      </c>
      <c r="AI378" s="62" t="e">
        <v>#N/A</v>
      </c>
      <c r="AJ378" s="62" t="e">
        <v>#N/A</v>
      </c>
      <c r="AK378" s="64" t="e">
        <v>#N/A</v>
      </c>
      <c r="AL378" s="19">
        <v>116215</v>
      </c>
      <c r="AM378" s="19">
        <v>124346</v>
      </c>
      <c r="AN378" s="23">
        <v>8002</v>
      </c>
      <c r="AO378" s="19">
        <v>101505</v>
      </c>
      <c r="AP378" s="19">
        <v>2746</v>
      </c>
      <c r="AQ378" s="62"/>
      <c r="AR378" s="63"/>
      <c r="AS378" s="63"/>
      <c r="AT378" s="65">
        <f t="shared" si="27"/>
        <v>4263.21</v>
      </c>
      <c r="AU378" s="65">
        <f t="shared" si="28"/>
        <v>336.084</v>
      </c>
      <c r="AV378" s="65">
        <f t="shared" si="29"/>
        <v>115.33199999999999</v>
      </c>
      <c r="AW378" s="65">
        <f t="shared" si="30"/>
        <v>4881.03</v>
      </c>
      <c r="AX378" s="65">
        <f t="shared" si="30"/>
        <v>5222.5320000000002</v>
      </c>
      <c r="AY378" s="65">
        <f t="shared" si="26"/>
        <v>0</v>
      </c>
      <c r="AZ378" s="19">
        <v>44978</v>
      </c>
      <c r="BA378" s="19">
        <v>47138</v>
      </c>
      <c r="BB378" s="19">
        <v>35181</v>
      </c>
      <c r="BC378" s="19">
        <v>2318</v>
      </c>
      <c r="BD378" s="19">
        <v>571</v>
      </c>
      <c r="BE378" s="62"/>
      <c r="BF378" s="62"/>
      <c r="BG378" s="62"/>
      <c r="BH378" s="62"/>
      <c r="BI378" s="67">
        <v>36.75</v>
      </c>
      <c r="BJ378" s="67">
        <v>1.08</v>
      </c>
      <c r="BK378" s="67">
        <v>1.07</v>
      </c>
      <c r="BL378" s="67">
        <v>1.25</v>
      </c>
      <c r="BM378" s="62"/>
      <c r="BN378" s="62"/>
      <c r="BO378" s="62"/>
      <c r="BP378" s="62"/>
      <c r="BQ378" s="62"/>
      <c r="BR378" s="62"/>
      <c r="BS378" s="62"/>
      <c r="BT378" s="62"/>
      <c r="BU378" s="62"/>
      <c r="BV378" s="62"/>
      <c r="BW378" s="62"/>
      <c r="BX378" s="62"/>
      <c r="BY378" s="62"/>
      <c r="BZ378" s="62"/>
      <c r="CA378" s="62"/>
      <c r="CB378" s="62"/>
      <c r="CC378" s="62"/>
      <c r="CD378" s="62"/>
      <c r="CE378" s="62"/>
      <c r="CF378" s="62"/>
      <c r="CG378" s="62"/>
      <c r="CH378" s="62"/>
      <c r="CI378" s="62"/>
      <c r="CJ378" s="62"/>
      <c r="CK378" s="62"/>
      <c r="CL378" s="62"/>
      <c r="CM378" s="62"/>
      <c r="CN378" s="62"/>
      <c r="CO378" s="62"/>
      <c r="CP378" s="62"/>
      <c r="CQ378" s="62"/>
      <c r="CR378" s="62"/>
      <c r="CS378" s="62"/>
      <c r="CT378" s="62"/>
      <c r="CU378" s="62"/>
      <c r="CV378" s="62"/>
      <c r="CW378" s="62"/>
      <c r="CX378" s="62"/>
      <c r="CY378" s="62"/>
      <c r="CZ378" s="62"/>
      <c r="DA378" s="62"/>
      <c r="DB378" s="62"/>
      <c r="DC378" s="62"/>
      <c r="DD378" s="62"/>
      <c r="DE378" s="62"/>
      <c r="DF378" s="62"/>
      <c r="DG378" s="62"/>
      <c r="DH378" s="62"/>
      <c r="DI378" s="62"/>
      <c r="DJ378" s="62"/>
      <c r="DK378" s="62"/>
      <c r="DL378" s="62"/>
    </row>
    <row r="379" spans="1:116" x14ac:dyDescent="0.2">
      <c r="A379" s="57">
        <v>38108</v>
      </c>
      <c r="B379" s="58">
        <v>2004</v>
      </c>
      <c r="C379" s="66">
        <v>0.307</v>
      </c>
      <c r="D379" s="62">
        <v>4.0000000000000001E-3</v>
      </c>
      <c r="E379" s="62">
        <v>56.43</v>
      </c>
      <c r="F379" s="62">
        <v>2.37</v>
      </c>
      <c r="G379" s="62">
        <v>0.30199999999999999</v>
      </c>
      <c r="H379" s="62">
        <v>3.3559999999999999</v>
      </c>
      <c r="I379" s="62">
        <v>12.789</v>
      </c>
      <c r="J379" s="62">
        <v>-9.4329999999999998</v>
      </c>
      <c r="K379" s="62"/>
      <c r="L379" s="62"/>
      <c r="M379" s="62">
        <v>46.997</v>
      </c>
      <c r="N379" s="62">
        <v>1.974</v>
      </c>
      <c r="O379" s="66">
        <v>0.252</v>
      </c>
      <c r="P379" s="61"/>
      <c r="Q379" s="62"/>
      <c r="R379" s="62"/>
      <c r="S379" s="62"/>
      <c r="T379" s="62"/>
      <c r="U379" s="62"/>
      <c r="V379" s="62"/>
      <c r="W379" s="62"/>
      <c r="X379" s="62"/>
      <c r="Y379" s="61"/>
      <c r="Z379" s="63"/>
      <c r="AA379" s="64" t="e">
        <v>#N/A</v>
      </c>
      <c r="AB379" s="62" t="e">
        <v>#N/A</v>
      </c>
      <c r="AC379" s="62" t="e">
        <v>#N/A</v>
      </c>
      <c r="AD379" s="62" t="e">
        <v>#N/A</v>
      </c>
      <c r="AE379" s="62" t="e">
        <v>#N/A</v>
      </c>
      <c r="AF379" s="62" t="e">
        <v>#N/A</v>
      </c>
      <c r="AG379" s="62" t="e">
        <v>#N/A</v>
      </c>
      <c r="AH379" s="62" t="e">
        <v>#N/A</v>
      </c>
      <c r="AI379" s="62" t="e">
        <v>#N/A</v>
      </c>
      <c r="AJ379" s="62" t="e">
        <v>#N/A</v>
      </c>
      <c r="AK379" s="64" t="e">
        <v>#N/A</v>
      </c>
      <c r="AL379" s="19">
        <v>119571</v>
      </c>
      <c r="AM379" s="19">
        <v>119030</v>
      </c>
      <c r="AN379" s="23">
        <v>8518</v>
      </c>
      <c r="AO379" s="19">
        <v>107459</v>
      </c>
      <c r="AP379" s="19">
        <v>3105</v>
      </c>
      <c r="AQ379" s="62"/>
      <c r="AR379" s="63"/>
      <c r="AS379" s="63"/>
      <c r="AT379" s="65">
        <f t="shared" si="27"/>
        <v>4513.2780000000002</v>
      </c>
      <c r="AU379" s="65">
        <f t="shared" si="28"/>
        <v>357.75599999999997</v>
      </c>
      <c r="AV379" s="65">
        <f t="shared" si="29"/>
        <v>130.41</v>
      </c>
      <c r="AW379" s="65">
        <f t="shared" si="30"/>
        <v>5021.982</v>
      </c>
      <c r="AX379" s="65">
        <f t="shared" si="30"/>
        <v>4999.26</v>
      </c>
      <c r="AY379" s="65">
        <f t="shared" si="26"/>
        <v>0</v>
      </c>
      <c r="AZ379" s="19">
        <v>47828</v>
      </c>
      <c r="BA379" s="19">
        <v>49471</v>
      </c>
      <c r="BB379" s="19">
        <v>38097</v>
      </c>
      <c r="BC379" s="19">
        <v>5475</v>
      </c>
      <c r="BD379" s="19">
        <v>916</v>
      </c>
      <c r="BE379" s="62"/>
      <c r="BF379" s="62"/>
      <c r="BG379" s="62"/>
      <c r="BH379" s="62"/>
      <c r="BI379" s="67">
        <v>40.270000000000003</v>
      </c>
      <c r="BJ379" s="67">
        <v>1.1200000000000001</v>
      </c>
      <c r="BK379" s="67">
        <v>1.17</v>
      </c>
      <c r="BL379" s="67">
        <v>1.44</v>
      </c>
      <c r="BM379" s="62"/>
      <c r="BN379" s="62"/>
      <c r="BO379" s="62"/>
      <c r="BP379" s="62"/>
      <c r="BQ379" s="62"/>
      <c r="BR379" s="62"/>
      <c r="BS379" s="62"/>
      <c r="BT379" s="62"/>
      <c r="BU379" s="62"/>
      <c r="BV379" s="62"/>
      <c r="BW379" s="62"/>
      <c r="BX379" s="62"/>
      <c r="BY379" s="62"/>
      <c r="BZ379" s="62"/>
      <c r="CA379" s="62"/>
      <c r="CB379" s="62"/>
      <c r="CC379" s="62"/>
      <c r="CD379" s="62"/>
      <c r="CE379" s="62"/>
      <c r="CF379" s="62"/>
      <c r="CG379" s="62"/>
      <c r="CH379" s="62"/>
      <c r="CI379" s="62"/>
      <c r="CJ379" s="62"/>
      <c r="CK379" s="62"/>
      <c r="CL379" s="62"/>
      <c r="CM379" s="62"/>
      <c r="CN379" s="62"/>
      <c r="CO379" s="62"/>
      <c r="CP379" s="62"/>
      <c r="CQ379" s="62"/>
      <c r="CR379" s="62"/>
      <c r="CS379" s="62"/>
      <c r="CT379" s="62"/>
      <c r="CU379" s="62"/>
      <c r="CV379" s="62"/>
      <c r="CW379" s="62"/>
      <c r="CX379" s="62"/>
      <c r="CY379" s="62"/>
      <c r="CZ379" s="62"/>
      <c r="DA379" s="62"/>
      <c r="DB379" s="62"/>
      <c r="DC379" s="62"/>
      <c r="DD379" s="62"/>
      <c r="DE379" s="62"/>
      <c r="DF379" s="62"/>
      <c r="DG379" s="62"/>
      <c r="DH379" s="62"/>
      <c r="DI379" s="62"/>
      <c r="DJ379" s="62"/>
      <c r="DK379" s="62"/>
      <c r="DL379" s="62"/>
    </row>
    <row r="380" spans="1:116" x14ac:dyDescent="0.2">
      <c r="A380" s="57">
        <v>38139</v>
      </c>
      <c r="B380" s="58">
        <v>2004</v>
      </c>
      <c r="C380" s="66">
        <v>0.29699999999999999</v>
      </c>
      <c r="D380" s="62">
        <v>4.0000000000000001E-3</v>
      </c>
      <c r="E380" s="62">
        <v>54.61</v>
      </c>
      <c r="F380" s="62">
        <v>2.294</v>
      </c>
      <c r="G380" s="62">
        <v>0.29299999999999998</v>
      </c>
      <c r="H380" s="62">
        <v>5.9480000000000004</v>
      </c>
      <c r="I380" s="62">
        <v>15.977</v>
      </c>
      <c r="J380" s="62">
        <v>-10.029</v>
      </c>
      <c r="K380" s="62"/>
      <c r="L380" s="62"/>
      <c r="M380" s="62">
        <v>44.58</v>
      </c>
      <c r="N380" s="62">
        <v>1.8720000000000001</v>
      </c>
      <c r="O380" s="66">
        <v>0.23899999999999999</v>
      </c>
      <c r="P380" s="61"/>
      <c r="Q380" s="62"/>
      <c r="R380" s="62"/>
      <c r="S380" s="62"/>
      <c r="T380" s="62"/>
      <c r="U380" s="62"/>
      <c r="V380" s="62"/>
      <c r="W380" s="62"/>
      <c r="X380" s="62"/>
      <c r="Y380" s="61"/>
      <c r="Z380" s="63"/>
      <c r="AA380" s="64" t="e">
        <v>#N/A</v>
      </c>
      <c r="AB380" s="62" t="e">
        <v>#N/A</v>
      </c>
      <c r="AC380" s="62" t="e">
        <v>#N/A</v>
      </c>
      <c r="AD380" s="62" t="e">
        <v>#N/A</v>
      </c>
      <c r="AE380" s="62" t="e">
        <v>#N/A</v>
      </c>
      <c r="AF380" s="62" t="e">
        <v>#N/A</v>
      </c>
      <c r="AG380" s="62" t="e">
        <v>#N/A</v>
      </c>
      <c r="AH380" s="62" t="e">
        <v>#N/A</v>
      </c>
      <c r="AI380" s="62" t="e">
        <v>#N/A</v>
      </c>
      <c r="AJ380" s="62" t="e">
        <v>#N/A</v>
      </c>
      <c r="AK380" s="64" t="e">
        <v>#N/A</v>
      </c>
      <c r="AL380" s="19">
        <v>118676</v>
      </c>
      <c r="AM380" s="19">
        <v>116644</v>
      </c>
      <c r="AN380" s="23">
        <v>9706</v>
      </c>
      <c r="AO380" s="19">
        <v>114292</v>
      </c>
      <c r="AP380" s="19">
        <v>4905</v>
      </c>
      <c r="AQ380" s="62"/>
      <c r="AR380" s="63"/>
      <c r="AS380" s="63"/>
      <c r="AT380" s="65">
        <f t="shared" si="27"/>
        <v>4800.2640000000001</v>
      </c>
      <c r="AU380" s="65">
        <f t="shared" si="28"/>
        <v>407.65199999999999</v>
      </c>
      <c r="AV380" s="65">
        <f t="shared" si="29"/>
        <v>206.01</v>
      </c>
      <c r="AW380" s="65">
        <f t="shared" si="30"/>
        <v>4984.3919999999998</v>
      </c>
      <c r="AX380" s="65">
        <f t="shared" si="30"/>
        <v>4899.0479999999998</v>
      </c>
      <c r="AY380" s="65">
        <f t="shared" si="26"/>
        <v>0</v>
      </c>
      <c r="AZ380" s="19">
        <v>45971</v>
      </c>
      <c r="BA380" s="19">
        <v>50070</v>
      </c>
      <c r="BB380" s="19">
        <v>38751</v>
      </c>
      <c r="BC380" s="19">
        <v>5603</v>
      </c>
      <c r="BD380" s="19">
        <v>850</v>
      </c>
      <c r="BE380" s="62"/>
      <c r="BF380" s="62"/>
      <c r="BG380" s="62"/>
      <c r="BH380" s="62"/>
      <c r="BI380" s="67">
        <v>38.020000000000003</v>
      </c>
      <c r="BJ380" s="67">
        <v>1.07</v>
      </c>
      <c r="BK380" s="67">
        <v>1.1000000000000001</v>
      </c>
      <c r="BL380" s="67">
        <v>1.34</v>
      </c>
      <c r="BM380" s="62"/>
      <c r="BN380" s="62"/>
      <c r="BO380" s="62"/>
      <c r="BP380" s="62"/>
      <c r="BQ380" s="62"/>
      <c r="BR380" s="62"/>
      <c r="BS380" s="62"/>
      <c r="BT380" s="62"/>
      <c r="BU380" s="62"/>
      <c r="BV380" s="62"/>
      <c r="BW380" s="62"/>
      <c r="BX380" s="62"/>
      <c r="BY380" s="62"/>
      <c r="BZ380" s="62"/>
      <c r="CA380" s="62"/>
      <c r="CB380" s="62"/>
      <c r="CC380" s="62"/>
      <c r="CD380" s="62"/>
      <c r="CE380" s="62"/>
      <c r="CF380" s="62"/>
      <c r="CG380" s="62"/>
      <c r="CH380" s="62"/>
      <c r="CI380" s="62"/>
      <c r="CJ380" s="62"/>
      <c r="CK380" s="62"/>
      <c r="CL380" s="62"/>
      <c r="CM380" s="62"/>
      <c r="CN380" s="62"/>
      <c r="CO380" s="62"/>
      <c r="CP380" s="62"/>
      <c r="CQ380" s="62"/>
      <c r="CR380" s="62"/>
      <c r="CS380" s="62"/>
      <c r="CT380" s="62"/>
      <c r="CU380" s="62"/>
      <c r="CV380" s="62"/>
      <c r="CW380" s="62"/>
      <c r="CX380" s="62"/>
      <c r="CY380" s="62"/>
      <c r="CZ380" s="62"/>
      <c r="DA380" s="62"/>
      <c r="DB380" s="62"/>
      <c r="DC380" s="62"/>
      <c r="DD380" s="62"/>
      <c r="DE380" s="62"/>
      <c r="DF380" s="62"/>
      <c r="DG380" s="62"/>
      <c r="DH380" s="62"/>
      <c r="DI380" s="62"/>
      <c r="DJ380" s="62"/>
      <c r="DK380" s="62"/>
      <c r="DL380" s="62"/>
    </row>
    <row r="381" spans="1:116" x14ac:dyDescent="0.2">
      <c r="A381" s="57">
        <v>38169</v>
      </c>
      <c r="B381" s="58">
        <v>2004</v>
      </c>
      <c r="C381" s="66">
        <v>0.307</v>
      </c>
      <c r="D381" s="62">
        <v>4.0000000000000001E-3</v>
      </c>
      <c r="E381" s="62">
        <v>56.43</v>
      </c>
      <c r="F381" s="62">
        <v>2.37</v>
      </c>
      <c r="G381" s="62">
        <v>0.30199999999999999</v>
      </c>
      <c r="H381" s="62">
        <v>7.06</v>
      </c>
      <c r="I381" s="62">
        <v>14.766999999999999</v>
      </c>
      <c r="J381" s="62">
        <v>-7.7069999999999999</v>
      </c>
      <c r="K381" s="62"/>
      <c r="L381" s="62"/>
      <c r="M381" s="62">
        <v>48.722999999999999</v>
      </c>
      <c r="N381" s="62">
        <v>2.0459999999999998</v>
      </c>
      <c r="O381" s="66">
        <v>0.26100000000000001</v>
      </c>
      <c r="P381" s="61"/>
      <c r="Q381" s="62"/>
      <c r="R381" s="62"/>
      <c r="S381" s="62"/>
      <c r="T381" s="62"/>
      <c r="U381" s="62"/>
      <c r="V381" s="62"/>
      <c r="W381" s="62"/>
      <c r="X381" s="62"/>
      <c r="Y381" s="61"/>
      <c r="Z381" s="63"/>
      <c r="AA381" s="64" t="e">
        <v>#N/A</v>
      </c>
      <c r="AB381" s="62" t="e">
        <v>#N/A</v>
      </c>
      <c r="AC381" s="62" t="e">
        <v>#N/A</v>
      </c>
      <c r="AD381" s="62" t="e">
        <v>#N/A</v>
      </c>
      <c r="AE381" s="62" t="e">
        <v>#N/A</v>
      </c>
      <c r="AF381" s="62" t="e">
        <v>#N/A</v>
      </c>
      <c r="AG381" s="62" t="e">
        <v>#N/A</v>
      </c>
      <c r="AH381" s="62" t="e">
        <v>#N/A</v>
      </c>
      <c r="AI381" s="62" t="e">
        <v>#N/A</v>
      </c>
      <c r="AJ381" s="62" t="e">
        <v>#N/A</v>
      </c>
      <c r="AK381" s="64" t="e">
        <v>#N/A</v>
      </c>
      <c r="AL381" s="19">
        <v>120959</v>
      </c>
      <c r="AM381" s="19">
        <v>118635</v>
      </c>
      <c r="AN381" s="23">
        <v>8772</v>
      </c>
      <c r="AO381" s="19">
        <v>121875</v>
      </c>
      <c r="AP381" s="19">
        <v>3513</v>
      </c>
      <c r="AQ381" s="62"/>
      <c r="AR381" s="63"/>
      <c r="AS381" s="63"/>
      <c r="AT381" s="65">
        <f t="shared" si="27"/>
        <v>5118.75</v>
      </c>
      <c r="AU381" s="65">
        <f t="shared" si="28"/>
        <v>368.42399999999998</v>
      </c>
      <c r="AV381" s="65">
        <f t="shared" si="29"/>
        <v>147.54599999999999</v>
      </c>
      <c r="AW381" s="65">
        <f t="shared" si="30"/>
        <v>5080.2780000000002</v>
      </c>
      <c r="AX381" s="65">
        <f t="shared" si="30"/>
        <v>4982.67</v>
      </c>
      <c r="AY381" s="65">
        <f t="shared" ref="AY381:AY444" si="31">AQ381*42/1000</f>
        <v>0</v>
      </c>
      <c r="AZ381" s="19">
        <v>50463</v>
      </c>
      <c r="BA381" s="19">
        <v>51392</v>
      </c>
      <c r="BB381" s="19">
        <v>40786</v>
      </c>
      <c r="BC381" s="19">
        <v>3282</v>
      </c>
      <c r="BD381" s="19">
        <v>318</v>
      </c>
      <c r="BE381" s="62"/>
      <c r="BF381" s="62"/>
      <c r="BG381" s="62"/>
      <c r="BH381" s="62"/>
      <c r="BI381" s="67">
        <v>40.78</v>
      </c>
      <c r="BJ381" s="67">
        <v>1.1499999999999999</v>
      </c>
      <c r="BK381" s="67">
        <v>1.17</v>
      </c>
      <c r="BL381" s="67">
        <v>1.34</v>
      </c>
      <c r="BM381" s="62"/>
      <c r="BN381" s="62"/>
      <c r="BO381" s="62"/>
      <c r="BP381" s="62"/>
      <c r="BQ381" s="62"/>
      <c r="BR381" s="62"/>
      <c r="BS381" s="62"/>
      <c r="BT381" s="62"/>
      <c r="BU381" s="62"/>
      <c r="BV381" s="62"/>
      <c r="BW381" s="62"/>
      <c r="BX381" s="62"/>
      <c r="BY381" s="62"/>
      <c r="BZ381" s="62"/>
      <c r="CA381" s="62"/>
      <c r="CB381" s="62"/>
      <c r="CC381" s="62"/>
      <c r="CD381" s="62"/>
      <c r="CE381" s="62"/>
      <c r="CF381" s="62"/>
      <c r="CG381" s="62"/>
      <c r="CH381" s="62"/>
      <c r="CI381" s="62"/>
      <c r="CJ381" s="62"/>
      <c r="CK381" s="62"/>
      <c r="CL381" s="62"/>
      <c r="CM381" s="62"/>
      <c r="CN381" s="62"/>
      <c r="CO381" s="62"/>
      <c r="CP381" s="62"/>
      <c r="CQ381" s="62"/>
      <c r="CR381" s="62"/>
      <c r="CS381" s="62"/>
      <c r="CT381" s="62"/>
      <c r="CU381" s="62"/>
      <c r="CV381" s="62"/>
      <c r="CW381" s="62"/>
      <c r="CX381" s="62"/>
      <c r="CY381" s="62"/>
      <c r="CZ381" s="62"/>
      <c r="DA381" s="62"/>
      <c r="DB381" s="62"/>
      <c r="DC381" s="62"/>
      <c r="DD381" s="62"/>
      <c r="DE381" s="62"/>
      <c r="DF381" s="62"/>
      <c r="DG381" s="62"/>
      <c r="DH381" s="62"/>
      <c r="DI381" s="62"/>
      <c r="DJ381" s="62"/>
      <c r="DK381" s="62"/>
      <c r="DL381" s="62"/>
    </row>
    <row r="382" spans="1:116" x14ac:dyDescent="0.2">
      <c r="A382" s="57">
        <v>38200</v>
      </c>
      <c r="B382" s="58">
        <v>2004</v>
      </c>
      <c r="C382" s="66">
        <v>0.307</v>
      </c>
      <c r="D382" s="62">
        <v>4.0000000000000001E-3</v>
      </c>
      <c r="E382" s="62">
        <v>56.43</v>
      </c>
      <c r="F382" s="62">
        <v>2.37</v>
      </c>
      <c r="G382" s="62">
        <v>0.30199999999999999</v>
      </c>
      <c r="H382" s="62">
        <v>3.7509999999999999</v>
      </c>
      <c r="I382" s="62">
        <v>15.801</v>
      </c>
      <c r="J382" s="62">
        <v>-12.05</v>
      </c>
      <c r="K382" s="62"/>
      <c r="L382" s="62"/>
      <c r="M382" s="62">
        <v>44.38</v>
      </c>
      <c r="N382" s="62">
        <v>1.8640000000000001</v>
      </c>
      <c r="O382" s="66">
        <v>0.23799999999999999</v>
      </c>
      <c r="P382" s="61"/>
      <c r="Q382" s="62"/>
      <c r="R382" s="62"/>
      <c r="S382" s="62"/>
      <c r="T382" s="62"/>
      <c r="U382" s="62"/>
      <c r="V382" s="62"/>
      <c r="W382" s="62"/>
      <c r="X382" s="62"/>
      <c r="Y382" s="61"/>
      <c r="Z382" s="63"/>
      <c r="AA382" s="64" t="e">
        <v>#N/A</v>
      </c>
      <c r="AB382" s="62" t="e">
        <v>#N/A</v>
      </c>
      <c r="AC382" s="62" t="e">
        <v>#N/A</v>
      </c>
      <c r="AD382" s="62" t="e">
        <v>#N/A</v>
      </c>
      <c r="AE382" s="62" t="e">
        <v>#N/A</v>
      </c>
      <c r="AF382" s="62" t="e">
        <v>#N/A</v>
      </c>
      <c r="AG382" s="62" t="e">
        <v>#N/A</v>
      </c>
      <c r="AH382" s="62" t="e">
        <v>#N/A</v>
      </c>
      <c r="AI382" s="62" t="e">
        <v>#N/A</v>
      </c>
      <c r="AJ382" s="62" t="e">
        <v>#N/A</v>
      </c>
      <c r="AK382" s="64" t="e">
        <v>#N/A</v>
      </c>
      <c r="AL382" s="19">
        <v>123426</v>
      </c>
      <c r="AM382" s="19">
        <v>120509</v>
      </c>
      <c r="AN382" s="23">
        <v>9718</v>
      </c>
      <c r="AO382" s="19">
        <v>130778</v>
      </c>
      <c r="AP382" s="19">
        <v>3732</v>
      </c>
      <c r="AQ382" s="62"/>
      <c r="AR382" s="63"/>
      <c r="AS382" s="63"/>
      <c r="AT382" s="65">
        <f t="shared" si="27"/>
        <v>5492.6760000000004</v>
      </c>
      <c r="AU382" s="65">
        <f t="shared" si="28"/>
        <v>408.15600000000001</v>
      </c>
      <c r="AV382" s="65">
        <f t="shared" si="29"/>
        <v>156.744</v>
      </c>
      <c r="AW382" s="65">
        <f t="shared" si="30"/>
        <v>5183.8919999999998</v>
      </c>
      <c r="AX382" s="65">
        <f t="shared" si="30"/>
        <v>5061.3779999999997</v>
      </c>
      <c r="AY382" s="65">
        <f t="shared" si="31"/>
        <v>0</v>
      </c>
      <c r="AZ382" s="19">
        <v>51140</v>
      </c>
      <c r="BA382" s="19">
        <v>53638</v>
      </c>
      <c r="BB382" s="19">
        <v>41776</v>
      </c>
      <c r="BC382" s="19">
        <v>5088</v>
      </c>
      <c r="BD382" s="19">
        <v>1600</v>
      </c>
      <c r="BE382" s="62"/>
      <c r="BF382" s="62"/>
      <c r="BG382" s="62"/>
      <c r="BH382" s="62"/>
      <c r="BI382" s="67">
        <v>44.9</v>
      </c>
      <c r="BJ382" s="67">
        <v>1.24</v>
      </c>
      <c r="BK382" s="67">
        <v>1.27</v>
      </c>
      <c r="BL382" s="67">
        <v>1.31</v>
      </c>
      <c r="BM382" s="62"/>
      <c r="BN382" s="62"/>
      <c r="BO382" s="62"/>
      <c r="BP382" s="62"/>
      <c r="BQ382" s="62"/>
      <c r="BR382" s="62"/>
      <c r="BS382" s="62"/>
      <c r="BT382" s="62"/>
      <c r="BU382" s="62"/>
      <c r="BV382" s="62"/>
      <c r="BW382" s="62"/>
      <c r="BX382" s="62"/>
      <c r="BY382" s="62"/>
      <c r="BZ382" s="62"/>
      <c r="CA382" s="62"/>
      <c r="CB382" s="62"/>
      <c r="CC382" s="62"/>
      <c r="CD382" s="62"/>
      <c r="CE382" s="62"/>
      <c r="CF382" s="62"/>
      <c r="CG382" s="62"/>
      <c r="CH382" s="62"/>
      <c r="CI382" s="62"/>
      <c r="CJ382" s="62"/>
      <c r="CK382" s="62"/>
      <c r="CL382" s="62"/>
      <c r="CM382" s="62"/>
      <c r="CN382" s="62"/>
      <c r="CO382" s="62"/>
      <c r="CP382" s="62"/>
      <c r="CQ382" s="62"/>
      <c r="CR382" s="62"/>
      <c r="CS382" s="62"/>
      <c r="CT382" s="62"/>
      <c r="CU382" s="62"/>
      <c r="CV382" s="62"/>
      <c r="CW382" s="62"/>
      <c r="CX382" s="62"/>
      <c r="CY382" s="62"/>
      <c r="CZ382" s="62"/>
      <c r="DA382" s="62"/>
      <c r="DB382" s="62"/>
      <c r="DC382" s="62"/>
      <c r="DD382" s="62"/>
      <c r="DE382" s="62"/>
      <c r="DF382" s="62"/>
      <c r="DG382" s="62"/>
      <c r="DH382" s="62"/>
      <c r="DI382" s="62"/>
      <c r="DJ382" s="62"/>
      <c r="DK382" s="62"/>
      <c r="DL382" s="62"/>
    </row>
    <row r="383" spans="1:116" x14ac:dyDescent="0.2">
      <c r="A383" s="57">
        <v>38231</v>
      </c>
      <c r="B383" s="58">
        <v>2004</v>
      </c>
      <c r="C383" s="66">
        <v>0.29699999999999999</v>
      </c>
      <c r="D383" s="62">
        <v>4.0000000000000001E-3</v>
      </c>
      <c r="E383" s="62">
        <v>54.61</v>
      </c>
      <c r="F383" s="62">
        <v>2.294</v>
      </c>
      <c r="G383" s="62">
        <v>0.29299999999999998</v>
      </c>
      <c r="H383" s="62">
        <v>9.3919999999999995</v>
      </c>
      <c r="I383" s="62">
        <v>11.771000000000001</v>
      </c>
      <c r="J383" s="62">
        <v>-2.38</v>
      </c>
      <c r="K383" s="62"/>
      <c r="L383" s="62"/>
      <c r="M383" s="62">
        <v>52.23</v>
      </c>
      <c r="N383" s="62">
        <v>2.194</v>
      </c>
      <c r="O383" s="66">
        <v>0.28000000000000003</v>
      </c>
      <c r="P383" s="61"/>
      <c r="Q383" s="62"/>
      <c r="R383" s="62"/>
      <c r="S383" s="62"/>
      <c r="T383" s="62"/>
      <c r="U383" s="62"/>
      <c r="V383" s="62"/>
      <c r="W383" s="62"/>
      <c r="X383" s="62"/>
      <c r="Y383" s="61"/>
      <c r="Z383" s="63"/>
      <c r="AA383" s="64" t="e">
        <v>#N/A</v>
      </c>
      <c r="AB383" s="62" t="e">
        <v>#N/A</v>
      </c>
      <c r="AC383" s="62" t="e">
        <v>#N/A</v>
      </c>
      <c r="AD383" s="62" t="e">
        <v>#N/A</v>
      </c>
      <c r="AE383" s="62" t="e">
        <v>#N/A</v>
      </c>
      <c r="AF383" s="62" t="e">
        <v>#N/A</v>
      </c>
      <c r="AG383" s="62" t="e">
        <v>#N/A</v>
      </c>
      <c r="AH383" s="62" t="e">
        <v>#N/A</v>
      </c>
      <c r="AI383" s="62" t="e">
        <v>#N/A</v>
      </c>
      <c r="AJ383" s="62" t="e">
        <v>#N/A</v>
      </c>
      <c r="AK383" s="64" t="e">
        <v>#N/A</v>
      </c>
      <c r="AL383" s="19">
        <v>108749</v>
      </c>
      <c r="AM383" s="19">
        <v>121948</v>
      </c>
      <c r="AN383" s="23">
        <v>8151</v>
      </c>
      <c r="AO383" s="19">
        <v>123097</v>
      </c>
      <c r="AP383" s="19">
        <v>2633</v>
      </c>
      <c r="AQ383" s="62"/>
      <c r="AR383" s="63"/>
      <c r="AS383" s="63"/>
      <c r="AT383" s="65">
        <f t="shared" si="27"/>
        <v>5170.0739999999996</v>
      </c>
      <c r="AU383" s="65">
        <f t="shared" si="28"/>
        <v>342.34199999999998</v>
      </c>
      <c r="AV383" s="65">
        <f t="shared" si="29"/>
        <v>110.586</v>
      </c>
      <c r="AW383" s="65">
        <f t="shared" si="30"/>
        <v>4567.4579999999996</v>
      </c>
      <c r="AX383" s="65">
        <f t="shared" si="30"/>
        <v>5121.8159999999998</v>
      </c>
      <c r="AY383" s="65">
        <f t="shared" si="31"/>
        <v>0</v>
      </c>
      <c r="AZ383" s="19">
        <v>46594</v>
      </c>
      <c r="BA383" s="19">
        <v>48336</v>
      </c>
      <c r="BB383" s="19">
        <v>41308</v>
      </c>
      <c r="BC383" s="19">
        <v>3588</v>
      </c>
      <c r="BD383" s="19">
        <v>2314</v>
      </c>
      <c r="BE383" s="62"/>
      <c r="BF383" s="62"/>
      <c r="BG383" s="62"/>
      <c r="BH383" s="62"/>
      <c r="BI383" s="67">
        <v>45.94</v>
      </c>
      <c r="BJ383" s="67">
        <v>1.33</v>
      </c>
      <c r="BK383" s="67">
        <v>1.33</v>
      </c>
      <c r="BL383" s="67">
        <v>1.33</v>
      </c>
      <c r="BM383" s="62"/>
      <c r="BN383" s="62"/>
      <c r="BO383" s="62"/>
      <c r="BP383" s="62"/>
      <c r="BQ383" s="62"/>
      <c r="BR383" s="62"/>
      <c r="BS383" s="62"/>
      <c r="BT383" s="62"/>
      <c r="BU383" s="62"/>
      <c r="BV383" s="62"/>
      <c r="BW383" s="62"/>
      <c r="BX383" s="62"/>
      <c r="BY383" s="62"/>
      <c r="BZ383" s="62"/>
      <c r="CA383" s="62"/>
      <c r="CB383" s="62"/>
      <c r="CC383" s="62"/>
      <c r="CD383" s="62"/>
      <c r="CE383" s="62"/>
      <c r="CF383" s="62"/>
      <c r="CG383" s="62"/>
      <c r="CH383" s="62"/>
      <c r="CI383" s="62"/>
      <c r="CJ383" s="62"/>
      <c r="CK383" s="62"/>
      <c r="CL383" s="62"/>
      <c r="CM383" s="62"/>
      <c r="CN383" s="62"/>
      <c r="CO383" s="62"/>
      <c r="CP383" s="62"/>
      <c r="CQ383" s="62"/>
      <c r="CR383" s="62"/>
      <c r="CS383" s="62"/>
      <c r="CT383" s="62"/>
      <c r="CU383" s="62"/>
      <c r="CV383" s="62"/>
      <c r="CW383" s="62"/>
      <c r="CX383" s="62"/>
      <c r="CY383" s="62"/>
      <c r="CZ383" s="62"/>
      <c r="DA383" s="62"/>
      <c r="DB383" s="62"/>
      <c r="DC383" s="62"/>
      <c r="DD383" s="62"/>
      <c r="DE383" s="62"/>
      <c r="DF383" s="62"/>
      <c r="DG383" s="62"/>
      <c r="DH383" s="62"/>
      <c r="DI383" s="62"/>
      <c r="DJ383" s="62"/>
      <c r="DK383" s="62"/>
      <c r="DL383" s="62"/>
    </row>
    <row r="384" spans="1:116" x14ac:dyDescent="0.2">
      <c r="A384" s="57">
        <v>38261</v>
      </c>
      <c r="B384" s="58">
        <v>2004</v>
      </c>
      <c r="C384" s="66">
        <v>0.307</v>
      </c>
      <c r="D384" s="62">
        <v>4.0000000000000001E-3</v>
      </c>
      <c r="E384" s="62">
        <v>56.43</v>
      </c>
      <c r="F384" s="62">
        <v>2.37</v>
      </c>
      <c r="G384" s="62">
        <v>0.30199999999999999</v>
      </c>
      <c r="H384" s="62">
        <v>10.036</v>
      </c>
      <c r="I384" s="62">
        <v>9.3569999999999993</v>
      </c>
      <c r="J384" s="62">
        <v>0.67800000000000005</v>
      </c>
      <c r="K384" s="62"/>
      <c r="L384" s="62"/>
      <c r="M384" s="62">
        <v>57.107999999999997</v>
      </c>
      <c r="N384" s="62">
        <v>2.399</v>
      </c>
      <c r="O384" s="66">
        <v>0.30599999999999999</v>
      </c>
      <c r="P384" s="61"/>
      <c r="Q384" s="62"/>
      <c r="R384" s="62"/>
      <c r="S384" s="62"/>
      <c r="T384" s="62"/>
      <c r="U384" s="62"/>
      <c r="V384" s="62"/>
      <c r="W384" s="62"/>
      <c r="X384" s="62"/>
      <c r="Y384" s="61"/>
      <c r="Z384" s="63"/>
      <c r="AA384" s="64" t="e">
        <v>#N/A</v>
      </c>
      <c r="AB384" s="62" t="e">
        <v>#N/A</v>
      </c>
      <c r="AC384" s="62" t="e">
        <v>#N/A</v>
      </c>
      <c r="AD384" s="62" t="e">
        <v>#N/A</v>
      </c>
      <c r="AE384" s="62" t="e">
        <v>#N/A</v>
      </c>
      <c r="AF384" s="62" t="e">
        <v>#N/A</v>
      </c>
      <c r="AG384" s="62" t="e">
        <v>#N/A</v>
      </c>
      <c r="AH384" s="62" t="e">
        <v>#N/A</v>
      </c>
      <c r="AI384" s="62" t="e">
        <v>#N/A</v>
      </c>
      <c r="AJ384" s="62" t="e">
        <v>#N/A</v>
      </c>
      <c r="AK384" s="64" t="e">
        <v>#N/A</v>
      </c>
      <c r="AL384" s="19">
        <v>118041</v>
      </c>
      <c r="AM384" s="19">
        <v>127228</v>
      </c>
      <c r="AN384" s="23">
        <v>7544</v>
      </c>
      <c r="AO384" s="19">
        <v>118325</v>
      </c>
      <c r="AP384" s="19">
        <v>3129</v>
      </c>
      <c r="AQ384" s="62"/>
      <c r="AR384" s="63"/>
      <c r="AS384" s="63"/>
      <c r="AT384" s="65">
        <f t="shared" si="27"/>
        <v>4969.6499999999996</v>
      </c>
      <c r="AU384" s="65">
        <f t="shared" si="28"/>
        <v>316.84800000000001</v>
      </c>
      <c r="AV384" s="65">
        <f t="shared" si="29"/>
        <v>131.41800000000001</v>
      </c>
      <c r="AW384" s="65">
        <f t="shared" si="30"/>
        <v>4957.7219999999998</v>
      </c>
      <c r="AX384" s="65">
        <f t="shared" si="30"/>
        <v>5343.576</v>
      </c>
      <c r="AY384" s="65">
        <f t="shared" si="31"/>
        <v>0</v>
      </c>
      <c r="AZ384" s="19">
        <v>46337</v>
      </c>
      <c r="BA384" s="19">
        <v>50874</v>
      </c>
      <c r="BB384" s="19">
        <v>40184</v>
      </c>
      <c r="BC384" s="19">
        <v>4979</v>
      </c>
      <c r="BD384" s="19">
        <v>1566</v>
      </c>
      <c r="BE384" s="62"/>
      <c r="BF384" s="62"/>
      <c r="BG384" s="62"/>
      <c r="BH384" s="62"/>
      <c r="BI384" s="67">
        <v>53.28</v>
      </c>
      <c r="BJ384" s="67">
        <v>1.53</v>
      </c>
      <c r="BK384" s="67">
        <v>1.55</v>
      </c>
      <c r="BL384" s="67">
        <v>1.46</v>
      </c>
      <c r="BM384" s="62"/>
      <c r="BN384" s="62"/>
      <c r="BO384" s="62"/>
      <c r="BP384" s="62"/>
      <c r="BQ384" s="62"/>
      <c r="BR384" s="62"/>
      <c r="BS384" s="62"/>
      <c r="BT384" s="62"/>
      <c r="BU384" s="62"/>
      <c r="BV384" s="62"/>
      <c r="BW384" s="62"/>
      <c r="BX384" s="62"/>
      <c r="BY384" s="62"/>
      <c r="BZ384" s="62"/>
      <c r="CA384" s="62"/>
      <c r="CB384" s="62"/>
      <c r="CC384" s="62"/>
      <c r="CD384" s="62"/>
      <c r="CE384" s="62"/>
      <c r="CF384" s="62"/>
      <c r="CG384" s="62"/>
      <c r="CH384" s="62"/>
      <c r="CI384" s="62"/>
      <c r="CJ384" s="62"/>
      <c r="CK384" s="62"/>
      <c r="CL384" s="62"/>
      <c r="CM384" s="62"/>
      <c r="CN384" s="62"/>
      <c r="CO384" s="62"/>
      <c r="CP384" s="62"/>
      <c r="CQ384" s="62"/>
      <c r="CR384" s="62"/>
      <c r="CS384" s="62"/>
      <c r="CT384" s="62"/>
      <c r="CU384" s="62"/>
      <c r="CV384" s="62"/>
      <c r="CW384" s="62"/>
      <c r="CX384" s="62"/>
      <c r="CY384" s="62"/>
      <c r="CZ384" s="62"/>
      <c r="DA384" s="62"/>
      <c r="DB384" s="62"/>
      <c r="DC384" s="62"/>
      <c r="DD384" s="62"/>
      <c r="DE384" s="62"/>
      <c r="DF384" s="62"/>
      <c r="DG384" s="62"/>
      <c r="DH384" s="62"/>
      <c r="DI384" s="62"/>
      <c r="DJ384" s="62"/>
      <c r="DK384" s="62"/>
      <c r="DL384" s="62"/>
    </row>
    <row r="385" spans="1:116" x14ac:dyDescent="0.2">
      <c r="A385" s="57">
        <v>38292</v>
      </c>
      <c r="B385" s="58">
        <v>2004</v>
      </c>
      <c r="C385" s="66">
        <v>0.29699999999999999</v>
      </c>
      <c r="D385" s="62">
        <v>4.0000000000000001E-3</v>
      </c>
      <c r="E385" s="62">
        <v>54.61</v>
      </c>
      <c r="F385" s="62">
        <v>2.294</v>
      </c>
      <c r="G385" s="62">
        <v>0.29299999999999998</v>
      </c>
      <c r="H385" s="62">
        <v>6.742</v>
      </c>
      <c r="I385" s="62">
        <v>8.5779999999999994</v>
      </c>
      <c r="J385" s="62">
        <v>-1.8360000000000001</v>
      </c>
      <c r="K385" s="62"/>
      <c r="L385" s="62"/>
      <c r="M385" s="62">
        <v>52.774000000000001</v>
      </c>
      <c r="N385" s="62">
        <v>2.2170000000000001</v>
      </c>
      <c r="O385" s="66">
        <v>0.28299999999999997</v>
      </c>
      <c r="P385" s="61"/>
      <c r="Q385" s="62"/>
      <c r="R385" s="62"/>
      <c r="S385" s="62"/>
      <c r="T385" s="62"/>
      <c r="U385" s="62"/>
      <c r="V385" s="62"/>
      <c r="W385" s="62"/>
      <c r="X385" s="62"/>
      <c r="Y385" s="61"/>
      <c r="Z385" s="63"/>
      <c r="AA385" s="64" t="e">
        <v>#N/A</v>
      </c>
      <c r="AB385" s="62" t="e">
        <v>#N/A</v>
      </c>
      <c r="AC385" s="62" t="e">
        <v>#N/A</v>
      </c>
      <c r="AD385" s="62" t="e">
        <v>#N/A</v>
      </c>
      <c r="AE385" s="62" t="e">
        <v>#N/A</v>
      </c>
      <c r="AF385" s="62" t="e">
        <v>#N/A</v>
      </c>
      <c r="AG385" s="62" t="e">
        <v>#N/A</v>
      </c>
      <c r="AH385" s="62" t="e">
        <v>#N/A</v>
      </c>
      <c r="AI385" s="62" t="e">
        <v>#N/A</v>
      </c>
      <c r="AJ385" s="62" t="e">
        <v>#N/A</v>
      </c>
      <c r="AK385" s="64" t="e">
        <v>#N/A</v>
      </c>
      <c r="AL385" s="19">
        <v>120113</v>
      </c>
      <c r="AM385" s="19">
        <v>121749</v>
      </c>
      <c r="AN385" s="23">
        <v>9571</v>
      </c>
      <c r="AO385" s="19">
        <v>123204</v>
      </c>
      <c r="AP385" s="19">
        <v>3056</v>
      </c>
      <c r="AQ385" s="62"/>
      <c r="AR385" s="63"/>
      <c r="AS385" s="63"/>
      <c r="AT385" s="65">
        <f t="shared" si="27"/>
        <v>5174.5680000000002</v>
      </c>
      <c r="AU385" s="65">
        <f t="shared" si="28"/>
        <v>401.98200000000003</v>
      </c>
      <c r="AV385" s="65">
        <f t="shared" si="29"/>
        <v>128.352</v>
      </c>
      <c r="AW385" s="65">
        <f t="shared" si="30"/>
        <v>5044.7460000000001</v>
      </c>
      <c r="AX385" s="65">
        <f t="shared" si="30"/>
        <v>5113.4579999999996</v>
      </c>
      <c r="AY385" s="65">
        <f t="shared" si="31"/>
        <v>0</v>
      </c>
      <c r="AZ385" s="19">
        <v>48389</v>
      </c>
      <c r="BA385" s="19">
        <v>51132</v>
      </c>
      <c r="BB385" s="19">
        <v>40907</v>
      </c>
      <c r="BC385" s="19">
        <v>5107</v>
      </c>
      <c r="BD385" s="19">
        <v>1641</v>
      </c>
      <c r="BE385" s="62"/>
      <c r="BF385" s="62"/>
      <c r="BG385" s="62"/>
      <c r="BH385" s="62"/>
      <c r="BI385" s="67">
        <v>48.47</v>
      </c>
      <c r="BJ385" s="67">
        <v>1.42</v>
      </c>
      <c r="BK385" s="67">
        <v>1.47</v>
      </c>
      <c r="BL385" s="67">
        <v>1.38</v>
      </c>
      <c r="BM385" s="62"/>
      <c r="BN385" s="62"/>
      <c r="BO385" s="62"/>
      <c r="BP385" s="62"/>
      <c r="BQ385" s="62"/>
      <c r="BR385" s="62"/>
      <c r="BS385" s="62"/>
      <c r="BT385" s="62"/>
      <c r="BU385" s="62"/>
      <c r="BV385" s="62"/>
      <c r="BW385" s="62"/>
      <c r="BX385" s="62"/>
      <c r="BY385" s="62"/>
      <c r="BZ385" s="62"/>
      <c r="CA385" s="62"/>
      <c r="CB385" s="62"/>
      <c r="CC385" s="62"/>
      <c r="CD385" s="62"/>
      <c r="CE385" s="62"/>
      <c r="CF385" s="62"/>
      <c r="CG385" s="62"/>
      <c r="CH385" s="62"/>
      <c r="CI385" s="62"/>
      <c r="CJ385" s="62"/>
      <c r="CK385" s="62"/>
      <c r="CL385" s="62"/>
      <c r="CM385" s="62"/>
      <c r="CN385" s="62"/>
      <c r="CO385" s="62"/>
      <c r="CP385" s="62"/>
      <c r="CQ385" s="62"/>
      <c r="CR385" s="62"/>
      <c r="CS385" s="62"/>
      <c r="CT385" s="62"/>
      <c r="CU385" s="62"/>
      <c r="CV385" s="62"/>
      <c r="CW385" s="62"/>
      <c r="CX385" s="62"/>
      <c r="CY385" s="62"/>
      <c r="CZ385" s="62"/>
      <c r="DA385" s="62"/>
      <c r="DB385" s="62"/>
      <c r="DC385" s="62"/>
      <c r="DD385" s="62"/>
      <c r="DE385" s="62"/>
      <c r="DF385" s="62"/>
      <c r="DG385" s="62"/>
      <c r="DH385" s="62"/>
      <c r="DI385" s="62"/>
      <c r="DJ385" s="62"/>
      <c r="DK385" s="62"/>
      <c r="DL385" s="62"/>
    </row>
    <row r="386" spans="1:116" x14ac:dyDescent="0.2">
      <c r="A386" s="57">
        <v>38322</v>
      </c>
      <c r="B386" s="58">
        <v>2004</v>
      </c>
      <c r="C386" s="66">
        <v>0.307</v>
      </c>
      <c r="D386" s="62">
        <v>4.0000000000000001E-3</v>
      </c>
      <c r="E386" s="62">
        <v>56.43</v>
      </c>
      <c r="F386" s="62">
        <v>2.37</v>
      </c>
      <c r="G386" s="62">
        <v>0.30199999999999999</v>
      </c>
      <c r="H386" s="62">
        <v>4.6230000000000002</v>
      </c>
      <c r="I386" s="62">
        <v>6.7519999999999998</v>
      </c>
      <c r="J386" s="62">
        <v>-2.129</v>
      </c>
      <c r="K386" s="62"/>
      <c r="L386" s="62"/>
      <c r="M386" s="62">
        <v>54.3</v>
      </c>
      <c r="N386" s="62">
        <v>2.2810000000000001</v>
      </c>
      <c r="O386" s="66">
        <v>0.29099999999999998</v>
      </c>
      <c r="P386" s="61"/>
      <c r="Q386" s="62"/>
      <c r="R386" s="62"/>
      <c r="S386" s="62"/>
      <c r="T386" s="62"/>
      <c r="U386" s="62"/>
      <c r="V386" s="62"/>
      <c r="W386" s="62"/>
      <c r="X386" s="62"/>
      <c r="Y386" s="61"/>
      <c r="Z386" s="63"/>
      <c r="AA386" s="64" t="e">
        <v>#N/A</v>
      </c>
      <c r="AB386" s="62" t="e">
        <v>#N/A</v>
      </c>
      <c r="AC386" s="62" t="e">
        <v>#N/A</v>
      </c>
      <c r="AD386" s="62" t="e">
        <v>#N/A</v>
      </c>
      <c r="AE386" s="62" t="e">
        <v>#N/A</v>
      </c>
      <c r="AF386" s="62" t="e">
        <v>#N/A</v>
      </c>
      <c r="AG386" s="62" t="e">
        <v>#N/A</v>
      </c>
      <c r="AH386" s="62" t="e">
        <v>#N/A</v>
      </c>
      <c r="AI386" s="62" t="e">
        <v>#N/A</v>
      </c>
      <c r="AJ386" s="62" t="e">
        <v>#N/A</v>
      </c>
      <c r="AK386" s="64" t="e">
        <v>#N/A</v>
      </c>
      <c r="AL386" s="19">
        <v>128929</v>
      </c>
      <c r="AM386" s="19">
        <v>129441</v>
      </c>
      <c r="AN386" s="23">
        <v>9048</v>
      </c>
      <c r="AO386" s="19">
        <v>126272</v>
      </c>
      <c r="AP386" s="19">
        <v>5468</v>
      </c>
      <c r="AQ386" s="62"/>
      <c r="AR386" s="63"/>
      <c r="AS386" s="63"/>
      <c r="AT386" s="65">
        <f t="shared" si="27"/>
        <v>5303.424</v>
      </c>
      <c r="AU386" s="65">
        <f t="shared" si="28"/>
        <v>380.01600000000002</v>
      </c>
      <c r="AV386" s="65">
        <f t="shared" si="29"/>
        <v>229.65600000000001</v>
      </c>
      <c r="AW386" s="65">
        <f t="shared" si="30"/>
        <v>5415.018</v>
      </c>
      <c r="AX386" s="65">
        <f t="shared" si="30"/>
        <v>5436.5219999999999</v>
      </c>
      <c r="AY386" s="65">
        <f t="shared" si="31"/>
        <v>0</v>
      </c>
      <c r="AZ386" s="19">
        <v>49497</v>
      </c>
      <c r="BA386" s="19">
        <v>50993</v>
      </c>
      <c r="BB386" s="19">
        <v>40086</v>
      </c>
      <c r="BC386" s="19">
        <v>3254</v>
      </c>
      <c r="BD386" s="19">
        <v>2579</v>
      </c>
      <c r="BE386" s="62"/>
      <c r="BF386" s="62"/>
      <c r="BG386" s="62"/>
      <c r="BH386" s="62"/>
      <c r="BI386" s="67">
        <v>43.15</v>
      </c>
      <c r="BJ386" s="67">
        <v>1.27</v>
      </c>
      <c r="BK386" s="67">
        <v>1.33</v>
      </c>
      <c r="BL386" s="67">
        <v>1.19</v>
      </c>
      <c r="BM386" s="62"/>
      <c r="BN386" s="62"/>
      <c r="BO386" s="62"/>
      <c r="BP386" s="62"/>
      <c r="BQ386" s="62"/>
      <c r="BR386" s="62"/>
      <c r="BS386" s="62"/>
      <c r="BT386" s="62"/>
      <c r="BU386" s="62"/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/>
      <c r="CP386" s="62"/>
      <c r="CQ386" s="62"/>
      <c r="CR386" s="62"/>
      <c r="CS386" s="62"/>
      <c r="CT386" s="62"/>
      <c r="CU386" s="62"/>
      <c r="CV386" s="62"/>
      <c r="CW386" s="62"/>
      <c r="CX386" s="62"/>
      <c r="CY386" s="62"/>
      <c r="CZ386" s="62"/>
      <c r="DA386" s="62"/>
      <c r="DB386" s="62"/>
      <c r="DC386" s="62"/>
      <c r="DD386" s="62"/>
      <c r="DE386" s="62"/>
      <c r="DF386" s="62"/>
      <c r="DG386" s="62"/>
      <c r="DH386" s="62"/>
      <c r="DI386" s="62"/>
      <c r="DJ386" s="62"/>
      <c r="DK386" s="62"/>
      <c r="DL386" s="62"/>
    </row>
    <row r="387" spans="1:116" x14ac:dyDescent="0.2">
      <c r="A387" s="57">
        <v>38353</v>
      </c>
      <c r="B387" s="58">
        <v>2005</v>
      </c>
      <c r="C387" s="66">
        <v>0.997</v>
      </c>
      <c r="D387" s="62">
        <v>1.4E-2</v>
      </c>
      <c r="E387" s="62">
        <v>183.58699999999999</v>
      </c>
      <c r="F387" s="62">
        <v>7.7110000000000003</v>
      </c>
      <c r="G387" s="62">
        <v>0.98399999999999999</v>
      </c>
      <c r="H387" s="62">
        <v>14.89</v>
      </c>
      <c r="I387" s="62">
        <v>7.86</v>
      </c>
      <c r="J387" s="62">
        <v>7.0289999999999999</v>
      </c>
      <c r="K387" s="62"/>
      <c r="L387" s="62"/>
      <c r="M387" s="62">
        <v>190.61600000000001</v>
      </c>
      <c r="N387" s="62">
        <v>8.0060000000000002</v>
      </c>
      <c r="O387" s="66">
        <v>1.022</v>
      </c>
      <c r="P387" s="61"/>
      <c r="Q387" s="62"/>
      <c r="R387" s="62"/>
      <c r="S387" s="62"/>
      <c r="T387" s="62"/>
      <c r="U387" s="62"/>
      <c r="V387" s="62"/>
      <c r="W387" s="62"/>
      <c r="X387" s="62"/>
      <c r="Y387" s="61"/>
      <c r="Z387" s="63"/>
      <c r="AA387" s="64" t="e">
        <v>#N/A</v>
      </c>
      <c r="AB387" s="62" t="e">
        <v>#N/A</v>
      </c>
      <c r="AC387" s="62" t="e">
        <v>#N/A</v>
      </c>
      <c r="AD387" s="62" t="e">
        <v>#N/A</v>
      </c>
      <c r="AE387" s="62" t="e">
        <v>#N/A</v>
      </c>
      <c r="AF387" s="62" t="e">
        <v>#N/A</v>
      </c>
      <c r="AG387" s="62" t="e">
        <v>#N/A</v>
      </c>
      <c r="AH387" s="62" t="e">
        <v>#N/A</v>
      </c>
      <c r="AI387" s="62" t="e">
        <v>#N/A</v>
      </c>
      <c r="AJ387" s="62" t="e">
        <v>#N/A</v>
      </c>
      <c r="AK387" s="64" t="e">
        <v>#N/A</v>
      </c>
      <c r="AL387" s="19">
        <v>117090</v>
      </c>
      <c r="AM387" s="19">
        <v>130904</v>
      </c>
      <c r="AN387" s="23">
        <v>10958</v>
      </c>
      <c r="AO387" s="19">
        <v>121895</v>
      </c>
      <c r="AP387" s="19">
        <v>1521</v>
      </c>
      <c r="AQ387" s="19">
        <v>1299</v>
      </c>
      <c r="AR387" s="63"/>
      <c r="AS387" s="63"/>
      <c r="AT387" s="65">
        <f t="shared" ref="AT387:AT450" si="32">AO387*42/1000</f>
        <v>5119.59</v>
      </c>
      <c r="AU387" s="65">
        <f t="shared" ref="AU387:AU450" si="33">AN387*42/1000</f>
        <v>460.23599999999999</v>
      </c>
      <c r="AV387" s="65">
        <f t="shared" ref="AV387:AV450" si="34">AP387*42/1000</f>
        <v>63.881999999999998</v>
      </c>
      <c r="AW387" s="65">
        <f t="shared" si="30"/>
        <v>4917.78</v>
      </c>
      <c r="AX387" s="65">
        <f t="shared" si="30"/>
        <v>5497.9679999999998</v>
      </c>
      <c r="AY387" s="65">
        <f t="shared" si="31"/>
        <v>54.558</v>
      </c>
      <c r="AZ387" s="19">
        <v>48119</v>
      </c>
      <c r="BA387" s="19">
        <v>47625</v>
      </c>
      <c r="BB387" s="19">
        <v>42971</v>
      </c>
      <c r="BC387" s="19">
        <v>3269</v>
      </c>
      <c r="BD387" s="19">
        <v>878</v>
      </c>
      <c r="BE387" s="62"/>
      <c r="BF387" s="62"/>
      <c r="BG387" s="62"/>
      <c r="BH387" s="62"/>
      <c r="BI387" s="67">
        <v>46.84</v>
      </c>
      <c r="BJ387" s="67">
        <v>1.31</v>
      </c>
      <c r="BK387" s="67">
        <v>1.31</v>
      </c>
      <c r="BL387" s="67">
        <v>1.28</v>
      </c>
      <c r="BM387" s="62"/>
      <c r="BN387" s="62"/>
      <c r="BO387" s="62"/>
      <c r="BP387" s="62"/>
      <c r="BQ387" s="62"/>
      <c r="BR387" s="62"/>
      <c r="BS387" s="62"/>
      <c r="BT387" s="62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62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  <c r="DK387" s="62"/>
      <c r="DL387" s="62"/>
    </row>
    <row r="388" spans="1:116" x14ac:dyDescent="0.2">
      <c r="A388" s="57">
        <v>38384</v>
      </c>
      <c r="B388" s="58">
        <v>2005</v>
      </c>
      <c r="C388" s="66">
        <v>0.90100000000000002</v>
      </c>
      <c r="D388" s="62">
        <v>1.2E-2</v>
      </c>
      <c r="E388" s="62">
        <v>165.82</v>
      </c>
      <c r="F388" s="62">
        <v>6.9640000000000004</v>
      </c>
      <c r="G388" s="62">
        <v>0.88900000000000001</v>
      </c>
      <c r="H388" s="62">
        <v>33.765999999999998</v>
      </c>
      <c r="I388" s="62">
        <v>7.9960000000000004</v>
      </c>
      <c r="J388" s="62">
        <v>25.77</v>
      </c>
      <c r="K388" s="62"/>
      <c r="L388" s="62"/>
      <c r="M388" s="62">
        <v>191.59</v>
      </c>
      <c r="N388" s="62">
        <v>8.0470000000000006</v>
      </c>
      <c r="O388" s="66">
        <v>1.0269999999999999</v>
      </c>
      <c r="P388" s="61"/>
      <c r="Q388" s="62"/>
      <c r="R388" s="62"/>
      <c r="S388" s="62"/>
      <c r="T388" s="62"/>
      <c r="U388" s="62"/>
      <c r="V388" s="62"/>
      <c r="W388" s="62"/>
      <c r="X388" s="62"/>
      <c r="Y388" s="61"/>
      <c r="Z388" s="63"/>
      <c r="AA388" s="64" t="e">
        <v>#N/A</v>
      </c>
      <c r="AB388" s="62" t="e">
        <v>#N/A</v>
      </c>
      <c r="AC388" s="62" t="e">
        <v>#N/A</v>
      </c>
      <c r="AD388" s="62" t="e">
        <v>#N/A</v>
      </c>
      <c r="AE388" s="62" t="e">
        <v>#N/A</v>
      </c>
      <c r="AF388" s="62" t="e">
        <v>#N/A</v>
      </c>
      <c r="AG388" s="62" t="e">
        <v>#N/A</v>
      </c>
      <c r="AH388" s="62" t="e">
        <v>#N/A</v>
      </c>
      <c r="AI388" s="62" t="e">
        <v>#N/A</v>
      </c>
      <c r="AJ388" s="62" t="e">
        <v>#N/A</v>
      </c>
      <c r="AK388" s="64" t="e">
        <v>#N/A</v>
      </c>
      <c r="AL388" s="19">
        <v>106324</v>
      </c>
      <c r="AM388" s="19">
        <v>117655</v>
      </c>
      <c r="AN388" s="23">
        <v>9628</v>
      </c>
      <c r="AO388" s="19">
        <v>117326</v>
      </c>
      <c r="AP388" s="19">
        <v>2866</v>
      </c>
      <c r="AQ388" s="19">
        <v>657</v>
      </c>
      <c r="AR388" s="63"/>
      <c r="AS388" s="63"/>
      <c r="AT388" s="65">
        <f t="shared" si="32"/>
        <v>4927.692</v>
      </c>
      <c r="AU388" s="65">
        <f t="shared" si="33"/>
        <v>404.37599999999998</v>
      </c>
      <c r="AV388" s="65">
        <f t="shared" si="34"/>
        <v>120.372</v>
      </c>
      <c r="AW388" s="65">
        <f t="shared" si="30"/>
        <v>4465.6080000000002</v>
      </c>
      <c r="AX388" s="65">
        <f t="shared" si="30"/>
        <v>4941.51</v>
      </c>
      <c r="AY388" s="65">
        <f t="shared" si="31"/>
        <v>27.594000000000001</v>
      </c>
      <c r="AZ388" s="19">
        <v>44136</v>
      </c>
      <c r="BA388" s="19">
        <v>48796</v>
      </c>
      <c r="BB388" s="19">
        <v>40348</v>
      </c>
      <c r="BC388" s="19">
        <v>3912</v>
      </c>
      <c r="BD388" s="19">
        <v>1875</v>
      </c>
      <c r="BE388" s="62"/>
      <c r="BF388" s="62"/>
      <c r="BG388" s="62"/>
      <c r="BH388" s="62"/>
      <c r="BI388" s="67">
        <v>48.15</v>
      </c>
      <c r="BJ388" s="67">
        <v>1.39</v>
      </c>
      <c r="BK388" s="67">
        <v>1.38</v>
      </c>
      <c r="BL388" s="67">
        <v>1.34</v>
      </c>
      <c r="BM388" s="62"/>
      <c r="BN388" s="62"/>
      <c r="BO388" s="62"/>
      <c r="BP388" s="62"/>
      <c r="BQ388" s="62"/>
      <c r="BR388" s="62"/>
      <c r="BS388" s="62"/>
      <c r="BT388" s="62"/>
      <c r="BU388" s="62"/>
      <c r="BV388" s="62"/>
      <c r="BW388" s="62"/>
      <c r="BX388" s="62"/>
      <c r="BY388" s="62"/>
      <c r="BZ388" s="62"/>
      <c r="CA388" s="62"/>
      <c r="CB388" s="62"/>
      <c r="CC388" s="62"/>
      <c r="CD388" s="62"/>
      <c r="CE388" s="62"/>
      <c r="CF388" s="62"/>
      <c r="CG388" s="62"/>
      <c r="CH388" s="62"/>
      <c r="CI388" s="62"/>
      <c r="CJ388" s="62"/>
      <c r="CK388" s="62"/>
      <c r="CL388" s="62"/>
      <c r="CM388" s="62"/>
      <c r="CN388" s="62"/>
      <c r="CO388" s="62"/>
      <c r="CP388" s="62"/>
      <c r="CQ388" s="62"/>
      <c r="CR388" s="62"/>
      <c r="CS388" s="62"/>
      <c r="CT388" s="62"/>
      <c r="CU388" s="62"/>
      <c r="CV388" s="62"/>
      <c r="CW388" s="62"/>
      <c r="CX388" s="62"/>
      <c r="CY388" s="62"/>
      <c r="CZ388" s="62"/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  <c r="DK388" s="62"/>
      <c r="DL388" s="62"/>
    </row>
    <row r="389" spans="1:116" x14ac:dyDescent="0.2">
      <c r="A389" s="57">
        <v>38412</v>
      </c>
      <c r="B389" s="58">
        <v>2005</v>
      </c>
      <c r="C389" s="66">
        <v>0.997</v>
      </c>
      <c r="D389" s="62">
        <v>1.4E-2</v>
      </c>
      <c r="E389" s="62">
        <v>183.58699999999999</v>
      </c>
      <c r="F389" s="62">
        <v>7.7110000000000003</v>
      </c>
      <c r="G389" s="62">
        <v>0.98399999999999999</v>
      </c>
      <c r="H389" s="62">
        <v>12.91</v>
      </c>
      <c r="I389" s="62">
        <v>25.097999999999999</v>
      </c>
      <c r="J389" s="62">
        <v>-12.188000000000001</v>
      </c>
      <c r="K389" s="62"/>
      <c r="L389" s="62"/>
      <c r="M389" s="62">
        <v>171.398</v>
      </c>
      <c r="N389" s="62">
        <v>7.1989999999999998</v>
      </c>
      <c r="O389" s="66">
        <v>0.91900000000000004</v>
      </c>
      <c r="P389" s="61"/>
      <c r="Q389" s="62"/>
      <c r="R389" s="62"/>
      <c r="S389" s="62"/>
      <c r="T389" s="62"/>
      <c r="U389" s="62"/>
      <c r="V389" s="62"/>
      <c r="W389" s="62"/>
      <c r="X389" s="62"/>
      <c r="Y389" s="61"/>
      <c r="Z389" s="63"/>
      <c r="AA389" s="64" t="e">
        <v>#N/A</v>
      </c>
      <c r="AB389" s="62" t="e">
        <v>#N/A</v>
      </c>
      <c r="AC389" s="62" t="e">
        <v>#N/A</v>
      </c>
      <c r="AD389" s="62" t="e">
        <v>#N/A</v>
      </c>
      <c r="AE389" s="62" t="e">
        <v>#N/A</v>
      </c>
      <c r="AF389" s="62" t="e">
        <v>#N/A</v>
      </c>
      <c r="AG389" s="62" t="e">
        <v>#N/A</v>
      </c>
      <c r="AH389" s="62" t="e">
        <v>#N/A</v>
      </c>
      <c r="AI389" s="62" t="e">
        <v>#N/A</v>
      </c>
      <c r="AJ389" s="62" t="e">
        <v>#N/A</v>
      </c>
      <c r="AK389" s="64" t="e">
        <v>#N/A</v>
      </c>
      <c r="AL389" s="19">
        <v>120087</v>
      </c>
      <c r="AM389" s="19">
        <v>134824</v>
      </c>
      <c r="AN389" s="23">
        <v>7976</v>
      </c>
      <c r="AO389" s="19">
        <v>105443</v>
      </c>
      <c r="AP389" s="19">
        <v>5122</v>
      </c>
      <c r="AQ389" s="19">
        <v>385</v>
      </c>
      <c r="AR389" s="63"/>
      <c r="AS389" s="63"/>
      <c r="AT389" s="65">
        <f t="shared" si="32"/>
        <v>4428.6059999999998</v>
      </c>
      <c r="AU389" s="65">
        <f t="shared" si="33"/>
        <v>334.99200000000002</v>
      </c>
      <c r="AV389" s="65">
        <f t="shared" si="34"/>
        <v>215.124</v>
      </c>
      <c r="AW389" s="65">
        <f t="shared" si="30"/>
        <v>5043.6540000000005</v>
      </c>
      <c r="AX389" s="65">
        <f t="shared" si="30"/>
        <v>5662.6080000000002</v>
      </c>
      <c r="AY389" s="65">
        <f t="shared" si="31"/>
        <v>16.170000000000002</v>
      </c>
      <c r="AZ389" s="19">
        <v>47780</v>
      </c>
      <c r="BA389" s="19">
        <v>53510</v>
      </c>
      <c r="BB389" s="19">
        <v>37777</v>
      </c>
      <c r="BC389" s="19">
        <v>5394</v>
      </c>
      <c r="BD389" s="19">
        <v>2235</v>
      </c>
      <c r="BE389" s="62"/>
      <c r="BF389" s="62"/>
      <c r="BG389" s="62"/>
      <c r="BH389" s="62"/>
      <c r="BI389" s="67">
        <v>54.19</v>
      </c>
      <c r="BJ389" s="67">
        <v>1.59</v>
      </c>
      <c r="BK389" s="67">
        <v>1.58</v>
      </c>
      <c r="BL389" s="67">
        <v>1.53</v>
      </c>
      <c r="BM389" s="62"/>
      <c r="BN389" s="62"/>
      <c r="BO389" s="62"/>
      <c r="BP389" s="62"/>
      <c r="BQ389" s="62"/>
      <c r="BR389" s="62"/>
      <c r="BS389" s="62"/>
      <c r="BT389" s="62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62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  <c r="DK389" s="62"/>
      <c r="DL389" s="62"/>
    </row>
    <row r="390" spans="1:116" x14ac:dyDescent="0.2">
      <c r="A390" s="57">
        <v>38443</v>
      </c>
      <c r="B390" s="58">
        <v>2005</v>
      </c>
      <c r="C390" s="66">
        <v>0.96499999999999997</v>
      </c>
      <c r="D390" s="62">
        <v>1.2999999999999999E-2</v>
      </c>
      <c r="E390" s="62">
        <v>177.66499999999999</v>
      </c>
      <c r="F390" s="62">
        <v>7.4619999999999997</v>
      </c>
      <c r="G390" s="62">
        <v>0.95199999999999996</v>
      </c>
      <c r="H390" s="62">
        <v>17.762</v>
      </c>
      <c r="I390" s="62">
        <v>17.555</v>
      </c>
      <c r="J390" s="62">
        <v>0.20699999999999999</v>
      </c>
      <c r="K390" s="62"/>
      <c r="L390" s="62"/>
      <c r="M390" s="62">
        <v>177.87200000000001</v>
      </c>
      <c r="N390" s="62">
        <v>7.4710000000000001</v>
      </c>
      <c r="O390" s="66">
        <v>0.95299999999999996</v>
      </c>
      <c r="P390" s="61"/>
      <c r="Q390" s="62"/>
      <c r="R390" s="62"/>
      <c r="S390" s="62"/>
      <c r="T390" s="62"/>
      <c r="U390" s="62"/>
      <c r="V390" s="62"/>
      <c r="W390" s="62"/>
      <c r="X390" s="62"/>
      <c r="Y390" s="61"/>
      <c r="Z390" s="63"/>
      <c r="AA390" s="64" t="e">
        <v>#N/A</v>
      </c>
      <c r="AB390" s="62" t="e">
        <v>#N/A</v>
      </c>
      <c r="AC390" s="62" t="e">
        <v>#N/A</v>
      </c>
      <c r="AD390" s="62" t="e">
        <v>#N/A</v>
      </c>
      <c r="AE390" s="62" t="e">
        <v>#N/A</v>
      </c>
      <c r="AF390" s="62" t="e">
        <v>#N/A</v>
      </c>
      <c r="AG390" s="62" t="e">
        <v>#N/A</v>
      </c>
      <c r="AH390" s="62" t="e">
        <v>#N/A</v>
      </c>
      <c r="AI390" s="62" t="e">
        <v>#N/A</v>
      </c>
      <c r="AJ390" s="62" t="e">
        <v>#N/A</v>
      </c>
      <c r="AK390" s="64" t="e">
        <v>#N/A</v>
      </c>
      <c r="AL390" s="19">
        <v>120841</v>
      </c>
      <c r="AM390" s="19">
        <v>123044</v>
      </c>
      <c r="AN390" s="23">
        <v>7913</v>
      </c>
      <c r="AO390" s="19">
        <v>105402</v>
      </c>
      <c r="AP390" s="19">
        <v>5751</v>
      </c>
      <c r="AQ390" s="19">
        <v>371</v>
      </c>
      <c r="AR390" s="63"/>
      <c r="AS390" s="63"/>
      <c r="AT390" s="65">
        <f t="shared" si="32"/>
        <v>4426.884</v>
      </c>
      <c r="AU390" s="65">
        <f t="shared" si="33"/>
        <v>332.346</v>
      </c>
      <c r="AV390" s="65">
        <f t="shared" si="34"/>
        <v>241.542</v>
      </c>
      <c r="AW390" s="65">
        <f t="shared" si="30"/>
        <v>5075.3220000000001</v>
      </c>
      <c r="AX390" s="65">
        <f t="shared" si="30"/>
        <v>5167.848</v>
      </c>
      <c r="AY390" s="65">
        <f t="shared" si="31"/>
        <v>15.582000000000001</v>
      </c>
      <c r="AZ390" s="19">
        <v>49126</v>
      </c>
      <c r="BA390" s="19">
        <v>48415</v>
      </c>
      <c r="BB390" s="19">
        <v>39597</v>
      </c>
      <c r="BC390" s="19">
        <v>4036</v>
      </c>
      <c r="BD390" s="19">
        <v>2927</v>
      </c>
      <c r="BE390" s="62"/>
      <c r="BF390" s="62"/>
      <c r="BG390" s="62"/>
      <c r="BH390" s="62"/>
      <c r="BI390" s="67">
        <v>52.98</v>
      </c>
      <c r="BJ390" s="67">
        <v>1.64</v>
      </c>
      <c r="BK390" s="67">
        <v>1.68</v>
      </c>
      <c r="BL390" s="67">
        <v>1.64</v>
      </c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62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  <c r="DK390" s="62"/>
      <c r="DL390" s="62"/>
    </row>
    <row r="391" spans="1:116" x14ac:dyDescent="0.2">
      <c r="A391" s="57">
        <v>38473</v>
      </c>
      <c r="B391" s="58">
        <v>2005</v>
      </c>
      <c r="C391" s="66">
        <v>0.997</v>
      </c>
      <c r="D391" s="62">
        <v>1.4E-2</v>
      </c>
      <c r="E391" s="62">
        <v>183.58699999999999</v>
      </c>
      <c r="F391" s="62">
        <v>7.7110000000000003</v>
      </c>
      <c r="G391" s="62">
        <v>0.98399999999999999</v>
      </c>
      <c r="H391" s="62">
        <v>7.625</v>
      </c>
      <c r="I391" s="62">
        <v>10.018000000000001</v>
      </c>
      <c r="J391" s="62">
        <v>-2.3929999999999998</v>
      </c>
      <c r="K391" s="62"/>
      <c r="L391" s="62"/>
      <c r="M391" s="62">
        <v>181.19399999999999</v>
      </c>
      <c r="N391" s="62">
        <v>7.61</v>
      </c>
      <c r="O391" s="66">
        <v>0.97099999999999997</v>
      </c>
      <c r="P391" s="61"/>
      <c r="Q391" s="62"/>
      <c r="R391" s="62"/>
      <c r="S391" s="62"/>
      <c r="T391" s="62"/>
      <c r="U391" s="62"/>
      <c r="V391" s="62"/>
      <c r="W391" s="62"/>
      <c r="X391" s="62"/>
      <c r="Y391" s="61"/>
      <c r="Z391" s="63"/>
      <c r="AA391" s="64" t="e">
        <v>#N/A</v>
      </c>
      <c r="AB391" s="62" t="e">
        <v>#N/A</v>
      </c>
      <c r="AC391" s="62" t="e">
        <v>#N/A</v>
      </c>
      <c r="AD391" s="62" t="e">
        <v>#N/A</v>
      </c>
      <c r="AE391" s="62" t="e">
        <v>#N/A</v>
      </c>
      <c r="AF391" s="62" t="e">
        <v>#N/A</v>
      </c>
      <c r="AG391" s="62" t="e">
        <v>#N/A</v>
      </c>
      <c r="AH391" s="62" t="e">
        <v>#N/A</v>
      </c>
      <c r="AI391" s="62" t="e">
        <v>#N/A</v>
      </c>
      <c r="AJ391" s="62" t="e">
        <v>#N/A</v>
      </c>
      <c r="AK391" s="64" t="e">
        <v>#N/A</v>
      </c>
      <c r="AL391" s="19">
        <v>129555</v>
      </c>
      <c r="AM391" s="19">
        <v>125149</v>
      </c>
      <c r="AN391" s="23">
        <v>8722</v>
      </c>
      <c r="AO391" s="19">
        <v>112369</v>
      </c>
      <c r="AP391" s="19">
        <v>6161</v>
      </c>
      <c r="AQ391" s="19">
        <v>538</v>
      </c>
      <c r="AR391" s="63"/>
      <c r="AS391" s="63"/>
      <c r="AT391" s="65">
        <f t="shared" si="32"/>
        <v>4719.4979999999996</v>
      </c>
      <c r="AU391" s="65">
        <f t="shared" si="33"/>
        <v>366.32400000000001</v>
      </c>
      <c r="AV391" s="65">
        <f t="shared" si="34"/>
        <v>258.762</v>
      </c>
      <c r="AW391" s="65">
        <f t="shared" ref="AW391:AX454" si="35">AL391*42/1000</f>
        <v>5441.31</v>
      </c>
      <c r="AX391" s="65">
        <f t="shared" si="35"/>
        <v>5256.2579999999998</v>
      </c>
      <c r="AY391" s="65">
        <f t="shared" si="31"/>
        <v>22.596</v>
      </c>
      <c r="AZ391" s="19">
        <v>50566</v>
      </c>
      <c r="BA391" s="19">
        <v>51896</v>
      </c>
      <c r="BB391" s="19">
        <v>39352</v>
      </c>
      <c r="BC391" s="19">
        <v>4660</v>
      </c>
      <c r="BD391" s="19">
        <v>3575</v>
      </c>
      <c r="BE391" s="62"/>
      <c r="BF391" s="62"/>
      <c r="BG391" s="62"/>
      <c r="BH391" s="62"/>
      <c r="BI391" s="67">
        <v>49.83</v>
      </c>
      <c r="BJ391" s="67">
        <v>1.52</v>
      </c>
      <c r="BK391" s="67">
        <v>1.57</v>
      </c>
      <c r="BL391" s="67">
        <v>1.54</v>
      </c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62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  <c r="DK391" s="62"/>
      <c r="DL391" s="62"/>
    </row>
    <row r="392" spans="1:116" x14ac:dyDescent="0.2">
      <c r="A392" s="57">
        <v>38504</v>
      </c>
      <c r="B392" s="58">
        <v>2005</v>
      </c>
      <c r="C392" s="66">
        <v>0.96499999999999997</v>
      </c>
      <c r="D392" s="62">
        <v>1.2999999999999999E-2</v>
      </c>
      <c r="E392" s="62">
        <v>177.66499999999999</v>
      </c>
      <c r="F392" s="62">
        <v>7.4619999999999997</v>
      </c>
      <c r="G392" s="62">
        <v>0.95199999999999996</v>
      </c>
      <c r="H392" s="62">
        <v>21.986999999999998</v>
      </c>
      <c r="I392" s="62">
        <v>10.641</v>
      </c>
      <c r="J392" s="62">
        <v>11.346</v>
      </c>
      <c r="K392" s="62"/>
      <c r="L392" s="62"/>
      <c r="M392" s="62">
        <v>189.01</v>
      </c>
      <c r="N392" s="62">
        <v>7.9379999999999997</v>
      </c>
      <c r="O392" s="66">
        <v>1.0129999999999999</v>
      </c>
      <c r="P392" s="61"/>
      <c r="Q392" s="62"/>
      <c r="R392" s="62"/>
      <c r="S392" s="62"/>
      <c r="T392" s="62"/>
      <c r="U392" s="62"/>
      <c r="V392" s="62"/>
      <c r="W392" s="62"/>
      <c r="X392" s="62"/>
      <c r="Y392" s="61"/>
      <c r="Z392" s="63"/>
      <c r="AA392" s="64" t="e">
        <v>#N/A</v>
      </c>
      <c r="AB392" s="62" t="e">
        <v>#N/A</v>
      </c>
      <c r="AC392" s="62" t="e">
        <v>#N/A</v>
      </c>
      <c r="AD392" s="62" t="e">
        <v>#N/A</v>
      </c>
      <c r="AE392" s="62" t="e">
        <v>#N/A</v>
      </c>
      <c r="AF392" s="62" t="e">
        <v>#N/A</v>
      </c>
      <c r="AG392" s="62" t="e">
        <v>#N/A</v>
      </c>
      <c r="AH392" s="62" t="e">
        <v>#N/A</v>
      </c>
      <c r="AI392" s="62" t="e">
        <v>#N/A</v>
      </c>
      <c r="AJ392" s="62" t="e">
        <v>#N/A</v>
      </c>
      <c r="AK392" s="64" t="e">
        <v>#N/A</v>
      </c>
      <c r="AL392" s="19">
        <v>128228</v>
      </c>
      <c r="AM392" s="19">
        <v>121148</v>
      </c>
      <c r="AN392" s="23">
        <v>7085</v>
      </c>
      <c r="AO392" s="19">
        <v>119721</v>
      </c>
      <c r="AP392" s="19">
        <v>6813</v>
      </c>
      <c r="AQ392" s="19">
        <v>889</v>
      </c>
      <c r="AR392" s="63"/>
      <c r="AS392" s="63"/>
      <c r="AT392" s="65">
        <f t="shared" si="32"/>
        <v>5028.2820000000002</v>
      </c>
      <c r="AU392" s="65">
        <f t="shared" si="33"/>
        <v>297.57</v>
      </c>
      <c r="AV392" s="65">
        <f t="shared" si="34"/>
        <v>286.14600000000002</v>
      </c>
      <c r="AW392" s="65">
        <f t="shared" si="35"/>
        <v>5385.576</v>
      </c>
      <c r="AX392" s="65">
        <f t="shared" si="35"/>
        <v>5088.2160000000003</v>
      </c>
      <c r="AY392" s="65">
        <f t="shared" si="31"/>
        <v>37.338000000000001</v>
      </c>
      <c r="AZ392" s="19">
        <v>51037</v>
      </c>
      <c r="BA392" s="19">
        <v>50658</v>
      </c>
      <c r="BB392" s="19">
        <v>40740</v>
      </c>
      <c r="BC392" s="19">
        <v>3049</v>
      </c>
      <c r="BD392" s="19">
        <v>2040</v>
      </c>
      <c r="BE392" s="62"/>
      <c r="BF392" s="62"/>
      <c r="BG392" s="62"/>
      <c r="BH392" s="62"/>
      <c r="BI392" s="67">
        <v>56.35</v>
      </c>
      <c r="BJ392" s="67">
        <v>1.67</v>
      </c>
      <c r="BK392" s="67">
        <v>1.65</v>
      </c>
      <c r="BL392" s="67">
        <v>1.61</v>
      </c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62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  <c r="DK392" s="62"/>
      <c r="DL392" s="62"/>
    </row>
    <row r="393" spans="1:116" x14ac:dyDescent="0.2">
      <c r="A393" s="57">
        <v>38534</v>
      </c>
      <c r="B393" s="58">
        <v>2005</v>
      </c>
      <c r="C393" s="66">
        <v>0.997</v>
      </c>
      <c r="D393" s="62">
        <v>1.4E-2</v>
      </c>
      <c r="E393" s="62">
        <v>183.58699999999999</v>
      </c>
      <c r="F393" s="62">
        <v>7.7110000000000003</v>
      </c>
      <c r="G393" s="62">
        <v>0.98399999999999999</v>
      </c>
      <c r="H393" s="62">
        <v>10.252000000000001</v>
      </c>
      <c r="I393" s="62">
        <v>25.402999999999999</v>
      </c>
      <c r="J393" s="62">
        <v>-15.151</v>
      </c>
      <c r="K393" s="62"/>
      <c r="L393" s="62"/>
      <c r="M393" s="62">
        <v>168.435</v>
      </c>
      <c r="N393" s="62">
        <v>7.0739999999999998</v>
      </c>
      <c r="O393" s="66">
        <v>0.90300000000000002</v>
      </c>
      <c r="P393" s="61"/>
      <c r="Q393" s="62"/>
      <c r="R393" s="62"/>
      <c r="S393" s="62"/>
      <c r="T393" s="62"/>
      <c r="U393" s="62"/>
      <c r="V393" s="62"/>
      <c r="W393" s="62"/>
      <c r="X393" s="62"/>
      <c r="Y393" s="61"/>
      <c r="Z393" s="63"/>
      <c r="AA393" s="64" t="e">
        <v>#N/A</v>
      </c>
      <c r="AB393" s="62" t="e">
        <v>#N/A</v>
      </c>
      <c r="AC393" s="62" t="e">
        <v>#N/A</v>
      </c>
      <c r="AD393" s="62" t="e">
        <v>#N/A</v>
      </c>
      <c r="AE393" s="62" t="e">
        <v>#N/A</v>
      </c>
      <c r="AF393" s="62" t="e">
        <v>#N/A</v>
      </c>
      <c r="AG393" s="62" t="e">
        <v>#N/A</v>
      </c>
      <c r="AH393" s="62" t="e">
        <v>#N/A</v>
      </c>
      <c r="AI393" s="62" t="e">
        <v>#N/A</v>
      </c>
      <c r="AJ393" s="62" t="e">
        <v>#N/A</v>
      </c>
      <c r="AK393" s="64" t="e">
        <v>#N/A</v>
      </c>
      <c r="AL393" s="19">
        <v>131329</v>
      </c>
      <c r="AM393" s="19">
        <v>119477</v>
      </c>
      <c r="AN393" s="23">
        <v>7542</v>
      </c>
      <c r="AO393" s="19">
        <v>133255</v>
      </c>
      <c r="AP393" s="19">
        <v>5860</v>
      </c>
      <c r="AQ393" s="19">
        <v>670</v>
      </c>
      <c r="AR393" s="63"/>
      <c r="AS393" s="63"/>
      <c r="AT393" s="65">
        <f t="shared" si="32"/>
        <v>5596.71</v>
      </c>
      <c r="AU393" s="65">
        <f t="shared" si="33"/>
        <v>316.76400000000001</v>
      </c>
      <c r="AV393" s="65">
        <f t="shared" si="34"/>
        <v>246.12</v>
      </c>
      <c r="AW393" s="65">
        <f t="shared" si="35"/>
        <v>5515.8180000000002</v>
      </c>
      <c r="AX393" s="65">
        <f t="shared" si="35"/>
        <v>5018.0339999999997</v>
      </c>
      <c r="AY393" s="65">
        <f t="shared" si="31"/>
        <v>28.14</v>
      </c>
      <c r="AZ393" s="19">
        <v>49133</v>
      </c>
      <c r="BA393" s="19">
        <v>53476</v>
      </c>
      <c r="BB393" s="19">
        <v>40373</v>
      </c>
      <c r="BC393" s="19">
        <v>5404</v>
      </c>
      <c r="BD393" s="19">
        <v>1428</v>
      </c>
      <c r="BE393" s="62"/>
      <c r="BF393" s="62"/>
      <c r="BG393" s="62"/>
      <c r="BH393" s="62"/>
      <c r="BI393" s="67">
        <v>59</v>
      </c>
      <c r="BJ393" s="67">
        <v>1.72</v>
      </c>
      <c r="BK393" s="67">
        <v>1.72</v>
      </c>
      <c r="BL393" s="67">
        <v>1.71</v>
      </c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62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  <c r="DK393" s="62"/>
      <c r="DL393" s="62"/>
    </row>
    <row r="394" spans="1:116" x14ac:dyDescent="0.2">
      <c r="A394" s="57">
        <v>38565</v>
      </c>
      <c r="B394" s="58">
        <v>2005</v>
      </c>
      <c r="C394" s="66">
        <v>0.997</v>
      </c>
      <c r="D394" s="62">
        <v>1.4E-2</v>
      </c>
      <c r="E394" s="62">
        <v>183.58699999999999</v>
      </c>
      <c r="F394" s="62">
        <v>7.7110000000000003</v>
      </c>
      <c r="G394" s="62">
        <v>0.98399999999999999</v>
      </c>
      <c r="H394" s="62">
        <v>39.515000000000001</v>
      </c>
      <c r="I394" s="62">
        <v>19.986000000000001</v>
      </c>
      <c r="J394" s="62">
        <v>19.529</v>
      </c>
      <c r="K394" s="62"/>
      <c r="L394" s="62"/>
      <c r="M394" s="62">
        <v>203.11600000000001</v>
      </c>
      <c r="N394" s="62">
        <v>8.5310000000000006</v>
      </c>
      <c r="O394" s="66">
        <v>1.0880000000000001</v>
      </c>
      <c r="P394" s="61"/>
      <c r="Q394" s="62"/>
      <c r="R394" s="62"/>
      <c r="S394" s="62"/>
      <c r="T394" s="62"/>
      <c r="U394" s="62"/>
      <c r="V394" s="62"/>
      <c r="W394" s="62"/>
      <c r="X394" s="62"/>
      <c r="Y394" s="61"/>
      <c r="Z394" s="63"/>
      <c r="AA394" s="64" t="e">
        <v>#N/A</v>
      </c>
      <c r="AB394" s="62" t="e">
        <v>#N/A</v>
      </c>
      <c r="AC394" s="62" t="e">
        <v>#N/A</v>
      </c>
      <c r="AD394" s="62" t="e">
        <v>#N/A</v>
      </c>
      <c r="AE394" s="62" t="e">
        <v>#N/A</v>
      </c>
      <c r="AF394" s="62" t="e">
        <v>#N/A</v>
      </c>
      <c r="AG394" s="62" t="e">
        <v>#N/A</v>
      </c>
      <c r="AH394" s="62" t="e">
        <v>#N/A</v>
      </c>
      <c r="AI394" s="62" t="e">
        <v>#N/A</v>
      </c>
      <c r="AJ394" s="62" t="e">
        <v>#N/A</v>
      </c>
      <c r="AK394" s="64" t="e">
        <v>#N/A</v>
      </c>
      <c r="AL394" s="19">
        <v>127347</v>
      </c>
      <c r="AM394" s="19">
        <v>124619</v>
      </c>
      <c r="AN394" s="23">
        <v>8138</v>
      </c>
      <c r="AO394" s="19">
        <v>139059</v>
      </c>
      <c r="AP394" s="19">
        <v>5062</v>
      </c>
      <c r="AQ394" s="19">
        <v>685</v>
      </c>
      <c r="AR394" s="63"/>
      <c r="AS394" s="63"/>
      <c r="AT394" s="65">
        <f t="shared" si="32"/>
        <v>5840.4780000000001</v>
      </c>
      <c r="AU394" s="65">
        <f t="shared" si="33"/>
        <v>341.79599999999999</v>
      </c>
      <c r="AV394" s="65">
        <f t="shared" si="34"/>
        <v>212.60400000000001</v>
      </c>
      <c r="AW394" s="65">
        <f t="shared" si="35"/>
        <v>5348.5739999999996</v>
      </c>
      <c r="AX394" s="65">
        <f t="shared" si="35"/>
        <v>5233.9979999999996</v>
      </c>
      <c r="AY394" s="65">
        <f t="shared" si="31"/>
        <v>28.77</v>
      </c>
      <c r="AZ394" s="19">
        <v>49292</v>
      </c>
      <c r="BA394" s="19">
        <v>54043</v>
      </c>
      <c r="BB394" s="19">
        <v>38478</v>
      </c>
      <c r="BC394" s="19">
        <v>4562</v>
      </c>
      <c r="BD394" s="19">
        <v>1706</v>
      </c>
      <c r="BE394" s="62"/>
      <c r="BF394" s="62"/>
      <c r="BG394" s="62"/>
      <c r="BH394" s="62"/>
      <c r="BI394" s="67">
        <v>64.98</v>
      </c>
      <c r="BJ394" s="67">
        <v>1.9</v>
      </c>
      <c r="BK394" s="67">
        <v>1.85</v>
      </c>
      <c r="BL394" s="67">
        <v>1.96</v>
      </c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62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  <c r="DK394" s="62"/>
      <c r="DL394" s="62"/>
    </row>
    <row r="395" spans="1:116" x14ac:dyDescent="0.2">
      <c r="A395" s="57">
        <v>38596</v>
      </c>
      <c r="B395" s="58">
        <v>2005</v>
      </c>
      <c r="C395" s="66">
        <v>0.96499999999999997</v>
      </c>
      <c r="D395" s="62">
        <v>1.2999999999999999E-2</v>
      </c>
      <c r="E395" s="62">
        <v>177.66499999999999</v>
      </c>
      <c r="F395" s="62">
        <v>7.4619999999999997</v>
      </c>
      <c r="G395" s="62">
        <v>0.95199999999999996</v>
      </c>
      <c r="H395" s="62">
        <v>11.631</v>
      </c>
      <c r="I395" s="62">
        <v>12.526</v>
      </c>
      <c r="J395" s="62">
        <v>-0.89500000000000002</v>
      </c>
      <c r="K395" s="62"/>
      <c r="L395" s="62"/>
      <c r="M395" s="62">
        <v>176.76900000000001</v>
      </c>
      <c r="N395" s="62">
        <v>7.4240000000000004</v>
      </c>
      <c r="O395" s="66">
        <v>0.94699999999999995</v>
      </c>
      <c r="P395" s="61"/>
      <c r="Q395" s="62"/>
      <c r="R395" s="62"/>
      <c r="S395" s="62"/>
      <c r="T395" s="62"/>
      <c r="U395" s="62"/>
      <c r="V395" s="62"/>
      <c r="W395" s="62"/>
      <c r="X395" s="62"/>
      <c r="Y395" s="61"/>
      <c r="Z395" s="63"/>
      <c r="AA395" s="64" t="e">
        <v>#N/A</v>
      </c>
      <c r="AB395" s="62" t="e">
        <v>#N/A</v>
      </c>
      <c r="AC395" s="62" t="e">
        <v>#N/A</v>
      </c>
      <c r="AD395" s="62" t="e">
        <v>#N/A</v>
      </c>
      <c r="AE395" s="62" t="e">
        <v>#N/A</v>
      </c>
      <c r="AF395" s="62" t="e">
        <v>#N/A</v>
      </c>
      <c r="AG395" s="62" t="e">
        <v>#N/A</v>
      </c>
      <c r="AH395" s="62" t="e">
        <v>#N/A</v>
      </c>
      <c r="AI395" s="62" t="e">
        <v>#N/A</v>
      </c>
      <c r="AJ395" s="62" t="e">
        <v>#N/A</v>
      </c>
      <c r="AK395" s="64" t="e">
        <v>#N/A</v>
      </c>
      <c r="AL395" s="19">
        <v>107098</v>
      </c>
      <c r="AM395" s="19">
        <v>123465</v>
      </c>
      <c r="AN395" s="23">
        <v>8260</v>
      </c>
      <c r="AO395" s="19">
        <v>127719</v>
      </c>
      <c r="AP395" s="19">
        <v>3233</v>
      </c>
      <c r="AQ395" s="19">
        <v>677</v>
      </c>
      <c r="AR395" s="63"/>
      <c r="AS395" s="63"/>
      <c r="AT395" s="65">
        <f t="shared" si="32"/>
        <v>5364.1980000000003</v>
      </c>
      <c r="AU395" s="65">
        <f t="shared" si="33"/>
        <v>346.92</v>
      </c>
      <c r="AV395" s="65">
        <f t="shared" si="34"/>
        <v>135.786</v>
      </c>
      <c r="AW395" s="65">
        <f t="shared" si="35"/>
        <v>4498.116</v>
      </c>
      <c r="AX395" s="65">
        <f t="shared" si="35"/>
        <v>5185.53</v>
      </c>
      <c r="AY395" s="65">
        <f t="shared" si="31"/>
        <v>28.434000000000001</v>
      </c>
      <c r="AZ395" s="19">
        <v>41048</v>
      </c>
      <c r="BA395" s="19">
        <v>50113</v>
      </c>
      <c r="BB395" s="19">
        <v>37517</v>
      </c>
      <c r="BC395" s="19">
        <v>8573</v>
      </c>
      <c r="BD395" s="19">
        <v>469</v>
      </c>
      <c r="BE395" s="62"/>
      <c r="BF395" s="62"/>
      <c r="BG395" s="62"/>
      <c r="BH395" s="62"/>
      <c r="BI395" s="67">
        <v>65.59</v>
      </c>
      <c r="BJ395" s="67">
        <v>2.13</v>
      </c>
      <c r="BK395" s="67">
        <v>2.1</v>
      </c>
      <c r="BL395" s="67">
        <v>2.21</v>
      </c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62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  <c r="DK395" s="62"/>
      <c r="DL395" s="62"/>
    </row>
    <row r="396" spans="1:116" x14ac:dyDescent="0.2">
      <c r="A396" s="57">
        <v>38626</v>
      </c>
      <c r="B396" s="58">
        <v>2005</v>
      </c>
      <c r="C396" s="66">
        <v>0.997</v>
      </c>
      <c r="D396" s="62">
        <v>1.4E-2</v>
      </c>
      <c r="E396" s="62">
        <v>183.58699999999999</v>
      </c>
      <c r="F396" s="62">
        <v>7.7110000000000003</v>
      </c>
      <c r="G396" s="62">
        <v>0.98399999999999999</v>
      </c>
      <c r="H396" s="62">
        <v>8.2469999999999999</v>
      </c>
      <c r="I396" s="62">
        <v>40.996000000000002</v>
      </c>
      <c r="J396" s="62">
        <v>-32.749000000000002</v>
      </c>
      <c r="K396" s="62"/>
      <c r="L396" s="62"/>
      <c r="M396" s="62">
        <v>150.83799999999999</v>
      </c>
      <c r="N396" s="62">
        <v>6.335</v>
      </c>
      <c r="O396" s="66">
        <v>0.80800000000000005</v>
      </c>
      <c r="P396" s="61"/>
      <c r="Q396" s="62"/>
      <c r="R396" s="62"/>
      <c r="S396" s="62"/>
      <c r="T396" s="62"/>
      <c r="U396" s="62"/>
      <c r="V396" s="62"/>
      <c r="W396" s="62"/>
      <c r="X396" s="62"/>
      <c r="Y396" s="61"/>
      <c r="Z396" s="63"/>
      <c r="AA396" s="64" t="e">
        <v>#N/A</v>
      </c>
      <c r="AB396" s="62" t="e">
        <v>#N/A</v>
      </c>
      <c r="AC396" s="62" t="e">
        <v>#N/A</v>
      </c>
      <c r="AD396" s="62" t="e">
        <v>#N/A</v>
      </c>
      <c r="AE396" s="62" t="e">
        <v>#N/A</v>
      </c>
      <c r="AF396" s="62" t="e">
        <v>#N/A</v>
      </c>
      <c r="AG396" s="62" t="e">
        <v>#N/A</v>
      </c>
      <c r="AH396" s="62" t="e">
        <v>#N/A</v>
      </c>
      <c r="AI396" s="62" t="e">
        <v>#N/A</v>
      </c>
      <c r="AJ396" s="62" t="e">
        <v>#N/A</v>
      </c>
      <c r="AK396" s="64" t="e">
        <v>#N/A</v>
      </c>
      <c r="AL396" s="19">
        <v>111120</v>
      </c>
      <c r="AM396" s="19">
        <v>126457</v>
      </c>
      <c r="AN396" s="23">
        <v>15716</v>
      </c>
      <c r="AO396" s="19">
        <v>124710</v>
      </c>
      <c r="AP396" s="19">
        <v>3388</v>
      </c>
      <c r="AQ396" s="19">
        <v>535</v>
      </c>
      <c r="AR396" s="63"/>
      <c r="AS396" s="63"/>
      <c r="AT396" s="65">
        <f t="shared" si="32"/>
        <v>5237.82</v>
      </c>
      <c r="AU396" s="65">
        <f t="shared" si="33"/>
        <v>660.072</v>
      </c>
      <c r="AV396" s="65">
        <f t="shared" si="34"/>
        <v>142.29599999999999</v>
      </c>
      <c r="AW396" s="65">
        <f t="shared" si="35"/>
        <v>4667.04</v>
      </c>
      <c r="AX396" s="65">
        <f t="shared" si="35"/>
        <v>5311.1940000000004</v>
      </c>
      <c r="AY396" s="65">
        <f t="shared" si="31"/>
        <v>22.47</v>
      </c>
      <c r="AZ396" s="19">
        <v>41439</v>
      </c>
      <c r="BA396" s="19">
        <v>51292</v>
      </c>
      <c r="BB396" s="19">
        <v>38810</v>
      </c>
      <c r="BC396" s="19">
        <v>11497</v>
      </c>
      <c r="BD396" s="19">
        <v>351</v>
      </c>
      <c r="BE396" s="62"/>
      <c r="BF396" s="62"/>
      <c r="BG396" s="62"/>
      <c r="BH396" s="62"/>
      <c r="BI396" s="67">
        <v>62.26</v>
      </c>
      <c r="BJ396" s="67">
        <v>2.3199999999999998</v>
      </c>
      <c r="BK396" s="67">
        <v>2.35</v>
      </c>
      <c r="BL396" s="67">
        <v>1.97</v>
      </c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62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  <c r="DK396" s="62"/>
      <c r="DL396" s="62"/>
    </row>
    <row r="397" spans="1:116" x14ac:dyDescent="0.2">
      <c r="A397" s="57">
        <v>38657</v>
      </c>
      <c r="B397" s="58">
        <v>2005</v>
      </c>
      <c r="C397" s="66">
        <v>0.96499999999999997</v>
      </c>
      <c r="D397" s="62">
        <v>1.2999999999999999E-2</v>
      </c>
      <c r="E397" s="62">
        <v>177.66499999999999</v>
      </c>
      <c r="F397" s="62">
        <v>7.4619999999999997</v>
      </c>
      <c r="G397" s="62">
        <v>0.95199999999999996</v>
      </c>
      <c r="H397" s="62">
        <v>24.016999999999999</v>
      </c>
      <c r="I397" s="62">
        <v>11.29</v>
      </c>
      <c r="J397" s="62">
        <v>12.728</v>
      </c>
      <c r="K397" s="62"/>
      <c r="L397" s="62"/>
      <c r="M397" s="62">
        <v>190.392</v>
      </c>
      <c r="N397" s="62">
        <v>7.9960000000000004</v>
      </c>
      <c r="O397" s="66">
        <v>1.02</v>
      </c>
      <c r="P397" s="61"/>
      <c r="Q397" s="62"/>
      <c r="R397" s="62"/>
      <c r="S397" s="62"/>
      <c r="T397" s="62"/>
      <c r="U397" s="62"/>
      <c r="V397" s="62"/>
      <c r="W397" s="62"/>
      <c r="X397" s="62"/>
      <c r="Y397" s="61"/>
      <c r="Z397" s="63"/>
      <c r="AA397" s="64" t="e">
        <v>#N/A</v>
      </c>
      <c r="AB397" s="62" t="e">
        <v>#N/A</v>
      </c>
      <c r="AC397" s="62" t="e">
        <v>#N/A</v>
      </c>
      <c r="AD397" s="62" t="e">
        <v>#N/A</v>
      </c>
      <c r="AE397" s="62" t="e">
        <v>#N/A</v>
      </c>
      <c r="AF397" s="62" t="e">
        <v>#N/A</v>
      </c>
      <c r="AG397" s="62" t="e">
        <v>#N/A</v>
      </c>
      <c r="AH397" s="62" t="e">
        <v>#N/A</v>
      </c>
      <c r="AI397" s="62" t="e">
        <v>#N/A</v>
      </c>
      <c r="AJ397" s="62" t="e">
        <v>#N/A</v>
      </c>
      <c r="AK397" s="64" t="e">
        <v>#N/A</v>
      </c>
      <c r="AL397" s="19">
        <v>118978</v>
      </c>
      <c r="AM397" s="19">
        <v>121824</v>
      </c>
      <c r="AN397" s="23">
        <v>14572</v>
      </c>
      <c r="AO397" s="19">
        <v>133684</v>
      </c>
      <c r="AP397" s="19">
        <v>2752</v>
      </c>
      <c r="AQ397" s="19">
        <v>785</v>
      </c>
      <c r="AR397" s="63"/>
      <c r="AS397" s="63"/>
      <c r="AT397" s="65">
        <f t="shared" si="32"/>
        <v>5614.7280000000001</v>
      </c>
      <c r="AU397" s="65">
        <f t="shared" si="33"/>
        <v>612.024</v>
      </c>
      <c r="AV397" s="65">
        <f t="shared" si="34"/>
        <v>115.584</v>
      </c>
      <c r="AW397" s="65">
        <f t="shared" si="35"/>
        <v>4997.076</v>
      </c>
      <c r="AX397" s="65">
        <f t="shared" si="35"/>
        <v>5116.6080000000002</v>
      </c>
      <c r="AY397" s="65">
        <f t="shared" si="31"/>
        <v>32.97</v>
      </c>
      <c r="AZ397" s="19">
        <v>45591</v>
      </c>
      <c r="BA397" s="19">
        <v>48569</v>
      </c>
      <c r="BB397" s="19">
        <v>42447</v>
      </c>
      <c r="BC397" s="19">
        <v>7683</v>
      </c>
      <c r="BD397" s="19">
        <v>1068</v>
      </c>
      <c r="BE397" s="62"/>
      <c r="BF397" s="62"/>
      <c r="BG397" s="62"/>
      <c r="BH397" s="62"/>
      <c r="BI397" s="67">
        <v>58.32</v>
      </c>
      <c r="BJ397" s="67">
        <v>1.83</v>
      </c>
      <c r="BK397" s="67">
        <v>1.85</v>
      </c>
      <c r="BL397" s="67">
        <v>1.6</v>
      </c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62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  <c r="DK397" s="62"/>
      <c r="DL397" s="62"/>
    </row>
    <row r="398" spans="1:116" x14ac:dyDescent="0.2">
      <c r="A398" s="57">
        <v>38687</v>
      </c>
      <c r="B398" s="58">
        <v>2005</v>
      </c>
      <c r="C398" s="66">
        <v>0.997</v>
      </c>
      <c r="D398" s="62">
        <v>1.4E-2</v>
      </c>
      <c r="E398" s="62">
        <v>183.58699999999999</v>
      </c>
      <c r="F398" s="62">
        <v>7.7110000000000003</v>
      </c>
      <c r="G398" s="62">
        <v>0.98399999999999999</v>
      </c>
      <c r="H398" s="62">
        <v>11.087999999999999</v>
      </c>
      <c r="I398" s="62">
        <v>23.338000000000001</v>
      </c>
      <c r="J398" s="62">
        <v>-12.25</v>
      </c>
      <c r="K398" s="62"/>
      <c r="L398" s="62"/>
      <c r="M398" s="62">
        <v>171.33699999999999</v>
      </c>
      <c r="N398" s="62">
        <v>7.1959999999999997</v>
      </c>
      <c r="O398" s="66">
        <v>0.91800000000000004</v>
      </c>
      <c r="P398" s="61"/>
      <c r="Q398" s="62"/>
      <c r="R398" s="62"/>
      <c r="S398" s="62"/>
      <c r="T398" s="62"/>
      <c r="U398" s="62"/>
      <c r="V398" s="62"/>
      <c r="W398" s="62"/>
      <c r="X398" s="62"/>
      <c r="Y398" s="61"/>
      <c r="Z398" s="63"/>
      <c r="AA398" s="64" t="e">
        <v>#N/A</v>
      </c>
      <c r="AB398" s="62" t="e">
        <v>#N/A</v>
      </c>
      <c r="AC398" s="62" t="e">
        <v>#N/A</v>
      </c>
      <c r="AD398" s="62" t="e">
        <v>#N/A</v>
      </c>
      <c r="AE398" s="62" t="e">
        <v>#N/A</v>
      </c>
      <c r="AF398" s="62" t="e">
        <v>#N/A</v>
      </c>
      <c r="AG398" s="62" t="e">
        <v>#N/A</v>
      </c>
      <c r="AH398" s="62" t="e">
        <v>#N/A</v>
      </c>
      <c r="AI398" s="62" t="e">
        <v>#N/A</v>
      </c>
      <c r="AJ398" s="62" t="e">
        <v>#N/A</v>
      </c>
      <c r="AK398" s="64" t="e">
        <v>#N/A</v>
      </c>
      <c r="AL398" s="19">
        <v>125351</v>
      </c>
      <c r="AM398" s="19">
        <v>134509</v>
      </c>
      <c r="AN398" s="23">
        <v>13499</v>
      </c>
      <c r="AO398" s="19">
        <v>136022</v>
      </c>
      <c r="AP398" s="19">
        <v>2003</v>
      </c>
      <c r="AQ398" s="19">
        <v>965</v>
      </c>
      <c r="AR398" s="63"/>
      <c r="AS398" s="63"/>
      <c r="AT398" s="65">
        <f t="shared" si="32"/>
        <v>5712.924</v>
      </c>
      <c r="AU398" s="65">
        <f t="shared" si="33"/>
        <v>566.95799999999997</v>
      </c>
      <c r="AV398" s="65">
        <f t="shared" si="34"/>
        <v>84.126000000000005</v>
      </c>
      <c r="AW398" s="65">
        <f t="shared" si="35"/>
        <v>5264.7420000000002</v>
      </c>
      <c r="AX398" s="65">
        <f t="shared" si="35"/>
        <v>5649.3779999999997</v>
      </c>
      <c r="AY398" s="65">
        <f t="shared" si="31"/>
        <v>40.53</v>
      </c>
      <c r="AZ398" s="19">
        <v>46959</v>
      </c>
      <c r="BA398" s="19">
        <v>54438</v>
      </c>
      <c r="BB398" s="19">
        <v>41741</v>
      </c>
      <c r="BC398" s="19">
        <v>7424</v>
      </c>
      <c r="BD398" s="19">
        <v>651</v>
      </c>
      <c r="BE398" s="62"/>
      <c r="BF398" s="62"/>
      <c r="BG398" s="62"/>
      <c r="BH398" s="62"/>
      <c r="BI398" s="67">
        <v>59.41</v>
      </c>
      <c r="BJ398" s="67">
        <v>1.75</v>
      </c>
      <c r="BK398" s="67">
        <v>1.76</v>
      </c>
      <c r="BL398" s="67">
        <v>1.61</v>
      </c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62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  <c r="DK398" s="62"/>
      <c r="DL398" s="62"/>
    </row>
    <row r="399" spans="1:116" x14ac:dyDescent="0.2">
      <c r="A399" s="57">
        <v>38718</v>
      </c>
      <c r="B399" s="58">
        <v>2006</v>
      </c>
      <c r="C399" s="66">
        <v>1.694</v>
      </c>
      <c r="D399" s="62">
        <v>2.3E-2</v>
      </c>
      <c r="E399" s="62">
        <v>311.73099999999999</v>
      </c>
      <c r="F399" s="62">
        <v>13.093</v>
      </c>
      <c r="G399" s="62">
        <v>1.671</v>
      </c>
      <c r="H399" s="62">
        <v>22.65</v>
      </c>
      <c r="I399" s="62">
        <v>27.376000000000001</v>
      </c>
      <c r="J399" s="62">
        <v>-4.726</v>
      </c>
      <c r="K399" s="62"/>
      <c r="L399" s="62"/>
      <c r="M399" s="62">
        <v>307.00400000000002</v>
      </c>
      <c r="N399" s="62">
        <v>12.894</v>
      </c>
      <c r="O399" s="66">
        <v>1.645</v>
      </c>
      <c r="P399" s="61"/>
      <c r="Q399" s="62"/>
      <c r="R399" s="62"/>
      <c r="S399" s="62"/>
      <c r="T399" s="62"/>
      <c r="U399" s="62"/>
      <c r="V399" s="62"/>
      <c r="W399" s="62"/>
      <c r="X399" s="62"/>
      <c r="Y399" s="61"/>
      <c r="Z399" s="63"/>
      <c r="AA399" s="64" t="e">
        <v>#N/A</v>
      </c>
      <c r="AB399" s="62" t="e">
        <v>#N/A</v>
      </c>
      <c r="AC399" s="62" t="e">
        <v>#N/A</v>
      </c>
      <c r="AD399" s="62" t="e">
        <v>#N/A</v>
      </c>
      <c r="AE399" s="62" t="e">
        <v>#N/A</v>
      </c>
      <c r="AF399" s="62" t="e">
        <v>#N/A</v>
      </c>
      <c r="AG399" s="62" t="e">
        <v>#N/A</v>
      </c>
      <c r="AH399" s="62" t="e">
        <v>#N/A</v>
      </c>
      <c r="AI399" s="62" t="e">
        <v>#N/A</v>
      </c>
      <c r="AJ399" s="62" t="e">
        <v>#N/A</v>
      </c>
      <c r="AK399" s="64" t="e">
        <v>#N/A</v>
      </c>
      <c r="AL399" s="19">
        <v>119046</v>
      </c>
      <c r="AM399" s="19">
        <v>128937</v>
      </c>
      <c r="AN399" s="23">
        <v>17109</v>
      </c>
      <c r="AO399" s="19">
        <v>139426</v>
      </c>
      <c r="AP399" s="19">
        <v>3814</v>
      </c>
      <c r="AQ399" s="19">
        <v>2974</v>
      </c>
      <c r="AR399" s="63"/>
      <c r="AS399" s="63"/>
      <c r="AT399" s="65">
        <f t="shared" si="32"/>
        <v>5855.8919999999998</v>
      </c>
      <c r="AU399" s="65">
        <f t="shared" si="33"/>
        <v>718.57799999999997</v>
      </c>
      <c r="AV399" s="65">
        <f t="shared" si="34"/>
        <v>160.18799999999999</v>
      </c>
      <c r="AW399" s="65">
        <f t="shared" si="35"/>
        <v>4999.9319999999998</v>
      </c>
      <c r="AX399" s="65">
        <f t="shared" si="35"/>
        <v>5415.3540000000003</v>
      </c>
      <c r="AY399" s="65">
        <f t="shared" si="31"/>
        <v>124.908</v>
      </c>
      <c r="AZ399" s="19">
        <v>46973</v>
      </c>
      <c r="BA399" s="19">
        <v>49750</v>
      </c>
      <c r="BB399" s="19">
        <v>43802</v>
      </c>
      <c r="BC399" s="19">
        <v>5580</v>
      </c>
      <c r="BD399" s="19">
        <v>742</v>
      </c>
      <c r="BE399" s="62"/>
      <c r="BF399" s="62"/>
      <c r="BG399" s="62"/>
      <c r="BH399" s="62"/>
      <c r="BI399" s="67">
        <v>65.48</v>
      </c>
      <c r="BJ399" s="67">
        <v>1.81</v>
      </c>
      <c r="BK399" s="67">
        <v>1.84</v>
      </c>
      <c r="BL399" s="67">
        <v>1.75</v>
      </c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62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  <c r="DK399" s="62"/>
      <c r="DL399" s="62"/>
    </row>
    <row r="400" spans="1:116" x14ac:dyDescent="0.2">
      <c r="A400" s="57">
        <v>38749</v>
      </c>
      <c r="B400" s="58">
        <v>2006</v>
      </c>
      <c r="C400" s="66">
        <v>1.464</v>
      </c>
      <c r="D400" s="62">
        <v>0.02</v>
      </c>
      <c r="E400" s="62">
        <v>269.46199999999999</v>
      </c>
      <c r="F400" s="62">
        <v>11.317</v>
      </c>
      <c r="G400" s="62">
        <v>1.444</v>
      </c>
      <c r="H400" s="62">
        <v>19.806000000000001</v>
      </c>
      <c r="I400" s="62">
        <v>74.212000000000003</v>
      </c>
      <c r="J400" s="62">
        <v>-54.405999999999999</v>
      </c>
      <c r="K400" s="62"/>
      <c r="L400" s="62"/>
      <c r="M400" s="62">
        <v>215.05600000000001</v>
      </c>
      <c r="N400" s="62">
        <v>9.032</v>
      </c>
      <c r="O400" s="66">
        <v>1.1519999999999999</v>
      </c>
      <c r="P400" s="61"/>
      <c r="Q400" s="62"/>
      <c r="R400" s="62"/>
      <c r="S400" s="62"/>
      <c r="T400" s="62"/>
      <c r="U400" s="62"/>
      <c r="V400" s="62"/>
      <c r="W400" s="62"/>
      <c r="X400" s="62"/>
      <c r="Y400" s="61"/>
      <c r="Z400" s="63"/>
      <c r="AA400" s="64" t="e">
        <v>#N/A</v>
      </c>
      <c r="AB400" s="62" t="e">
        <v>#N/A</v>
      </c>
      <c r="AC400" s="62" t="e">
        <v>#N/A</v>
      </c>
      <c r="AD400" s="62" t="e">
        <v>#N/A</v>
      </c>
      <c r="AE400" s="62" t="e">
        <v>#N/A</v>
      </c>
      <c r="AF400" s="62" t="e">
        <v>#N/A</v>
      </c>
      <c r="AG400" s="62" t="e">
        <v>#N/A</v>
      </c>
      <c r="AH400" s="62" t="e">
        <v>#N/A</v>
      </c>
      <c r="AI400" s="62" t="e">
        <v>#N/A</v>
      </c>
      <c r="AJ400" s="62" t="e">
        <v>#N/A</v>
      </c>
      <c r="AK400" s="64" t="e">
        <v>#N/A</v>
      </c>
      <c r="AL400" s="19">
        <v>110345</v>
      </c>
      <c r="AM400" s="19">
        <v>120622</v>
      </c>
      <c r="AN400" s="23">
        <v>10857</v>
      </c>
      <c r="AO400" s="19">
        <v>135635</v>
      </c>
      <c r="AP400" s="19">
        <v>4371</v>
      </c>
      <c r="AQ400" s="19">
        <v>2291</v>
      </c>
      <c r="AR400" s="63"/>
      <c r="AS400" s="63"/>
      <c r="AT400" s="65">
        <f t="shared" si="32"/>
        <v>5696.67</v>
      </c>
      <c r="AU400" s="65">
        <f t="shared" si="33"/>
        <v>455.99400000000003</v>
      </c>
      <c r="AV400" s="65">
        <f t="shared" si="34"/>
        <v>183.58199999999999</v>
      </c>
      <c r="AW400" s="65">
        <f t="shared" si="35"/>
        <v>4634.49</v>
      </c>
      <c r="AX400" s="65">
        <f t="shared" si="35"/>
        <v>5066.1239999999998</v>
      </c>
      <c r="AY400" s="65">
        <f t="shared" si="31"/>
        <v>96.221999999999994</v>
      </c>
      <c r="AZ400" s="19">
        <v>40276</v>
      </c>
      <c r="BA400" s="19">
        <v>44307</v>
      </c>
      <c r="BB400" s="19">
        <v>42507</v>
      </c>
      <c r="BC400" s="19">
        <v>3448</v>
      </c>
      <c r="BD400" s="19">
        <v>712</v>
      </c>
      <c r="BE400" s="62"/>
      <c r="BF400" s="62"/>
      <c r="BG400" s="62"/>
      <c r="BH400" s="62"/>
      <c r="BI400" s="67">
        <v>61.63</v>
      </c>
      <c r="BJ400" s="67">
        <v>1.81</v>
      </c>
      <c r="BK400" s="67">
        <v>1.85</v>
      </c>
      <c r="BL400" s="67">
        <v>1.66</v>
      </c>
      <c r="BM400" s="62"/>
      <c r="BN400" s="62"/>
      <c r="BO400" s="62"/>
      <c r="BP400" s="62"/>
      <c r="BQ400" s="62"/>
      <c r="BR400" s="62"/>
      <c r="BS400" s="62"/>
      <c r="BT400" s="62"/>
      <c r="BU400" s="62"/>
      <c r="BV400" s="62"/>
      <c r="BW400" s="62"/>
      <c r="BX400" s="62"/>
      <c r="BY400" s="62"/>
      <c r="BZ400" s="62"/>
      <c r="CA400" s="62"/>
      <c r="CB400" s="62"/>
      <c r="CC400" s="62"/>
      <c r="CD400" s="62"/>
      <c r="CE400" s="62"/>
      <c r="CF400" s="62"/>
      <c r="CG400" s="62"/>
      <c r="CH400" s="62"/>
      <c r="CI400" s="62"/>
      <c r="CJ400" s="62"/>
      <c r="CK400" s="62"/>
      <c r="CL400" s="62"/>
      <c r="CM400" s="62"/>
      <c r="CN400" s="62"/>
      <c r="CO400" s="62"/>
      <c r="CP400" s="62"/>
      <c r="CQ400" s="62"/>
      <c r="CR400" s="62"/>
      <c r="CS400" s="62"/>
      <c r="CT400" s="62"/>
      <c r="CU400" s="62"/>
      <c r="CV400" s="62"/>
      <c r="CW400" s="62"/>
      <c r="CX400" s="62"/>
      <c r="CY400" s="62"/>
      <c r="CZ400" s="62"/>
      <c r="DA400" s="62"/>
      <c r="DB400" s="62"/>
      <c r="DC400" s="62"/>
      <c r="DD400" s="62"/>
      <c r="DE400" s="62"/>
      <c r="DF400" s="62"/>
      <c r="DG400" s="62"/>
      <c r="DH400" s="62"/>
      <c r="DI400" s="62"/>
      <c r="DJ400" s="62"/>
      <c r="DK400" s="62"/>
      <c r="DL400" s="62"/>
    </row>
    <row r="401" spans="1:116" x14ac:dyDescent="0.2">
      <c r="A401" s="57">
        <v>38777</v>
      </c>
      <c r="B401" s="58">
        <v>2006</v>
      </c>
      <c r="C401" s="66">
        <v>1.9970000000000001</v>
      </c>
      <c r="D401" s="62">
        <v>2.7E-2</v>
      </c>
      <c r="E401" s="62">
        <v>367.53800000000001</v>
      </c>
      <c r="F401" s="62">
        <v>15.436999999999999</v>
      </c>
      <c r="G401" s="62">
        <v>1.97</v>
      </c>
      <c r="H401" s="62">
        <v>40.828000000000003</v>
      </c>
      <c r="I401" s="62">
        <v>12.005000000000001</v>
      </c>
      <c r="J401" s="62">
        <v>28.823</v>
      </c>
      <c r="K401" s="62"/>
      <c r="L401" s="62"/>
      <c r="M401" s="62">
        <v>396.36099999999999</v>
      </c>
      <c r="N401" s="62">
        <v>16.646999999999998</v>
      </c>
      <c r="O401" s="66">
        <v>2.1240000000000001</v>
      </c>
      <c r="P401" s="61"/>
      <c r="Q401" s="62"/>
      <c r="R401" s="62"/>
      <c r="S401" s="62"/>
      <c r="T401" s="62"/>
      <c r="U401" s="62"/>
      <c r="V401" s="62"/>
      <c r="W401" s="62"/>
      <c r="X401" s="62"/>
      <c r="Y401" s="61"/>
      <c r="Z401" s="63"/>
      <c r="AA401" s="64" t="e">
        <v>#N/A</v>
      </c>
      <c r="AB401" s="62" t="e">
        <v>#N/A</v>
      </c>
      <c r="AC401" s="62" t="e">
        <v>#N/A</v>
      </c>
      <c r="AD401" s="62" t="e">
        <v>#N/A</v>
      </c>
      <c r="AE401" s="62" t="e">
        <v>#N/A</v>
      </c>
      <c r="AF401" s="62" t="e">
        <v>#N/A</v>
      </c>
      <c r="AG401" s="62" t="e">
        <v>#N/A</v>
      </c>
      <c r="AH401" s="62" t="e">
        <v>#N/A</v>
      </c>
      <c r="AI401" s="62" t="e">
        <v>#N/A</v>
      </c>
      <c r="AJ401" s="62" t="e">
        <v>#N/A</v>
      </c>
      <c r="AK401" s="64" t="e">
        <v>#N/A</v>
      </c>
      <c r="AL401" s="19">
        <v>115813</v>
      </c>
      <c r="AM401" s="19">
        <v>136232</v>
      </c>
      <c r="AN401" s="23">
        <v>9043</v>
      </c>
      <c r="AO401" s="19">
        <v>120544</v>
      </c>
      <c r="AP401" s="19">
        <v>3715</v>
      </c>
      <c r="AQ401" s="19">
        <v>3142</v>
      </c>
      <c r="AR401" s="63"/>
      <c r="AS401" s="63"/>
      <c r="AT401" s="65">
        <f t="shared" si="32"/>
        <v>5062.848</v>
      </c>
      <c r="AU401" s="65">
        <f t="shared" si="33"/>
        <v>379.80599999999998</v>
      </c>
      <c r="AV401" s="65">
        <f t="shared" si="34"/>
        <v>156.03</v>
      </c>
      <c r="AW401" s="65">
        <f t="shared" si="35"/>
        <v>4864.1459999999997</v>
      </c>
      <c r="AX401" s="65">
        <f t="shared" si="35"/>
        <v>5721.7439999999997</v>
      </c>
      <c r="AY401" s="65">
        <f t="shared" si="31"/>
        <v>131.964</v>
      </c>
      <c r="AZ401" s="19">
        <v>45298</v>
      </c>
      <c r="BA401" s="19">
        <v>48364</v>
      </c>
      <c r="BB401" s="19">
        <v>41989</v>
      </c>
      <c r="BC401" s="19">
        <v>3653</v>
      </c>
      <c r="BD401" s="19">
        <v>1105</v>
      </c>
      <c r="BE401" s="62"/>
      <c r="BF401" s="62"/>
      <c r="BG401" s="62"/>
      <c r="BH401" s="62"/>
      <c r="BI401" s="67">
        <v>62.69</v>
      </c>
      <c r="BJ401" s="67">
        <v>1.9</v>
      </c>
      <c r="BK401" s="67">
        <v>1.88</v>
      </c>
      <c r="BL401" s="67">
        <v>1.87</v>
      </c>
      <c r="BM401" s="62"/>
      <c r="BN401" s="62"/>
      <c r="BO401" s="62"/>
      <c r="BP401" s="62"/>
      <c r="BQ401" s="62"/>
      <c r="BR401" s="62"/>
      <c r="BS401" s="62"/>
      <c r="BT401" s="62"/>
      <c r="BU401" s="62"/>
      <c r="BV401" s="62"/>
      <c r="BW401" s="62"/>
      <c r="BX401" s="62"/>
      <c r="BY401" s="62"/>
      <c r="BZ401" s="62"/>
      <c r="CA401" s="62"/>
      <c r="CB401" s="62"/>
      <c r="CC401" s="62"/>
      <c r="CD401" s="62"/>
      <c r="CE401" s="62"/>
      <c r="CF401" s="62"/>
      <c r="CG401" s="62"/>
      <c r="CH401" s="62"/>
      <c r="CI401" s="62"/>
      <c r="CJ401" s="62"/>
      <c r="CK401" s="62"/>
      <c r="CL401" s="62"/>
      <c r="CM401" s="62"/>
      <c r="CN401" s="62"/>
      <c r="CO401" s="62"/>
      <c r="CP401" s="62"/>
      <c r="CQ401" s="62"/>
      <c r="CR401" s="62"/>
      <c r="CS401" s="62"/>
      <c r="CT401" s="62"/>
      <c r="CU401" s="62"/>
      <c r="CV401" s="62"/>
      <c r="CW401" s="62"/>
      <c r="CX401" s="62"/>
      <c r="CY401" s="62"/>
      <c r="CZ401" s="62"/>
      <c r="DA401" s="62"/>
      <c r="DB401" s="62"/>
      <c r="DC401" s="62"/>
      <c r="DD401" s="62"/>
      <c r="DE401" s="62"/>
      <c r="DF401" s="62"/>
      <c r="DG401" s="62"/>
      <c r="DH401" s="62"/>
      <c r="DI401" s="62"/>
      <c r="DJ401" s="62"/>
      <c r="DK401" s="62"/>
      <c r="DL401" s="62"/>
    </row>
    <row r="402" spans="1:116" x14ac:dyDescent="0.2">
      <c r="A402" s="57">
        <v>38808</v>
      </c>
      <c r="B402" s="58">
        <v>2006</v>
      </c>
      <c r="C402" s="66">
        <v>2.0939999999999999</v>
      </c>
      <c r="D402" s="62">
        <v>2.9000000000000001E-2</v>
      </c>
      <c r="E402" s="62">
        <v>385.37</v>
      </c>
      <c r="F402" s="62">
        <v>16.186</v>
      </c>
      <c r="G402" s="62">
        <v>2.0649999999999999</v>
      </c>
      <c r="H402" s="62">
        <v>17.393000000000001</v>
      </c>
      <c r="I402" s="62">
        <v>16.59</v>
      </c>
      <c r="J402" s="62">
        <v>0.80300000000000005</v>
      </c>
      <c r="K402" s="62"/>
      <c r="L402" s="62"/>
      <c r="M402" s="62">
        <v>386.173</v>
      </c>
      <c r="N402" s="62">
        <v>16.219000000000001</v>
      </c>
      <c r="O402" s="66">
        <v>2.0699999999999998</v>
      </c>
      <c r="P402" s="61"/>
      <c r="Q402" s="62"/>
      <c r="R402" s="62"/>
      <c r="S402" s="62"/>
      <c r="T402" s="62"/>
      <c r="U402" s="62"/>
      <c r="V402" s="62"/>
      <c r="W402" s="62"/>
      <c r="X402" s="62"/>
      <c r="Y402" s="61"/>
      <c r="Z402" s="63"/>
      <c r="AA402" s="64" t="e">
        <v>#N/A</v>
      </c>
      <c r="AB402" s="62" t="e">
        <v>#N/A</v>
      </c>
      <c r="AC402" s="62" t="e">
        <v>#N/A</v>
      </c>
      <c r="AD402" s="62" t="e">
        <v>#N/A</v>
      </c>
      <c r="AE402" s="62" t="e">
        <v>#N/A</v>
      </c>
      <c r="AF402" s="62" t="e">
        <v>#N/A</v>
      </c>
      <c r="AG402" s="62" t="e">
        <v>#N/A</v>
      </c>
      <c r="AH402" s="62" t="e">
        <v>#N/A</v>
      </c>
      <c r="AI402" s="62" t="e">
        <v>#N/A</v>
      </c>
      <c r="AJ402" s="62" t="e">
        <v>#N/A</v>
      </c>
      <c r="AK402" s="64" t="e">
        <v>#N/A</v>
      </c>
      <c r="AL402" s="19">
        <v>114980</v>
      </c>
      <c r="AM402" s="19">
        <v>121950</v>
      </c>
      <c r="AN402" s="23">
        <v>8918</v>
      </c>
      <c r="AO402" s="19">
        <v>116491</v>
      </c>
      <c r="AP402" s="19">
        <v>6001</v>
      </c>
      <c r="AQ402" s="19">
        <v>6284</v>
      </c>
      <c r="AR402" s="63"/>
      <c r="AS402" s="63"/>
      <c r="AT402" s="65">
        <f t="shared" si="32"/>
        <v>4892.6220000000003</v>
      </c>
      <c r="AU402" s="65">
        <f t="shared" si="33"/>
        <v>374.55599999999998</v>
      </c>
      <c r="AV402" s="65">
        <f t="shared" si="34"/>
        <v>252.042</v>
      </c>
      <c r="AW402" s="65">
        <f t="shared" si="35"/>
        <v>4829.16</v>
      </c>
      <c r="AX402" s="65">
        <f t="shared" si="35"/>
        <v>5121.8999999999996</v>
      </c>
      <c r="AY402" s="65">
        <f t="shared" si="31"/>
        <v>263.928</v>
      </c>
      <c r="AZ402" s="19">
        <v>43399</v>
      </c>
      <c r="BA402" s="19">
        <v>49625</v>
      </c>
      <c r="BB402" s="19">
        <v>41035</v>
      </c>
      <c r="BC402" s="19">
        <v>6535</v>
      </c>
      <c r="BD402" s="19">
        <v>1263</v>
      </c>
      <c r="BE402" s="62"/>
      <c r="BF402" s="62"/>
      <c r="BG402" s="62"/>
      <c r="BH402" s="62"/>
      <c r="BI402" s="67">
        <v>69.44</v>
      </c>
      <c r="BJ402" s="67">
        <v>2.12</v>
      </c>
      <c r="BK402" s="67">
        <v>2.0499999999999998</v>
      </c>
      <c r="BL402" s="67">
        <v>2.2000000000000002</v>
      </c>
      <c r="BM402" s="62"/>
      <c r="BN402" s="62"/>
      <c r="BO402" s="62"/>
      <c r="BP402" s="62"/>
      <c r="BQ402" s="62"/>
      <c r="BR402" s="62"/>
      <c r="BS402" s="62"/>
      <c r="BT402" s="62"/>
      <c r="BU402" s="62"/>
      <c r="BV402" s="62"/>
      <c r="BW402" s="62"/>
      <c r="BX402" s="62"/>
      <c r="BY402" s="62"/>
      <c r="BZ402" s="62"/>
      <c r="CA402" s="62"/>
      <c r="CB402" s="62"/>
      <c r="CC402" s="62"/>
      <c r="CD402" s="62"/>
      <c r="CE402" s="62"/>
      <c r="CF402" s="62"/>
      <c r="CG402" s="62"/>
      <c r="CH402" s="62"/>
      <c r="CI402" s="62"/>
      <c r="CJ402" s="62"/>
      <c r="CK402" s="62"/>
      <c r="CL402" s="62"/>
      <c r="CM402" s="62"/>
      <c r="CN402" s="62"/>
      <c r="CO402" s="62"/>
      <c r="CP402" s="62"/>
      <c r="CQ402" s="62"/>
      <c r="CR402" s="62"/>
      <c r="CS402" s="62"/>
      <c r="CT402" s="62"/>
      <c r="CU402" s="62"/>
      <c r="CV402" s="62"/>
      <c r="CW402" s="62"/>
      <c r="CX402" s="62"/>
      <c r="CY402" s="62"/>
      <c r="CZ402" s="62"/>
      <c r="DA402" s="62"/>
      <c r="DB402" s="62"/>
      <c r="DC402" s="62"/>
      <c r="DD402" s="62"/>
      <c r="DE402" s="62"/>
      <c r="DF402" s="62"/>
      <c r="DG402" s="62"/>
      <c r="DH402" s="62"/>
      <c r="DI402" s="62"/>
      <c r="DJ402" s="62"/>
      <c r="DK402" s="62"/>
      <c r="DL402" s="62"/>
    </row>
    <row r="403" spans="1:116" x14ac:dyDescent="0.2">
      <c r="A403" s="57">
        <v>38838</v>
      </c>
      <c r="B403" s="58">
        <v>2006</v>
      </c>
      <c r="C403" s="66">
        <v>2.8849999999999998</v>
      </c>
      <c r="D403" s="62">
        <v>3.9E-2</v>
      </c>
      <c r="E403" s="62">
        <v>530.99900000000002</v>
      </c>
      <c r="F403" s="62">
        <v>22.302</v>
      </c>
      <c r="G403" s="62">
        <v>2.8460000000000001</v>
      </c>
      <c r="H403" s="62">
        <v>77.760000000000005</v>
      </c>
      <c r="I403" s="62">
        <v>55.567999999999998</v>
      </c>
      <c r="J403" s="62">
        <v>22.193000000000001</v>
      </c>
      <c r="K403" s="62"/>
      <c r="L403" s="62"/>
      <c r="M403" s="62">
        <v>553.19200000000001</v>
      </c>
      <c r="N403" s="62">
        <v>23.234000000000002</v>
      </c>
      <c r="O403" s="66">
        <v>2.9649999999999999</v>
      </c>
      <c r="P403" s="61"/>
      <c r="Q403" s="62"/>
      <c r="R403" s="62"/>
      <c r="S403" s="62"/>
      <c r="T403" s="62"/>
      <c r="U403" s="62"/>
      <c r="V403" s="62"/>
      <c r="W403" s="62"/>
      <c r="X403" s="62"/>
      <c r="Y403" s="61"/>
      <c r="Z403" s="63"/>
      <c r="AA403" s="64" t="e">
        <v>#N/A</v>
      </c>
      <c r="AB403" s="62" t="e">
        <v>#N/A</v>
      </c>
      <c r="AC403" s="62" t="e">
        <v>#N/A</v>
      </c>
      <c r="AD403" s="62" t="e">
        <v>#N/A</v>
      </c>
      <c r="AE403" s="62" t="e">
        <v>#N/A</v>
      </c>
      <c r="AF403" s="62" t="e">
        <v>#N/A</v>
      </c>
      <c r="AG403" s="62" t="e">
        <v>#N/A</v>
      </c>
      <c r="AH403" s="62" t="e">
        <v>#N/A</v>
      </c>
      <c r="AI403" s="62" t="e">
        <v>#N/A</v>
      </c>
      <c r="AJ403" s="62" t="e">
        <v>#N/A</v>
      </c>
      <c r="AK403" s="64" t="e">
        <v>#N/A</v>
      </c>
      <c r="AL403" s="19">
        <v>127248</v>
      </c>
      <c r="AM403" s="19">
        <v>126241</v>
      </c>
      <c r="AN403" s="23">
        <v>13544</v>
      </c>
      <c r="AO403" s="19">
        <v>123952</v>
      </c>
      <c r="AP403" s="19">
        <v>7090</v>
      </c>
      <c r="AQ403" s="19">
        <v>24684</v>
      </c>
      <c r="AR403" s="63"/>
      <c r="AS403" s="63"/>
      <c r="AT403" s="65">
        <f t="shared" si="32"/>
        <v>5205.9840000000004</v>
      </c>
      <c r="AU403" s="65">
        <f t="shared" si="33"/>
        <v>568.84799999999996</v>
      </c>
      <c r="AV403" s="65">
        <f t="shared" si="34"/>
        <v>297.77999999999997</v>
      </c>
      <c r="AW403" s="65">
        <f t="shared" si="35"/>
        <v>5344.4160000000002</v>
      </c>
      <c r="AX403" s="65">
        <f t="shared" si="35"/>
        <v>5302.1220000000003</v>
      </c>
      <c r="AY403" s="65">
        <f t="shared" si="31"/>
        <v>1036.7280000000001</v>
      </c>
      <c r="AZ403" s="19">
        <v>44483</v>
      </c>
      <c r="BA403" s="19">
        <v>50629</v>
      </c>
      <c r="BB403" s="19">
        <v>41019</v>
      </c>
      <c r="BC403" s="19">
        <v>7135</v>
      </c>
      <c r="BD403" s="19">
        <v>1005</v>
      </c>
      <c r="BE403" s="62"/>
      <c r="BF403" s="62"/>
      <c r="BG403" s="62"/>
      <c r="BH403" s="62"/>
      <c r="BI403" s="67">
        <v>70.84</v>
      </c>
      <c r="BJ403" s="67">
        <v>2.19</v>
      </c>
      <c r="BK403" s="67">
        <v>2.16</v>
      </c>
      <c r="BL403" s="67">
        <v>2.2599999999999998</v>
      </c>
      <c r="BM403" s="62"/>
      <c r="BN403" s="62"/>
      <c r="BO403" s="62"/>
      <c r="BP403" s="62"/>
      <c r="BQ403" s="62"/>
      <c r="BR403" s="62"/>
      <c r="BS403" s="62"/>
      <c r="BT403" s="62"/>
      <c r="BU403" s="62"/>
      <c r="BV403" s="62"/>
      <c r="BW403" s="62"/>
      <c r="BX403" s="62"/>
      <c r="BY403" s="62"/>
      <c r="BZ403" s="62"/>
      <c r="CA403" s="62"/>
      <c r="CB403" s="62"/>
      <c r="CC403" s="62"/>
      <c r="CD403" s="62"/>
      <c r="CE403" s="62"/>
      <c r="CF403" s="62"/>
      <c r="CG403" s="62"/>
      <c r="CH403" s="62"/>
      <c r="CI403" s="62"/>
      <c r="CJ403" s="62"/>
      <c r="CK403" s="62"/>
      <c r="CL403" s="62"/>
      <c r="CM403" s="62"/>
      <c r="CN403" s="62"/>
      <c r="CO403" s="62"/>
      <c r="CP403" s="62"/>
      <c r="CQ403" s="62"/>
      <c r="CR403" s="62"/>
      <c r="CS403" s="62"/>
      <c r="CT403" s="62"/>
      <c r="CU403" s="62"/>
      <c r="CV403" s="62"/>
      <c r="CW403" s="62"/>
      <c r="CX403" s="62"/>
      <c r="CY403" s="62"/>
      <c r="CZ403" s="62"/>
      <c r="DA403" s="62"/>
      <c r="DB403" s="62"/>
      <c r="DC403" s="62"/>
      <c r="DD403" s="62"/>
      <c r="DE403" s="62"/>
      <c r="DF403" s="62"/>
      <c r="DG403" s="62"/>
      <c r="DH403" s="62"/>
      <c r="DI403" s="62"/>
      <c r="DJ403" s="62"/>
      <c r="DK403" s="62"/>
      <c r="DL403" s="62"/>
    </row>
    <row r="404" spans="1:116" x14ac:dyDescent="0.2">
      <c r="A404" s="57">
        <v>38869</v>
      </c>
      <c r="B404" s="58">
        <v>2006</v>
      </c>
      <c r="C404" s="66">
        <v>3.3239999999999998</v>
      </c>
      <c r="D404" s="62">
        <v>4.4999999999999998E-2</v>
      </c>
      <c r="E404" s="62">
        <v>611.90300000000002</v>
      </c>
      <c r="F404" s="62">
        <v>25.7</v>
      </c>
      <c r="G404" s="62">
        <v>3.2789999999999999</v>
      </c>
      <c r="H404" s="62">
        <v>151.697</v>
      </c>
      <c r="I404" s="62">
        <v>55.234999999999999</v>
      </c>
      <c r="J404" s="62">
        <v>96.462999999999994</v>
      </c>
      <c r="K404" s="62"/>
      <c r="L404" s="62"/>
      <c r="M404" s="62">
        <v>708.36599999999999</v>
      </c>
      <c r="N404" s="62">
        <v>29.751000000000001</v>
      </c>
      <c r="O404" s="66">
        <v>3.7959999999999998</v>
      </c>
      <c r="P404" s="61"/>
      <c r="Q404" s="62"/>
      <c r="R404" s="62"/>
      <c r="S404" s="62"/>
      <c r="T404" s="62"/>
      <c r="U404" s="62"/>
      <c r="V404" s="62"/>
      <c r="W404" s="62"/>
      <c r="X404" s="62"/>
      <c r="Y404" s="61"/>
      <c r="Z404" s="63"/>
      <c r="AA404" s="64" t="e">
        <v>#N/A</v>
      </c>
      <c r="AB404" s="62" t="e">
        <v>#N/A</v>
      </c>
      <c r="AC404" s="62" t="e">
        <v>#N/A</v>
      </c>
      <c r="AD404" s="62" t="e">
        <v>#N/A</v>
      </c>
      <c r="AE404" s="62" t="e">
        <v>#N/A</v>
      </c>
      <c r="AF404" s="62" t="e">
        <v>#N/A</v>
      </c>
      <c r="AG404" s="62" t="e">
        <v>#N/A</v>
      </c>
      <c r="AH404" s="62" t="e">
        <v>#N/A</v>
      </c>
      <c r="AI404" s="62" t="e">
        <v>#N/A</v>
      </c>
      <c r="AJ404" s="62" t="e">
        <v>#N/A</v>
      </c>
      <c r="AK404" s="64" t="e">
        <v>#N/A</v>
      </c>
      <c r="AL404" s="19">
        <v>123223</v>
      </c>
      <c r="AM404" s="19">
        <v>120578</v>
      </c>
      <c r="AN404" s="23">
        <v>8914</v>
      </c>
      <c r="AO404" s="19">
        <v>129912</v>
      </c>
      <c r="AP404" s="19">
        <v>5599</v>
      </c>
      <c r="AQ404" s="19">
        <v>59356</v>
      </c>
      <c r="AR404" s="63"/>
      <c r="AS404" s="63"/>
      <c r="AT404" s="65">
        <f t="shared" si="32"/>
        <v>5456.3040000000001</v>
      </c>
      <c r="AU404" s="65">
        <f t="shared" si="33"/>
        <v>374.38799999999998</v>
      </c>
      <c r="AV404" s="65">
        <f t="shared" si="34"/>
        <v>235.15799999999999</v>
      </c>
      <c r="AW404" s="65">
        <f t="shared" si="35"/>
        <v>5175.366</v>
      </c>
      <c r="AX404" s="65">
        <f t="shared" si="35"/>
        <v>5064.2759999999998</v>
      </c>
      <c r="AY404" s="65">
        <f t="shared" si="31"/>
        <v>2492.9520000000002</v>
      </c>
      <c r="AZ404" s="19">
        <v>44789</v>
      </c>
      <c r="BA404" s="19">
        <v>51125</v>
      </c>
      <c r="BB404" s="19">
        <v>39388</v>
      </c>
      <c r="BC404" s="19">
        <v>5710</v>
      </c>
      <c r="BD404" s="19">
        <v>1005</v>
      </c>
      <c r="BE404" s="62"/>
      <c r="BF404" s="62"/>
      <c r="BG404" s="62"/>
      <c r="BH404" s="62"/>
      <c r="BI404" s="67">
        <v>70.95</v>
      </c>
      <c r="BJ404" s="67">
        <v>2.19</v>
      </c>
      <c r="BK404" s="67">
        <v>2.16</v>
      </c>
      <c r="BL404" s="67">
        <v>2.2799999999999998</v>
      </c>
      <c r="BM404" s="62"/>
      <c r="BN404" s="62"/>
      <c r="BO404" s="62"/>
      <c r="BP404" s="62"/>
      <c r="BQ404" s="62"/>
      <c r="BR404" s="62"/>
      <c r="BS404" s="62"/>
      <c r="BT404" s="62"/>
      <c r="BU404" s="62"/>
      <c r="BV404" s="62"/>
      <c r="BW404" s="62"/>
      <c r="BX404" s="62"/>
      <c r="BY404" s="62"/>
      <c r="BZ404" s="62"/>
      <c r="CA404" s="62"/>
      <c r="CB404" s="62"/>
      <c r="CC404" s="62"/>
      <c r="CD404" s="62"/>
      <c r="CE404" s="62"/>
      <c r="CF404" s="62"/>
      <c r="CG404" s="62"/>
      <c r="CH404" s="62"/>
      <c r="CI404" s="62"/>
      <c r="CJ404" s="62"/>
      <c r="CK404" s="62"/>
      <c r="CL404" s="62"/>
      <c r="CM404" s="62"/>
      <c r="CN404" s="62"/>
      <c r="CO404" s="62"/>
      <c r="CP404" s="62"/>
      <c r="CQ404" s="62"/>
      <c r="CR404" s="62"/>
      <c r="CS404" s="62"/>
      <c r="CT404" s="62"/>
      <c r="CU404" s="62"/>
      <c r="CV404" s="62"/>
      <c r="CW404" s="62"/>
      <c r="CX404" s="62"/>
      <c r="CY404" s="62"/>
      <c r="CZ404" s="62"/>
      <c r="DA404" s="62"/>
      <c r="DB404" s="62"/>
      <c r="DC404" s="62"/>
      <c r="DD404" s="62"/>
      <c r="DE404" s="62"/>
      <c r="DF404" s="62"/>
      <c r="DG404" s="62"/>
      <c r="DH404" s="62"/>
      <c r="DI404" s="62"/>
      <c r="DJ404" s="62"/>
      <c r="DK404" s="62"/>
      <c r="DL404" s="62"/>
    </row>
    <row r="405" spans="1:116" x14ac:dyDescent="0.2">
      <c r="A405" s="57">
        <v>38899</v>
      </c>
      <c r="B405" s="58">
        <v>2006</v>
      </c>
      <c r="C405" s="66">
        <v>2.9329999999999998</v>
      </c>
      <c r="D405" s="62">
        <v>0.04</v>
      </c>
      <c r="E405" s="62">
        <v>539.91499999999996</v>
      </c>
      <c r="F405" s="62">
        <v>22.675999999999998</v>
      </c>
      <c r="G405" s="62">
        <v>2.8929999999999998</v>
      </c>
      <c r="H405" s="62">
        <v>76.846999999999994</v>
      </c>
      <c r="I405" s="62">
        <v>109.777</v>
      </c>
      <c r="J405" s="62">
        <v>-32.929000000000002</v>
      </c>
      <c r="K405" s="62"/>
      <c r="L405" s="62"/>
      <c r="M405" s="62">
        <v>506.98599999999999</v>
      </c>
      <c r="N405" s="62">
        <v>21.292999999999999</v>
      </c>
      <c r="O405" s="66">
        <v>2.7170000000000001</v>
      </c>
      <c r="P405" s="61"/>
      <c r="Q405" s="62"/>
      <c r="R405" s="62"/>
      <c r="S405" s="62"/>
      <c r="T405" s="62"/>
      <c r="U405" s="62"/>
      <c r="V405" s="62"/>
      <c r="W405" s="62"/>
      <c r="X405" s="62"/>
      <c r="Y405" s="61"/>
      <c r="Z405" s="63"/>
      <c r="AA405" s="64" t="e">
        <v>#N/A</v>
      </c>
      <c r="AB405" s="62" t="e">
        <v>#N/A</v>
      </c>
      <c r="AC405" s="62" t="e">
        <v>#N/A</v>
      </c>
      <c r="AD405" s="62" t="e">
        <v>#N/A</v>
      </c>
      <c r="AE405" s="62" t="e">
        <v>#N/A</v>
      </c>
      <c r="AF405" s="62" t="e">
        <v>#N/A</v>
      </c>
      <c r="AG405" s="62" t="e">
        <v>#N/A</v>
      </c>
      <c r="AH405" s="62" t="e">
        <v>#N/A</v>
      </c>
      <c r="AI405" s="62" t="e">
        <v>#N/A</v>
      </c>
      <c r="AJ405" s="62" t="e">
        <v>#N/A</v>
      </c>
      <c r="AK405" s="64" t="e">
        <v>#N/A</v>
      </c>
      <c r="AL405" s="19">
        <v>126011</v>
      </c>
      <c r="AM405" s="19">
        <v>122435</v>
      </c>
      <c r="AN405" s="23">
        <v>11181</v>
      </c>
      <c r="AO405" s="19">
        <v>137506</v>
      </c>
      <c r="AP405" s="19">
        <v>7163</v>
      </c>
      <c r="AQ405" s="19">
        <v>67287</v>
      </c>
      <c r="AR405" s="63"/>
      <c r="AS405" s="63"/>
      <c r="AT405" s="65">
        <f t="shared" si="32"/>
        <v>5775.2520000000004</v>
      </c>
      <c r="AU405" s="65">
        <f t="shared" si="33"/>
        <v>469.60199999999998</v>
      </c>
      <c r="AV405" s="65">
        <f t="shared" si="34"/>
        <v>300.846</v>
      </c>
      <c r="AW405" s="65">
        <f t="shared" si="35"/>
        <v>5292.4620000000004</v>
      </c>
      <c r="AX405" s="65">
        <f t="shared" si="35"/>
        <v>5142.2700000000004</v>
      </c>
      <c r="AY405" s="65">
        <f t="shared" si="31"/>
        <v>2826.0540000000001</v>
      </c>
      <c r="AZ405" s="19">
        <v>47732</v>
      </c>
      <c r="BA405" s="19">
        <v>52687</v>
      </c>
      <c r="BB405" s="19">
        <v>39604</v>
      </c>
      <c r="BC405" s="19">
        <v>6221</v>
      </c>
      <c r="BD405" s="19">
        <v>1050</v>
      </c>
      <c r="BE405" s="62"/>
      <c r="BF405" s="62"/>
      <c r="BG405" s="62"/>
      <c r="BH405" s="62"/>
      <c r="BI405" s="67">
        <v>74.41</v>
      </c>
      <c r="BJ405" s="67">
        <v>2.25</v>
      </c>
      <c r="BK405" s="67">
        <v>2.1800000000000002</v>
      </c>
      <c r="BL405" s="67">
        <v>2.4</v>
      </c>
      <c r="BM405" s="62"/>
      <c r="BN405" s="62"/>
      <c r="BO405" s="62"/>
      <c r="BP405" s="62"/>
      <c r="BQ405" s="62"/>
      <c r="BR405" s="62"/>
      <c r="BS405" s="62"/>
      <c r="BT405" s="62"/>
      <c r="BU405" s="62"/>
      <c r="BV405" s="62"/>
      <c r="BW405" s="62"/>
      <c r="BX405" s="62"/>
      <c r="BY405" s="62"/>
      <c r="BZ405" s="62"/>
      <c r="CA405" s="62"/>
      <c r="CB405" s="62"/>
      <c r="CC405" s="62"/>
      <c r="CD405" s="62"/>
      <c r="CE405" s="62"/>
      <c r="CF405" s="62"/>
      <c r="CG405" s="62"/>
      <c r="CH405" s="62"/>
      <c r="CI405" s="62"/>
      <c r="CJ405" s="62"/>
      <c r="CK405" s="62"/>
      <c r="CL405" s="62"/>
      <c r="CM405" s="62"/>
      <c r="CN405" s="62"/>
      <c r="CO405" s="62"/>
      <c r="CP405" s="62"/>
      <c r="CQ405" s="62"/>
      <c r="CR405" s="62"/>
      <c r="CS405" s="62"/>
      <c r="CT405" s="62"/>
      <c r="CU405" s="62"/>
      <c r="CV405" s="62"/>
      <c r="CW405" s="62"/>
      <c r="CX405" s="62"/>
      <c r="CY405" s="62"/>
      <c r="CZ405" s="62"/>
      <c r="DA405" s="62"/>
      <c r="DB405" s="62"/>
      <c r="DC405" s="62"/>
      <c r="DD405" s="62"/>
      <c r="DE405" s="62"/>
      <c r="DF405" s="62"/>
      <c r="DG405" s="62"/>
      <c r="DH405" s="62"/>
      <c r="DI405" s="62"/>
      <c r="DJ405" s="62"/>
      <c r="DK405" s="62"/>
      <c r="DL405" s="62"/>
    </row>
    <row r="406" spans="1:116" x14ac:dyDescent="0.2">
      <c r="A406" s="57">
        <v>38930</v>
      </c>
      <c r="B406" s="58">
        <v>2006</v>
      </c>
      <c r="C406" s="66">
        <v>3.7410000000000001</v>
      </c>
      <c r="D406" s="62">
        <v>5.0999999999999997E-2</v>
      </c>
      <c r="E406" s="62">
        <v>688.51499999999999</v>
      </c>
      <c r="F406" s="62">
        <v>28.917999999999999</v>
      </c>
      <c r="G406" s="62">
        <v>3.69</v>
      </c>
      <c r="H406" s="62">
        <v>96.123999999999995</v>
      </c>
      <c r="I406" s="62">
        <v>120.542</v>
      </c>
      <c r="J406" s="62">
        <v>-24.417000000000002</v>
      </c>
      <c r="K406" s="62"/>
      <c r="L406" s="62"/>
      <c r="M406" s="62">
        <v>664.09799999999996</v>
      </c>
      <c r="N406" s="62">
        <v>27.891999999999999</v>
      </c>
      <c r="O406" s="66">
        <v>3.5590000000000002</v>
      </c>
      <c r="P406" s="61"/>
      <c r="Q406" s="62"/>
      <c r="R406" s="62"/>
      <c r="S406" s="62"/>
      <c r="T406" s="62"/>
      <c r="U406" s="62"/>
      <c r="V406" s="62"/>
      <c r="W406" s="62"/>
      <c r="X406" s="62"/>
      <c r="Y406" s="61"/>
      <c r="Z406" s="63"/>
      <c r="AA406" s="64" t="e">
        <v>#N/A</v>
      </c>
      <c r="AB406" s="62" t="e">
        <v>#N/A</v>
      </c>
      <c r="AC406" s="62" t="e">
        <v>#N/A</v>
      </c>
      <c r="AD406" s="62" t="e">
        <v>#N/A</v>
      </c>
      <c r="AE406" s="62" t="e">
        <v>#N/A</v>
      </c>
      <c r="AF406" s="62" t="e">
        <v>#N/A</v>
      </c>
      <c r="AG406" s="62" t="e">
        <v>#N/A</v>
      </c>
      <c r="AH406" s="62" t="e">
        <v>#N/A</v>
      </c>
      <c r="AI406" s="62" t="e">
        <v>#N/A</v>
      </c>
      <c r="AJ406" s="62" t="e">
        <v>#N/A</v>
      </c>
      <c r="AK406" s="64" t="e">
        <v>#N/A</v>
      </c>
      <c r="AL406" s="19">
        <v>131251</v>
      </c>
      <c r="AM406" s="19">
        <v>129033</v>
      </c>
      <c r="AN406" s="23">
        <v>11267</v>
      </c>
      <c r="AO406" s="19">
        <v>145083</v>
      </c>
      <c r="AP406" s="19">
        <v>5908</v>
      </c>
      <c r="AQ406" s="19">
        <v>76061</v>
      </c>
      <c r="AR406" s="63"/>
      <c r="AS406" s="63"/>
      <c r="AT406" s="65">
        <f t="shared" si="32"/>
        <v>6093.4859999999999</v>
      </c>
      <c r="AU406" s="65">
        <f t="shared" si="33"/>
        <v>473.214</v>
      </c>
      <c r="AV406" s="65">
        <f t="shared" si="34"/>
        <v>248.136</v>
      </c>
      <c r="AW406" s="65">
        <f t="shared" si="35"/>
        <v>5512.5420000000004</v>
      </c>
      <c r="AX406" s="65">
        <f t="shared" si="35"/>
        <v>5419.3860000000004</v>
      </c>
      <c r="AY406" s="65">
        <f t="shared" si="31"/>
        <v>3194.5619999999999</v>
      </c>
      <c r="AZ406" s="19">
        <v>46037</v>
      </c>
      <c r="BA406" s="19">
        <v>52562</v>
      </c>
      <c r="BB406" s="19">
        <v>39513</v>
      </c>
      <c r="BC406" s="19">
        <v>7952</v>
      </c>
      <c r="BD406" s="19">
        <v>1518</v>
      </c>
      <c r="BE406" s="62"/>
      <c r="BF406" s="62"/>
      <c r="BG406" s="62"/>
      <c r="BH406" s="62"/>
      <c r="BI406" s="67">
        <v>73.040000000000006</v>
      </c>
      <c r="BJ406" s="67">
        <v>2.34</v>
      </c>
      <c r="BK406" s="67">
        <v>2.23</v>
      </c>
      <c r="BL406" s="67">
        <v>2.2599999999999998</v>
      </c>
      <c r="BM406" s="62"/>
      <c r="BN406" s="62"/>
      <c r="BO406" s="62"/>
      <c r="BP406" s="62"/>
      <c r="BQ406" s="62"/>
      <c r="BR406" s="62"/>
      <c r="BS406" s="62"/>
      <c r="BT406" s="62"/>
      <c r="BU406" s="62"/>
      <c r="BV406" s="62"/>
      <c r="BW406" s="62"/>
      <c r="BX406" s="62"/>
      <c r="BY406" s="62"/>
      <c r="BZ406" s="62"/>
      <c r="CA406" s="62"/>
      <c r="CB406" s="62"/>
      <c r="CC406" s="62"/>
      <c r="CD406" s="62"/>
      <c r="CE406" s="62"/>
      <c r="CF406" s="62"/>
      <c r="CG406" s="62"/>
      <c r="CH406" s="62"/>
      <c r="CI406" s="62"/>
      <c r="CJ406" s="62"/>
      <c r="CK406" s="62"/>
      <c r="CL406" s="62"/>
      <c r="CM406" s="62"/>
      <c r="CN406" s="62"/>
      <c r="CO406" s="62"/>
      <c r="CP406" s="62"/>
      <c r="CQ406" s="62"/>
      <c r="CR406" s="62"/>
      <c r="CS406" s="62"/>
      <c r="CT406" s="62"/>
      <c r="CU406" s="62"/>
      <c r="CV406" s="62"/>
      <c r="CW406" s="62"/>
      <c r="CX406" s="62"/>
      <c r="CY406" s="62"/>
      <c r="CZ406" s="62"/>
      <c r="DA406" s="62"/>
      <c r="DB406" s="62"/>
      <c r="DC406" s="62"/>
      <c r="DD406" s="62"/>
      <c r="DE406" s="62"/>
      <c r="DF406" s="62"/>
      <c r="DG406" s="62"/>
      <c r="DH406" s="62"/>
      <c r="DI406" s="62"/>
      <c r="DJ406" s="62"/>
      <c r="DK406" s="62"/>
      <c r="DL406" s="62"/>
    </row>
    <row r="407" spans="1:116" x14ac:dyDescent="0.2">
      <c r="A407" s="57">
        <v>38961</v>
      </c>
      <c r="B407" s="58">
        <v>2006</v>
      </c>
      <c r="C407" s="66">
        <v>3.2509999999999999</v>
      </c>
      <c r="D407" s="62">
        <v>4.3999999999999997E-2</v>
      </c>
      <c r="E407" s="62">
        <v>598.36400000000003</v>
      </c>
      <c r="F407" s="62">
        <v>25.131</v>
      </c>
      <c r="G407" s="62">
        <v>3.2069999999999999</v>
      </c>
      <c r="H407" s="62">
        <v>91.26</v>
      </c>
      <c r="I407" s="62">
        <v>66.715000000000003</v>
      </c>
      <c r="J407" s="62">
        <v>24.545999999999999</v>
      </c>
      <c r="K407" s="62"/>
      <c r="L407" s="62"/>
      <c r="M407" s="62">
        <v>622.91</v>
      </c>
      <c r="N407" s="62">
        <v>26.161999999999999</v>
      </c>
      <c r="O407" s="66">
        <v>3.3380000000000001</v>
      </c>
      <c r="P407" s="61"/>
      <c r="Q407" s="62"/>
      <c r="R407" s="62"/>
      <c r="S407" s="62"/>
      <c r="T407" s="62"/>
      <c r="U407" s="62"/>
      <c r="V407" s="62"/>
      <c r="W407" s="62"/>
      <c r="X407" s="62"/>
      <c r="Y407" s="61"/>
      <c r="Z407" s="63"/>
      <c r="AA407" s="64" t="e">
        <v>#N/A</v>
      </c>
      <c r="AB407" s="62" t="e">
        <v>#N/A</v>
      </c>
      <c r="AC407" s="62" t="e">
        <v>#N/A</v>
      </c>
      <c r="AD407" s="62" t="e">
        <v>#N/A</v>
      </c>
      <c r="AE407" s="62" t="e">
        <v>#N/A</v>
      </c>
      <c r="AF407" s="62" t="e">
        <v>#N/A</v>
      </c>
      <c r="AG407" s="62" t="e">
        <v>#N/A</v>
      </c>
      <c r="AH407" s="62" t="e">
        <v>#N/A</v>
      </c>
      <c r="AI407" s="62" t="e">
        <v>#N/A</v>
      </c>
      <c r="AJ407" s="62" t="e">
        <v>#N/A</v>
      </c>
      <c r="AK407" s="64" t="e">
        <v>#N/A</v>
      </c>
      <c r="AL407" s="19">
        <v>129004</v>
      </c>
      <c r="AM407" s="19">
        <v>124239</v>
      </c>
      <c r="AN407" s="23">
        <v>13132</v>
      </c>
      <c r="AO407" s="19">
        <v>149308</v>
      </c>
      <c r="AP407" s="19">
        <v>13672</v>
      </c>
      <c r="AQ407" s="19">
        <v>77519</v>
      </c>
      <c r="AR407" s="63"/>
      <c r="AS407" s="63"/>
      <c r="AT407" s="65">
        <f t="shared" si="32"/>
        <v>6270.9359999999997</v>
      </c>
      <c r="AU407" s="65">
        <f t="shared" si="33"/>
        <v>551.54399999999998</v>
      </c>
      <c r="AV407" s="65">
        <f t="shared" si="34"/>
        <v>574.22400000000005</v>
      </c>
      <c r="AW407" s="65">
        <f t="shared" si="35"/>
        <v>5418.1679999999997</v>
      </c>
      <c r="AX407" s="65">
        <f t="shared" si="35"/>
        <v>5218.0379999999996</v>
      </c>
      <c r="AY407" s="65">
        <f t="shared" si="31"/>
        <v>3255.7979999999998</v>
      </c>
      <c r="AZ407" s="19">
        <v>45343</v>
      </c>
      <c r="BA407" s="19">
        <v>48244</v>
      </c>
      <c r="BB407" s="19">
        <v>41856</v>
      </c>
      <c r="BC407" s="19">
        <v>7033</v>
      </c>
      <c r="BD407" s="19">
        <v>1789</v>
      </c>
      <c r="BE407" s="62"/>
      <c r="BF407" s="62"/>
      <c r="BG407" s="62"/>
      <c r="BH407" s="62"/>
      <c r="BI407" s="67">
        <v>63.8</v>
      </c>
      <c r="BJ407" s="67">
        <v>1.91</v>
      </c>
      <c r="BK407" s="67">
        <v>2</v>
      </c>
      <c r="BL407" s="67">
        <v>1.8</v>
      </c>
      <c r="BM407" s="62"/>
      <c r="BN407" s="62"/>
      <c r="BO407" s="62"/>
      <c r="BP407" s="62"/>
      <c r="BQ407" s="62"/>
      <c r="BR407" s="62"/>
      <c r="BS407" s="62"/>
      <c r="BT407" s="62"/>
      <c r="BU407" s="62"/>
      <c r="BV407" s="62"/>
      <c r="BW407" s="62"/>
      <c r="BX407" s="62"/>
      <c r="BY407" s="62"/>
      <c r="BZ407" s="62"/>
      <c r="CA407" s="62"/>
      <c r="CB407" s="62"/>
      <c r="CC407" s="62"/>
      <c r="CD407" s="62"/>
      <c r="CE407" s="62"/>
      <c r="CF407" s="62"/>
      <c r="CG407" s="62"/>
      <c r="CH407" s="62"/>
      <c r="CI407" s="62"/>
      <c r="CJ407" s="62"/>
      <c r="CK407" s="62"/>
      <c r="CL407" s="62"/>
      <c r="CM407" s="62"/>
      <c r="CN407" s="62"/>
      <c r="CO407" s="62"/>
      <c r="CP407" s="62"/>
      <c r="CQ407" s="62"/>
      <c r="CR407" s="62"/>
      <c r="CS407" s="62"/>
      <c r="CT407" s="62"/>
      <c r="CU407" s="62"/>
      <c r="CV407" s="62"/>
      <c r="CW407" s="62"/>
      <c r="CX407" s="62"/>
      <c r="CY407" s="62"/>
      <c r="CZ407" s="62"/>
      <c r="DA407" s="62"/>
      <c r="DB407" s="62"/>
      <c r="DC407" s="62"/>
      <c r="DD407" s="62"/>
      <c r="DE407" s="62"/>
      <c r="DF407" s="62"/>
      <c r="DG407" s="62"/>
      <c r="DH407" s="62"/>
      <c r="DI407" s="62"/>
      <c r="DJ407" s="62"/>
      <c r="DK407" s="62"/>
      <c r="DL407" s="62"/>
    </row>
    <row r="408" spans="1:116" x14ac:dyDescent="0.2">
      <c r="A408" s="57">
        <v>38991</v>
      </c>
      <c r="B408" s="58">
        <v>2006</v>
      </c>
      <c r="C408" s="66">
        <v>2.98</v>
      </c>
      <c r="D408" s="62">
        <v>4.1000000000000002E-2</v>
      </c>
      <c r="E408" s="62">
        <v>548.50099999999998</v>
      </c>
      <c r="F408" s="62">
        <v>23.036999999999999</v>
      </c>
      <c r="G408" s="62">
        <v>2.9390000000000001</v>
      </c>
      <c r="H408" s="62">
        <v>104.32</v>
      </c>
      <c r="I408" s="62">
        <v>59.131999999999998</v>
      </c>
      <c r="J408" s="62">
        <v>45.188000000000002</v>
      </c>
      <c r="K408" s="62"/>
      <c r="L408" s="62"/>
      <c r="M408" s="62">
        <v>593.68799999999999</v>
      </c>
      <c r="N408" s="62">
        <v>24.934999999999999</v>
      </c>
      <c r="O408" s="66">
        <v>3.1819999999999999</v>
      </c>
      <c r="P408" s="61"/>
      <c r="Q408" s="62"/>
      <c r="R408" s="62"/>
      <c r="S408" s="62"/>
      <c r="T408" s="62"/>
      <c r="U408" s="62"/>
      <c r="V408" s="62"/>
      <c r="W408" s="62"/>
      <c r="X408" s="62"/>
      <c r="Y408" s="61"/>
      <c r="Z408" s="63"/>
      <c r="AA408" s="64" t="e">
        <v>#N/A</v>
      </c>
      <c r="AB408" s="62" t="e">
        <v>#N/A</v>
      </c>
      <c r="AC408" s="62" t="e">
        <v>#N/A</v>
      </c>
      <c r="AD408" s="62" t="e">
        <v>#N/A</v>
      </c>
      <c r="AE408" s="62" t="e">
        <v>#N/A</v>
      </c>
      <c r="AF408" s="62" t="e">
        <v>#N/A</v>
      </c>
      <c r="AG408" s="62" t="e">
        <v>#N/A</v>
      </c>
      <c r="AH408" s="62" t="e">
        <v>#N/A</v>
      </c>
      <c r="AI408" s="62" t="e">
        <v>#N/A</v>
      </c>
      <c r="AJ408" s="62" t="e">
        <v>#N/A</v>
      </c>
      <c r="AK408" s="64" t="e">
        <v>#N/A</v>
      </c>
      <c r="AL408" s="19">
        <v>126804</v>
      </c>
      <c r="AM408" s="19">
        <v>133771</v>
      </c>
      <c r="AN408" s="23">
        <v>9517</v>
      </c>
      <c r="AO408" s="19">
        <v>142843</v>
      </c>
      <c r="AP408" s="19">
        <v>9015</v>
      </c>
      <c r="AQ408" s="19">
        <v>76430</v>
      </c>
      <c r="AR408" s="63"/>
      <c r="AS408" s="63"/>
      <c r="AT408" s="65">
        <f t="shared" si="32"/>
        <v>5999.4059999999999</v>
      </c>
      <c r="AU408" s="65">
        <f t="shared" si="33"/>
        <v>399.714</v>
      </c>
      <c r="AV408" s="65">
        <f t="shared" si="34"/>
        <v>378.63</v>
      </c>
      <c r="AW408" s="65">
        <f t="shared" si="35"/>
        <v>5325.768</v>
      </c>
      <c r="AX408" s="65">
        <f t="shared" si="35"/>
        <v>5618.3819999999996</v>
      </c>
      <c r="AY408" s="65">
        <f t="shared" si="31"/>
        <v>3210.06</v>
      </c>
      <c r="AZ408" s="19">
        <v>46188</v>
      </c>
      <c r="BA408" s="19">
        <v>49761</v>
      </c>
      <c r="BB408" s="19">
        <v>41861</v>
      </c>
      <c r="BC408" s="19">
        <v>5302</v>
      </c>
      <c r="BD408" s="19">
        <v>1724</v>
      </c>
      <c r="BE408" s="62"/>
      <c r="BF408" s="62"/>
      <c r="BG408" s="62"/>
      <c r="BH408" s="62"/>
      <c r="BI408" s="67">
        <v>58.89</v>
      </c>
      <c r="BJ408" s="67">
        <v>1.83</v>
      </c>
      <c r="BK408" s="67">
        <v>1.83</v>
      </c>
      <c r="BL408" s="67">
        <v>1.64</v>
      </c>
      <c r="BM408" s="62"/>
      <c r="BN408" s="62"/>
      <c r="BO408" s="62"/>
      <c r="BP408" s="62"/>
      <c r="BQ408" s="62"/>
      <c r="BR408" s="62"/>
      <c r="BS408" s="62"/>
      <c r="BT408" s="62"/>
      <c r="BU408" s="62"/>
      <c r="BV408" s="62"/>
      <c r="BW408" s="62"/>
      <c r="BX408" s="62"/>
      <c r="BY408" s="62"/>
      <c r="BZ408" s="62"/>
      <c r="CA408" s="62"/>
      <c r="CB408" s="62"/>
      <c r="CC408" s="62"/>
      <c r="CD408" s="62"/>
      <c r="CE408" s="62"/>
      <c r="CF408" s="62"/>
      <c r="CG408" s="62"/>
      <c r="CH408" s="62"/>
      <c r="CI408" s="62"/>
      <c r="CJ408" s="62"/>
      <c r="CK408" s="62"/>
      <c r="CL408" s="62"/>
      <c r="CM408" s="62"/>
      <c r="CN408" s="62"/>
      <c r="CO408" s="62"/>
      <c r="CP408" s="62"/>
      <c r="CQ408" s="62"/>
      <c r="CR408" s="62"/>
      <c r="CS408" s="62"/>
      <c r="CT408" s="62"/>
      <c r="CU408" s="62"/>
      <c r="CV408" s="62"/>
      <c r="CW408" s="62"/>
      <c r="CX408" s="62"/>
      <c r="CY408" s="62"/>
      <c r="CZ408" s="62"/>
      <c r="DA408" s="62"/>
      <c r="DB408" s="62"/>
      <c r="DC408" s="62"/>
      <c r="DD408" s="62"/>
      <c r="DE408" s="62"/>
      <c r="DF408" s="62"/>
      <c r="DG408" s="62"/>
      <c r="DH408" s="62"/>
      <c r="DI408" s="62"/>
      <c r="DJ408" s="62"/>
      <c r="DK408" s="62"/>
      <c r="DL408" s="62"/>
    </row>
    <row r="409" spans="1:116" x14ac:dyDescent="0.2">
      <c r="A409" s="57">
        <v>39022</v>
      </c>
      <c r="B409" s="58">
        <v>2006</v>
      </c>
      <c r="C409" s="66">
        <v>2.8279999999999998</v>
      </c>
      <c r="D409" s="62">
        <v>3.9E-2</v>
      </c>
      <c r="E409" s="62">
        <v>520.43200000000002</v>
      </c>
      <c r="F409" s="62">
        <v>21.858000000000001</v>
      </c>
      <c r="G409" s="62">
        <v>2.7890000000000001</v>
      </c>
      <c r="H409" s="62">
        <v>193.52600000000001</v>
      </c>
      <c r="I409" s="62">
        <v>137.90899999999999</v>
      </c>
      <c r="J409" s="62">
        <v>55.616999999999997</v>
      </c>
      <c r="K409" s="62"/>
      <c r="L409" s="62"/>
      <c r="M409" s="62">
        <v>576.04899999999998</v>
      </c>
      <c r="N409" s="62">
        <v>24.193999999999999</v>
      </c>
      <c r="O409" s="66">
        <v>3.0870000000000002</v>
      </c>
      <c r="P409" s="61"/>
      <c r="Q409" s="62"/>
      <c r="R409" s="62"/>
      <c r="S409" s="62"/>
      <c r="T409" s="62"/>
      <c r="U409" s="62"/>
      <c r="V409" s="62"/>
      <c r="W409" s="62"/>
      <c r="X409" s="62"/>
      <c r="Y409" s="61"/>
      <c r="Z409" s="63"/>
      <c r="AA409" s="64" t="e">
        <v>#N/A</v>
      </c>
      <c r="AB409" s="62" t="e">
        <v>#N/A</v>
      </c>
      <c r="AC409" s="62" t="e">
        <v>#N/A</v>
      </c>
      <c r="AD409" s="62" t="e">
        <v>#N/A</v>
      </c>
      <c r="AE409" s="62" t="e">
        <v>#N/A</v>
      </c>
      <c r="AF409" s="62" t="e">
        <v>#N/A</v>
      </c>
      <c r="AG409" s="62" t="e">
        <v>#N/A</v>
      </c>
      <c r="AH409" s="62" t="e">
        <v>#N/A</v>
      </c>
      <c r="AI409" s="62" t="e">
        <v>#N/A</v>
      </c>
      <c r="AJ409" s="62" t="e">
        <v>#N/A</v>
      </c>
      <c r="AK409" s="64" t="e">
        <v>#N/A</v>
      </c>
      <c r="AL409" s="19">
        <v>122094</v>
      </c>
      <c r="AM409" s="19">
        <v>125396</v>
      </c>
      <c r="AN409" s="23">
        <v>8630</v>
      </c>
      <c r="AO409" s="19">
        <v>140626</v>
      </c>
      <c r="AP409" s="19">
        <v>7545</v>
      </c>
      <c r="AQ409" s="19">
        <v>77856</v>
      </c>
      <c r="AR409" s="63"/>
      <c r="AS409" s="63"/>
      <c r="AT409" s="65">
        <f t="shared" si="32"/>
        <v>5906.2920000000004</v>
      </c>
      <c r="AU409" s="65">
        <f t="shared" si="33"/>
        <v>362.46</v>
      </c>
      <c r="AV409" s="65">
        <f t="shared" si="34"/>
        <v>316.89</v>
      </c>
      <c r="AW409" s="65">
        <f t="shared" si="35"/>
        <v>5127.9480000000003</v>
      </c>
      <c r="AX409" s="65">
        <f t="shared" si="35"/>
        <v>5266.6319999999996</v>
      </c>
      <c r="AY409" s="65">
        <f t="shared" si="31"/>
        <v>3269.9520000000002</v>
      </c>
      <c r="AZ409" s="19">
        <v>42651</v>
      </c>
      <c r="BA409" s="19">
        <v>48397</v>
      </c>
      <c r="BB409" s="19">
        <v>37674</v>
      </c>
      <c r="BC409" s="19">
        <v>3040</v>
      </c>
      <c r="BD409" s="19">
        <v>1481</v>
      </c>
      <c r="BE409" s="62"/>
      <c r="BF409" s="62"/>
      <c r="BG409" s="62"/>
      <c r="BH409" s="62"/>
      <c r="BI409" s="67">
        <v>59.08</v>
      </c>
      <c r="BJ409" s="67">
        <v>1.87</v>
      </c>
      <c r="BK409" s="67">
        <v>1.8</v>
      </c>
      <c r="BL409" s="67">
        <v>1.67</v>
      </c>
      <c r="BM409" s="62"/>
      <c r="BN409" s="62"/>
      <c r="BO409" s="62"/>
      <c r="BP409" s="62"/>
      <c r="BQ409" s="62"/>
      <c r="BR409" s="62"/>
      <c r="BS409" s="62"/>
      <c r="BT409" s="62"/>
      <c r="BU409" s="62"/>
      <c r="BV409" s="62"/>
      <c r="BW409" s="62"/>
      <c r="BX409" s="62"/>
      <c r="BY409" s="62"/>
      <c r="BZ409" s="62"/>
      <c r="CA409" s="62"/>
      <c r="CB409" s="62"/>
      <c r="CC409" s="62"/>
      <c r="CD409" s="62"/>
      <c r="CE409" s="62"/>
      <c r="CF409" s="62"/>
      <c r="CG409" s="62"/>
      <c r="CH409" s="62"/>
      <c r="CI409" s="62"/>
      <c r="CJ409" s="62"/>
      <c r="CK409" s="62"/>
      <c r="CL409" s="62"/>
      <c r="CM409" s="62"/>
      <c r="CN409" s="62"/>
      <c r="CO409" s="62"/>
      <c r="CP409" s="62"/>
      <c r="CQ409" s="62"/>
      <c r="CR409" s="62"/>
      <c r="CS409" s="62"/>
      <c r="CT409" s="62"/>
      <c r="CU409" s="62"/>
      <c r="CV409" s="62"/>
      <c r="CW409" s="62"/>
      <c r="CX409" s="62"/>
      <c r="CY409" s="62"/>
      <c r="CZ409" s="62"/>
      <c r="DA409" s="62"/>
      <c r="DB409" s="62"/>
      <c r="DC409" s="62"/>
      <c r="DD409" s="62"/>
      <c r="DE409" s="62"/>
      <c r="DF409" s="62"/>
      <c r="DG409" s="62"/>
      <c r="DH409" s="62"/>
      <c r="DI409" s="62"/>
      <c r="DJ409" s="62"/>
      <c r="DK409" s="62"/>
      <c r="DL409" s="62"/>
    </row>
    <row r="410" spans="1:116" x14ac:dyDescent="0.2">
      <c r="A410" s="57">
        <v>39052</v>
      </c>
      <c r="B410" s="58">
        <v>2006</v>
      </c>
      <c r="C410" s="66">
        <v>3.206</v>
      </c>
      <c r="D410" s="62">
        <v>4.3999999999999997E-2</v>
      </c>
      <c r="E410" s="62">
        <v>590.10900000000004</v>
      </c>
      <c r="F410" s="62">
        <v>24.785</v>
      </c>
      <c r="G410" s="62">
        <v>3.1619999999999999</v>
      </c>
      <c r="H410" s="62">
        <v>213.10300000000001</v>
      </c>
      <c r="I410" s="62">
        <v>120.56100000000001</v>
      </c>
      <c r="J410" s="62">
        <v>92.542000000000002</v>
      </c>
      <c r="K410" s="62"/>
      <c r="L410" s="62"/>
      <c r="M410" s="62">
        <v>682.65099999999995</v>
      </c>
      <c r="N410" s="62">
        <v>28.670999999999999</v>
      </c>
      <c r="O410" s="66">
        <v>3.6579999999999999</v>
      </c>
      <c r="P410" s="61"/>
      <c r="Q410" s="62"/>
      <c r="R410" s="62"/>
      <c r="S410" s="62"/>
      <c r="T410" s="62"/>
      <c r="U410" s="62"/>
      <c r="V410" s="62"/>
      <c r="W410" s="62"/>
      <c r="X410" s="62"/>
      <c r="Y410" s="61"/>
      <c r="Z410" s="63"/>
      <c r="AA410" s="64" t="e">
        <v>#N/A</v>
      </c>
      <c r="AB410" s="62" t="e">
        <v>#N/A</v>
      </c>
      <c r="AC410" s="62" t="e">
        <v>#N/A</v>
      </c>
      <c r="AD410" s="62" t="e">
        <v>#N/A</v>
      </c>
      <c r="AE410" s="62" t="e">
        <v>#N/A</v>
      </c>
      <c r="AF410" s="62" t="e">
        <v>#N/A</v>
      </c>
      <c r="AG410" s="62" t="e">
        <v>#N/A</v>
      </c>
      <c r="AH410" s="62" t="e">
        <v>#N/A</v>
      </c>
      <c r="AI410" s="62" t="e">
        <v>#N/A</v>
      </c>
      <c r="AJ410" s="62" t="e">
        <v>#N/A</v>
      </c>
      <c r="AK410" s="64" t="e">
        <v>#N/A</v>
      </c>
      <c r="AL410" s="19">
        <v>128922</v>
      </c>
      <c r="AM410" s="19">
        <v>132297</v>
      </c>
      <c r="AN410" s="23">
        <v>11014</v>
      </c>
      <c r="AO410" s="19">
        <v>143651</v>
      </c>
      <c r="AP410" s="19">
        <v>4614</v>
      </c>
      <c r="AQ410" s="19">
        <v>81640</v>
      </c>
      <c r="AR410" s="63"/>
      <c r="AS410" s="63"/>
      <c r="AT410" s="65">
        <f t="shared" si="32"/>
        <v>6033.3419999999996</v>
      </c>
      <c r="AU410" s="65">
        <f t="shared" si="33"/>
        <v>462.58800000000002</v>
      </c>
      <c r="AV410" s="65">
        <f t="shared" si="34"/>
        <v>193.78800000000001</v>
      </c>
      <c r="AW410" s="65">
        <f t="shared" si="35"/>
        <v>5414.7240000000002</v>
      </c>
      <c r="AX410" s="65">
        <f t="shared" si="35"/>
        <v>5556.4740000000002</v>
      </c>
      <c r="AY410" s="65">
        <f t="shared" si="31"/>
        <v>3428.88</v>
      </c>
      <c r="AZ410" s="19">
        <v>47387</v>
      </c>
      <c r="BA410" s="19">
        <v>50562</v>
      </c>
      <c r="BB410" s="19">
        <v>39129</v>
      </c>
      <c r="BC410" s="19">
        <v>6107</v>
      </c>
      <c r="BD410" s="19">
        <v>1477</v>
      </c>
      <c r="BE410" s="62"/>
      <c r="BF410" s="62"/>
      <c r="BG410" s="62"/>
      <c r="BH410" s="62"/>
      <c r="BI410" s="67">
        <v>61.96</v>
      </c>
      <c r="BJ410" s="67">
        <v>1.89</v>
      </c>
      <c r="BK410" s="67">
        <v>1.94</v>
      </c>
      <c r="BL410" s="67">
        <v>1.73</v>
      </c>
      <c r="BM410" s="62"/>
      <c r="BN410" s="62"/>
      <c r="BO410" s="62"/>
      <c r="BP410" s="62"/>
      <c r="BQ410" s="62"/>
      <c r="BR410" s="62"/>
      <c r="BS410" s="62"/>
      <c r="BT410" s="62"/>
      <c r="BU410" s="62"/>
      <c r="BV410" s="62"/>
      <c r="BW410" s="62"/>
      <c r="BX410" s="62"/>
      <c r="BY410" s="62"/>
      <c r="BZ410" s="62"/>
      <c r="CA410" s="62"/>
      <c r="CB410" s="62"/>
      <c r="CC410" s="62"/>
      <c r="CD410" s="62"/>
      <c r="CE410" s="62"/>
      <c r="CF410" s="62"/>
      <c r="CG410" s="62"/>
      <c r="CH410" s="62"/>
      <c r="CI410" s="62"/>
      <c r="CJ410" s="62"/>
      <c r="CK410" s="62"/>
      <c r="CL410" s="62"/>
      <c r="CM410" s="62"/>
      <c r="CN410" s="62"/>
      <c r="CO410" s="62"/>
      <c r="CP410" s="62"/>
      <c r="CQ410" s="62"/>
      <c r="CR410" s="62"/>
      <c r="CS410" s="62"/>
      <c r="CT410" s="62"/>
      <c r="CU410" s="62"/>
      <c r="CV410" s="62"/>
      <c r="CW410" s="62"/>
      <c r="CX410" s="62"/>
      <c r="CY410" s="62"/>
      <c r="CZ410" s="62"/>
      <c r="DA410" s="62"/>
      <c r="DB410" s="62"/>
      <c r="DC410" s="62"/>
      <c r="DD410" s="62"/>
      <c r="DE410" s="62"/>
      <c r="DF410" s="62"/>
      <c r="DG410" s="62"/>
      <c r="DH410" s="62"/>
      <c r="DI410" s="62"/>
      <c r="DJ410" s="62"/>
      <c r="DK410" s="62"/>
      <c r="DL410" s="62"/>
    </row>
    <row r="411" spans="1:116" x14ac:dyDescent="0.2">
      <c r="A411" s="57">
        <v>39083</v>
      </c>
      <c r="B411" s="58">
        <v>2007</v>
      </c>
      <c r="C411" s="66">
        <v>3.762</v>
      </c>
      <c r="D411" s="62">
        <v>5.0999999999999997E-2</v>
      </c>
      <c r="E411" s="62">
        <v>692.49900000000002</v>
      </c>
      <c r="F411" s="62">
        <v>29.085000000000001</v>
      </c>
      <c r="G411" s="62">
        <v>3.7109999999999999</v>
      </c>
      <c r="H411" s="62">
        <v>245.24600000000001</v>
      </c>
      <c r="I411" s="62">
        <v>106.027</v>
      </c>
      <c r="J411" s="62">
        <v>139.22</v>
      </c>
      <c r="K411" s="62"/>
      <c r="L411" s="62"/>
      <c r="M411" s="62">
        <v>831.71900000000005</v>
      </c>
      <c r="N411" s="62">
        <v>34.932000000000002</v>
      </c>
      <c r="O411" s="66">
        <v>4.4569999999999999</v>
      </c>
      <c r="P411" s="61"/>
      <c r="Q411" s="62"/>
      <c r="R411" s="62"/>
      <c r="S411" s="62"/>
      <c r="T411" s="62"/>
      <c r="U411" s="62"/>
      <c r="V411" s="62"/>
      <c r="W411" s="62"/>
      <c r="X411" s="62"/>
      <c r="Y411" s="61"/>
      <c r="Z411" s="63"/>
      <c r="AA411" s="64" t="e">
        <v>#N/A</v>
      </c>
      <c r="AB411" s="62" t="e">
        <v>#N/A</v>
      </c>
      <c r="AC411" s="62" t="e">
        <v>#N/A</v>
      </c>
      <c r="AD411" s="62" t="e">
        <v>#N/A</v>
      </c>
      <c r="AE411" s="62" t="e">
        <v>#N/A</v>
      </c>
      <c r="AF411" s="62" t="e">
        <v>#N/A</v>
      </c>
      <c r="AG411" s="62" t="e">
        <v>#N/A</v>
      </c>
      <c r="AH411" s="62" t="e">
        <v>#N/A</v>
      </c>
      <c r="AI411" s="62" t="e">
        <v>#N/A</v>
      </c>
      <c r="AJ411" s="62" t="e">
        <v>#N/A</v>
      </c>
      <c r="AK411" s="64" t="e">
        <v>#N/A</v>
      </c>
      <c r="AL411" s="19">
        <v>124828</v>
      </c>
      <c r="AM411" s="19">
        <v>131943</v>
      </c>
      <c r="AN411" s="23">
        <v>10919</v>
      </c>
      <c r="AO411" s="19">
        <v>139608</v>
      </c>
      <c r="AP411" s="19">
        <v>7847</v>
      </c>
      <c r="AQ411" s="19">
        <v>77214</v>
      </c>
      <c r="AR411" s="63"/>
      <c r="AS411" s="63"/>
      <c r="AT411" s="65">
        <f t="shared" si="32"/>
        <v>5863.5360000000001</v>
      </c>
      <c r="AU411" s="65">
        <f t="shared" si="33"/>
        <v>458.59800000000001</v>
      </c>
      <c r="AV411" s="65">
        <f t="shared" si="34"/>
        <v>329.57400000000001</v>
      </c>
      <c r="AW411" s="65">
        <f t="shared" si="35"/>
        <v>5242.7759999999998</v>
      </c>
      <c r="AX411" s="65">
        <f t="shared" si="35"/>
        <v>5541.6059999999998</v>
      </c>
      <c r="AY411" s="65">
        <f t="shared" si="31"/>
        <v>3242.9879999999998</v>
      </c>
      <c r="AZ411" s="19">
        <v>45887</v>
      </c>
      <c r="BA411" s="19">
        <v>50101</v>
      </c>
      <c r="BB411" s="19">
        <v>39137</v>
      </c>
      <c r="BC411" s="19">
        <v>5435</v>
      </c>
      <c r="BD411" s="19">
        <v>1213</v>
      </c>
      <c r="BE411" s="62"/>
      <c r="BF411" s="62"/>
      <c r="BG411" s="62"/>
      <c r="BH411" s="62"/>
      <c r="BI411" s="67">
        <v>54.51</v>
      </c>
      <c r="BJ411" s="67">
        <v>1.7</v>
      </c>
      <c r="BK411" s="67">
        <v>1.76</v>
      </c>
      <c r="BL411" s="67">
        <v>1.57</v>
      </c>
      <c r="BM411" s="62"/>
      <c r="BN411" s="62"/>
      <c r="BO411" s="62"/>
      <c r="BP411" s="62"/>
      <c r="BQ411" s="62"/>
      <c r="BR411" s="62"/>
      <c r="BS411" s="62"/>
      <c r="BT411" s="62"/>
      <c r="BU411" s="62"/>
      <c r="BV411" s="62"/>
      <c r="BW411" s="62"/>
      <c r="BX411" s="62"/>
      <c r="BY411" s="62"/>
      <c r="BZ411" s="62"/>
      <c r="CA411" s="62"/>
      <c r="CB411" s="62"/>
      <c r="CC411" s="62"/>
      <c r="CD411" s="62"/>
      <c r="CE411" s="62"/>
      <c r="CF411" s="62"/>
      <c r="CG411" s="62"/>
      <c r="CH411" s="62"/>
      <c r="CI411" s="62"/>
      <c r="CJ411" s="62"/>
      <c r="CK411" s="62"/>
      <c r="CL411" s="62"/>
      <c r="CM411" s="62"/>
      <c r="CN411" s="62"/>
      <c r="CO411" s="62"/>
      <c r="CP411" s="62"/>
      <c r="CQ411" s="62"/>
      <c r="CR411" s="62"/>
      <c r="CS411" s="62"/>
      <c r="CT411" s="62"/>
      <c r="CU411" s="62"/>
      <c r="CV411" s="62"/>
      <c r="CW411" s="62"/>
      <c r="CX411" s="62"/>
      <c r="CY411" s="62"/>
      <c r="CZ411" s="62"/>
      <c r="DA411" s="62"/>
      <c r="DB411" s="62"/>
      <c r="DC411" s="62"/>
      <c r="DD411" s="62"/>
      <c r="DE411" s="62"/>
      <c r="DF411" s="62"/>
      <c r="DG411" s="62"/>
      <c r="DH411" s="62"/>
      <c r="DI411" s="62"/>
      <c r="DJ411" s="62"/>
      <c r="DK411" s="62"/>
      <c r="DL411" s="62"/>
    </row>
    <row r="412" spans="1:116" x14ac:dyDescent="0.2">
      <c r="A412" s="57">
        <v>39114</v>
      </c>
      <c r="B412" s="58">
        <v>2007</v>
      </c>
      <c r="C412" s="66">
        <v>3.0659999999999998</v>
      </c>
      <c r="D412" s="62">
        <v>4.2000000000000003E-2</v>
      </c>
      <c r="E412" s="62">
        <v>564.31399999999996</v>
      </c>
      <c r="F412" s="62">
        <v>23.701000000000001</v>
      </c>
      <c r="G412" s="62">
        <v>3.024</v>
      </c>
      <c r="H412" s="62">
        <v>152.74199999999999</v>
      </c>
      <c r="I412" s="62">
        <v>179.09800000000001</v>
      </c>
      <c r="J412" s="62">
        <v>-26.356000000000002</v>
      </c>
      <c r="K412" s="62"/>
      <c r="L412" s="62"/>
      <c r="M412" s="62">
        <v>537.95799999999997</v>
      </c>
      <c r="N412" s="62">
        <v>22.594000000000001</v>
      </c>
      <c r="O412" s="66">
        <v>2.883</v>
      </c>
      <c r="P412" s="61"/>
      <c r="Q412" s="62"/>
      <c r="R412" s="62"/>
      <c r="S412" s="62"/>
      <c r="T412" s="62"/>
      <c r="U412" s="62"/>
      <c r="V412" s="62"/>
      <c r="W412" s="62"/>
      <c r="X412" s="62"/>
      <c r="Y412" s="61"/>
      <c r="Z412" s="63"/>
      <c r="AA412" s="64" t="e">
        <v>#N/A</v>
      </c>
      <c r="AB412" s="62" t="e">
        <v>#N/A</v>
      </c>
      <c r="AC412" s="62" t="e">
        <v>#N/A</v>
      </c>
      <c r="AD412" s="62" t="e">
        <v>#N/A</v>
      </c>
      <c r="AE412" s="62" t="e">
        <v>#N/A</v>
      </c>
      <c r="AF412" s="62" t="e">
        <v>#N/A</v>
      </c>
      <c r="AG412" s="62" t="e">
        <v>#N/A</v>
      </c>
      <c r="AH412" s="62" t="e">
        <v>#N/A</v>
      </c>
      <c r="AI412" s="62" t="e">
        <v>#N/A</v>
      </c>
      <c r="AJ412" s="62" t="e">
        <v>#N/A</v>
      </c>
      <c r="AK412" s="64" t="e">
        <v>#N/A</v>
      </c>
      <c r="AL412" s="19">
        <v>108733</v>
      </c>
      <c r="AM412" s="19">
        <v>128300</v>
      </c>
      <c r="AN412" s="23">
        <v>9347</v>
      </c>
      <c r="AO412" s="19">
        <v>123723</v>
      </c>
      <c r="AP412" s="19">
        <v>5665</v>
      </c>
      <c r="AQ412" s="19">
        <v>67879</v>
      </c>
      <c r="AR412" s="63"/>
      <c r="AS412" s="63"/>
      <c r="AT412" s="65">
        <f t="shared" si="32"/>
        <v>5196.366</v>
      </c>
      <c r="AU412" s="65">
        <f t="shared" si="33"/>
        <v>392.57400000000001</v>
      </c>
      <c r="AV412" s="65">
        <f t="shared" si="34"/>
        <v>237.93</v>
      </c>
      <c r="AW412" s="65">
        <f t="shared" si="35"/>
        <v>4566.7860000000001</v>
      </c>
      <c r="AX412" s="65">
        <f t="shared" si="35"/>
        <v>5388.6</v>
      </c>
      <c r="AY412" s="65">
        <f t="shared" si="31"/>
        <v>2850.9180000000001</v>
      </c>
      <c r="AZ412" s="19">
        <v>39801</v>
      </c>
      <c r="BA412" s="19">
        <v>45744</v>
      </c>
      <c r="BB412" s="19">
        <v>38667</v>
      </c>
      <c r="BC412" s="19">
        <v>6343</v>
      </c>
      <c r="BD412" s="19">
        <v>870</v>
      </c>
      <c r="BE412" s="62"/>
      <c r="BF412" s="62"/>
      <c r="BG412" s="62"/>
      <c r="BH412" s="62"/>
      <c r="BI412" s="67">
        <v>59.28</v>
      </c>
      <c r="BJ412" s="67">
        <v>1.82</v>
      </c>
      <c r="BK412" s="67">
        <v>1.79</v>
      </c>
      <c r="BL412" s="67">
        <v>1.72</v>
      </c>
      <c r="BM412" s="62"/>
      <c r="BN412" s="62"/>
      <c r="BO412" s="62"/>
      <c r="BP412" s="62"/>
      <c r="BQ412" s="62"/>
      <c r="BR412" s="62"/>
      <c r="BS412" s="62"/>
      <c r="BT412" s="62"/>
      <c r="BU412" s="62"/>
      <c r="BV412" s="62"/>
      <c r="BW412" s="62"/>
      <c r="BX412" s="62"/>
      <c r="BY412" s="62"/>
      <c r="BZ412" s="62"/>
      <c r="CA412" s="62"/>
      <c r="CB412" s="62"/>
      <c r="CC412" s="62"/>
      <c r="CD412" s="62"/>
      <c r="CE412" s="62"/>
      <c r="CF412" s="62"/>
      <c r="CG412" s="62"/>
      <c r="CH412" s="62"/>
      <c r="CI412" s="62"/>
      <c r="CJ412" s="62"/>
      <c r="CK412" s="62"/>
      <c r="CL412" s="62"/>
      <c r="CM412" s="62"/>
      <c r="CN412" s="62"/>
      <c r="CO412" s="62"/>
      <c r="CP412" s="62"/>
      <c r="CQ412" s="62"/>
      <c r="CR412" s="62"/>
      <c r="CS412" s="62"/>
      <c r="CT412" s="62"/>
      <c r="CU412" s="62"/>
      <c r="CV412" s="62"/>
      <c r="CW412" s="62"/>
      <c r="CX412" s="62"/>
      <c r="CY412" s="62"/>
      <c r="CZ412" s="62"/>
      <c r="DA412" s="62"/>
      <c r="DB412" s="62"/>
      <c r="DC412" s="62"/>
      <c r="DD412" s="62"/>
      <c r="DE412" s="62"/>
      <c r="DF412" s="62"/>
      <c r="DG412" s="62"/>
      <c r="DH412" s="62"/>
      <c r="DI412" s="62"/>
      <c r="DJ412" s="62"/>
      <c r="DK412" s="62"/>
      <c r="DL412" s="62"/>
    </row>
    <row r="413" spans="1:116" x14ac:dyDescent="0.2">
      <c r="A413" s="57">
        <v>39142</v>
      </c>
      <c r="B413" s="58">
        <v>2007</v>
      </c>
      <c r="C413" s="66">
        <v>4.21</v>
      </c>
      <c r="D413" s="62">
        <v>5.7000000000000002E-2</v>
      </c>
      <c r="E413" s="62">
        <v>774.85500000000002</v>
      </c>
      <c r="F413" s="62">
        <v>32.543999999999997</v>
      </c>
      <c r="G413" s="62">
        <v>4.1520000000000001</v>
      </c>
      <c r="H413" s="62">
        <v>117.41</v>
      </c>
      <c r="I413" s="62">
        <v>302.613</v>
      </c>
      <c r="J413" s="62">
        <v>-185.203</v>
      </c>
      <c r="K413" s="62"/>
      <c r="L413" s="62"/>
      <c r="M413" s="62">
        <v>589.65200000000004</v>
      </c>
      <c r="N413" s="62">
        <v>24.765000000000001</v>
      </c>
      <c r="O413" s="66">
        <v>3.16</v>
      </c>
      <c r="P413" s="61"/>
      <c r="Q413" s="62"/>
      <c r="R413" s="62"/>
      <c r="S413" s="62"/>
      <c r="T413" s="62"/>
      <c r="U413" s="62"/>
      <c r="V413" s="62"/>
      <c r="W413" s="62"/>
      <c r="X413" s="62"/>
      <c r="Y413" s="61"/>
      <c r="Z413" s="63"/>
      <c r="AA413" s="64" t="e">
        <v>#N/A</v>
      </c>
      <c r="AB413" s="62" t="e">
        <v>#N/A</v>
      </c>
      <c r="AC413" s="62" t="e">
        <v>#N/A</v>
      </c>
      <c r="AD413" s="62" t="e">
        <v>#N/A</v>
      </c>
      <c r="AE413" s="62" t="e">
        <v>#N/A</v>
      </c>
      <c r="AF413" s="62" t="e">
        <v>#N/A</v>
      </c>
      <c r="AG413" s="62" t="e">
        <v>#N/A</v>
      </c>
      <c r="AH413" s="62" t="e">
        <v>#N/A</v>
      </c>
      <c r="AI413" s="62" t="e">
        <v>#N/A</v>
      </c>
      <c r="AJ413" s="62" t="e">
        <v>#N/A</v>
      </c>
      <c r="AK413" s="64" t="e">
        <v>#N/A</v>
      </c>
      <c r="AL413" s="19">
        <v>124273</v>
      </c>
      <c r="AM413" s="19">
        <v>134346</v>
      </c>
      <c r="AN413" s="23">
        <v>11148</v>
      </c>
      <c r="AO413" s="19">
        <v>120007</v>
      </c>
      <c r="AP413" s="19">
        <v>4791</v>
      </c>
      <c r="AQ413" s="19">
        <v>79619</v>
      </c>
      <c r="AR413" s="63"/>
      <c r="AS413" s="63"/>
      <c r="AT413" s="65">
        <f t="shared" si="32"/>
        <v>5040.2939999999999</v>
      </c>
      <c r="AU413" s="65">
        <f t="shared" si="33"/>
        <v>468.21600000000001</v>
      </c>
      <c r="AV413" s="65">
        <f t="shared" si="34"/>
        <v>201.22200000000001</v>
      </c>
      <c r="AW413" s="65">
        <f t="shared" si="35"/>
        <v>5219.4660000000003</v>
      </c>
      <c r="AX413" s="65">
        <f t="shared" si="35"/>
        <v>5642.5320000000002</v>
      </c>
      <c r="AY413" s="65">
        <f t="shared" si="31"/>
        <v>3343.998</v>
      </c>
      <c r="AZ413" s="19">
        <v>43483</v>
      </c>
      <c r="BA413" s="19">
        <v>48081</v>
      </c>
      <c r="BB413" s="19">
        <v>40147</v>
      </c>
      <c r="BC413" s="19">
        <v>7709</v>
      </c>
      <c r="BD413" s="19">
        <v>1631</v>
      </c>
      <c r="BE413" s="62"/>
      <c r="BF413" s="62"/>
      <c r="BG413" s="62"/>
      <c r="BH413" s="62"/>
      <c r="BI413" s="67">
        <v>60.44</v>
      </c>
      <c r="BJ413" s="67">
        <v>1.98</v>
      </c>
      <c r="BK413" s="67">
        <v>1.87</v>
      </c>
      <c r="BL413" s="67">
        <v>2</v>
      </c>
      <c r="BM413" s="62"/>
      <c r="BN413" s="62"/>
      <c r="BO413" s="62"/>
      <c r="BP413" s="62"/>
      <c r="BQ413" s="62"/>
      <c r="BR413" s="62"/>
      <c r="BS413" s="62"/>
      <c r="BT413" s="62"/>
      <c r="BU413" s="62"/>
      <c r="BV413" s="62"/>
      <c r="BW413" s="62"/>
      <c r="BX413" s="62"/>
      <c r="BY413" s="62"/>
      <c r="BZ413" s="62"/>
      <c r="CA413" s="62"/>
      <c r="CB413" s="62"/>
      <c r="CC413" s="62"/>
      <c r="CD413" s="62"/>
      <c r="CE413" s="62"/>
      <c r="CF413" s="62"/>
      <c r="CG413" s="62"/>
      <c r="CH413" s="62"/>
      <c r="CI413" s="62"/>
      <c r="CJ413" s="62"/>
      <c r="CK413" s="62"/>
      <c r="CL413" s="62"/>
      <c r="CM413" s="62"/>
      <c r="CN413" s="62"/>
      <c r="CO413" s="62"/>
      <c r="CP413" s="62"/>
      <c r="CQ413" s="62"/>
      <c r="CR413" s="62"/>
      <c r="CS413" s="62"/>
      <c r="CT413" s="62"/>
      <c r="CU413" s="62"/>
      <c r="CV413" s="62"/>
      <c r="CW413" s="62"/>
      <c r="CX413" s="62"/>
      <c r="CY413" s="62"/>
      <c r="CZ413" s="62"/>
      <c r="DA413" s="62"/>
      <c r="DB413" s="62"/>
      <c r="DC413" s="62"/>
      <c r="DD413" s="62"/>
      <c r="DE413" s="62"/>
      <c r="DF413" s="62"/>
      <c r="DG413" s="62"/>
      <c r="DH413" s="62"/>
      <c r="DI413" s="62"/>
      <c r="DJ413" s="62"/>
      <c r="DK413" s="62"/>
      <c r="DL413" s="62"/>
    </row>
    <row r="414" spans="1:116" x14ac:dyDescent="0.2">
      <c r="A414" s="57">
        <v>39173</v>
      </c>
      <c r="B414" s="58">
        <v>2007</v>
      </c>
      <c r="C414" s="66">
        <v>4.1559999999999997</v>
      </c>
      <c r="D414" s="62">
        <v>5.7000000000000002E-2</v>
      </c>
      <c r="E414" s="62">
        <v>764.88</v>
      </c>
      <c r="F414" s="62">
        <v>32.125</v>
      </c>
      <c r="G414" s="62">
        <v>4.0990000000000002</v>
      </c>
      <c r="H414" s="62">
        <v>185.55099999999999</v>
      </c>
      <c r="I414" s="62">
        <v>625.82299999999998</v>
      </c>
      <c r="J414" s="62">
        <v>-440.27199999999999</v>
      </c>
      <c r="K414" s="62"/>
      <c r="L414" s="62"/>
      <c r="M414" s="62">
        <v>324.608</v>
      </c>
      <c r="N414" s="62">
        <v>13.634</v>
      </c>
      <c r="O414" s="66">
        <v>1.74</v>
      </c>
      <c r="P414" s="61"/>
      <c r="Q414" s="62"/>
      <c r="R414" s="62"/>
      <c r="S414" s="62"/>
      <c r="T414" s="62"/>
      <c r="U414" s="62"/>
      <c r="V414" s="62"/>
      <c r="W414" s="62"/>
      <c r="X414" s="62"/>
      <c r="Y414" s="61"/>
      <c r="Z414" s="63"/>
      <c r="AA414" s="64" t="e">
        <v>#N/A</v>
      </c>
      <c r="AB414" s="62" t="e">
        <v>#N/A</v>
      </c>
      <c r="AC414" s="62" t="e">
        <v>#N/A</v>
      </c>
      <c r="AD414" s="62" t="e">
        <v>#N/A</v>
      </c>
      <c r="AE414" s="62" t="e">
        <v>#N/A</v>
      </c>
      <c r="AF414" s="62" t="e">
        <v>#N/A</v>
      </c>
      <c r="AG414" s="62" t="e">
        <v>#N/A</v>
      </c>
      <c r="AH414" s="62" t="e">
        <v>#N/A</v>
      </c>
      <c r="AI414" s="62" t="e">
        <v>#N/A</v>
      </c>
      <c r="AJ414" s="62" t="e">
        <v>#N/A</v>
      </c>
      <c r="AK414" s="64" t="e">
        <v>#N/A</v>
      </c>
      <c r="AL414" s="19">
        <v>123066</v>
      </c>
      <c r="AM414" s="19">
        <v>126421</v>
      </c>
      <c r="AN414" s="23">
        <v>9675</v>
      </c>
      <c r="AO414" s="19">
        <v>121311</v>
      </c>
      <c r="AP414" s="19">
        <v>5016</v>
      </c>
      <c r="AQ414" s="19">
        <v>82705</v>
      </c>
      <c r="AR414" s="63"/>
      <c r="AS414" s="63"/>
      <c r="AT414" s="65">
        <f t="shared" si="32"/>
        <v>5095.0619999999999</v>
      </c>
      <c r="AU414" s="65">
        <f t="shared" si="33"/>
        <v>406.35</v>
      </c>
      <c r="AV414" s="65">
        <f t="shared" si="34"/>
        <v>210.672</v>
      </c>
      <c r="AW414" s="65">
        <f t="shared" si="35"/>
        <v>5168.7719999999999</v>
      </c>
      <c r="AX414" s="65">
        <f t="shared" si="35"/>
        <v>5309.6819999999998</v>
      </c>
      <c r="AY414" s="65">
        <f t="shared" si="31"/>
        <v>3473.61</v>
      </c>
      <c r="AZ414" s="19">
        <v>41051</v>
      </c>
      <c r="BA414" s="19">
        <v>49396</v>
      </c>
      <c r="BB414" s="19">
        <v>40265</v>
      </c>
      <c r="BC414" s="19">
        <v>9487</v>
      </c>
      <c r="BD414" s="19">
        <v>1024</v>
      </c>
      <c r="BE414" s="62"/>
      <c r="BF414" s="62"/>
      <c r="BG414" s="62"/>
      <c r="BH414" s="62"/>
      <c r="BI414" s="67">
        <v>63.98</v>
      </c>
      <c r="BJ414" s="67">
        <v>2.12</v>
      </c>
      <c r="BK414" s="67">
        <v>2.04</v>
      </c>
      <c r="BL414" s="67">
        <v>2.2599999999999998</v>
      </c>
      <c r="BM414" s="62"/>
      <c r="BN414" s="62"/>
      <c r="BO414" s="62"/>
      <c r="BP414" s="62"/>
      <c r="BQ414" s="62"/>
      <c r="BR414" s="62"/>
      <c r="BS414" s="62"/>
      <c r="BT414" s="62"/>
      <c r="BU414" s="62"/>
      <c r="BV414" s="62"/>
      <c r="BW414" s="62"/>
      <c r="BX414" s="62"/>
      <c r="BY414" s="62"/>
      <c r="BZ414" s="62"/>
      <c r="CA414" s="62"/>
      <c r="CB414" s="62"/>
      <c r="CC414" s="62"/>
      <c r="CD414" s="62"/>
      <c r="CE414" s="62"/>
      <c r="CF414" s="62"/>
      <c r="CG414" s="62"/>
      <c r="CH414" s="62"/>
      <c r="CI414" s="62"/>
      <c r="CJ414" s="62"/>
      <c r="CK414" s="62"/>
      <c r="CL414" s="62"/>
      <c r="CM414" s="62"/>
      <c r="CN414" s="62"/>
      <c r="CO414" s="62"/>
      <c r="CP414" s="62"/>
      <c r="CQ414" s="62"/>
      <c r="CR414" s="62"/>
      <c r="CS414" s="62"/>
      <c r="CT414" s="62"/>
      <c r="CU414" s="62"/>
      <c r="CV414" s="62"/>
      <c r="CW414" s="62"/>
      <c r="CX414" s="62"/>
      <c r="CY414" s="62"/>
      <c r="CZ414" s="62"/>
      <c r="DA414" s="62"/>
      <c r="DB414" s="62"/>
      <c r="DC414" s="62"/>
      <c r="DD414" s="62"/>
      <c r="DE414" s="62"/>
      <c r="DF414" s="62"/>
      <c r="DG414" s="62"/>
      <c r="DH414" s="62"/>
      <c r="DI414" s="62"/>
      <c r="DJ414" s="62"/>
      <c r="DK414" s="62"/>
      <c r="DL414" s="62"/>
    </row>
    <row r="415" spans="1:116" x14ac:dyDescent="0.2">
      <c r="A415" s="57">
        <v>39203</v>
      </c>
      <c r="B415" s="58">
        <v>2007</v>
      </c>
      <c r="C415" s="66">
        <v>5.2050000000000001</v>
      </c>
      <c r="D415" s="62">
        <v>7.0999999999999994E-2</v>
      </c>
      <c r="E415" s="62">
        <v>958.09199999999998</v>
      </c>
      <c r="F415" s="62">
        <v>40.24</v>
      </c>
      <c r="G415" s="62">
        <v>5.1340000000000003</v>
      </c>
      <c r="H415" s="62">
        <v>113.90900000000001</v>
      </c>
      <c r="I415" s="62">
        <v>560.83900000000006</v>
      </c>
      <c r="J415" s="62">
        <v>-446.92899999999997</v>
      </c>
      <c r="K415" s="62"/>
      <c r="L415" s="62"/>
      <c r="M415" s="62">
        <v>511.16300000000001</v>
      </c>
      <c r="N415" s="62">
        <v>21.469000000000001</v>
      </c>
      <c r="O415" s="66">
        <v>2.7389999999999999</v>
      </c>
      <c r="P415" s="61"/>
      <c r="Q415" s="62"/>
      <c r="R415" s="62"/>
      <c r="S415" s="62"/>
      <c r="T415" s="62"/>
      <c r="U415" s="62"/>
      <c r="V415" s="62"/>
      <c r="W415" s="62"/>
      <c r="X415" s="62"/>
      <c r="Y415" s="61"/>
      <c r="Z415" s="63"/>
      <c r="AA415" s="64" t="e">
        <v>#N/A</v>
      </c>
      <c r="AB415" s="62" t="e">
        <v>#N/A</v>
      </c>
      <c r="AC415" s="62" t="e">
        <v>#N/A</v>
      </c>
      <c r="AD415" s="62" t="e">
        <v>#N/A</v>
      </c>
      <c r="AE415" s="62" t="e">
        <v>#N/A</v>
      </c>
      <c r="AF415" s="62" t="e">
        <v>#N/A</v>
      </c>
      <c r="AG415" s="62" t="e">
        <v>#N/A</v>
      </c>
      <c r="AH415" s="62" t="e">
        <v>#N/A</v>
      </c>
      <c r="AI415" s="62" t="e">
        <v>#N/A</v>
      </c>
      <c r="AJ415" s="62" t="e">
        <v>#N/A</v>
      </c>
      <c r="AK415" s="64" t="e">
        <v>#N/A</v>
      </c>
      <c r="AL415" s="19">
        <v>128410</v>
      </c>
      <c r="AM415" s="19">
        <v>126107</v>
      </c>
      <c r="AN415" s="23">
        <v>8497</v>
      </c>
      <c r="AO415" s="19">
        <v>125083</v>
      </c>
      <c r="AP415" s="19">
        <v>7028</v>
      </c>
      <c r="AQ415" s="19">
        <v>88047</v>
      </c>
      <c r="AR415" s="63"/>
      <c r="AS415" s="63"/>
      <c r="AT415" s="65">
        <f t="shared" si="32"/>
        <v>5253.4859999999999</v>
      </c>
      <c r="AU415" s="65">
        <f t="shared" si="33"/>
        <v>356.87400000000002</v>
      </c>
      <c r="AV415" s="65">
        <f t="shared" si="34"/>
        <v>295.17599999999999</v>
      </c>
      <c r="AW415" s="65">
        <f t="shared" si="35"/>
        <v>5393.22</v>
      </c>
      <c r="AX415" s="65">
        <f t="shared" si="35"/>
        <v>5296.4939999999997</v>
      </c>
      <c r="AY415" s="65">
        <f t="shared" si="31"/>
        <v>3697.9740000000002</v>
      </c>
      <c r="AZ415" s="19">
        <v>44972</v>
      </c>
      <c r="BA415" s="19">
        <v>50160</v>
      </c>
      <c r="BB415" s="19">
        <v>41498</v>
      </c>
      <c r="BC415" s="19">
        <v>7023</v>
      </c>
      <c r="BD415" s="19">
        <v>602</v>
      </c>
      <c r="BE415" s="62"/>
      <c r="BF415" s="62"/>
      <c r="BG415" s="62"/>
      <c r="BH415" s="62"/>
      <c r="BI415" s="67">
        <v>63.45</v>
      </c>
      <c r="BJ415" s="67">
        <v>2.1</v>
      </c>
      <c r="BK415" s="67">
        <v>2.1</v>
      </c>
      <c r="BL415" s="67">
        <v>2.5</v>
      </c>
      <c r="BM415" s="62"/>
      <c r="BN415" s="62"/>
      <c r="BO415" s="62"/>
      <c r="BP415" s="62"/>
      <c r="BQ415" s="62"/>
      <c r="BR415" s="62"/>
      <c r="BS415" s="62"/>
      <c r="BT415" s="62"/>
      <c r="BU415" s="62"/>
      <c r="BV415" s="62"/>
      <c r="BW415" s="62"/>
      <c r="BX415" s="62"/>
      <c r="BY415" s="62"/>
      <c r="BZ415" s="62"/>
      <c r="CA415" s="62"/>
      <c r="CB415" s="62"/>
      <c r="CC415" s="62"/>
      <c r="CD415" s="62"/>
      <c r="CE415" s="62"/>
      <c r="CF415" s="62"/>
      <c r="CG415" s="62"/>
      <c r="CH415" s="62"/>
      <c r="CI415" s="62"/>
      <c r="CJ415" s="62"/>
      <c r="CK415" s="62"/>
      <c r="CL415" s="62"/>
      <c r="CM415" s="62"/>
      <c r="CN415" s="62"/>
      <c r="CO415" s="62"/>
      <c r="CP415" s="62"/>
      <c r="CQ415" s="62"/>
      <c r="CR415" s="62"/>
      <c r="CS415" s="62"/>
      <c r="CT415" s="62"/>
      <c r="CU415" s="62"/>
      <c r="CV415" s="62"/>
      <c r="CW415" s="62"/>
      <c r="CX415" s="62"/>
      <c r="CY415" s="62"/>
      <c r="CZ415" s="62"/>
      <c r="DA415" s="62"/>
      <c r="DB415" s="62"/>
      <c r="DC415" s="62"/>
      <c r="DD415" s="62"/>
      <c r="DE415" s="62"/>
      <c r="DF415" s="62"/>
      <c r="DG415" s="62"/>
      <c r="DH415" s="62"/>
      <c r="DI415" s="62"/>
      <c r="DJ415" s="62"/>
      <c r="DK415" s="62"/>
      <c r="DL415" s="62"/>
    </row>
    <row r="416" spans="1:116" x14ac:dyDescent="0.2">
      <c r="A416" s="57">
        <v>39234</v>
      </c>
      <c r="B416" s="58">
        <v>2007</v>
      </c>
      <c r="C416" s="66">
        <v>5.1210000000000004</v>
      </c>
      <c r="D416" s="62">
        <v>7.0000000000000007E-2</v>
      </c>
      <c r="E416" s="62">
        <v>942.60799999999995</v>
      </c>
      <c r="F416" s="62">
        <v>39.590000000000003</v>
      </c>
      <c r="G416" s="62">
        <v>5.0510000000000002</v>
      </c>
      <c r="H416" s="62">
        <v>376.42500000000001</v>
      </c>
      <c r="I416" s="62">
        <v>432.02100000000002</v>
      </c>
      <c r="J416" s="62">
        <v>-55.597000000000001</v>
      </c>
      <c r="K416" s="62"/>
      <c r="L416" s="62"/>
      <c r="M416" s="62">
        <v>887.01199999999994</v>
      </c>
      <c r="N416" s="62">
        <v>37.253999999999998</v>
      </c>
      <c r="O416" s="66">
        <v>4.7530000000000001</v>
      </c>
      <c r="P416" s="61"/>
      <c r="Q416" s="62"/>
      <c r="R416" s="62"/>
      <c r="S416" s="62"/>
      <c r="T416" s="62"/>
      <c r="U416" s="62"/>
      <c r="V416" s="62"/>
      <c r="W416" s="62"/>
      <c r="X416" s="62"/>
      <c r="Y416" s="61"/>
      <c r="Z416" s="63"/>
      <c r="AA416" s="64" t="e">
        <v>#N/A</v>
      </c>
      <c r="AB416" s="62" t="e">
        <v>#N/A</v>
      </c>
      <c r="AC416" s="62" t="e">
        <v>#N/A</v>
      </c>
      <c r="AD416" s="62" t="e">
        <v>#N/A</v>
      </c>
      <c r="AE416" s="62" t="e">
        <v>#N/A</v>
      </c>
      <c r="AF416" s="62" t="e">
        <v>#N/A</v>
      </c>
      <c r="AG416" s="62" t="e">
        <v>#N/A</v>
      </c>
      <c r="AH416" s="62" t="e">
        <v>#N/A</v>
      </c>
      <c r="AI416" s="62" t="e">
        <v>#N/A</v>
      </c>
      <c r="AJ416" s="62" t="e">
        <v>#N/A</v>
      </c>
      <c r="AK416" s="64" t="e">
        <v>#N/A</v>
      </c>
      <c r="AL416" s="19">
        <v>121486</v>
      </c>
      <c r="AM416" s="19">
        <v>123429</v>
      </c>
      <c r="AN416" s="23">
        <v>8201</v>
      </c>
      <c r="AO416" s="19">
        <v>123800</v>
      </c>
      <c r="AP416" s="19">
        <v>7541</v>
      </c>
      <c r="AQ416" s="19">
        <v>85766</v>
      </c>
      <c r="AR416" s="63"/>
      <c r="AS416" s="63"/>
      <c r="AT416" s="65">
        <f t="shared" si="32"/>
        <v>5199.6000000000004</v>
      </c>
      <c r="AU416" s="65">
        <f t="shared" si="33"/>
        <v>344.44200000000001</v>
      </c>
      <c r="AV416" s="65">
        <f t="shared" si="34"/>
        <v>316.72199999999998</v>
      </c>
      <c r="AW416" s="65">
        <f t="shared" si="35"/>
        <v>5102.4120000000003</v>
      </c>
      <c r="AX416" s="65">
        <f t="shared" si="35"/>
        <v>5184.018</v>
      </c>
      <c r="AY416" s="65">
        <f t="shared" si="31"/>
        <v>3602.172</v>
      </c>
      <c r="AZ416" s="19">
        <v>43772</v>
      </c>
      <c r="BA416" s="19">
        <v>49881</v>
      </c>
      <c r="BB416" s="19">
        <v>41087</v>
      </c>
      <c r="BC416" s="19">
        <v>6452</v>
      </c>
      <c r="BD416" s="19">
        <v>754</v>
      </c>
      <c r="BE416" s="62"/>
      <c r="BF416" s="62"/>
      <c r="BG416" s="62"/>
      <c r="BH416" s="62"/>
      <c r="BI416" s="67">
        <v>67.489999999999995</v>
      </c>
      <c r="BJ416" s="67">
        <v>2.15</v>
      </c>
      <c r="BK416" s="67">
        <v>2.13</v>
      </c>
      <c r="BL416" s="67">
        <v>2.36</v>
      </c>
      <c r="BM416" s="62"/>
      <c r="BN416" s="62"/>
      <c r="BO416" s="62"/>
      <c r="BP416" s="62"/>
      <c r="BQ416" s="62"/>
      <c r="BR416" s="62"/>
      <c r="BS416" s="62"/>
      <c r="BT416" s="62"/>
      <c r="BU416" s="62"/>
      <c r="BV416" s="62"/>
      <c r="BW416" s="62"/>
      <c r="BX416" s="62"/>
      <c r="BY416" s="62"/>
      <c r="BZ416" s="62"/>
      <c r="CA416" s="62"/>
      <c r="CB416" s="62"/>
      <c r="CC416" s="62"/>
      <c r="CD416" s="62"/>
      <c r="CE416" s="62"/>
      <c r="CF416" s="62"/>
      <c r="CG416" s="62"/>
      <c r="CH416" s="62"/>
      <c r="CI416" s="62"/>
      <c r="CJ416" s="62"/>
      <c r="CK416" s="62"/>
      <c r="CL416" s="62"/>
      <c r="CM416" s="62"/>
      <c r="CN416" s="62"/>
      <c r="CO416" s="62"/>
      <c r="CP416" s="62"/>
      <c r="CQ416" s="62"/>
      <c r="CR416" s="62"/>
      <c r="CS416" s="62"/>
      <c r="CT416" s="62"/>
      <c r="CU416" s="62"/>
      <c r="CV416" s="62"/>
      <c r="CW416" s="62"/>
      <c r="CX416" s="62"/>
      <c r="CY416" s="62"/>
      <c r="CZ416" s="62"/>
      <c r="DA416" s="62"/>
      <c r="DB416" s="62"/>
      <c r="DC416" s="62"/>
      <c r="DD416" s="62"/>
      <c r="DE416" s="62"/>
      <c r="DF416" s="62"/>
      <c r="DG416" s="62"/>
      <c r="DH416" s="62"/>
      <c r="DI416" s="62"/>
      <c r="DJ416" s="62"/>
      <c r="DK416" s="62"/>
      <c r="DL416" s="62"/>
    </row>
    <row r="417" spans="1:116" x14ac:dyDescent="0.2">
      <c r="A417" s="57">
        <v>39264</v>
      </c>
      <c r="B417" s="58">
        <v>2007</v>
      </c>
      <c r="C417" s="66">
        <v>6.7220000000000004</v>
      </c>
      <c r="D417" s="62">
        <v>9.1999999999999998E-2</v>
      </c>
      <c r="E417" s="62">
        <v>1237.2329999999999</v>
      </c>
      <c r="F417" s="62">
        <v>51.963999999999999</v>
      </c>
      <c r="G417" s="62">
        <v>6.63</v>
      </c>
      <c r="H417" s="62">
        <v>278.49</v>
      </c>
      <c r="I417" s="62">
        <v>925.56299999999999</v>
      </c>
      <c r="J417" s="62">
        <v>-647.07399999999996</v>
      </c>
      <c r="K417" s="62"/>
      <c r="L417" s="62"/>
      <c r="M417" s="62">
        <v>590.16</v>
      </c>
      <c r="N417" s="62">
        <v>24.786999999999999</v>
      </c>
      <c r="O417" s="66">
        <v>3.1629999999999998</v>
      </c>
      <c r="P417" s="61"/>
      <c r="Q417" s="62"/>
      <c r="R417" s="62"/>
      <c r="S417" s="62"/>
      <c r="T417" s="62"/>
      <c r="U417" s="62"/>
      <c r="V417" s="62"/>
      <c r="W417" s="62"/>
      <c r="X417" s="62"/>
      <c r="Y417" s="61"/>
      <c r="Z417" s="63"/>
      <c r="AA417" s="64" t="e">
        <v>#N/A</v>
      </c>
      <c r="AB417" s="62" t="e">
        <v>#N/A</v>
      </c>
      <c r="AC417" s="62" t="e">
        <v>#N/A</v>
      </c>
      <c r="AD417" s="62" t="e">
        <v>#N/A</v>
      </c>
      <c r="AE417" s="62" t="e">
        <v>#N/A</v>
      </c>
      <c r="AF417" s="62" t="e">
        <v>#N/A</v>
      </c>
      <c r="AG417" s="62" t="e">
        <v>#N/A</v>
      </c>
      <c r="AH417" s="62" t="e">
        <v>#N/A</v>
      </c>
      <c r="AI417" s="62" t="e">
        <v>#N/A</v>
      </c>
      <c r="AJ417" s="62" t="e">
        <v>#N/A</v>
      </c>
      <c r="AK417" s="64" t="e">
        <v>#N/A</v>
      </c>
      <c r="AL417" s="19">
        <v>128505</v>
      </c>
      <c r="AM417" s="19">
        <v>124811</v>
      </c>
      <c r="AN417" s="23">
        <v>10386</v>
      </c>
      <c r="AO417" s="19">
        <v>130297</v>
      </c>
      <c r="AP417" s="19">
        <v>7583</v>
      </c>
      <c r="AQ417" s="19">
        <v>88436</v>
      </c>
      <c r="AR417" s="63"/>
      <c r="AS417" s="63"/>
      <c r="AT417" s="65">
        <f t="shared" si="32"/>
        <v>5472.4740000000002</v>
      </c>
      <c r="AU417" s="65">
        <f t="shared" si="33"/>
        <v>436.21199999999999</v>
      </c>
      <c r="AV417" s="65">
        <f t="shared" si="34"/>
        <v>318.48599999999999</v>
      </c>
      <c r="AW417" s="65">
        <f t="shared" si="35"/>
        <v>5397.21</v>
      </c>
      <c r="AX417" s="65">
        <f t="shared" si="35"/>
        <v>5242.0619999999999</v>
      </c>
      <c r="AY417" s="65">
        <f t="shared" si="31"/>
        <v>3714.3119999999999</v>
      </c>
      <c r="AZ417" s="19">
        <v>45993</v>
      </c>
      <c r="BA417" s="19">
        <v>51598</v>
      </c>
      <c r="BB417" s="19">
        <v>42007</v>
      </c>
      <c r="BC417" s="19">
        <v>8166</v>
      </c>
      <c r="BD417" s="19">
        <v>1641</v>
      </c>
      <c r="BE417" s="62"/>
      <c r="BF417" s="62"/>
      <c r="BG417" s="62"/>
      <c r="BH417" s="62"/>
      <c r="BI417" s="67">
        <v>74.12</v>
      </c>
      <c r="BJ417" s="67">
        <v>2.2200000000000002</v>
      </c>
      <c r="BK417" s="67">
        <v>2.19</v>
      </c>
      <c r="BL417" s="67">
        <v>2.31</v>
      </c>
      <c r="BM417" s="62"/>
      <c r="BN417" s="62"/>
      <c r="BO417" s="62"/>
      <c r="BP417" s="62"/>
      <c r="BQ417" s="62"/>
      <c r="BR417" s="62"/>
      <c r="BS417" s="62"/>
      <c r="BT417" s="62"/>
      <c r="BU417" s="62"/>
      <c r="BV417" s="62"/>
      <c r="BW417" s="62"/>
      <c r="BX417" s="62"/>
      <c r="BY417" s="62"/>
      <c r="BZ417" s="62"/>
      <c r="CA417" s="62"/>
      <c r="CB417" s="62"/>
      <c r="CC417" s="62"/>
      <c r="CD417" s="62"/>
      <c r="CE417" s="62"/>
      <c r="CF417" s="62"/>
      <c r="CG417" s="62"/>
      <c r="CH417" s="62"/>
      <c r="CI417" s="62"/>
      <c r="CJ417" s="62"/>
      <c r="CK417" s="62"/>
      <c r="CL417" s="62"/>
      <c r="CM417" s="62"/>
      <c r="CN417" s="62"/>
      <c r="CO417" s="62"/>
      <c r="CP417" s="62"/>
      <c r="CQ417" s="62"/>
      <c r="CR417" s="62"/>
      <c r="CS417" s="62"/>
      <c r="CT417" s="62"/>
      <c r="CU417" s="62"/>
      <c r="CV417" s="62"/>
      <c r="CW417" s="62"/>
      <c r="CX417" s="62"/>
      <c r="CY417" s="62"/>
      <c r="CZ417" s="62"/>
      <c r="DA417" s="62"/>
      <c r="DB417" s="62"/>
      <c r="DC417" s="62"/>
      <c r="DD417" s="62"/>
      <c r="DE417" s="62"/>
      <c r="DF417" s="62"/>
      <c r="DG417" s="62"/>
      <c r="DH417" s="62"/>
      <c r="DI417" s="62"/>
      <c r="DJ417" s="62"/>
      <c r="DK417" s="62"/>
      <c r="DL417" s="62"/>
    </row>
    <row r="418" spans="1:116" x14ac:dyDescent="0.2">
      <c r="A418" s="57">
        <v>39295</v>
      </c>
      <c r="B418" s="58">
        <v>2007</v>
      </c>
      <c r="C418" s="66">
        <v>7.0510000000000002</v>
      </c>
      <c r="D418" s="62">
        <v>9.6000000000000002E-2</v>
      </c>
      <c r="E418" s="62">
        <v>1297.8520000000001</v>
      </c>
      <c r="F418" s="62">
        <v>54.51</v>
      </c>
      <c r="G418" s="62">
        <v>6.9550000000000001</v>
      </c>
      <c r="H418" s="62">
        <v>422.36399999999998</v>
      </c>
      <c r="I418" s="62">
        <v>666.22500000000002</v>
      </c>
      <c r="J418" s="62">
        <v>-243.86199999999999</v>
      </c>
      <c r="K418" s="62"/>
      <c r="L418" s="62"/>
      <c r="M418" s="62">
        <v>1053.991</v>
      </c>
      <c r="N418" s="62">
        <v>44.268000000000001</v>
      </c>
      <c r="O418" s="66">
        <v>5.6479999999999997</v>
      </c>
      <c r="P418" s="61"/>
      <c r="Q418" s="62"/>
      <c r="R418" s="62"/>
      <c r="S418" s="62"/>
      <c r="T418" s="62"/>
      <c r="U418" s="62"/>
      <c r="V418" s="62"/>
      <c r="W418" s="62"/>
      <c r="X418" s="62"/>
      <c r="Y418" s="61"/>
      <c r="Z418" s="63"/>
      <c r="AA418" s="64" t="e">
        <v>#N/A</v>
      </c>
      <c r="AB418" s="62" t="e">
        <v>#N/A</v>
      </c>
      <c r="AC418" s="62" t="e">
        <v>#N/A</v>
      </c>
      <c r="AD418" s="62" t="e">
        <v>#N/A</v>
      </c>
      <c r="AE418" s="62" t="e">
        <v>#N/A</v>
      </c>
      <c r="AF418" s="62" t="e">
        <v>#N/A</v>
      </c>
      <c r="AG418" s="62" t="e">
        <v>#N/A</v>
      </c>
      <c r="AH418" s="62" t="e">
        <v>#N/A</v>
      </c>
      <c r="AI418" s="62" t="e">
        <v>#N/A</v>
      </c>
      <c r="AJ418" s="62" t="e">
        <v>#N/A</v>
      </c>
      <c r="AK418" s="64" t="e">
        <v>#N/A</v>
      </c>
      <c r="AL418" s="19">
        <v>131569</v>
      </c>
      <c r="AM418" s="19">
        <v>128516</v>
      </c>
      <c r="AN418" s="23">
        <v>10968</v>
      </c>
      <c r="AO418" s="19">
        <v>134569</v>
      </c>
      <c r="AP418" s="19">
        <v>9749</v>
      </c>
      <c r="AQ418" s="19">
        <v>92815</v>
      </c>
      <c r="AR418" s="63"/>
      <c r="AS418" s="63"/>
      <c r="AT418" s="65">
        <f t="shared" si="32"/>
        <v>5651.8980000000001</v>
      </c>
      <c r="AU418" s="65">
        <f t="shared" si="33"/>
        <v>460.65600000000001</v>
      </c>
      <c r="AV418" s="65">
        <f t="shared" si="34"/>
        <v>409.45800000000003</v>
      </c>
      <c r="AW418" s="65">
        <f t="shared" si="35"/>
        <v>5525.8980000000001</v>
      </c>
      <c r="AX418" s="65">
        <f t="shared" si="35"/>
        <v>5397.6719999999996</v>
      </c>
      <c r="AY418" s="65">
        <f t="shared" si="31"/>
        <v>3898.23</v>
      </c>
      <c r="AZ418" s="19">
        <v>45577</v>
      </c>
      <c r="BA418" s="19">
        <v>52806</v>
      </c>
      <c r="BB418" s="19">
        <v>40973</v>
      </c>
      <c r="BC418" s="19">
        <v>7021</v>
      </c>
      <c r="BD418" s="19">
        <v>826</v>
      </c>
      <c r="BE418" s="62"/>
      <c r="BF418" s="62"/>
      <c r="BG418" s="62"/>
      <c r="BH418" s="62"/>
      <c r="BI418" s="67">
        <v>72.36</v>
      </c>
      <c r="BJ418" s="67">
        <v>2.19</v>
      </c>
      <c r="BK418" s="67">
        <v>2.16</v>
      </c>
      <c r="BL418" s="67">
        <v>2.15</v>
      </c>
      <c r="BM418" s="62"/>
      <c r="BN418" s="62"/>
      <c r="BO418" s="62"/>
      <c r="BP418" s="62"/>
      <c r="BQ418" s="62"/>
      <c r="BR418" s="62"/>
      <c r="BS418" s="62"/>
      <c r="BT418" s="62"/>
      <c r="BU418" s="62"/>
      <c r="BV418" s="62"/>
      <c r="BW418" s="62"/>
      <c r="BX418" s="62"/>
      <c r="BY418" s="62"/>
      <c r="BZ418" s="62"/>
      <c r="CA418" s="62"/>
      <c r="CB418" s="62"/>
      <c r="CC418" s="62"/>
      <c r="CD418" s="62"/>
      <c r="CE418" s="62"/>
      <c r="CF418" s="62"/>
      <c r="CG418" s="62"/>
      <c r="CH418" s="62"/>
      <c r="CI418" s="62"/>
      <c r="CJ418" s="62"/>
      <c r="CK418" s="62"/>
      <c r="CL418" s="62"/>
      <c r="CM418" s="62"/>
      <c r="CN418" s="62"/>
      <c r="CO418" s="62"/>
      <c r="CP418" s="62"/>
      <c r="CQ418" s="62"/>
      <c r="CR418" s="62"/>
      <c r="CS418" s="62"/>
      <c r="CT418" s="62"/>
      <c r="CU418" s="62"/>
      <c r="CV418" s="62"/>
      <c r="CW418" s="62"/>
      <c r="CX418" s="62"/>
      <c r="CY418" s="62"/>
      <c r="CZ418" s="62"/>
      <c r="DA418" s="62"/>
      <c r="DB418" s="62"/>
      <c r="DC418" s="62"/>
      <c r="DD418" s="62"/>
      <c r="DE418" s="62"/>
      <c r="DF418" s="62"/>
      <c r="DG418" s="62"/>
      <c r="DH418" s="62"/>
      <c r="DI418" s="62"/>
      <c r="DJ418" s="62"/>
      <c r="DK418" s="62"/>
      <c r="DL418" s="62"/>
    </row>
    <row r="419" spans="1:116" x14ac:dyDescent="0.2">
      <c r="A419" s="57">
        <v>39326</v>
      </c>
      <c r="B419" s="58">
        <v>2007</v>
      </c>
      <c r="C419" s="66">
        <v>6.6479999999999997</v>
      </c>
      <c r="D419" s="62">
        <v>9.0999999999999998E-2</v>
      </c>
      <c r="E419" s="62">
        <v>1223.6659999999999</v>
      </c>
      <c r="F419" s="62">
        <v>51.393999999999998</v>
      </c>
      <c r="G419" s="62">
        <v>6.5579999999999998</v>
      </c>
      <c r="H419" s="62">
        <v>309.56099999999998</v>
      </c>
      <c r="I419" s="62">
        <v>532.12599999999998</v>
      </c>
      <c r="J419" s="62">
        <v>-222.565</v>
      </c>
      <c r="K419" s="62"/>
      <c r="L419" s="62"/>
      <c r="M419" s="62">
        <v>1001.101</v>
      </c>
      <c r="N419" s="62">
        <v>42.045999999999999</v>
      </c>
      <c r="O419" s="66">
        <v>5.3650000000000002</v>
      </c>
      <c r="P419" s="61"/>
      <c r="Q419" s="62"/>
      <c r="R419" s="62"/>
      <c r="S419" s="62"/>
      <c r="T419" s="62"/>
      <c r="U419" s="62"/>
      <c r="V419" s="62"/>
      <c r="W419" s="62"/>
      <c r="X419" s="62"/>
      <c r="Y419" s="61"/>
      <c r="Z419" s="63"/>
      <c r="AA419" s="64" t="e">
        <v>#N/A</v>
      </c>
      <c r="AB419" s="62" t="e">
        <v>#N/A</v>
      </c>
      <c r="AC419" s="62" t="e">
        <v>#N/A</v>
      </c>
      <c r="AD419" s="62" t="e">
        <v>#N/A</v>
      </c>
      <c r="AE419" s="62" t="e">
        <v>#N/A</v>
      </c>
      <c r="AF419" s="62" t="e">
        <v>#N/A</v>
      </c>
      <c r="AG419" s="62" t="e">
        <v>#N/A</v>
      </c>
      <c r="AH419" s="62" t="e">
        <v>#N/A</v>
      </c>
      <c r="AI419" s="62" t="e">
        <v>#N/A</v>
      </c>
      <c r="AJ419" s="62" t="e">
        <v>#N/A</v>
      </c>
      <c r="AK419" s="64" t="e">
        <v>#N/A</v>
      </c>
      <c r="AL419" s="19">
        <v>124744</v>
      </c>
      <c r="AM419" s="19">
        <v>124818</v>
      </c>
      <c r="AN419" s="23">
        <v>8086</v>
      </c>
      <c r="AO419" s="19">
        <v>134236</v>
      </c>
      <c r="AP419" s="19">
        <v>8345</v>
      </c>
      <c r="AQ419" s="19">
        <v>87567</v>
      </c>
      <c r="AR419" s="63"/>
      <c r="AS419" s="63"/>
      <c r="AT419" s="65">
        <f t="shared" si="32"/>
        <v>5637.9120000000003</v>
      </c>
      <c r="AU419" s="65">
        <f t="shared" si="33"/>
        <v>339.61200000000002</v>
      </c>
      <c r="AV419" s="65">
        <f t="shared" si="34"/>
        <v>350.49</v>
      </c>
      <c r="AW419" s="65">
        <f t="shared" si="35"/>
        <v>5239.2479999999996</v>
      </c>
      <c r="AX419" s="65">
        <f t="shared" si="35"/>
        <v>5242.3559999999998</v>
      </c>
      <c r="AY419" s="65">
        <f t="shared" si="31"/>
        <v>3677.8139999999999</v>
      </c>
      <c r="AZ419" s="19">
        <v>43086</v>
      </c>
      <c r="BA419" s="19">
        <v>45986</v>
      </c>
      <c r="BB419" s="19">
        <v>42884</v>
      </c>
      <c r="BC419" s="19">
        <v>6068</v>
      </c>
      <c r="BD419" s="19">
        <v>1257</v>
      </c>
      <c r="BE419" s="62"/>
      <c r="BF419" s="62"/>
      <c r="BG419" s="62"/>
      <c r="BH419" s="62"/>
      <c r="BI419" s="67">
        <v>79.92</v>
      </c>
      <c r="BJ419" s="67">
        <v>2.3199999999999998</v>
      </c>
      <c r="BK419" s="67">
        <v>2.25</v>
      </c>
      <c r="BL419" s="67">
        <v>2.19</v>
      </c>
      <c r="BM419" s="62"/>
      <c r="BN419" s="62"/>
      <c r="BO419" s="62"/>
      <c r="BP419" s="62"/>
      <c r="BQ419" s="62"/>
      <c r="BR419" s="62"/>
      <c r="BS419" s="62"/>
      <c r="BT419" s="62"/>
      <c r="BU419" s="62"/>
      <c r="BV419" s="62"/>
      <c r="BW419" s="62"/>
      <c r="BX419" s="62"/>
      <c r="BY419" s="62"/>
      <c r="BZ419" s="62"/>
      <c r="CA419" s="62"/>
      <c r="CB419" s="62"/>
      <c r="CC419" s="62"/>
      <c r="CD419" s="62"/>
      <c r="CE419" s="62"/>
      <c r="CF419" s="62"/>
      <c r="CG419" s="62"/>
      <c r="CH419" s="62"/>
      <c r="CI419" s="62"/>
      <c r="CJ419" s="62"/>
      <c r="CK419" s="62"/>
      <c r="CL419" s="62"/>
      <c r="CM419" s="62"/>
      <c r="CN419" s="62"/>
      <c r="CO419" s="62"/>
      <c r="CP419" s="62"/>
      <c r="CQ419" s="62"/>
      <c r="CR419" s="62"/>
      <c r="CS419" s="62"/>
      <c r="CT419" s="62"/>
      <c r="CU419" s="62"/>
      <c r="CV419" s="62"/>
      <c r="CW419" s="62"/>
      <c r="CX419" s="62"/>
      <c r="CY419" s="62"/>
      <c r="CZ419" s="62"/>
      <c r="DA419" s="62"/>
      <c r="DB419" s="62"/>
      <c r="DC419" s="62"/>
      <c r="DD419" s="62"/>
      <c r="DE419" s="62"/>
      <c r="DF419" s="62"/>
      <c r="DG419" s="62"/>
      <c r="DH419" s="62"/>
      <c r="DI419" s="62"/>
      <c r="DJ419" s="62"/>
      <c r="DK419" s="62"/>
      <c r="DL419" s="62"/>
    </row>
    <row r="420" spans="1:116" x14ac:dyDescent="0.2">
      <c r="A420" s="57">
        <v>39356</v>
      </c>
      <c r="B420" s="58">
        <v>2007</v>
      </c>
      <c r="C420" s="66">
        <v>6.4530000000000003</v>
      </c>
      <c r="D420" s="62">
        <v>8.7999999999999995E-2</v>
      </c>
      <c r="E420" s="62">
        <v>1187.8</v>
      </c>
      <c r="F420" s="62">
        <v>49.887999999999998</v>
      </c>
      <c r="G420" s="62">
        <v>6.3650000000000002</v>
      </c>
      <c r="H420" s="62">
        <v>442.459</v>
      </c>
      <c r="I420" s="62">
        <v>602.47299999999996</v>
      </c>
      <c r="J420" s="62">
        <v>-160.01400000000001</v>
      </c>
      <c r="K420" s="62"/>
      <c r="L420" s="62"/>
      <c r="M420" s="62">
        <v>1027.7860000000001</v>
      </c>
      <c r="N420" s="62">
        <v>43.167000000000002</v>
      </c>
      <c r="O420" s="66">
        <v>5.508</v>
      </c>
      <c r="P420" s="61"/>
      <c r="Q420" s="62"/>
      <c r="R420" s="62"/>
      <c r="S420" s="62"/>
      <c r="T420" s="62"/>
      <c r="U420" s="62"/>
      <c r="V420" s="62"/>
      <c r="W420" s="62"/>
      <c r="X420" s="62"/>
      <c r="Y420" s="61"/>
      <c r="Z420" s="63"/>
      <c r="AA420" s="64" t="e">
        <v>#N/A</v>
      </c>
      <c r="AB420" s="62" t="e">
        <v>#N/A</v>
      </c>
      <c r="AC420" s="62" t="e">
        <v>#N/A</v>
      </c>
      <c r="AD420" s="62" t="e">
        <v>#N/A</v>
      </c>
      <c r="AE420" s="62" t="e">
        <v>#N/A</v>
      </c>
      <c r="AF420" s="62" t="e">
        <v>#N/A</v>
      </c>
      <c r="AG420" s="62" t="e">
        <v>#N/A</v>
      </c>
      <c r="AH420" s="62" t="e">
        <v>#N/A</v>
      </c>
      <c r="AI420" s="62" t="e">
        <v>#N/A</v>
      </c>
      <c r="AJ420" s="62" t="e">
        <v>#N/A</v>
      </c>
      <c r="AK420" s="64" t="e">
        <v>#N/A</v>
      </c>
      <c r="AL420" s="19">
        <v>130449</v>
      </c>
      <c r="AM420" s="19">
        <v>130601</v>
      </c>
      <c r="AN420" s="23">
        <v>8940</v>
      </c>
      <c r="AO420" s="19">
        <v>134431</v>
      </c>
      <c r="AP420" s="19">
        <v>8593</v>
      </c>
      <c r="AQ420" s="19">
        <v>93566</v>
      </c>
      <c r="AR420" s="63"/>
      <c r="AS420" s="63"/>
      <c r="AT420" s="65">
        <f t="shared" si="32"/>
        <v>5646.1019999999999</v>
      </c>
      <c r="AU420" s="65">
        <f t="shared" si="33"/>
        <v>375.48</v>
      </c>
      <c r="AV420" s="65">
        <f t="shared" si="34"/>
        <v>360.90600000000001</v>
      </c>
      <c r="AW420" s="65">
        <f t="shared" si="35"/>
        <v>5478.8580000000002</v>
      </c>
      <c r="AX420" s="65">
        <f t="shared" si="35"/>
        <v>5485.2420000000002</v>
      </c>
      <c r="AY420" s="65">
        <f t="shared" si="31"/>
        <v>3929.7719999999999</v>
      </c>
      <c r="AZ420" s="19">
        <v>44824</v>
      </c>
      <c r="BA420" s="19">
        <v>50738</v>
      </c>
      <c r="BB420" s="19">
        <v>41665</v>
      </c>
      <c r="BC420" s="19">
        <v>5712</v>
      </c>
      <c r="BD420" s="19">
        <v>1017</v>
      </c>
      <c r="BE420" s="62"/>
      <c r="BF420" s="62"/>
      <c r="BG420" s="62"/>
      <c r="BH420" s="62"/>
      <c r="BI420" s="67">
        <v>85.8</v>
      </c>
      <c r="BJ420" s="67">
        <v>2.4300000000000002</v>
      </c>
      <c r="BK420" s="67">
        <v>2.38</v>
      </c>
      <c r="BL420" s="67">
        <v>2.2200000000000002</v>
      </c>
      <c r="BM420" s="62"/>
      <c r="BN420" s="62"/>
      <c r="BO420" s="62"/>
      <c r="BP420" s="62"/>
      <c r="BQ420" s="62"/>
      <c r="BR420" s="62"/>
      <c r="BS420" s="62"/>
      <c r="BT420" s="62"/>
      <c r="BU420" s="62"/>
      <c r="BV420" s="62"/>
      <c r="BW420" s="62"/>
      <c r="BX420" s="62"/>
      <c r="BY420" s="62"/>
      <c r="BZ420" s="62"/>
      <c r="CA420" s="62"/>
      <c r="CB420" s="62"/>
      <c r="CC420" s="62"/>
      <c r="CD420" s="62"/>
      <c r="CE420" s="62"/>
      <c r="CF420" s="62"/>
      <c r="CG420" s="62"/>
      <c r="CH420" s="62"/>
      <c r="CI420" s="62"/>
      <c r="CJ420" s="62"/>
      <c r="CK420" s="62"/>
      <c r="CL420" s="62"/>
      <c r="CM420" s="62"/>
      <c r="CN420" s="62"/>
      <c r="CO420" s="62"/>
      <c r="CP420" s="62"/>
      <c r="CQ420" s="62"/>
      <c r="CR420" s="62"/>
      <c r="CS420" s="62"/>
      <c r="CT420" s="62"/>
      <c r="CU420" s="62"/>
      <c r="CV420" s="62"/>
      <c r="CW420" s="62"/>
      <c r="CX420" s="62"/>
      <c r="CY420" s="62"/>
      <c r="CZ420" s="62"/>
      <c r="DA420" s="62"/>
      <c r="DB420" s="62"/>
      <c r="DC420" s="62"/>
      <c r="DD420" s="62"/>
      <c r="DE420" s="62"/>
      <c r="DF420" s="62"/>
      <c r="DG420" s="62"/>
      <c r="DH420" s="62"/>
      <c r="DI420" s="62"/>
      <c r="DJ420" s="62"/>
      <c r="DK420" s="62"/>
      <c r="DL420" s="62"/>
    </row>
    <row r="421" spans="1:116" x14ac:dyDescent="0.2">
      <c r="A421" s="57">
        <v>39387</v>
      </c>
      <c r="B421" s="58">
        <v>2007</v>
      </c>
      <c r="C421" s="66">
        <v>5.3940000000000001</v>
      </c>
      <c r="D421" s="62">
        <v>7.2999999999999995E-2</v>
      </c>
      <c r="E421" s="62">
        <v>992.88199999999995</v>
      </c>
      <c r="F421" s="62">
        <v>41.701000000000001</v>
      </c>
      <c r="G421" s="62">
        <v>5.3209999999999997</v>
      </c>
      <c r="H421" s="62">
        <v>253.36199999999999</v>
      </c>
      <c r="I421" s="62">
        <v>997.21799999999996</v>
      </c>
      <c r="J421" s="62">
        <v>-743.85599999999999</v>
      </c>
      <c r="K421" s="62"/>
      <c r="L421" s="62"/>
      <c r="M421" s="62">
        <v>249.02600000000001</v>
      </c>
      <c r="N421" s="62">
        <v>10.459</v>
      </c>
      <c r="O421" s="66">
        <v>1.335</v>
      </c>
      <c r="P421" s="61"/>
      <c r="Q421" s="62"/>
      <c r="R421" s="62"/>
      <c r="S421" s="62"/>
      <c r="T421" s="62"/>
      <c r="U421" s="62"/>
      <c r="V421" s="62"/>
      <c r="W421" s="62"/>
      <c r="X421" s="62"/>
      <c r="Y421" s="61"/>
      <c r="Z421" s="63"/>
      <c r="AA421" s="64" t="e">
        <v>#N/A</v>
      </c>
      <c r="AB421" s="62" t="e">
        <v>#N/A</v>
      </c>
      <c r="AC421" s="62" t="e">
        <v>#N/A</v>
      </c>
      <c r="AD421" s="62" t="e">
        <v>#N/A</v>
      </c>
      <c r="AE421" s="62" t="e">
        <v>#N/A</v>
      </c>
      <c r="AF421" s="62" t="e">
        <v>#N/A</v>
      </c>
      <c r="AG421" s="62" t="e">
        <v>#N/A</v>
      </c>
      <c r="AH421" s="62" t="e">
        <v>#N/A</v>
      </c>
      <c r="AI421" s="62" t="e">
        <v>#N/A</v>
      </c>
      <c r="AJ421" s="62" t="e">
        <v>#N/A</v>
      </c>
      <c r="AK421" s="64" t="e">
        <v>#N/A</v>
      </c>
      <c r="AL421" s="19">
        <v>128347</v>
      </c>
      <c r="AM421" s="19">
        <v>122230</v>
      </c>
      <c r="AN421" s="23">
        <v>7357</v>
      </c>
      <c r="AO421" s="19">
        <v>134800</v>
      </c>
      <c r="AP421" s="19">
        <v>13105</v>
      </c>
      <c r="AQ421" s="19">
        <v>93719</v>
      </c>
      <c r="AR421" s="63"/>
      <c r="AS421" s="63"/>
      <c r="AT421" s="65">
        <f t="shared" si="32"/>
        <v>5661.6</v>
      </c>
      <c r="AU421" s="65">
        <f t="shared" si="33"/>
        <v>308.99400000000003</v>
      </c>
      <c r="AV421" s="65">
        <f t="shared" si="34"/>
        <v>550.41</v>
      </c>
      <c r="AW421" s="65">
        <f t="shared" si="35"/>
        <v>5390.5739999999996</v>
      </c>
      <c r="AX421" s="65">
        <f t="shared" si="35"/>
        <v>5133.66</v>
      </c>
      <c r="AY421" s="65">
        <f t="shared" si="31"/>
        <v>3936.1979999999999</v>
      </c>
      <c r="AZ421" s="19">
        <v>43883</v>
      </c>
      <c r="BA421" s="19">
        <v>47989</v>
      </c>
      <c r="BB421" s="19">
        <v>40211</v>
      </c>
      <c r="BC421" s="19">
        <v>5402</v>
      </c>
      <c r="BD421" s="19">
        <v>2750</v>
      </c>
      <c r="BE421" s="62"/>
      <c r="BF421" s="62"/>
      <c r="BG421" s="62"/>
      <c r="BH421" s="62"/>
      <c r="BI421" s="67">
        <v>94.77</v>
      </c>
      <c r="BJ421" s="67">
        <v>2.7</v>
      </c>
      <c r="BK421" s="67">
        <v>2.68</v>
      </c>
      <c r="BL421" s="67">
        <v>2.46</v>
      </c>
      <c r="BM421" s="62"/>
      <c r="BN421" s="62"/>
      <c r="BO421" s="62"/>
      <c r="BP421" s="62"/>
      <c r="BQ421" s="62"/>
      <c r="BR421" s="62"/>
      <c r="BS421" s="62"/>
      <c r="BT421" s="62"/>
      <c r="BU421" s="62"/>
      <c r="BV421" s="62"/>
      <c r="BW421" s="62"/>
      <c r="BX421" s="62"/>
      <c r="BY421" s="62"/>
      <c r="BZ421" s="62"/>
      <c r="CA421" s="62"/>
      <c r="CB421" s="62"/>
      <c r="CC421" s="62"/>
      <c r="CD421" s="62"/>
      <c r="CE421" s="62"/>
      <c r="CF421" s="62"/>
      <c r="CG421" s="62"/>
      <c r="CH421" s="62"/>
      <c r="CI421" s="62"/>
      <c r="CJ421" s="62"/>
      <c r="CK421" s="62"/>
      <c r="CL421" s="62"/>
      <c r="CM421" s="62"/>
      <c r="CN421" s="62"/>
      <c r="CO421" s="62"/>
      <c r="CP421" s="62"/>
      <c r="CQ421" s="62"/>
      <c r="CR421" s="62"/>
      <c r="CS421" s="62"/>
      <c r="CT421" s="62"/>
      <c r="CU421" s="62"/>
      <c r="CV421" s="62"/>
      <c r="CW421" s="62"/>
      <c r="CX421" s="62"/>
      <c r="CY421" s="62"/>
      <c r="CZ421" s="62"/>
      <c r="DA421" s="62"/>
      <c r="DB421" s="62"/>
      <c r="DC421" s="62"/>
      <c r="DD421" s="62"/>
      <c r="DE421" s="62"/>
      <c r="DF421" s="62"/>
      <c r="DG421" s="62"/>
      <c r="DH421" s="62"/>
      <c r="DI421" s="62"/>
      <c r="DJ421" s="62"/>
      <c r="DK421" s="62"/>
      <c r="DL421" s="62"/>
    </row>
    <row r="422" spans="1:116" x14ac:dyDescent="0.2">
      <c r="A422" s="57">
        <v>39417</v>
      </c>
      <c r="B422" s="58">
        <v>2007</v>
      </c>
      <c r="C422" s="66">
        <v>5.5730000000000004</v>
      </c>
      <c r="D422" s="62">
        <v>7.5999999999999998E-2</v>
      </c>
      <c r="E422" s="62">
        <v>1025.817</v>
      </c>
      <c r="F422" s="62">
        <v>43.084000000000003</v>
      </c>
      <c r="G422" s="62">
        <v>5.4969999999999999</v>
      </c>
      <c r="H422" s="62">
        <v>557.44500000000005</v>
      </c>
      <c r="I422" s="62">
        <v>765.81500000000005</v>
      </c>
      <c r="J422" s="62">
        <v>-208.37100000000001</v>
      </c>
      <c r="K422" s="62"/>
      <c r="L422" s="62"/>
      <c r="M422" s="62">
        <v>817.44600000000003</v>
      </c>
      <c r="N422" s="62">
        <v>34.332999999999998</v>
      </c>
      <c r="O422" s="66">
        <v>4.3810000000000002</v>
      </c>
      <c r="P422" s="61"/>
      <c r="Q422" s="62"/>
      <c r="R422" s="62"/>
      <c r="S422" s="62"/>
      <c r="T422" s="62"/>
      <c r="U422" s="62"/>
      <c r="V422" s="62"/>
      <c r="W422" s="62"/>
      <c r="X422" s="62"/>
      <c r="Y422" s="61"/>
      <c r="Z422" s="63"/>
      <c r="AA422" s="64" t="e">
        <v>#N/A</v>
      </c>
      <c r="AB422" s="62" t="e">
        <v>#N/A</v>
      </c>
      <c r="AC422" s="62" t="e">
        <v>#N/A</v>
      </c>
      <c r="AD422" s="62" t="e">
        <v>#N/A</v>
      </c>
      <c r="AE422" s="62" t="e">
        <v>#N/A</v>
      </c>
      <c r="AF422" s="62" t="e">
        <v>#N/A</v>
      </c>
      <c r="AG422" s="62" t="e">
        <v>#N/A</v>
      </c>
      <c r="AH422" s="62" t="e">
        <v>#N/A</v>
      </c>
      <c r="AI422" s="62" t="e">
        <v>#N/A</v>
      </c>
      <c r="AJ422" s="62" t="e">
        <v>#N/A</v>
      </c>
      <c r="AK422" s="64" t="e">
        <v>#N/A</v>
      </c>
      <c r="AL422" s="19">
        <v>134120</v>
      </c>
      <c r="AM422" s="19">
        <v>129986</v>
      </c>
      <c r="AN422" s="23">
        <v>7473</v>
      </c>
      <c r="AO422" s="19">
        <v>133944</v>
      </c>
      <c r="AP422" s="19">
        <v>12463</v>
      </c>
      <c r="AQ422" s="19">
        <v>99540</v>
      </c>
      <c r="AR422" s="63"/>
      <c r="AS422" s="63"/>
      <c r="AT422" s="65">
        <f t="shared" si="32"/>
        <v>5625.6480000000001</v>
      </c>
      <c r="AU422" s="65">
        <f t="shared" si="33"/>
        <v>313.86599999999999</v>
      </c>
      <c r="AV422" s="65">
        <f t="shared" si="34"/>
        <v>523.44600000000003</v>
      </c>
      <c r="AW422" s="65">
        <f t="shared" si="35"/>
        <v>5633.04</v>
      </c>
      <c r="AX422" s="65">
        <f t="shared" si="35"/>
        <v>5459.4120000000003</v>
      </c>
      <c r="AY422" s="65">
        <f t="shared" si="31"/>
        <v>4180.68</v>
      </c>
      <c r="AZ422" s="19">
        <v>46147</v>
      </c>
      <c r="BA422" s="19">
        <v>49689</v>
      </c>
      <c r="BB422" s="19">
        <v>39458</v>
      </c>
      <c r="BC422" s="19">
        <v>4216</v>
      </c>
      <c r="BD422" s="19">
        <v>1427</v>
      </c>
      <c r="BE422" s="62"/>
      <c r="BF422" s="62"/>
      <c r="BG422" s="62"/>
      <c r="BH422" s="62"/>
      <c r="BI422" s="67">
        <v>91.69</v>
      </c>
      <c r="BJ422" s="67">
        <v>2.6</v>
      </c>
      <c r="BK422" s="67">
        <v>2.69</v>
      </c>
      <c r="BL422" s="67">
        <v>2.36</v>
      </c>
      <c r="BM422" s="62"/>
      <c r="BN422" s="62"/>
      <c r="BO422" s="62"/>
      <c r="BP422" s="62"/>
      <c r="BQ422" s="62"/>
      <c r="BR422" s="62"/>
      <c r="BS422" s="62"/>
      <c r="BT422" s="62"/>
      <c r="BU422" s="62"/>
      <c r="BV422" s="62"/>
      <c r="BW422" s="62"/>
      <c r="BX422" s="62"/>
      <c r="BY422" s="62"/>
      <c r="BZ422" s="62"/>
      <c r="CA422" s="62"/>
      <c r="CB422" s="62"/>
      <c r="CC422" s="62"/>
      <c r="CD422" s="62"/>
      <c r="CE422" s="62"/>
      <c r="CF422" s="62"/>
      <c r="CG422" s="62"/>
      <c r="CH422" s="62"/>
      <c r="CI422" s="62"/>
      <c r="CJ422" s="62"/>
      <c r="CK422" s="62"/>
      <c r="CL422" s="62"/>
      <c r="CM422" s="62"/>
      <c r="CN422" s="62"/>
      <c r="CO422" s="62"/>
      <c r="CP422" s="62"/>
      <c r="CQ422" s="62"/>
      <c r="CR422" s="62"/>
      <c r="CS422" s="62"/>
      <c r="CT422" s="62"/>
      <c r="CU422" s="62"/>
      <c r="CV422" s="62"/>
      <c r="CW422" s="62"/>
      <c r="CX422" s="62"/>
      <c r="CY422" s="62"/>
      <c r="CZ422" s="62"/>
      <c r="DA422" s="62"/>
      <c r="DB422" s="62"/>
      <c r="DC422" s="62"/>
      <c r="DD422" s="62"/>
      <c r="DE422" s="62"/>
      <c r="DF422" s="62"/>
      <c r="DG422" s="62"/>
      <c r="DH422" s="62"/>
      <c r="DI422" s="62"/>
      <c r="DJ422" s="62"/>
      <c r="DK422" s="62"/>
      <c r="DL422" s="62"/>
    </row>
    <row r="423" spans="1:116" x14ac:dyDescent="0.2">
      <c r="A423" s="57">
        <v>39448</v>
      </c>
      <c r="B423" s="58">
        <v>2008</v>
      </c>
      <c r="C423" s="66">
        <v>6.5030000000000001</v>
      </c>
      <c r="D423" s="62">
        <v>8.8999999999999996E-2</v>
      </c>
      <c r="E423" s="62">
        <v>1196.912</v>
      </c>
      <c r="F423" s="62">
        <v>50.27</v>
      </c>
      <c r="G423" s="62">
        <v>6.4139999999999997</v>
      </c>
      <c r="H423" s="62">
        <v>618.70100000000002</v>
      </c>
      <c r="I423" s="62">
        <v>1137.1420000000001</v>
      </c>
      <c r="J423" s="62">
        <v>-518.44100000000003</v>
      </c>
      <c r="K423" s="62"/>
      <c r="L423" s="62"/>
      <c r="M423" s="62">
        <v>678.47</v>
      </c>
      <c r="N423" s="62">
        <v>28.495999999999999</v>
      </c>
      <c r="O423" s="66">
        <v>3.6360000000000001</v>
      </c>
      <c r="P423" s="61"/>
      <c r="Q423" s="62"/>
      <c r="R423" s="62"/>
      <c r="S423" s="62"/>
      <c r="T423" s="62"/>
      <c r="U423" s="62"/>
      <c r="V423" s="62"/>
      <c r="W423" s="62"/>
      <c r="X423" s="62"/>
      <c r="Y423" s="61"/>
      <c r="Z423" s="63"/>
      <c r="AA423" s="64" t="e">
        <v>#N/A</v>
      </c>
      <c r="AB423" s="62" t="e">
        <v>#N/A</v>
      </c>
      <c r="AC423" s="62" t="e">
        <v>#N/A</v>
      </c>
      <c r="AD423" s="62" t="e">
        <v>#N/A</v>
      </c>
      <c r="AE423" s="62" t="e">
        <v>#N/A</v>
      </c>
      <c r="AF423" s="62" t="e">
        <v>#N/A</v>
      </c>
      <c r="AG423" s="62" t="e">
        <v>#N/A</v>
      </c>
      <c r="AH423" s="62" t="e">
        <v>#N/A</v>
      </c>
      <c r="AI423" s="62" t="e">
        <v>#N/A</v>
      </c>
      <c r="AJ423" s="62" t="e">
        <v>#N/A</v>
      </c>
      <c r="AK423" s="64" t="e">
        <v>#N/A</v>
      </c>
      <c r="AL423" s="19">
        <v>128024</v>
      </c>
      <c r="AM423" s="19">
        <v>129958</v>
      </c>
      <c r="AN423" s="23">
        <v>9585</v>
      </c>
      <c r="AO423" s="19">
        <v>130963</v>
      </c>
      <c r="AP423" s="19">
        <v>10632</v>
      </c>
      <c r="AQ423" s="19">
        <v>92100</v>
      </c>
      <c r="AR423" s="63"/>
      <c r="AS423" s="63"/>
      <c r="AT423" s="65">
        <f t="shared" si="32"/>
        <v>5500.4459999999999</v>
      </c>
      <c r="AU423" s="65">
        <f t="shared" si="33"/>
        <v>402.57</v>
      </c>
      <c r="AV423" s="65">
        <f t="shared" si="34"/>
        <v>446.54399999999998</v>
      </c>
      <c r="AW423" s="65">
        <f t="shared" si="35"/>
        <v>5377.0079999999998</v>
      </c>
      <c r="AX423" s="65">
        <f t="shared" si="35"/>
        <v>5458.2359999999999</v>
      </c>
      <c r="AY423" s="65">
        <f t="shared" si="31"/>
        <v>3868.2</v>
      </c>
      <c r="AZ423" s="19">
        <v>47597</v>
      </c>
      <c r="BA423" s="19">
        <v>48998</v>
      </c>
      <c r="BB423" s="19">
        <v>41049</v>
      </c>
      <c r="BC423" s="19">
        <v>4828</v>
      </c>
      <c r="BD423" s="19">
        <v>1836</v>
      </c>
      <c r="BE423" s="62"/>
      <c r="BF423" s="62"/>
      <c r="BG423" s="62"/>
      <c r="BH423" s="62"/>
      <c r="BI423" s="67">
        <v>92.97</v>
      </c>
      <c r="BJ423" s="67">
        <v>2.58</v>
      </c>
      <c r="BK423" s="67">
        <v>2.69</v>
      </c>
      <c r="BL423" s="67">
        <v>2.4</v>
      </c>
      <c r="BM423" s="62"/>
      <c r="BN423" s="62"/>
      <c r="BO423" s="62"/>
      <c r="BP423" s="62"/>
      <c r="BQ423" s="62"/>
      <c r="BR423" s="62"/>
      <c r="BS423" s="62"/>
      <c r="BT423" s="62"/>
      <c r="BU423" s="62"/>
      <c r="BV423" s="62"/>
      <c r="BW423" s="62"/>
      <c r="BX423" s="62"/>
      <c r="BY423" s="62"/>
      <c r="BZ423" s="62"/>
      <c r="CA423" s="62"/>
      <c r="CB423" s="62"/>
      <c r="CC423" s="62"/>
      <c r="CD423" s="62"/>
      <c r="CE423" s="62"/>
      <c r="CF423" s="62"/>
      <c r="CG423" s="62"/>
      <c r="CH423" s="62"/>
      <c r="CI423" s="62"/>
      <c r="CJ423" s="62"/>
      <c r="CK423" s="62"/>
      <c r="CL423" s="62"/>
      <c r="CM423" s="62"/>
      <c r="CN423" s="62"/>
      <c r="CO423" s="62"/>
      <c r="CP423" s="62"/>
      <c r="CQ423" s="62"/>
      <c r="CR423" s="62"/>
      <c r="CS423" s="62"/>
      <c r="CT423" s="62"/>
      <c r="CU423" s="62"/>
      <c r="CV423" s="62"/>
      <c r="CW423" s="62"/>
      <c r="CX423" s="62"/>
      <c r="CY423" s="62"/>
      <c r="CZ423" s="62"/>
      <c r="DA423" s="62"/>
      <c r="DB423" s="62"/>
      <c r="DC423" s="62"/>
      <c r="DD423" s="62"/>
      <c r="DE423" s="62"/>
      <c r="DF423" s="62"/>
      <c r="DG423" s="62"/>
      <c r="DH423" s="62"/>
      <c r="DI423" s="62"/>
      <c r="DJ423" s="62"/>
      <c r="DK423" s="62"/>
      <c r="DL423" s="62"/>
    </row>
    <row r="424" spans="1:116" x14ac:dyDescent="0.2">
      <c r="A424" s="57">
        <v>39479</v>
      </c>
      <c r="B424" s="58">
        <v>2008</v>
      </c>
      <c r="C424" s="66">
        <v>5.835</v>
      </c>
      <c r="D424" s="62">
        <v>7.9000000000000001E-2</v>
      </c>
      <c r="E424" s="62">
        <v>1073.9280000000001</v>
      </c>
      <c r="F424" s="62">
        <v>45.104999999999997</v>
      </c>
      <c r="G424" s="62">
        <v>5.7549999999999999</v>
      </c>
      <c r="H424" s="62">
        <v>866.45399999999995</v>
      </c>
      <c r="I424" s="62">
        <v>1430.58</v>
      </c>
      <c r="J424" s="62">
        <v>-564.12599999999998</v>
      </c>
      <c r="K424" s="62"/>
      <c r="L424" s="62"/>
      <c r="M424" s="62">
        <v>509.80200000000002</v>
      </c>
      <c r="N424" s="62">
        <v>21.411999999999999</v>
      </c>
      <c r="O424" s="66">
        <v>2.7320000000000002</v>
      </c>
      <c r="P424" s="61"/>
      <c r="Q424" s="62"/>
      <c r="R424" s="62"/>
      <c r="S424" s="62"/>
      <c r="T424" s="62"/>
      <c r="U424" s="62"/>
      <c r="V424" s="62"/>
      <c r="W424" s="62"/>
      <c r="X424" s="62"/>
      <c r="Y424" s="61"/>
      <c r="Z424" s="63"/>
      <c r="AA424" s="64" t="e">
        <v>#N/A</v>
      </c>
      <c r="AB424" s="62" t="e">
        <v>#N/A</v>
      </c>
      <c r="AC424" s="62" t="e">
        <v>#N/A</v>
      </c>
      <c r="AD424" s="62" t="e">
        <v>#N/A</v>
      </c>
      <c r="AE424" s="62" t="e">
        <v>#N/A</v>
      </c>
      <c r="AF424" s="62" t="e">
        <v>#N/A</v>
      </c>
      <c r="AG424" s="62" t="e">
        <v>#N/A</v>
      </c>
      <c r="AH424" s="62" t="e">
        <v>#N/A</v>
      </c>
      <c r="AI424" s="62" t="e">
        <v>#N/A</v>
      </c>
      <c r="AJ424" s="62" t="e">
        <v>#N/A</v>
      </c>
      <c r="AK424" s="64" t="e">
        <v>#N/A</v>
      </c>
      <c r="AL424" s="19">
        <v>115412</v>
      </c>
      <c r="AM424" s="19">
        <v>124158</v>
      </c>
      <c r="AN424" s="23">
        <v>7227</v>
      </c>
      <c r="AO424" s="19">
        <v>117636</v>
      </c>
      <c r="AP424" s="19">
        <v>11808</v>
      </c>
      <c r="AQ424" s="19">
        <v>84378</v>
      </c>
      <c r="AR424" s="63"/>
      <c r="AS424" s="63"/>
      <c r="AT424" s="65">
        <f t="shared" si="32"/>
        <v>4940.7120000000004</v>
      </c>
      <c r="AU424" s="65">
        <f t="shared" si="33"/>
        <v>303.53399999999999</v>
      </c>
      <c r="AV424" s="65">
        <f t="shared" si="34"/>
        <v>495.93599999999998</v>
      </c>
      <c r="AW424" s="65">
        <f t="shared" si="35"/>
        <v>4847.3040000000001</v>
      </c>
      <c r="AX424" s="65">
        <f t="shared" si="35"/>
        <v>5214.6360000000004</v>
      </c>
      <c r="AY424" s="65">
        <f t="shared" si="31"/>
        <v>3543.8760000000002</v>
      </c>
      <c r="AZ424" s="19">
        <v>42534</v>
      </c>
      <c r="BA424" s="19">
        <v>45033</v>
      </c>
      <c r="BB424" s="19">
        <v>39664</v>
      </c>
      <c r="BC424" s="19">
        <v>3070</v>
      </c>
      <c r="BD424" s="19">
        <v>1956</v>
      </c>
      <c r="BE424" s="62"/>
      <c r="BF424" s="62"/>
      <c r="BG424" s="62"/>
      <c r="BH424" s="62"/>
      <c r="BI424" s="67">
        <v>95.39</v>
      </c>
      <c r="BJ424" s="67">
        <v>2.74</v>
      </c>
      <c r="BK424" s="67">
        <v>2.69</v>
      </c>
      <c r="BL424" s="67">
        <v>2.44</v>
      </c>
      <c r="BM424" s="62"/>
      <c r="BN424" s="62"/>
      <c r="BO424" s="62"/>
      <c r="BP424" s="62"/>
      <c r="BQ424" s="62"/>
      <c r="BR424" s="62"/>
      <c r="BS424" s="62"/>
      <c r="BT424" s="62"/>
      <c r="BU424" s="62"/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/>
      <c r="CP424" s="62"/>
      <c r="CQ424" s="62"/>
      <c r="CR424" s="62"/>
      <c r="CS424" s="62"/>
      <c r="CT424" s="62"/>
      <c r="CU424" s="62"/>
      <c r="CV424" s="62"/>
      <c r="CW424" s="62"/>
      <c r="CX424" s="62"/>
      <c r="CY424" s="62"/>
      <c r="CZ424" s="62"/>
      <c r="DA424" s="62"/>
      <c r="DB424" s="62"/>
      <c r="DC424" s="62"/>
      <c r="DD424" s="62"/>
      <c r="DE424" s="62"/>
      <c r="DF424" s="62"/>
      <c r="DG424" s="62"/>
      <c r="DH424" s="62"/>
      <c r="DI424" s="62"/>
      <c r="DJ424" s="62"/>
      <c r="DK424" s="62"/>
      <c r="DL424" s="62"/>
    </row>
    <row r="425" spans="1:116" x14ac:dyDescent="0.2">
      <c r="A425" s="57">
        <v>39508</v>
      </c>
      <c r="B425" s="58">
        <v>2008</v>
      </c>
      <c r="C425" s="66">
        <v>6.4530000000000003</v>
      </c>
      <c r="D425" s="62">
        <v>8.7999999999999995E-2</v>
      </c>
      <c r="E425" s="62">
        <v>1187.6610000000001</v>
      </c>
      <c r="F425" s="62">
        <v>49.881999999999998</v>
      </c>
      <c r="G425" s="62">
        <v>6.3650000000000002</v>
      </c>
      <c r="H425" s="62">
        <v>282.99200000000002</v>
      </c>
      <c r="I425" s="62">
        <v>1211.1279999999999</v>
      </c>
      <c r="J425" s="62">
        <v>-928.13599999999997</v>
      </c>
      <c r="K425" s="62"/>
      <c r="L425" s="62"/>
      <c r="M425" s="62">
        <v>259.52499999999998</v>
      </c>
      <c r="N425" s="62">
        <v>10.9</v>
      </c>
      <c r="O425" s="66">
        <v>1.391</v>
      </c>
      <c r="P425" s="61"/>
      <c r="Q425" s="62"/>
      <c r="R425" s="62"/>
      <c r="S425" s="62"/>
      <c r="T425" s="62"/>
      <c r="U425" s="62"/>
      <c r="V425" s="62"/>
      <c r="W425" s="62"/>
      <c r="X425" s="62"/>
      <c r="Y425" s="61"/>
      <c r="Z425" s="63"/>
      <c r="AA425" s="64" t="e">
        <v>#N/A</v>
      </c>
      <c r="AB425" s="62" t="e">
        <v>#N/A</v>
      </c>
      <c r="AC425" s="62" t="e">
        <v>#N/A</v>
      </c>
      <c r="AD425" s="62" t="e">
        <v>#N/A</v>
      </c>
      <c r="AE425" s="62" t="e">
        <v>#N/A</v>
      </c>
      <c r="AF425" s="62" t="e">
        <v>#N/A</v>
      </c>
      <c r="AG425" s="62" t="e">
        <v>#N/A</v>
      </c>
      <c r="AH425" s="62" t="e">
        <v>#N/A</v>
      </c>
      <c r="AI425" s="62" t="e">
        <v>#N/A</v>
      </c>
      <c r="AJ425" s="62" t="e">
        <v>#N/A</v>
      </c>
      <c r="AK425" s="64" t="e">
        <v>#N/A</v>
      </c>
      <c r="AL425" s="19">
        <v>122532</v>
      </c>
      <c r="AM425" s="19">
        <v>128987</v>
      </c>
      <c r="AN425" s="23">
        <v>7713</v>
      </c>
      <c r="AO425" s="19">
        <v>107784</v>
      </c>
      <c r="AP425" s="19">
        <v>11110</v>
      </c>
      <c r="AQ425" s="19">
        <v>91890</v>
      </c>
      <c r="AR425" s="63"/>
      <c r="AS425" s="63"/>
      <c r="AT425" s="65">
        <f t="shared" si="32"/>
        <v>4526.9279999999999</v>
      </c>
      <c r="AU425" s="65">
        <f t="shared" si="33"/>
        <v>323.94600000000003</v>
      </c>
      <c r="AV425" s="65">
        <f t="shared" si="34"/>
        <v>466.62</v>
      </c>
      <c r="AW425" s="65">
        <f t="shared" si="35"/>
        <v>5146.3440000000001</v>
      </c>
      <c r="AX425" s="65">
        <f t="shared" si="35"/>
        <v>5417.4539999999997</v>
      </c>
      <c r="AY425" s="65">
        <f t="shared" si="31"/>
        <v>3859.38</v>
      </c>
      <c r="AZ425" s="19">
        <v>45736</v>
      </c>
      <c r="BA425" s="19">
        <v>48112</v>
      </c>
      <c r="BB425" s="19">
        <v>38723</v>
      </c>
      <c r="BC425" s="19">
        <v>3419</v>
      </c>
      <c r="BD425" s="19">
        <v>1984</v>
      </c>
      <c r="BE425" s="62"/>
      <c r="BF425" s="62"/>
      <c r="BG425" s="62"/>
      <c r="BH425" s="62"/>
      <c r="BI425" s="67">
        <v>105.45</v>
      </c>
      <c r="BJ425" s="67">
        <v>3.16</v>
      </c>
      <c r="BK425" s="67">
        <v>3.12</v>
      </c>
      <c r="BL425" s="67">
        <v>2.64</v>
      </c>
      <c r="BM425" s="62"/>
      <c r="BN425" s="62"/>
      <c r="BO425" s="62"/>
      <c r="BP425" s="62"/>
      <c r="BQ425" s="62"/>
      <c r="BR425" s="62"/>
      <c r="BS425" s="62"/>
      <c r="BT425" s="62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62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  <c r="DK425" s="62"/>
      <c r="DL425" s="62"/>
    </row>
    <row r="426" spans="1:116" x14ac:dyDescent="0.2">
      <c r="A426" s="57">
        <v>39539</v>
      </c>
      <c r="B426" s="58">
        <v>2008</v>
      </c>
      <c r="C426" s="66">
        <v>6.8920000000000003</v>
      </c>
      <c r="D426" s="62">
        <v>9.4E-2</v>
      </c>
      <c r="E426" s="62">
        <v>1268.471</v>
      </c>
      <c r="F426" s="62">
        <v>53.276000000000003</v>
      </c>
      <c r="G426" s="62">
        <v>6.798</v>
      </c>
      <c r="H426" s="62">
        <v>711.01700000000005</v>
      </c>
      <c r="I426" s="62">
        <v>1645.693</v>
      </c>
      <c r="J426" s="62">
        <v>-934.67700000000002</v>
      </c>
      <c r="K426" s="62"/>
      <c r="L426" s="62"/>
      <c r="M426" s="62">
        <v>333.79399999999998</v>
      </c>
      <c r="N426" s="62">
        <v>14.019</v>
      </c>
      <c r="O426" s="66">
        <v>1.7889999999999999</v>
      </c>
      <c r="P426" s="61"/>
      <c r="Q426" s="62"/>
      <c r="R426" s="62"/>
      <c r="S426" s="62"/>
      <c r="T426" s="62"/>
      <c r="U426" s="62"/>
      <c r="V426" s="62"/>
      <c r="W426" s="62"/>
      <c r="X426" s="62"/>
      <c r="Y426" s="61"/>
      <c r="Z426" s="63"/>
      <c r="AA426" s="64" t="e">
        <v>#N/A</v>
      </c>
      <c r="AB426" s="62" t="e">
        <v>#N/A</v>
      </c>
      <c r="AC426" s="62" t="e">
        <v>#N/A</v>
      </c>
      <c r="AD426" s="62" t="e">
        <v>#N/A</v>
      </c>
      <c r="AE426" s="62" t="e">
        <v>#N/A</v>
      </c>
      <c r="AF426" s="62" t="e">
        <v>#N/A</v>
      </c>
      <c r="AG426" s="62" t="e">
        <v>#N/A</v>
      </c>
      <c r="AH426" s="62" t="e">
        <v>#N/A</v>
      </c>
      <c r="AI426" s="62" t="e">
        <v>#N/A</v>
      </c>
      <c r="AJ426" s="62" t="e">
        <v>#N/A</v>
      </c>
      <c r="AK426" s="64" t="e">
        <v>#N/A</v>
      </c>
      <c r="AL426" s="19">
        <v>128623</v>
      </c>
      <c r="AM426" s="19">
        <v>123168</v>
      </c>
      <c r="AN426" s="23">
        <v>7981</v>
      </c>
      <c r="AO426" s="19">
        <v>107051</v>
      </c>
      <c r="AP426" s="19">
        <v>14169</v>
      </c>
      <c r="AQ426" s="19">
        <v>95894</v>
      </c>
      <c r="AR426" s="63"/>
      <c r="AS426" s="63"/>
      <c r="AT426" s="65">
        <f t="shared" si="32"/>
        <v>4496.1419999999998</v>
      </c>
      <c r="AU426" s="65">
        <f t="shared" si="33"/>
        <v>335.202</v>
      </c>
      <c r="AV426" s="65">
        <f t="shared" si="34"/>
        <v>595.09799999999996</v>
      </c>
      <c r="AW426" s="65">
        <f t="shared" si="35"/>
        <v>5402.1660000000002</v>
      </c>
      <c r="AX426" s="65">
        <f t="shared" si="35"/>
        <v>5173.0559999999996</v>
      </c>
      <c r="AY426" s="65">
        <f t="shared" si="31"/>
        <v>4027.5479999999998</v>
      </c>
      <c r="AZ426" s="19">
        <v>44756</v>
      </c>
      <c r="BA426" s="19">
        <v>48662</v>
      </c>
      <c r="BB426" s="19">
        <v>39262</v>
      </c>
      <c r="BC426" s="19">
        <v>5404</v>
      </c>
      <c r="BD426" s="19">
        <v>959</v>
      </c>
      <c r="BE426" s="62"/>
      <c r="BF426" s="62"/>
      <c r="BG426" s="62"/>
      <c r="BH426" s="62"/>
      <c r="BI426" s="67">
        <v>112.58</v>
      </c>
      <c r="BJ426" s="67">
        <v>3.36</v>
      </c>
      <c r="BK426" s="67">
        <v>3.33</v>
      </c>
      <c r="BL426" s="67">
        <v>2.86</v>
      </c>
      <c r="BM426" s="62"/>
      <c r="BN426" s="62"/>
      <c r="BO426" s="62"/>
      <c r="BP426" s="62"/>
      <c r="BQ426" s="62"/>
      <c r="BR426" s="62"/>
      <c r="BS426" s="62"/>
      <c r="BT426" s="62"/>
      <c r="BU426" s="62"/>
      <c r="BV426" s="62"/>
      <c r="BW426" s="62"/>
      <c r="BX426" s="62"/>
      <c r="BY426" s="62"/>
      <c r="BZ426" s="62"/>
      <c r="CA426" s="62"/>
      <c r="CB426" s="62"/>
      <c r="CC426" s="62"/>
      <c r="CD426" s="62"/>
      <c r="CE426" s="62"/>
      <c r="CF426" s="62"/>
      <c r="CG426" s="62"/>
      <c r="CH426" s="62"/>
      <c r="CI426" s="62"/>
      <c r="CJ426" s="62"/>
      <c r="CK426" s="62"/>
      <c r="CL426" s="62"/>
      <c r="CM426" s="62"/>
      <c r="CN426" s="62"/>
      <c r="CO426" s="62"/>
      <c r="CP426" s="62"/>
      <c r="CQ426" s="62"/>
      <c r="CR426" s="62"/>
      <c r="CS426" s="62"/>
      <c r="CT426" s="62"/>
      <c r="CU426" s="62"/>
      <c r="CV426" s="62"/>
      <c r="CW426" s="62"/>
      <c r="CX426" s="62"/>
      <c r="CY426" s="62"/>
      <c r="CZ426" s="62"/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  <c r="DK426" s="62"/>
      <c r="DL426" s="62"/>
    </row>
    <row r="427" spans="1:116" x14ac:dyDescent="0.2">
      <c r="A427" s="57">
        <v>39569</v>
      </c>
      <c r="B427" s="58">
        <v>2008</v>
      </c>
      <c r="C427" s="66">
        <v>7.02</v>
      </c>
      <c r="D427" s="62">
        <v>9.6000000000000002E-2</v>
      </c>
      <c r="E427" s="62">
        <v>1292.1420000000001</v>
      </c>
      <c r="F427" s="62">
        <v>54.27</v>
      </c>
      <c r="G427" s="62">
        <v>6.9249999999999998</v>
      </c>
      <c r="H427" s="62">
        <v>530.75</v>
      </c>
      <c r="I427" s="62">
        <v>1409.72</v>
      </c>
      <c r="J427" s="62">
        <v>-878.971</v>
      </c>
      <c r="K427" s="62"/>
      <c r="L427" s="62"/>
      <c r="M427" s="62">
        <v>413.17099999999999</v>
      </c>
      <c r="N427" s="62">
        <v>17.353000000000002</v>
      </c>
      <c r="O427" s="66">
        <v>2.214</v>
      </c>
      <c r="P427" s="61"/>
      <c r="Q427" s="62"/>
      <c r="R427" s="62"/>
      <c r="S427" s="62"/>
      <c r="T427" s="62"/>
      <c r="U427" s="62"/>
      <c r="V427" s="62"/>
      <c r="W427" s="62"/>
      <c r="X427" s="62"/>
      <c r="Y427" s="61"/>
      <c r="Z427" s="63"/>
      <c r="AA427" s="64" t="e">
        <v>#N/A</v>
      </c>
      <c r="AB427" s="62" t="e">
        <v>#N/A</v>
      </c>
      <c r="AC427" s="62" t="e">
        <v>#N/A</v>
      </c>
      <c r="AD427" s="62" t="e">
        <v>#N/A</v>
      </c>
      <c r="AE427" s="62" t="e">
        <v>#N/A</v>
      </c>
      <c r="AF427" s="62" t="e">
        <v>#N/A</v>
      </c>
      <c r="AG427" s="62" t="e">
        <v>#N/A</v>
      </c>
      <c r="AH427" s="62" t="e">
        <v>#N/A</v>
      </c>
      <c r="AI427" s="62" t="e">
        <v>#N/A</v>
      </c>
      <c r="AJ427" s="62" t="e">
        <v>#N/A</v>
      </c>
      <c r="AK427" s="64" t="e">
        <v>#N/A</v>
      </c>
      <c r="AL427" s="19">
        <v>138232</v>
      </c>
      <c r="AM427" s="19">
        <v>121854</v>
      </c>
      <c r="AN427" s="23">
        <v>5838</v>
      </c>
      <c r="AO427" s="19">
        <v>113941</v>
      </c>
      <c r="AP427" s="19">
        <v>15326</v>
      </c>
      <c r="AQ427" s="19">
        <v>104724</v>
      </c>
      <c r="AR427" s="63"/>
      <c r="AS427" s="63"/>
      <c r="AT427" s="65">
        <f t="shared" si="32"/>
        <v>4785.5219999999999</v>
      </c>
      <c r="AU427" s="65">
        <f t="shared" si="33"/>
        <v>245.196</v>
      </c>
      <c r="AV427" s="65">
        <f t="shared" si="34"/>
        <v>643.69200000000001</v>
      </c>
      <c r="AW427" s="65">
        <f t="shared" si="35"/>
        <v>5805.7439999999997</v>
      </c>
      <c r="AX427" s="65">
        <f t="shared" si="35"/>
        <v>5117.8680000000004</v>
      </c>
      <c r="AY427" s="65">
        <f t="shared" si="31"/>
        <v>4398.4080000000004</v>
      </c>
      <c r="AZ427" s="19">
        <v>48288</v>
      </c>
      <c r="BA427" s="19">
        <v>49282</v>
      </c>
      <c r="BB427" s="19">
        <v>40256</v>
      </c>
      <c r="BC427" s="19">
        <v>4334</v>
      </c>
      <c r="BD427" s="19">
        <v>2346</v>
      </c>
      <c r="BE427" s="62"/>
      <c r="BF427" s="62"/>
      <c r="BG427" s="62"/>
      <c r="BH427" s="62"/>
      <c r="BI427" s="67">
        <v>125.4</v>
      </c>
      <c r="BJ427" s="67">
        <v>3.71</v>
      </c>
      <c r="BK427" s="67">
        <v>3.66</v>
      </c>
      <c r="BL427" s="67">
        <v>3.17</v>
      </c>
      <c r="BM427" s="62"/>
      <c r="BN427" s="62"/>
      <c r="BO427" s="62"/>
      <c r="BP427" s="62"/>
      <c r="BQ427" s="62"/>
      <c r="BR427" s="62"/>
      <c r="BS427" s="62"/>
      <c r="BT427" s="62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62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  <c r="DK427" s="62"/>
      <c r="DL427" s="62"/>
    </row>
    <row r="428" spans="1:116" x14ac:dyDescent="0.2">
      <c r="A428" s="57">
        <v>39600</v>
      </c>
      <c r="B428" s="58">
        <v>2008</v>
      </c>
      <c r="C428" s="66">
        <v>7.85</v>
      </c>
      <c r="D428" s="62">
        <v>0.107</v>
      </c>
      <c r="E428" s="62">
        <v>1444.7829999999999</v>
      </c>
      <c r="F428" s="62">
        <v>60.680999999999997</v>
      </c>
      <c r="G428" s="62">
        <v>7.7430000000000003</v>
      </c>
      <c r="H428" s="62">
        <v>529.01900000000001</v>
      </c>
      <c r="I428" s="62">
        <v>1817.54</v>
      </c>
      <c r="J428" s="62">
        <v>-1288.521</v>
      </c>
      <c r="K428" s="62"/>
      <c r="L428" s="62"/>
      <c r="M428" s="62">
        <v>156.262</v>
      </c>
      <c r="N428" s="62">
        <v>6.5629999999999997</v>
      </c>
      <c r="O428" s="66">
        <v>0.83699999999999997</v>
      </c>
      <c r="P428" s="61"/>
      <c r="Q428" s="62"/>
      <c r="R428" s="62"/>
      <c r="S428" s="62"/>
      <c r="T428" s="62"/>
      <c r="U428" s="62"/>
      <c r="V428" s="62"/>
      <c r="W428" s="62"/>
      <c r="X428" s="62"/>
      <c r="Y428" s="61"/>
      <c r="Z428" s="63"/>
      <c r="AA428" s="64" t="e">
        <v>#N/A</v>
      </c>
      <c r="AB428" s="62" t="e">
        <v>#N/A</v>
      </c>
      <c r="AC428" s="62" t="e">
        <v>#N/A</v>
      </c>
      <c r="AD428" s="62" t="e">
        <v>#N/A</v>
      </c>
      <c r="AE428" s="62" t="e">
        <v>#N/A</v>
      </c>
      <c r="AF428" s="62" t="e">
        <v>#N/A</v>
      </c>
      <c r="AG428" s="62" t="e">
        <v>#N/A</v>
      </c>
      <c r="AH428" s="62" t="e">
        <v>#N/A</v>
      </c>
      <c r="AI428" s="62" t="e">
        <v>#N/A</v>
      </c>
      <c r="AJ428" s="62" t="e">
        <v>#N/A</v>
      </c>
      <c r="AK428" s="64" t="e">
        <v>#N/A</v>
      </c>
      <c r="AL428" s="19">
        <v>137624</v>
      </c>
      <c r="AM428" s="19">
        <v>112881</v>
      </c>
      <c r="AN428" s="23">
        <v>5390</v>
      </c>
      <c r="AO428" s="19">
        <v>121710</v>
      </c>
      <c r="AP428" s="19">
        <v>22364</v>
      </c>
      <c r="AQ428" s="19">
        <v>102381</v>
      </c>
      <c r="AR428" s="63"/>
      <c r="AS428" s="63"/>
      <c r="AT428" s="65">
        <f t="shared" si="32"/>
        <v>5111.82</v>
      </c>
      <c r="AU428" s="65">
        <f t="shared" si="33"/>
        <v>226.38</v>
      </c>
      <c r="AV428" s="65">
        <f t="shared" si="34"/>
        <v>939.28800000000001</v>
      </c>
      <c r="AW428" s="65">
        <f t="shared" si="35"/>
        <v>5780.2079999999996</v>
      </c>
      <c r="AX428" s="65">
        <f t="shared" si="35"/>
        <v>4741.0020000000004</v>
      </c>
      <c r="AY428" s="65">
        <f t="shared" si="31"/>
        <v>4300.0020000000004</v>
      </c>
      <c r="AZ428" s="19">
        <v>48153</v>
      </c>
      <c r="BA428" s="19">
        <v>48698</v>
      </c>
      <c r="BB428" s="19">
        <v>39845</v>
      </c>
      <c r="BC428" s="19">
        <v>2724</v>
      </c>
      <c r="BD428" s="19">
        <v>2590</v>
      </c>
      <c r="BE428" s="62"/>
      <c r="BF428" s="62"/>
      <c r="BG428" s="62"/>
      <c r="BH428" s="62"/>
      <c r="BI428" s="67">
        <v>133.88</v>
      </c>
      <c r="BJ428" s="67">
        <v>3.86</v>
      </c>
      <c r="BK428" s="67">
        <v>3.93</v>
      </c>
      <c r="BL428" s="67">
        <v>3.42</v>
      </c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62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  <c r="DK428" s="62"/>
      <c r="DL428" s="62"/>
    </row>
    <row r="429" spans="1:116" x14ac:dyDescent="0.2">
      <c r="A429" s="57">
        <v>39630</v>
      </c>
      <c r="B429" s="58">
        <v>2008</v>
      </c>
      <c r="C429" s="66">
        <v>8.7140000000000004</v>
      </c>
      <c r="D429" s="62">
        <v>0.11899999999999999</v>
      </c>
      <c r="E429" s="62">
        <v>1603.954</v>
      </c>
      <c r="F429" s="62">
        <v>67.366</v>
      </c>
      <c r="G429" s="62">
        <v>8.5960000000000001</v>
      </c>
      <c r="H429" s="62">
        <v>544.22500000000002</v>
      </c>
      <c r="I429" s="62">
        <v>1468.575</v>
      </c>
      <c r="J429" s="62">
        <v>-924.35</v>
      </c>
      <c r="K429" s="62"/>
      <c r="L429" s="62"/>
      <c r="M429" s="62">
        <v>679.60400000000004</v>
      </c>
      <c r="N429" s="62">
        <v>28.542999999999999</v>
      </c>
      <c r="O429" s="66">
        <v>3.6419999999999999</v>
      </c>
      <c r="P429" s="61"/>
      <c r="Q429" s="62"/>
      <c r="R429" s="62"/>
      <c r="S429" s="62"/>
      <c r="T429" s="62"/>
      <c r="U429" s="62"/>
      <c r="V429" s="62"/>
      <c r="W429" s="62"/>
      <c r="X429" s="62"/>
      <c r="Y429" s="61"/>
      <c r="Z429" s="63"/>
      <c r="AA429" s="64" t="e">
        <v>#N/A</v>
      </c>
      <c r="AB429" s="62" t="e">
        <v>#N/A</v>
      </c>
      <c r="AC429" s="62" t="e">
        <v>#N/A</v>
      </c>
      <c r="AD429" s="62" t="e">
        <v>#N/A</v>
      </c>
      <c r="AE429" s="62" t="e">
        <v>#N/A</v>
      </c>
      <c r="AF429" s="62" t="e">
        <v>#N/A</v>
      </c>
      <c r="AG429" s="62" t="e">
        <v>#N/A</v>
      </c>
      <c r="AH429" s="62" t="e">
        <v>#N/A</v>
      </c>
      <c r="AI429" s="62" t="e">
        <v>#N/A</v>
      </c>
      <c r="AJ429" s="62" t="e">
        <v>#N/A</v>
      </c>
      <c r="AK429" s="64" t="e">
        <v>#N/A</v>
      </c>
      <c r="AL429" s="19">
        <v>140218</v>
      </c>
      <c r="AM429" s="19">
        <v>114332</v>
      </c>
      <c r="AN429" s="23">
        <v>5612</v>
      </c>
      <c r="AO429" s="19">
        <v>130906</v>
      </c>
      <c r="AP429" s="19">
        <v>22302</v>
      </c>
      <c r="AQ429" s="19">
        <v>101384</v>
      </c>
      <c r="AR429" s="63"/>
      <c r="AS429" s="63"/>
      <c r="AT429" s="65">
        <f t="shared" si="32"/>
        <v>5498.0519999999997</v>
      </c>
      <c r="AU429" s="65">
        <f t="shared" si="33"/>
        <v>235.70400000000001</v>
      </c>
      <c r="AV429" s="65">
        <f t="shared" si="34"/>
        <v>936.68399999999997</v>
      </c>
      <c r="AW429" s="65">
        <f t="shared" si="35"/>
        <v>5889.1559999999999</v>
      </c>
      <c r="AX429" s="65">
        <f t="shared" si="35"/>
        <v>4801.9440000000004</v>
      </c>
      <c r="AY429" s="65">
        <f t="shared" si="31"/>
        <v>4258.1279999999997</v>
      </c>
      <c r="AZ429" s="19">
        <v>51054</v>
      </c>
      <c r="BA429" s="19">
        <v>48809</v>
      </c>
      <c r="BB429" s="19">
        <v>41431</v>
      </c>
      <c r="BC429" s="19">
        <v>2240</v>
      </c>
      <c r="BD429" s="19">
        <v>2899</v>
      </c>
      <c r="BE429" s="62"/>
      <c r="BF429" s="62"/>
      <c r="BG429" s="62"/>
      <c r="BH429" s="62"/>
      <c r="BI429" s="67">
        <v>133.37</v>
      </c>
      <c r="BJ429" s="67">
        <v>3.88</v>
      </c>
      <c r="BK429" s="67">
        <v>4.01</v>
      </c>
      <c r="BL429" s="67">
        <v>3.35</v>
      </c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62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  <c r="DK429" s="62"/>
      <c r="DL429" s="62"/>
    </row>
    <row r="430" spans="1:116" x14ac:dyDescent="0.2">
      <c r="A430" s="57">
        <v>39661</v>
      </c>
      <c r="B430" s="58">
        <v>2008</v>
      </c>
      <c r="C430" s="66">
        <v>8.8160000000000007</v>
      </c>
      <c r="D430" s="62">
        <v>0.12</v>
      </c>
      <c r="E430" s="62">
        <v>1622.7280000000001</v>
      </c>
      <c r="F430" s="62">
        <v>68.155000000000001</v>
      </c>
      <c r="G430" s="62">
        <v>8.6959999999999997</v>
      </c>
      <c r="H430" s="62">
        <v>937.41</v>
      </c>
      <c r="I430" s="62">
        <v>1660.539</v>
      </c>
      <c r="J430" s="62">
        <v>-723.12900000000002</v>
      </c>
      <c r="K430" s="62"/>
      <c r="L430" s="62"/>
      <c r="M430" s="62">
        <v>899.59900000000005</v>
      </c>
      <c r="N430" s="62">
        <v>37.783000000000001</v>
      </c>
      <c r="O430" s="66">
        <v>4.8209999999999997</v>
      </c>
      <c r="P430" s="61"/>
      <c r="Q430" s="62"/>
      <c r="R430" s="62"/>
      <c r="S430" s="62"/>
      <c r="T430" s="62"/>
      <c r="U430" s="62"/>
      <c r="V430" s="62"/>
      <c r="W430" s="62"/>
      <c r="X430" s="62"/>
      <c r="Y430" s="61"/>
      <c r="Z430" s="63"/>
      <c r="AA430" s="64" t="e">
        <v>#N/A</v>
      </c>
      <c r="AB430" s="62" t="e">
        <v>#N/A</v>
      </c>
      <c r="AC430" s="62" t="e">
        <v>#N/A</v>
      </c>
      <c r="AD430" s="62" t="e">
        <v>#N/A</v>
      </c>
      <c r="AE430" s="62" t="e">
        <v>#N/A</v>
      </c>
      <c r="AF430" s="62" t="e">
        <v>#N/A</v>
      </c>
      <c r="AG430" s="62" t="e">
        <v>#N/A</v>
      </c>
      <c r="AH430" s="62" t="e">
        <v>#N/A</v>
      </c>
      <c r="AI430" s="62" t="e">
        <v>#N/A</v>
      </c>
      <c r="AJ430" s="62" t="e">
        <v>#N/A</v>
      </c>
      <c r="AK430" s="64" t="e">
        <v>#N/A</v>
      </c>
      <c r="AL430" s="19">
        <v>138433</v>
      </c>
      <c r="AM430" s="19">
        <v>113431</v>
      </c>
      <c r="AN430" s="23">
        <v>3394</v>
      </c>
      <c r="AO430" s="19">
        <v>132973</v>
      </c>
      <c r="AP430" s="19">
        <v>26329</v>
      </c>
      <c r="AQ430" s="19">
        <v>101757</v>
      </c>
      <c r="AR430" s="63"/>
      <c r="AS430" s="63"/>
      <c r="AT430" s="65">
        <f t="shared" si="32"/>
        <v>5584.866</v>
      </c>
      <c r="AU430" s="65">
        <f t="shared" si="33"/>
        <v>142.548</v>
      </c>
      <c r="AV430" s="65">
        <f t="shared" si="34"/>
        <v>1105.818</v>
      </c>
      <c r="AW430" s="65">
        <f t="shared" si="35"/>
        <v>5814.1859999999997</v>
      </c>
      <c r="AX430" s="65">
        <f t="shared" si="35"/>
        <v>4764.1019999999999</v>
      </c>
      <c r="AY430" s="65">
        <f t="shared" si="31"/>
        <v>4273.7939999999999</v>
      </c>
      <c r="AZ430" s="19">
        <v>49891</v>
      </c>
      <c r="BA430" s="19">
        <v>50812</v>
      </c>
      <c r="BB430" s="19">
        <v>40970</v>
      </c>
      <c r="BC430" s="19">
        <v>2370</v>
      </c>
      <c r="BD430" s="19">
        <v>1910</v>
      </c>
      <c r="BE430" s="62"/>
      <c r="BF430" s="62"/>
      <c r="BG430" s="62"/>
      <c r="BH430" s="62"/>
      <c r="BI430" s="67">
        <v>116.67</v>
      </c>
      <c r="BJ430" s="67">
        <v>3.34</v>
      </c>
      <c r="BK430" s="67">
        <v>3.42</v>
      </c>
      <c r="BL430" s="67">
        <v>3.08</v>
      </c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62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  <c r="DK430" s="62"/>
      <c r="DL430" s="62"/>
    </row>
    <row r="431" spans="1:116" x14ac:dyDescent="0.2">
      <c r="A431" s="57">
        <v>39692</v>
      </c>
      <c r="B431" s="58">
        <v>2008</v>
      </c>
      <c r="C431" s="66">
        <v>8.1530000000000005</v>
      </c>
      <c r="D431" s="62">
        <v>0.111</v>
      </c>
      <c r="E431" s="62">
        <v>1500.5609999999999</v>
      </c>
      <c r="F431" s="62">
        <v>63.024000000000001</v>
      </c>
      <c r="G431" s="62">
        <v>8.0419999999999998</v>
      </c>
      <c r="H431" s="62">
        <v>939.17700000000002</v>
      </c>
      <c r="I431" s="62">
        <v>1501.46</v>
      </c>
      <c r="J431" s="62">
        <v>-562.28300000000002</v>
      </c>
      <c r="K431" s="62"/>
      <c r="L431" s="62"/>
      <c r="M431" s="62">
        <v>938.27800000000002</v>
      </c>
      <c r="N431" s="62">
        <v>39.408000000000001</v>
      </c>
      <c r="O431" s="66">
        <v>5.0279999999999996</v>
      </c>
      <c r="P431" s="61"/>
      <c r="Q431" s="62"/>
      <c r="R431" s="62"/>
      <c r="S431" s="62"/>
      <c r="T431" s="62"/>
      <c r="U431" s="62"/>
      <c r="V431" s="62"/>
      <c r="W431" s="62"/>
      <c r="X431" s="62"/>
      <c r="Y431" s="61"/>
      <c r="Z431" s="63"/>
      <c r="AA431" s="64" t="e">
        <v>#N/A</v>
      </c>
      <c r="AB431" s="62" t="e">
        <v>#N/A</v>
      </c>
      <c r="AC431" s="62" t="e">
        <v>#N/A</v>
      </c>
      <c r="AD431" s="62" t="e">
        <v>#N/A</v>
      </c>
      <c r="AE431" s="62" t="e">
        <v>#N/A</v>
      </c>
      <c r="AF431" s="62" t="e">
        <v>#N/A</v>
      </c>
      <c r="AG431" s="62" t="e">
        <v>#N/A</v>
      </c>
      <c r="AH431" s="62" t="e">
        <v>#N/A</v>
      </c>
      <c r="AI431" s="62" t="e">
        <v>#N/A</v>
      </c>
      <c r="AJ431" s="62" t="e">
        <v>#N/A</v>
      </c>
      <c r="AK431" s="64" t="e">
        <v>#N/A</v>
      </c>
      <c r="AL431" s="19">
        <v>110444</v>
      </c>
      <c r="AM431" s="19">
        <v>112197</v>
      </c>
      <c r="AN431" s="23">
        <v>5839</v>
      </c>
      <c r="AO431" s="19">
        <v>127679</v>
      </c>
      <c r="AP431" s="19">
        <v>9380</v>
      </c>
      <c r="AQ431" s="19">
        <v>82792</v>
      </c>
      <c r="AR431" s="63"/>
      <c r="AS431" s="63"/>
      <c r="AT431" s="65">
        <f t="shared" si="32"/>
        <v>5362.518</v>
      </c>
      <c r="AU431" s="65">
        <f t="shared" si="33"/>
        <v>245.238</v>
      </c>
      <c r="AV431" s="65">
        <f t="shared" si="34"/>
        <v>393.96</v>
      </c>
      <c r="AW431" s="65">
        <f t="shared" si="35"/>
        <v>4638.6480000000001</v>
      </c>
      <c r="AX431" s="65">
        <f t="shared" si="35"/>
        <v>4712.2740000000003</v>
      </c>
      <c r="AY431" s="65">
        <f t="shared" si="31"/>
        <v>3477.2640000000001</v>
      </c>
      <c r="AZ431" s="19">
        <v>39346</v>
      </c>
      <c r="BA431" s="19">
        <v>44335</v>
      </c>
      <c r="BB431" s="19">
        <v>37758</v>
      </c>
      <c r="BC431" s="19">
        <v>2637</v>
      </c>
      <c r="BD431" s="19">
        <v>860</v>
      </c>
      <c r="BE431" s="62"/>
      <c r="BF431" s="62"/>
      <c r="BG431" s="62"/>
      <c r="BH431" s="62"/>
      <c r="BI431" s="67">
        <v>104.11</v>
      </c>
      <c r="BJ431" s="67">
        <v>3.16</v>
      </c>
      <c r="BK431" s="67">
        <v>3.27</v>
      </c>
      <c r="BL431" s="67">
        <v>3</v>
      </c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62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  <c r="DK431" s="62"/>
      <c r="DL431" s="62"/>
    </row>
    <row r="432" spans="1:116" x14ac:dyDescent="0.2">
      <c r="A432" s="57">
        <v>39722</v>
      </c>
      <c r="B432" s="58">
        <v>2008</v>
      </c>
      <c r="C432" s="66">
        <v>7.9569999999999999</v>
      </c>
      <c r="D432" s="62">
        <v>0.108</v>
      </c>
      <c r="E432" s="62">
        <v>1464.645</v>
      </c>
      <c r="F432" s="62">
        <v>61.515000000000001</v>
      </c>
      <c r="G432" s="62">
        <v>7.8490000000000002</v>
      </c>
      <c r="H432" s="62">
        <v>745.53099999999995</v>
      </c>
      <c r="I432" s="62">
        <v>1377.877</v>
      </c>
      <c r="J432" s="62">
        <v>-632.346</v>
      </c>
      <c r="K432" s="62"/>
      <c r="L432" s="62"/>
      <c r="M432" s="62">
        <v>832.29899999999998</v>
      </c>
      <c r="N432" s="62">
        <v>34.957000000000001</v>
      </c>
      <c r="O432" s="66">
        <v>4.46</v>
      </c>
      <c r="P432" s="61"/>
      <c r="Q432" s="62"/>
      <c r="R432" s="62"/>
      <c r="S432" s="62"/>
      <c r="T432" s="62"/>
      <c r="U432" s="62"/>
      <c r="V432" s="62"/>
      <c r="W432" s="62"/>
      <c r="X432" s="62"/>
      <c r="Y432" s="61"/>
      <c r="Z432" s="63"/>
      <c r="AA432" s="64" t="e">
        <v>#N/A</v>
      </c>
      <c r="AB432" s="62" t="e">
        <v>#N/A</v>
      </c>
      <c r="AC432" s="62" t="e">
        <v>#N/A</v>
      </c>
      <c r="AD432" s="62" t="e">
        <v>#N/A</v>
      </c>
      <c r="AE432" s="62" t="e">
        <v>#N/A</v>
      </c>
      <c r="AF432" s="62" t="e">
        <v>#N/A</v>
      </c>
      <c r="AG432" s="62" t="e">
        <v>#N/A</v>
      </c>
      <c r="AH432" s="62" t="e">
        <v>#N/A</v>
      </c>
      <c r="AI432" s="62" t="e">
        <v>#N/A</v>
      </c>
      <c r="AJ432" s="62" t="e">
        <v>#N/A</v>
      </c>
      <c r="AK432" s="64" t="e">
        <v>#N/A</v>
      </c>
      <c r="AL432" s="19">
        <v>137489</v>
      </c>
      <c r="AM432" s="19">
        <v>129636</v>
      </c>
      <c r="AN432" s="23">
        <v>5141</v>
      </c>
      <c r="AO432" s="19">
        <v>127595</v>
      </c>
      <c r="AP432" s="19">
        <v>13078</v>
      </c>
      <c r="AQ432" s="19">
        <v>99185</v>
      </c>
      <c r="AR432" s="63"/>
      <c r="AS432" s="63"/>
      <c r="AT432" s="65">
        <f t="shared" si="32"/>
        <v>5358.99</v>
      </c>
      <c r="AU432" s="65">
        <f t="shared" si="33"/>
        <v>215.922</v>
      </c>
      <c r="AV432" s="65">
        <f t="shared" si="34"/>
        <v>549.27599999999995</v>
      </c>
      <c r="AW432" s="65">
        <f t="shared" si="35"/>
        <v>5774.5379999999996</v>
      </c>
      <c r="AX432" s="65">
        <f t="shared" si="35"/>
        <v>5444.7120000000004</v>
      </c>
      <c r="AY432" s="65">
        <f t="shared" si="31"/>
        <v>4165.7700000000004</v>
      </c>
      <c r="AZ432" s="19">
        <v>43444</v>
      </c>
      <c r="BA432" s="19">
        <v>43930</v>
      </c>
      <c r="BB432" s="19">
        <v>38425</v>
      </c>
      <c r="BC432" s="19">
        <v>3029</v>
      </c>
      <c r="BD432" s="19">
        <v>1876</v>
      </c>
      <c r="BE432" s="62"/>
      <c r="BF432" s="62"/>
      <c r="BG432" s="62"/>
      <c r="BH432" s="62"/>
      <c r="BI432" s="67">
        <v>76.61</v>
      </c>
      <c r="BJ432" s="67">
        <v>2.5099999999999998</v>
      </c>
      <c r="BK432" s="67">
        <v>2.6</v>
      </c>
      <c r="BL432" s="67">
        <v>2.15</v>
      </c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62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  <c r="DK432" s="62"/>
      <c r="DL432" s="62"/>
    </row>
    <row r="433" spans="1:116" x14ac:dyDescent="0.2">
      <c r="A433" s="57">
        <v>39753</v>
      </c>
      <c r="B433" s="58">
        <v>2008</v>
      </c>
      <c r="C433" s="66">
        <v>7.8129999999999997</v>
      </c>
      <c r="D433" s="62">
        <v>0.106</v>
      </c>
      <c r="E433" s="62">
        <v>1437.981</v>
      </c>
      <c r="F433" s="62">
        <v>60.395000000000003</v>
      </c>
      <c r="G433" s="62">
        <v>7.7060000000000004</v>
      </c>
      <c r="H433" s="62">
        <v>632.29600000000005</v>
      </c>
      <c r="I433" s="62">
        <v>1220.6379999999999</v>
      </c>
      <c r="J433" s="62">
        <v>-588.34199999999998</v>
      </c>
      <c r="K433" s="62"/>
      <c r="L433" s="62"/>
      <c r="M433" s="62">
        <v>849.63900000000001</v>
      </c>
      <c r="N433" s="62">
        <v>35.685000000000002</v>
      </c>
      <c r="O433" s="66">
        <v>4.5529999999999999</v>
      </c>
      <c r="P433" s="61"/>
      <c r="Q433" s="62"/>
      <c r="R433" s="62"/>
      <c r="S433" s="62"/>
      <c r="T433" s="62"/>
      <c r="U433" s="62"/>
      <c r="V433" s="62"/>
      <c r="W433" s="62"/>
      <c r="X433" s="62"/>
      <c r="Y433" s="61"/>
      <c r="Z433" s="63"/>
      <c r="AA433" s="64" t="e">
        <v>#N/A</v>
      </c>
      <c r="AB433" s="62" t="e">
        <v>#N/A</v>
      </c>
      <c r="AC433" s="62" t="e">
        <v>#N/A</v>
      </c>
      <c r="AD433" s="62" t="e">
        <v>#N/A</v>
      </c>
      <c r="AE433" s="62" t="e">
        <v>#N/A</v>
      </c>
      <c r="AF433" s="62" t="e">
        <v>#N/A</v>
      </c>
      <c r="AG433" s="62" t="e">
        <v>#N/A</v>
      </c>
      <c r="AH433" s="62" t="e">
        <v>#N/A</v>
      </c>
      <c r="AI433" s="62" t="e">
        <v>#N/A</v>
      </c>
      <c r="AJ433" s="62" t="e">
        <v>#N/A</v>
      </c>
      <c r="AK433" s="64" t="e">
        <v>#N/A</v>
      </c>
      <c r="AL433" s="19">
        <v>134659</v>
      </c>
      <c r="AM433" s="19">
        <v>116147</v>
      </c>
      <c r="AN433" s="23">
        <v>6087</v>
      </c>
      <c r="AO433" s="19">
        <v>135876</v>
      </c>
      <c r="AP433" s="19">
        <v>16318</v>
      </c>
      <c r="AQ433" s="19">
        <v>97978</v>
      </c>
      <c r="AR433" s="63"/>
      <c r="AS433" s="63"/>
      <c r="AT433" s="65">
        <f t="shared" si="32"/>
        <v>5706.7920000000004</v>
      </c>
      <c r="AU433" s="65">
        <f t="shared" si="33"/>
        <v>255.654</v>
      </c>
      <c r="AV433" s="65">
        <f t="shared" si="34"/>
        <v>685.35599999999999</v>
      </c>
      <c r="AW433" s="65">
        <f t="shared" si="35"/>
        <v>5655.6779999999999</v>
      </c>
      <c r="AX433" s="65">
        <f t="shared" si="35"/>
        <v>4878.174</v>
      </c>
      <c r="AY433" s="65">
        <f t="shared" si="31"/>
        <v>4115.076</v>
      </c>
      <c r="AZ433" s="19">
        <v>42750</v>
      </c>
      <c r="BA433" s="19">
        <v>43194</v>
      </c>
      <c r="BB433" s="19">
        <v>37857</v>
      </c>
      <c r="BC433" s="19">
        <v>1423</v>
      </c>
      <c r="BD433" s="19">
        <v>1547</v>
      </c>
      <c r="BE433" s="62"/>
      <c r="BF433" s="62"/>
      <c r="BG433" s="62"/>
      <c r="BH433" s="62"/>
      <c r="BI433" s="67">
        <v>57.31</v>
      </c>
      <c r="BJ433" s="67">
        <v>1.96</v>
      </c>
      <c r="BK433" s="67">
        <v>1.99</v>
      </c>
      <c r="BL433" s="67">
        <v>1.39</v>
      </c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62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  <c r="DK433" s="62"/>
      <c r="DL433" s="62"/>
    </row>
    <row r="434" spans="1:116" x14ac:dyDescent="0.2">
      <c r="A434" s="57">
        <v>39783</v>
      </c>
      <c r="B434" s="58">
        <v>2008</v>
      </c>
      <c r="C434" s="66">
        <v>5.7130000000000001</v>
      </c>
      <c r="D434" s="62">
        <v>7.8E-2</v>
      </c>
      <c r="E434" s="62">
        <v>1051.617</v>
      </c>
      <c r="F434" s="62">
        <v>44.167999999999999</v>
      </c>
      <c r="G434" s="62">
        <v>5.6360000000000001</v>
      </c>
      <c r="H434" s="62">
        <v>417.459</v>
      </c>
      <c r="I434" s="62">
        <v>792.005</v>
      </c>
      <c r="J434" s="62">
        <v>-374.54700000000003</v>
      </c>
      <c r="K434" s="62"/>
      <c r="L434" s="62"/>
      <c r="M434" s="62">
        <v>677.07100000000003</v>
      </c>
      <c r="N434" s="62">
        <v>28.437000000000001</v>
      </c>
      <c r="O434" s="66">
        <v>3.6280000000000001</v>
      </c>
      <c r="P434" s="61"/>
      <c r="Q434" s="62"/>
      <c r="R434" s="62"/>
      <c r="S434" s="62"/>
      <c r="T434" s="62"/>
      <c r="U434" s="62"/>
      <c r="V434" s="62"/>
      <c r="W434" s="62"/>
      <c r="X434" s="62"/>
      <c r="Y434" s="61"/>
      <c r="Z434" s="63"/>
      <c r="AA434" s="64" t="e">
        <v>#N/A</v>
      </c>
      <c r="AB434" s="62" t="e">
        <v>#N/A</v>
      </c>
      <c r="AC434" s="62" t="e">
        <v>#N/A</v>
      </c>
      <c r="AD434" s="62" t="e">
        <v>#N/A</v>
      </c>
      <c r="AE434" s="62" t="e">
        <v>#N/A</v>
      </c>
      <c r="AF434" s="62" t="e">
        <v>#N/A</v>
      </c>
      <c r="AG434" s="62" t="e">
        <v>#N/A</v>
      </c>
      <c r="AH434" s="62" t="e">
        <v>#N/A</v>
      </c>
      <c r="AI434" s="62" t="e">
        <v>#N/A</v>
      </c>
      <c r="AJ434" s="62" t="e">
        <v>#N/A</v>
      </c>
      <c r="AK434" s="64" t="e">
        <v>#N/A</v>
      </c>
      <c r="AL434" s="19">
        <v>139849</v>
      </c>
      <c r="AM434" s="19">
        <v>117275</v>
      </c>
      <c r="AN434" s="23">
        <v>8123</v>
      </c>
      <c r="AO434" s="19">
        <v>146013</v>
      </c>
      <c r="AP434" s="19">
        <v>20560</v>
      </c>
      <c r="AQ434" s="19">
        <v>100483</v>
      </c>
      <c r="AR434" s="63"/>
      <c r="AS434" s="63"/>
      <c r="AT434" s="65">
        <f t="shared" si="32"/>
        <v>6132.5460000000003</v>
      </c>
      <c r="AU434" s="65">
        <f t="shared" si="33"/>
        <v>341.166</v>
      </c>
      <c r="AV434" s="65">
        <f t="shared" si="34"/>
        <v>863.52</v>
      </c>
      <c r="AW434" s="65">
        <f t="shared" si="35"/>
        <v>5873.6580000000004</v>
      </c>
      <c r="AX434" s="65">
        <f t="shared" si="35"/>
        <v>4925.55</v>
      </c>
      <c r="AY434" s="65">
        <f t="shared" si="31"/>
        <v>4220.2860000000001</v>
      </c>
      <c r="AZ434" s="19">
        <v>42861</v>
      </c>
      <c r="BA434" s="19">
        <v>43245</v>
      </c>
      <c r="BB434" s="19">
        <v>37969</v>
      </c>
      <c r="BC434" s="19">
        <v>2123</v>
      </c>
      <c r="BD434" s="19">
        <v>1627</v>
      </c>
      <c r="BE434" s="62"/>
      <c r="BF434" s="62"/>
      <c r="BG434" s="62"/>
      <c r="BH434" s="62"/>
      <c r="BI434" s="67">
        <v>41.12</v>
      </c>
      <c r="BJ434" s="67">
        <v>1.47</v>
      </c>
      <c r="BK434" s="67">
        <v>1.52</v>
      </c>
      <c r="BL434" s="67">
        <v>1.06</v>
      </c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62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  <c r="DK434" s="62"/>
      <c r="DL434" s="62"/>
    </row>
    <row r="435" spans="1:116" x14ac:dyDescent="0.2">
      <c r="A435" s="57">
        <v>39814</v>
      </c>
      <c r="B435" s="58">
        <v>2009</v>
      </c>
      <c r="C435" s="66">
        <v>5.4829999999999997</v>
      </c>
      <c r="D435" s="62">
        <v>7.4999999999999997E-2</v>
      </c>
      <c r="E435" s="62">
        <v>1009.1130000000001</v>
      </c>
      <c r="F435" s="62">
        <v>42.383000000000003</v>
      </c>
      <c r="G435" s="62">
        <v>5.4080000000000004</v>
      </c>
      <c r="H435" s="62">
        <v>269.62099999999998</v>
      </c>
      <c r="I435" s="62">
        <v>1188.915</v>
      </c>
      <c r="J435" s="62">
        <v>-919.29399999999998</v>
      </c>
      <c r="K435" s="62">
        <v>664</v>
      </c>
      <c r="L435" s="62">
        <v>664</v>
      </c>
      <c r="M435" s="62">
        <v>79</v>
      </c>
      <c r="N435" s="62">
        <v>3.3180000000000001</v>
      </c>
      <c r="O435" s="66">
        <v>0.42299999999999999</v>
      </c>
      <c r="P435" s="61"/>
      <c r="Q435" s="62"/>
      <c r="R435" s="62"/>
      <c r="S435" s="62"/>
      <c r="T435" s="62"/>
      <c r="U435" s="62"/>
      <c r="V435" s="62"/>
      <c r="W435" s="62"/>
      <c r="X435" s="62"/>
      <c r="Y435" s="61"/>
      <c r="Z435" s="63"/>
      <c r="AA435" s="64" t="e">
        <v>#N/A</v>
      </c>
      <c r="AB435" s="62" t="e">
        <v>#N/A</v>
      </c>
      <c r="AC435" s="62" t="e">
        <v>#N/A</v>
      </c>
      <c r="AD435" s="62" t="e">
        <v>#N/A</v>
      </c>
      <c r="AE435" s="62" t="e">
        <v>#N/A</v>
      </c>
      <c r="AF435" s="62" t="e">
        <v>#N/A</v>
      </c>
      <c r="AG435" s="62" t="e">
        <v>#N/A</v>
      </c>
      <c r="AH435" s="62" t="e">
        <v>#N/A</v>
      </c>
      <c r="AI435" s="62" t="e">
        <v>#N/A</v>
      </c>
      <c r="AJ435" s="62" t="e">
        <v>#N/A</v>
      </c>
      <c r="AK435" s="64" t="e">
        <v>#N/A</v>
      </c>
      <c r="AL435" s="19">
        <v>132789</v>
      </c>
      <c r="AM435" s="19">
        <v>126436</v>
      </c>
      <c r="AN435" s="23">
        <v>11410</v>
      </c>
      <c r="AO435" s="19">
        <v>143730</v>
      </c>
      <c r="AP435" s="19">
        <v>20046</v>
      </c>
      <c r="AQ435" s="19">
        <v>96778</v>
      </c>
      <c r="AR435" s="63"/>
      <c r="AS435" s="63"/>
      <c r="AT435" s="65">
        <f t="shared" si="32"/>
        <v>6036.66</v>
      </c>
      <c r="AU435" s="65">
        <f t="shared" si="33"/>
        <v>479.22</v>
      </c>
      <c r="AV435" s="65">
        <f t="shared" si="34"/>
        <v>841.93200000000002</v>
      </c>
      <c r="AW435" s="65">
        <f t="shared" si="35"/>
        <v>5577.1379999999999</v>
      </c>
      <c r="AX435" s="65">
        <f t="shared" si="35"/>
        <v>5310.3119999999999</v>
      </c>
      <c r="AY435" s="65">
        <f t="shared" si="31"/>
        <v>4064.6759999999999</v>
      </c>
      <c r="AZ435" s="19">
        <v>43671</v>
      </c>
      <c r="BA435" s="19">
        <v>40685</v>
      </c>
      <c r="BB435" s="19">
        <v>41331</v>
      </c>
      <c r="BC435" s="19">
        <v>2755</v>
      </c>
      <c r="BD435" s="19">
        <v>2379</v>
      </c>
      <c r="BE435" s="62"/>
      <c r="BF435" s="62"/>
      <c r="BG435" s="62"/>
      <c r="BH435" s="62"/>
      <c r="BI435" s="67">
        <v>41.71</v>
      </c>
      <c r="BJ435" s="67">
        <v>1.48</v>
      </c>
      <c r="BK435" s="67">
        <v>1.48</v>
      </c>
      <c r="BL435" s="67">
        <v>1.25</v>
      </c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62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  <c r="DK435" s="62"/>
      <c r="DL435" s="62"/>
    </row>
    <row r="436" spans="1:116" x14ac:dyDescent="0.2">
      <c r="A436" s="57">
        <v>39845</v>
      </c>
      <c r="B436" s="58">
        <v>2009</v>
      </c>
      <c r="C436" s="66">
        <v>4.3250000000000002</v>
      </c>
      <c r="D436" s="62">
        <v>5.8999999999999997E-2</v>
      </c>
      <c r="E436" s="62">
        <v>795.995</v>
      </c>
      <c r="F436" s="62">
        <v>33.432000000000002</v>
      </c>
      <c r="G436" s="62">
        <v>4.266</v>
      </c>
      <c r="H436" s="62">
        <v>162.82499999999999</v>
      </c>
      <c r="I436" s="62">
        <v>1205.4469999999999</v>
      </c>
      <c r="J436" s="62">
        <v>-1042.6220000000001</v>
      </c>
      <c r="K436" s="62">
        <v>424</v>
      </c>
      <c r="L436" s="62">
        <v>-240</v>
      </c>
      <c r="M436" s="62">
        <v>73</v>
      </c>
      <c r="N436" s="62">
        <v>3.0659999999999998</v>
      </c>
      <c r="O436" s="66">
        <v>0.39100000000000001</v>
      </c>
      <c r="P436" s="61"/>
      <c r="Q436" s="62"/>
      <c r="R436" s="62"/>
      <c r="S436" s="62"/>
      <c r="T436" s="62"/>
      <c r="U436" s="62"/>
      <c r="V436" s="62"/>
      <c r="W436" s="62"/>
      <c r="X436" s="62"/>
      <c r="Y436" s="61"/>
      <c r="Z436" s="63"/>
      <c r="AA436" s="64" t="e">
        <v>#N/A</v>
      </c>
      <c r="AB436" s="62" t="e">
        <v>#N/A</v>
      </c>
      <c r="AC436" s="62" t="e">
        <v>#N/A</v>
      </c>
      <c r="AD436" s="62" t="e">
        <v>#N/A</v>
      </c>
      <c r="AE436" s="62" t="e">
        <v>#N/A</v>
      </c>
      <c r="AF436" s="62" t="e">
        <v>#N/A</v>
      </c>
      <c r="AG436" s="62" t="e">
        <v>#N/A</v>
      </c>
      <c r="AH436" s="62" t="e">
        <v>#N/A</v>
      </c>
      <c r="AI436" s="62" t="e">
        <v>#N/A</v>
      </c>
      <c r="AJ436" s="62" t="e">
        <v>#N/A</v>
      </c>
      <c r="AK436" s="64" t="e">
        <v>#N/A</v>
      </c>
      <c r="AL436" s="19">
        <v>118477</v>
      </c>
      <c r="AM436" s="19">
        <v>108181</v>
      </c>
      <c r="AN436" s="23">
        <v>9160</v>
      </c>
      <c r="AO436" s="19">
        <v>148105</v>
      </c>
      <c r="AP436" s="19">
        <v>15081</v>
      </c>
      <c r="AQ436" s="19">
        <v>85883</v>
      </c>
      <c r="AR436" s="63"/>
      <c r="AS436" s="63"/>
      <c r="AT436" s="65">
        <f t="shared" si="32"/>
        <v>6220.41</v>
      </c>
      <c r="AU436" s="65">
        <f t="shared" si="33"/>
        <v>384.72</v>
      </c>
      <c r="AV436" s="65">
        <f t="shared" si="34"/>
        <v>633.40200000000004</v>
      </c>
      <c r="AW436" s="65">
        <f t="shared" si="35"/>
        <v>4976.0339999999997</v>
      </c>
      <c r="AX436" s="65">
        <f t="shared" si="35"/>
        <v>4543.6019999999999</v>
      </c>
      <c r="AY436" s="65">
        <f t="shared" si="31"/>
        <v>3607.0859999999998</v>
      </c>
      <c r="AZ436" s="19">
        <v>38960</v>
      </c>
      <c r="BA436" s="19">
        <v>37975</v>
      </c>
      <c r="BB436" s="19">
        <v>43145</v>
      </c>
      <c r="BC436" s="19">
        <v>2000</v>
      </c>
      <c r="BD436" s="19">
        <v>1171</v>
      </c>
      <c r="BE436" s="62"/>
      <c r="BF436" s="62"/>
      <c r="BG436" s="62"/>
      <c r="BH436" s="62"/>
      <c r="BI436" s="67">
        <v>39.090000000000003</v>
      </c>
      <c r="BJ436" s="67">
        <v>1.33</v>
      </c>
      <c r="BK436" s="67">
        <v>1.36</v>
      </c>
      <c r="BL436" s="67">
        <v>1.33</v>
      </c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62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  <c r="DK436" s="62"/>
      <c r="DL436" s="62"/>
    </row>
    <row r="437" spans="1:116" x14ac:dyDescent="0.2">
      <c r="A437" s="57">
        <v>39873</v>
      </c>
      <c r="B437" s="58">
        <v>2009</v>
      </c>
      <c r="C437" s="66">
        <v>3.44</v>
      </c>
      <c r="D437" s="62">
        <v>4.7E-2</v>
      </c>
      <c r="E437" s="62">
        <v>633.19299999999998</v>
      </c>
      <c r="F437" s="62">
        <v>26.594000000000001</v>
      </c>
      <c r="G437" s="62">
        <v>3.3929999999999998</v>
      </c>
      <c r="H437" s="62">
        <v>396.41300000000001</v>
      </c>
      <c r="I437" s="62">
        <v>210.315</v>
      </c>
      <c r="J437" s="62">
        <v>186.09800000000001</v>
      </c>
      <c r="K437" s="62">
        <v>665</v>
      </c>
      <c r="L437" s="62">
        <v>241</v>
      </c>
      <c r="M437" s="62">
        <v>578.29100000000005</v>
      </c>
      <c r="N437" s="62">
        <v>24.288</v>
      </c>
      <c r="O437" s="66">
        <v>3.0990000000000002</v>
      </c>
      <c r="P437" s="61"/>
      <c r="Q437" s="62"/>
      <c r="R437" s="62"/>
      <c r="S437" s="62"/>
      <c r="T437" s="62"/>
      <c r="U437" s="62"/>
      <c r="V437" s="62"/>
      <c r="W437" s="62"/>
      <c r="X437" s="62"/>
      <c r="Y437" s="61"/>
      <c r="Z437" s="63"/>
      <c r="AA437" s="64" t="e">
        <v>#N/A</v>
      </c>
      <c r="AB437" s="62" t="e">
        <v>#N/A</v>
      </c>
      <c r="AC437" s="62" t="e">
        <v>#N/A</v>
      </c>
      <c r="AD437" s="62" t="e">
        <v>#N/A</v>
      </c>
      <c r="AE437" s="62" t="e">
        <v>#N/A</v>
      </c>
      <c r="AF437" s="62" t="e">
        <v>#N/A</v>
      </c>
      <c r="AG437" s="62" t="e">
        <v>#N/A</v>
      </c>
      <c r="AH437" s="62" t="e">
        <v>#N/A</v>
      </c>
      <c r="AI437" s="62" t="e">
        <v>#N/A</v>
      </c>
      <c r="AJ437" s="62" t="e">
        <v>#N/A</v>
      </c>
      <c r="AK437" s="64" t="e">
        <v>#N/A</v>
      </c>
      <c r="AL437" s="19">
        <v>122100</v>
      </c>
      <c r="AM437" s="19">
        <v>116051</v>
      </c>
      <c r="AN437" s="23">
        <v>8337</v>
      </c>
      <c r="AO437" s="19">
        <v>145301</v>
      </c>
      <c r="AP437" s="19">
        <v>17190</v>
      </c>
      <c r="AQ437" s="19">
        <v>88767</v>
      </c>
      <c r="AR437" s="63"/>
      <c r="AS437" s="63"/>
      <c r="AT437" s="65">
        <f t="shared" si="32"/>
        <v>6102.6419999999998</v>
      </c>
      <c r="AU437" s="65">
        <f t="shared" si="33"/>
        <v>350.154</v>
      </c>
      <c r="AV437" s="65">
        <f t="shared" si="34"/>
        <v>721.98</v>
      </c>
      <c r="AW437" s="65">
        <f t="shared" si="35"/>
        <v>5128.2</v>
      </c>
      <c r="AX437" s="65">
        <f t="shared" si="35"/>
        <v>4874.1419999999998</v>
      </c>
      <c r="AY437" s="65">
        <f t="shared" si="31"/>
        <v>3728.2139999999999</v>
      </c>
      <c r="AZ437" s="19">
        <v>42576</v>
      </c>
      <c r="BA437" s="19">
        <v>43585</v>
      </c>
      <c r="BB437" s="19">
        <v>43084</v>
      </c>
      <c r="BC437" s="19">
        <v>2847</v>
      </c>
      <c r="BD437" s="19">
        <v>1899</v>
      </c>
      <c r="BE437" s="62"/>
      <c r="BF437" s="62"/>
      <c r="BG437" s="62"/>
      <c r="BH437" s="62"/>
      <c r="BI437" s="67">
        <v>47.94</v>
      </c>
      <c r="BJ437" s="67">
        <v>1.31</v>
      </c>
      <c r="BK437" s="67">
        <v>1.28</v>
      </c>
      <c r="BL437" s="67">
        <v>1.4</v>
      </c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62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  <c r="DK437" s="62"/>
      <c r="DL437" s="62"/>
    </row>
    <row r="438" spans="1:116" x14ac:dyDescent="0.2">
      <c r="A438" s="57">
        <v>39904</v>
      </c>
      <c r="B438" s="58">
        <v>2009</v>
      </c>
      <c r="C438" s="66">
        <v>3.6440000000000001</v>
      </c>
      <c r="D438" s="62">
        <v>0.05</v>
      </c>
      <c r="E438" s="62">
        <v>670.73199999999997</v>
      </c>
      <c r="F438" s="62">
        <v>28.170999999999999</v>
      </c>
      <c r="G438" s="62">
        <v>3.5939999999999999</v>
      </c>
      <c r="H438" s="62">
        <v>53.252000000000002</v>
      </c>
      <c r="I438" s="62">
        <v>159.11199999999999</v>
      </c>
      <c r="J438" s="62">
        <v>-105.86</v>
      </c>
      <c r="K438" s="62">
        <v>632</v>
      </c>
      <c r="L438" s="62">
        <v>-33</v>
      </c>
      <c r="M438" s="62">
        <v>597.87199999999996</v>
      </c>
      <c r="N438" s="62">
        <v>25.111000000000001</v>
      </c>
      <c r="O438" s="66">
        <v>3.2040000000000002</v>
      </c>
      <c r="P438" s="61"/>
      <c r="Q438" s="62"/>
      <c r="R438" s="62"/>
      <c r="S438" s="62"/>
      <c r="T438" s="62"/>
      <c r="U438" s="62"/>
      <c r="V438" s="62"/>
      <c r="W438" s="62"/>
      <c r="X438" s="62"/>
      <c r="Y438" s="61"/>
      <c r="Z438" s="63"/>
      <c r="AA438" s="64" t="e">
        <v>#N/A</v>
      </c>
      <c r="AB438" s="62" t="e">
        <v>#N/A</v>
      </c>
      <c r="AC438" s="62" t="e">
        <v>#N/A</v>
      </c>
      <c r="AD438" s="62" t="e">
        <v>#N/A</v>
      </c>
      <c r="AE438" s="62" t="e">
        <v>#N/A</v>
      </c>
      <c r="AF438" s="62" t="e">
        <v>#N/A</v>
      </c>
      <c r="AG438" s="62" t="e">
        <v>#N/A</v>
      </c>
      <c r="AH438" s="62" t="e">
        <v>#N/A</v>
      </c>
      <c r="AI438" s="62" t="e">
        <v>#N/A</v>
      </c>
      <c r="AJ438" s="62" t="e">
        <v>#N/A</v>
      </c>
      <c r="AK438" s="64" t="e">
        <v>#N/A</v>
      </c>
      <c r="AL438" s="19">
        <v>123954</v>
      </c>
      <c r="AM438" s="19">
        <v>103649</v>
      </c>
      <c r="AN438" s="23">
        <v>4983</v>
      </c>
      <c r="AO438" s="19">
        <v>150058</v>
      </c>
      <c r="AP438" s="19">
        <v>20531</v>
      </c>
      <c r="AQ438" s="19">
        <v>92487</v>
      </c>
      <c r="AR438" s="63"/>
      <c r="AS438" s="63"/>
      <c r="AT438" s="65">
        <f t="shared" si="32"/>
        <v>6302.4359999999997</v>
      </c>
      <c r="AU438" s="65">
        <f t="shared" si="33"/>
        <v>209.286</v>
      </c>
      <c r="AV438" s="65">
        <f t="shared" si="34"/>
        <v>862.30200000000002</v>
      </c>
      <c r="AW438" s="65">
        <f t="shared" si="35"/>
        <v>5206.0680000000002</v>
      </c>
      <c r="AX438" s="65">
        <f t="shared" si="35"/>
        <v>4353.2579999999998</v>
      </c>
      <c r="AY438" s="65">
        <f t="shared" si="31"/>
        <v>3884.4540000000002</v>
      </c>
      <c r="AZ438" s="19">
        <v>42948</v>
      </c>
      <c r="BA438" s="19">
        <v>42968</v>
      </c>
      <c r="BB438" s="19">
        <v>43783</v>
      </c>
      <c r="BC438" s="19">
        <v>2700</v>
      </c>
      <c r="BD438" s="19">
        <v>1981</v>
      </c>
      <c r="BE438" s="62"/>
      <c r="BF438" s="62"/>
      <c r="BG438" s="62"/>
      <c r="BH438" s="62"/>
      <c r="BI438" s="67">
        <v>49.65</v>
      </c>
      <c r="BJ438" s="67">
        <v>1.46</v>
      </c>
      <c r="BK438" s="67">
        <v>1.46</v>
      </c>
      <c r="BL438" s="67">
        <v>1.48</v>
      </c>
      <c r="BM438" s="62"/>
      <c r="BN438" s="62"/>
      <c r="BO438" s="62"/>
      <c r="BP438" s="62"/>
      <c r="BQ438" s="62"/>
      <c r="BR438" s="62"/>
      <c r="BS438" s="62"/>
      <c r="BT438" s="62"/>
      <c r="BU438" s="62"/>
      <c r="BV438" s="62"/>
      <c r="BW438" s="62"/>
      <c r="BX438" s="62"/>
      <c r="BY438" s="62"/>
      <c r="BZ438" s="62"/>
      <c r="CA438" s="62"/>
      <c r="CB438" s="62"/>
      <c r="CC438" s="62"/>
      <c r="CD438" s="62"/>
      <c r="CE438" s="62"/>
      <c r="CF438" s="62"/>
      <c r="CG438" s="62"/>
      <c r="CH438" s="62"/>
      <c r="CI438" s="62"/>
      <c r="CJ438" s="62"/>
      <c r="CK438" s="62"/>
      <c r="CL438" s="62"/>
      <c r="CM438" s="62"/>
      <c r="CN438" s="62"/>
      <c r="CO438" s="62"/>
      <c r="CP438" s="62"/>
      <c r="CQ438" s="62"/>
      <c r="CR438" s="62"/>
      <c r="CS438" s="62"/>
      <c r="CT438" s="62"/>
      <c r="CU438" s="62"/>
      <c r="CV438" s="62"/>
      <c r="CW438" s="62"/>
      <c r="CX438" s="62"/>
      <c r="CY438" s="62"/>
      <c r="CZ438" s="62"/>
      <c r="DA438" s="62"/>
      <c r="DB438" s="62"/>
      <c r="DC438" s="62"/>
      <c r="DD438" s="62"/>
      <c r="DE438" s="62"/>
      <c r="DF438" s="62"/>
      <c r="DG438" s="62"/>
      <c r="DH438" s="62"/>
      <c r="DI438" s="62"/>
      <c r="DJ438" s="62"/>
      <c r="DK438" s="62"/>
      <c r="DL438" s="62"/>
    </row>
    <row r="439" spans="1:116" x14ac:dyDescent="0.2">
      <c r="A439" s="57">
        <v>39934</v>
      </c>
      <c r="B439" s="58">
        <v>2009</v>
      </c>
      <c r="C439" s="66">
        <v>4.1520000000000001</v>
      </c>
      <c r="D439" s="62">
        <v>5.7000000000000002E-2</v>
      </c>
      <c r="E439" s="62">
        <v>764.30499999999995</v>
      </c>
      <c r="F439" s="62">
        <v>32.100999999999999</v>
      </c>
      <c r="G439" s="62">
        <v>4.0960000000000001</v>
      </c>
      <c r="H439" s="62">
        <v>120.595</v>
      </c>
      <c r="I439" s="62">
        <v>430.85700000000003</v>
      </c>
      <c r="J439" s="62">
        <v>-310.262</v>
      </c>
      <c r="K439" s="62">
        <v>600</v>
      </c>
      <c r="L439" s="62">
        <v>-32</v>
      </c>
      <c r="M439" s="62">
        <v>486.04300000000001</v>
      </c>
      <c r="N439" s="62">
        <v>20.414000000000001</v>
      </c>
      <c r="O439" s="66">
        <v>2.605</v>
      </c>
      <c r="P439" s="61"/>
      <c r="Q439" s="62"/>
      <c r="R439" s="62"/>
      <c r="S439" s="62"/>
      <c r="T439" s="62"/>
      <c r="U439" s="62"/>
      <c r="V439" s="62"/>
      <c r="W439" s="62"/>
      <c r="X439" s="62"/>
      <c r="Y439" s="61"/>
      <c r="Z439" s="63"/>
      <c r="AA439" s="64" t="e">
        <v>#N/A</v>
      </c>
      <c r="AB439" s="62" t="e">
        <v>#N/A</v>
      </c>
      <c r="AC439" s="62" t="e">
        <v>#N/A</v>
      </c>
      <c r="AD439" s="62" t="e">
        <v>#N/A</v>
      </c>
      <c r="AE439" s="62" t="e">
        <v>#N/A</v>
      </c>
      <c r="AF439" s="62" t="e">
        <v>#N/A</v>
      </c>
      <c r="AG439" s="62" t="e">
        <v>#N/A</v>
      </c>
      <c r="AH439" s="62" t="e">
        <v>#N/A</v>
      </c>
      <c r="AI439" s="62" t="e">
        <v>#N/A</v>
      </c>
      <c r="AJ439" s="62" t="e">
        <v>#N/A</v>
      </c>
      <c r="AK439" s="64" t="e">
        <v>#N/A</v>
      </c>
      <c r="AL439" s="19">
        <v>126880</v>
      </c>
      <c r="AM439" s="19">
        <v>106524</v>
      </c>
      <c r="AN439" s="23">
        <v>6391</v>
      </c>
      <c r="AO439" s="19">
        <v>156706</v>
      </c>
      <c r="AP439" s="19">
        <v>20099</v>
      </c>
      <c r="AQ439" s="19">
        <v>97238</v>
      </c>
      <c r="AR439" s="63"/>
      <c r="AS439" s="63"/>
      <c r="AT439" s="65">
        <f t="shared" si="32"/>
        <v>6581.652</v>
      </c>
      <c r="AU439" s="65">
        <f t="shared" si="33"/>
        <v>268.42200000000003</v>
      </c>
      <c r="AV439" s="65">
        <f t="shared" si="34"/>
        <v>844.15800000000002</v>
      </c>
      <c r="AW439" s="65">
        <f t="shared" si="35"/>
        <v>5328.96</v>
      </c>
      <c r="AX439" s="65">
        <f t="shared" si="35"/>
        <v>4474.0079999999998</v>
      </c>
      <c r="AY439" s="65">
        <f t="shared" si="31"/>
        <v>4083.9960000000001</v>
      </c>
      <c r="AZ439" s="19">
        <v>42725</v>
      </c>
      <c r="BA439" s="19">
        <v>41203</v>
      </c>
      <c r="BB439" s="19">
        <v>44690</v>
      </c>
      <c r="BC439" s="19">
        <v>2041</v>
      </c>
      <c r="BD439" s="19">
        <v>2656</v>
      </c>
      <c r="BE439" s="62"/>
      <c r="BF439" s="62"/>
      <c r="BG439" s="62"/>
      <c r="BH439" s="62"/>
      <c r="BI439" s="67">
        <v>59.03</v>
      </c>
      <c r="BJ439" s="67">
        <v>1.53</v>
      </c>
      <c r="BK439" s="67">
        <v>1.49</v>
      </c>
      <c r="BL439" s="67">
        <v>1.76</v>
      </c>
      <c r="BM439" s="62"/>
      <c r="BN439" s="62"/>
      <c r="BO439" s="62"/>
      <c r="BP439" s="62"/>
      <c r="BQ439" s="62"/>
      <c r="BR439" s="62"/>
      <c r="BS439" s="62"/>
      <c r="BT439" s="62"/>
      <c r="BU439" s="62"/>
      <c r="BV439" s="62"/>
      <c r="BW439" s="62"/>
      <c r="BX439" s="62"/>
      <c r="BY439" s="62"/>
      <c r="BZ439" s="62"/>
      <c r="CA439" s="62"/>
      <c r="CB439" s="62"/>
      <c r="CC439" s="62"/>
      <c r="CD439" s="62"/>
      <c r="CE439" s="62"/>
      <c r="CF439" s="62"/>
      <c r="CG439" s="62"/>
      <c r="CH439" s="62"/>
      <c r="CI439" s="62"/>
      <c r="CJ439" s="62"/>
      <c r="CK439" s="62"/>
      <c r="CL439" s="62"/>
      <c r="CM439" s="62"/>
      <c r="CN439" s="62"/>
      <c r="CO439" s="62"/>
      <c r="CP439" s="62"/>
      <c r="CQ439" s="62"/>
      <c r="CR439" s="62"/>
      <c r="CS439" s="62"/>
      <c r="CT439" s="62"/>
      <c r="CU439" s="62"/>
      <c r="CV439" s="62"/>
      <c r="CW439" s="62"/>
      <c r="CX439" s="62"/>
      <c r="CY439" s="62"/>
      <c r="CZ439" s="62"/>
      <c r="DA439" s="62"/>
      <c r="DB439" s="62"/>
      <c r="DC439" s="62"/>
      <c r="DD439" s="62"/>
      <c r="DE439" s="62"/>
      <c r="DF439" s="62"/>
      <c r="DG439" s="62"/>
      <c r="DH439" s="62"/>
      <c r="DI439" s="62"/>
      <c r="DJ439" s="62"/>
      <c r="DK439" s="62"/>
      <c r="DL439" s="62"/>
    </row>
    <row r="440" spans="1:116" x14ac:dyDescent="0.2">
      <c r="A440" s="57">
        <v>39965</v>
      </c>
      <c r="B440" s="58">
        <v>2009</v>
      </c>
      <c r="C440" s="66">
        <v>4.3449999999999998</v>
      </c>
      <c r="D440" s="62">
        <v>5.8999999999999997E-2</v>
      </c>
      <c r="E440" s="62">
        <v>799.70600000000002</v>
      </c>
      <c r="F440" s="62">
        <v>33.588000000000001</v>
      </c>
      <c r="G440" s="62">
        <v>4.2859999999999996</v>
      </c>
      <c r="H440" s="62">
        <v>142.779</v>
      </c>
      <c r="I440" s="62">
        <v>378.75099999999998</v>
      </c>
      <c r="J440" s="62">
        <v>-235.97200000000001</v>
      </c>
      <c r="K440" s="62">
        <v>581</v>
      </c>
      <c r="L440" s="62">
        <v>-19</v>
      </c>
      <c r="M440" s="62">
        <v>582.73500000000001</v>
      </c>
      <c r="N440" s="62">
        <v>24.475000000000001</v>
      </c>
      <c r="O440" s="66">
        <v>3.1230000000000002</v>
      </c>
      <c r="P440" s="61"/>
      <c r="Q440" s="62"/>
      <c r="R440" s="62"/>
      <c r="S440" s="62"/>
      <c r="T440" s="62"/>
      <c r="U440" s="62"/>
      <c r="V440" s="62"/>
      <c r="W440" s="62"/>
      <c r="X440" s="62"/>
      <c r="Y440" s="61"/>
      <c r="Z440" s="63"/>
      <c r="AA440" s="64" t="e">
        <v>#N/A</v>
      </c>
      <c r="AB440" s="62" t="e">
        <v>#N/A</v>
      </c>
      <c r="AC440" s="62" t="e">
        <v>#N/A</v>
      </c>
      <c r="AD440" s="62" t="e">
        <v>#N/A</v>
      </c>
      <c r="AE440" s="62" t="e">
        <v>#N/A</v>
      </c>
      <c r="AF440" s="62" t="e">
        <v>#N/A</v>
      </c>
      <c r="AG440" s="62" t="e">
        <v>#N/A</v>
      </c>
      <c r="AH440" s="62" t="e">
        <v>#N/A</v>
      </c>
      <c r="AI440" s="62" t="e">
        <v>#N/A</v>
      </c>
      <c r="AJ440" s="62" t="e">
        <v>#N/A</v>
      </c>
      <c r="AK440" s="64" t="e">
        <v>#N/A</v>
      </c>
      <c r="AL440" s="19">
        <v>121424</v>
      </c>
      <c r="AM440" s="19">
        <v>105391</v>
      </c>
      <c r="AN440" s="23">
        <v>7336</v>
      </c>
      <c r="AO440" s="19">
        <v>162723</v>
      </c>
      <c r="AP440" s="19">
        <v>17352</v>
      </c>
      <c r="AQ440" s="19">
        <v>89984</v>
      </c>
      <c r="AR440" s="63"/>
      <c r="AS440" s="63"/>
      <c r="AT440" s="65">
        <f t="shared" si="32"/>
        <v>6834.366</v>
      </c>
      <c r="AU440" s="65">
        <f t="shared" si="33"/>
        <v>308.11200000000002</v>
      </c>
      <c r="AV440" s="65">
        <f t="shared" si="34"/>
        <v>728.78399999999999</v>
      </c>
      <c r="AW440" s="65">
        <f t="shared" si="35"/>
        <v>5099.808</v>
      </c>
      <c r="AX440" s="65">
        <f t="shared" si="35"/>
        <v>4426.4219999999996</v>
      </c>
      <c r="AY440" s="65">
        <f t="shared" si="31"/>
        <v>3779.328</v>
      </c>
      <c r="AZ440" s="19">
        <v>42114</v>
      </c>
      <c r="BA440" s="19">
        <v>42736</v>
      </c>
      <c r="BB440" s="19">
        <v>44759</v>
      </c>
      <c r="BC440" s="19">
        <v>1961</v>
      </c>
      <c r="BD440" s="19">
        <v>1270</v>
      </c>
      <c r="BE440" s="62"/>
      <c r="BF440" s="62"/>
      <c r="BG440" s="62"/>
      <c r="BH440" s="62"/>
      <c r="BI440" s="67">
        <v>69.64</v>
      </c>
      <c r="BJ440" s="67">
        <v>1.83</v>
      </c>
      <c r="BK440" s="67">
        <v>1.82</v>
      </c>
      <c r="BL440" s="67">
        <v>2.02</v>
      </c>
      <c r="BM440" s="62"/>
      <c r="BN440" s="62"/>
      <c r="BO440" s="62"/>
      <c r="BP440" s="62"/>
      <c r="BQ440" s="62"/>
      <c r="BR440" s="62"/>
      <c r="BS440" s="62"/>
      <c r="BT440" s="62"/>
      <c r="BU440" s="62"/>
      <c r="BV440" s="62"/>
      <c r="BW440" s="62"/>
      <c r="BX440" s="62"/>
      <c r="BY440" s="62"/>
      <c r="BZ440" s="62"/>
      <c r="CA440" s="62"/>
      <c r="CB440" s="62"/>
      <c r="CC440" s="62"/>
      <c r="CD440" s="62"/>
      <c r="CE440" s="62"/>
      <c r="CF440" s="62"/>
      <c r="CG440" s="62"/>
      <c r="CH440" s="62"/>
      <c r="CI440" s="62"/>
      <c r="CJ440" s="62"/>
      <c r="CK440" s="62"/>
      <c r="CL440" s="62"/>
      <c r="CM440" s="62"/>
      <c r="CN440" s="62"/>
      <c r="CO440" s="62"/>
      <c r="CP440" s="62"/>
      <c r="CQ440" s="62"/>
      <c r="CR440" s="62"/>
      <c r="CS440" s="62"/>
      <c r="CT440" s="62"/>
      <c r="CU440" s="62"/>
      <c r="CV440" s="62"/>
      <c r="CW440" s="62"/>
      <c r="CX440" s="62"/>
      <c r="CY440" s="62"/>
      <c r="CZ440" s="62"/>
      <c r="DA440" s="62"/>
      <c r="DB440" s="62"/>
      <c r="DC440" s="62"/>
      <c r="DD440" s="62"/>
      <c r="DE440" s="62"/>
      <c r="DF440" s="62"/>
      <c r="DG440" s="62"/>
      <c r="DH440" s="62"/>
      <c r="DI440" s="62"/>
      <c r="DJ440" s="62"/>
      <c r="DK440" s="62"/>
      <c r="DL440" s="62"/>
    </row>
    <row r="441" spans="1:116" x14ac:dyDescent="0.2">
      <c r="A441" s="57">
        <v>39995</v>
      </c>
      <c r="B441" s="58">
        <v>2009</v>
      </c>
      <c r="C441" s="66">
        <v>5.5949999999999998</v>
      </c>
      <c r="D441" s="62">
        <v>7.5999999999999998E-2</v>
      </c>
      <c r="E441" s="62">
        <v>1029.8989999999999</v>
      </c>
      <c r="F441" s="62">
        <v>43.256</v>
      </c>
      <c r="G441" s="62">
        <v>5.5190000000000001</v>
      </c>
      <c r="H441" s="62">
        <v>59.658000000000001</v>
      </c>
      <c r="I441" s="62">
        <v>600.66800000000001</v>
      </c>
      <c r="J441" s="62">
        <v>-541.00900000000001</v>
      </c>
      <c r="K441" s="62">
        <v>511</v>
      </c>
      <c r="L441" s="62">
        <v>-70</v>
      </c>
      <c r="M441" s="62">
        <v>558.89</v>
      </c>
      <c r="N441" s="62">
        <v>23.472999999999999</v>
      </c>
      <c r="O441" s="66">
        <v>2.9950000000000001</v>
      </c>
      <c r="P441" s="61"/>
      <c r="Q441" s="62"/>
      <c r="R441" s="62"/>
      <c r="S441" s="62"/>
      <c r="T441" s="62"/>
      <c r="U441" s="62"/>
      <c r="V441" s="62"/>
      <c r="W441" s="62"/>
      <c r="X441" s="62"/>
      <c r="Y441" s="61"/>
      <c r="Z441" s="63"/>
      <c r="AA441" s="64" t="e">
        <v>#N/A</v>
      </c>
      <c r="AB441" s="62" t="e">
        <v>#N/A</v>
      </c>
      <c r="AC441" s="62" t="e">
        <v>#N/A</v>
      </c>
      <c r="AD441" s="62" t="e">
        <v>#N/A</v>
      </c>
      <c r="AE441" s="62" t="e">
        <v>#N/A</v>
      </c>
      <c r="AF441" s="62" t="e">
        <v>#N/A</v>
      </c>
      <c r="AG441" s="62" t="e">
        <v>#N/A</v>
      </c>
      <c r="AH441" s="62" t="e">
        <v>#N/A</v>
      </c>
      <c r="AI441" s="62" t="e">
        <v>#N/A</v>
      </c>
      <c r="AJ441" s="62" t="e">
        <v>#N/A</v>
      </c>
      <c r="AK441" s="64" t="e">
        <v>#N/A</v>
      </c>
      <c r="AL441" s="19">
        <v>121795</v>
      </c>
      <c r="AM441" s="19">
        <v>105234</v>
      </c>
      <c r="AN441" s="23">
        <v>5933</v>
      </c>
      <c r="AO441" s="19">
        <v>165940</v>
      </c>
      <c r="AP441" s="19">
        <v>19277</v>
      </c>
      <c r="AQ441" s="19">
        <v>93028</v>
      </c>
      <c r="AR441" s="63"/>
      <c r="AS441" s="63"/>
      <c r="AT441" s="65">
        <f t="shared" si="32"/>
        <v>6969.48</v>
      </c>
      <c r="AU441" s="65">
        <f t="shared" si="33"/>
        <v>249.18600000000001</v>
      </c>
      <c r="AV441" s="65">
        <f t="shared" si="34"/>
        <v>809.63400000000001</v>
      </c>
      <c r="AW441" s="65">
        <f t="shared" si="35"/>
        <v>5115.3900000000003</v>
      </c>
      <c r="AX441" s="65">
        <f t="shared" si="35"/>
        <v>4419.8280000000004</v>
      </c>
      <c r="AY441" s="65">
        <f t="shared" si="31"/>
        <v>3907.1759999999999</v>
      </c>
      <c r="AZ441" s="19">
        <v>46969</v>
      </c>
      <c r="BA441" s="19">
        <v>46695</v>
      </c>
      <c r="BB441" s="19">
        <v>46697</v>
      </c>
      <c r="BC441" s="19">
        <v>3169</v>
      </c>
      <c r="BD441" s="19">
        <v>1505</v>
      </c>
      <c r="BE441" s="62"/>
      <c r="BF441" s="62"/>
      <c r="BG441" s="62"/>
      <c r="BH441" s="62"/>
      <c r="BI441" s="67">
        <v>64.150000000000006</v>
      </c>
      <c r="BJ441" s="67">
        <v>1.75</v>
      </c>
      <c r="BK441" s="67">
        <v>1.77</v>
      </c>
      <c r="BL441" s="67">
        <v>1.87</v>
      </c>
      <c r="BM441" s="62"/>
      <c r="BN441" s="62"/>
      <c r="BO441" s="62"/>
      <c r="BP441" s="62"/>
      <c r="BQ441" s="62"/>
      <c r="BR441" s="62"/>
      <c r="BS441" s="62"/>
      <c r="BT441" s="62"/>
      <c r="BU441" s="62"/>
      <c r="BV441" s="62"/>
      <c r="BW441" s="62"/>
      <c r="BX441" s="62"/>
      <c r="BY441" s="62"/>
      <c r="BZ441" s="62"/>
      <c r="CA441" s="62"/>
      <c r="CB441" s="62"/>
      <c r="CC441" s="62"/>
      <c r="CD441" s="62"/>
      <c r="CE441" s="62"/>
      <c r="CF441" s="62"/>
      <c r="CG441" s="62"/>
      <c r="CH441" s="62"/>
      <c r="CI441" s="62"/>
      <c r="CJ441" s="62"/>
      <c r="CK441" s="62"/>
      <c r="CL441" s="62"/>
      <c r="CM441" s="62"/>
      <c r="CN441" s="62"/>
      <c r="CO441" s="62"/>
      <c r="CP441" s="62"/>
      <c r="CQ441" s="62"/>
      <c r="CR441" s="62"/>
      <c r="CS441" s="62"/>
      <c r="CT441" s="62"/>
      <c r="CU441" s="62"/>
      <c r="CV441" s="62"/>
      <c r="CW441" s="62"/>
      <c r="CX441" s="62"/>
      <c r="CY441" s="62"/>
      <c r="CZ441" s="62"/>
      <c r="DA441" s="62"/>
      <c r="DB441" s="62"/>
      <c r="DC441" s="62"/>
      <c r="DD441" s="62"/>
      <c r="DE441" s="62"/>
      <c r="DF441" s="62"/>
      <c r="DG441" s="62"/>
      <c r="DH441" s="62"/>
      <c r="DI441" s="62"/>
      <c r="DJ441" s="62"/>
      <c r="DK441" s="62"/>
      <c r="DL441" s="62"/>
    </row>
    <row r="442" spans="1:116" x14ac:dyDescent="0.2">
      <c r="A442" s="57">
        <v>40026</v>
      </c>
      <c r="B442" s="58">
        <v>2009</v>
      </c>
      <c r="C442" s="66">
        <v>5.8209999999999997</v>
      </c>
      <c r="D442" s="62">
        <v>7.9000000000000001E-2</v>
      </c>
      <c r="E442" s="62">
        <v>1071.3309999999999</v>
      </c>
      <c r="F442" s="62">
        <v>44.996000000000002</v>
      </c>
      <c r="G442" s="62">
        <v>5.7409999999999997</v>
      </c>
      <c r="H442" s="62">
        <v>129.89099999999999</v>
      </c>
      <c r="I442" s="62">
        <v>410.197</v>
      </c>
      <c r="J442" s="62">
        <v>-280.30599999999998</v>
      </c>
      <c r="K442" s="62">
        <v>511</v>
      </c>
      <c r="L442" s="62">
        <v>0</v>
      </c>
      <c r="M442" s="62">
        <v>791.02499999999998</v>
      </c>
      <c r="N442" s="62">
        <v>33.222999999999999</v>
      </c>
      <c r="O442" s="66">
        <v>4.2389999999999999</v>
      </c>
      <c r="P442" s="61"/>
      <c r="Q442" s="62"/>
      <c r="R442" s="62"/>
      <c r="S442" s="62"/>
      <c r="T442" s="62"/>
      <c r="U442" s="62"/>
      <c r="V442" s="62"/>
      <c r="W442" s="62"/>
      <c r="X442" s="62"/>
      <c r="Y442" s="61"/>
      <c r="Z442" s="63"/>
      <c r="AA442" s="64" t="e">
        <v>#N/A</v>
      </c>
      <c r="AB442" s="62" t="e">
        <v>#N/A</v>
      </c>
      <c r="AC442" s="62" t="e">
        <v>#N/A</v>
      </c>
      <c r="AD442" s="62" t="e">
        <v>#N/A</v>
      </c>
      <c r="AE442" s="62" t="e">
        <v>#N/A</v>
      </c>
      <c r="AF442" s="62" t="e">
        <v>#N/A</v>
      </c>
      <c r="AG442" s="62" t="e">
        <v>#N/A</v>
      </c>
      <c r="AH442" s="62" t="e">
        <v>#N/A</v>
      </c>
      <c r="AI442" s="62" t="e">
        <v>#N/A</v>
      </c>
      <c r="AJ442" s="62" t="e">
        <v>#N/A</v>
      </c>
      <c r="AK442" s="64" t="e">
        <v>#N/A</v>
      </c>
      <c r="AL442" s="19">
        <v>122910</v>
      </c>
      <c r="AM442" s="19">
        <v>106212</v>
      </c>
      <c r="AN442" s="23">
        <v>5131</v>
      </c>
      <c r="AO442" s="19">
        <v>168649</v>
      </c>
      <c r="AP442" s="19">
        <v>19120</v>
      </c>
      <c r="AQ442" s="19">
        <v>95367</v>
      </c>
      <c r="AR442" s="63"/>
      <c r="AS442" s="63"/>
      <c r="AT442" s="65">
        <f t="shared" si="32"/>
        <v>7083.2579999999998</v>
      </c>
      <c r="AU442" s="65">
        <f t="shared" si="33"/>
        <v>215.50200000000001</v>
      </c>
      <c r="AV442" s="65">
        <f t="shared" si="34"/>
        <v>803.04</v>
      </c>
      <c r="AW442" s="65">
        <f t="shared" si="35"/>
        <v>5162.22</v>
      </c>
      <c r="AX442" s="65">
        <f t="shared" si="35"/>
        <v>4460.9040000000005</v>
      </c>
      <c r="AY442" s="65">
        <f t="shared" si="31"/>
        <v>4005.4140000000002</v>
      </c>
      <c r="AZ442" s="19">
        <v>43072</v>
      </c>
      <c r="BA442" s="19">
        <v>44914</v>
      </c>
      <c r="BB442" s="19">
        <v>46008</v>
      </c>
      <c r="BC442" s="19">
        <v>2841</v>
      </c>
      <c r="BD442" s="19">
        <v>1688</v>
      </c>
      <c r="BE442" s="62"/>
      <c r="BF442" s="62"/>
      <c r="BG442" s="62"/>
      <c r="BH442" s="62"/>
      <c r="BI442" s="67">
        <v>71.05</v>
      </c>
      <c r="BJ442" s="67">
        <v>1.94</v>
      </c>
      <c r="BK442" s="67">
        <v>1.92</v>
      </c>
      <c r="BL442" s="67">
        <v>2.0299999999999998</v>
      </c>
      <c r="BM442" s="62"/>
      <c r="BN442" s="62"/>
      <c r="BO442" s="62"/>
      <c r="BP442" s="62"/>
      <c r="BQ442" s="62"/>
      <c r="BR442" s="62"/>
      <c r="BS442" s="62"/>
      <c r="BT442" s="62"/>
      <c r="BU442" s="62"/>
      <c r="BV442" s="62"/>
      <c r="BW442" s="62"/>
      <c r="BX442" s="62"/>
      <c r="BY442" s="62"/>
      <c r="BZ442" s="62"/>
      <c r="CA442" s="62"/>
      <c r="CB442" s="62"/>
      <c r="CC442" s="62"/>
      <c r="CD442" s="62"/>
      <c r="CE442" s="62"/>
      <c r="CF442" s="62"/>
      <c r="CG442" s="62"/>
      <c r="CH442" s="62"/>
      <c r="CI442" s="62"/>
      <c r="CJ442" s="62"/>
      <c r="CK442" s="62"/>
      <c r="CL442" s="62"/>
      <c r="CM442" s="62"/>
      <c r="CN442" s="62"/>
      <c r="CO442" s="62"/>
      <c r="CP442" s="62"/>
      <c r="CQ442" s="62"/>
      <c r="CR442" s="62"/>
      <c r="CS442" s="62"/>
      <c r="CT442" s="62"/>
      <c r="CU442" s="62"/>
      <c r="CV442" s="62"/>
      <c r="CW442" s="62"/>
      <c r="CX442" s="62"/>
      <c r="CY442" s="62"/>
      <c r="CZ442" s="62"/>
      <c r="DA442" s="62"/>
      <c r="DB442" s="62"/>
      <c r="DC442" s="62"/>
      <c r="DD442" s="62"/>
      <c r="DE442" s="62"/>
      <c r="DF442" s="62"/>
      <c r="DG442" s="62"/>
      <c r="DH442" s="62"/>
      <c r="DI442" s="62"/>
      <c r="DJ442" s="62"/>
      <c r="DK442" s="62"/>
      <c r="DL442" s="62"/>
    </row>
    <row r="443" spans="1:116" x14ac:dyDescent="0.2">
      <c r="A443" s="57">
        <v>40057</v>
      </c>
      <c r="B443" s="58">
        <v>2009</v>
      </c>
      <c r="C443" s="66">
        <v>6.3019999999999996</v>
      </c>
      <c r="D443" s="62">
        <v>8.5999999999999993E-2</v>
      </c>
      <c r="E443" s="62">
        <v>1159.92</v>
      </c>
      <c r="F443" s="62">
        <v>48.716999999999999</v>
      </c>
      <c r="G443" s="62">
        <v>6.2160000000000002</v>
      </c>
      <c r="H443" s="62">
        <v>126.831</v>
      </c>
      <c r="I443" s="62">
        <v>231.37200000000001</v>
      </c>
      <c r="J443" s="62">
        <v>-104.541</v>
      </c>
      <c r="K443" s="62">
        <v>527</v>
      </c>
      <c r="L443" s="62">
        <v>16</v>
      </c>
      <c r="M443" s="62">
        <v>1039.3789999999999</v>
      </c>
      <c r="N443" s="62">
        <v>43.654000000000003</v>
      </c>
      <c r="O443" s="66">
        <v>5.57</v>
      </c>
      <c r="P443" s="61"/>
      <c r="Q443" s="62"/>
      <c r="R443" s="62"/>
      <c r="S443" s="62"/>
      <c r="T443" s="62"/>
      <c r="U443" s="62"/>
      <c r="V443" s="62"/>
      <c r="W443" s="62"/>
      <c r="X443" s="62"/>
      <c r="Y443" s="61"/>
      <c r="Z443" s="63"/>
      <c r="AA443" s="64" t="e">
        <v>#N/A</v>
      </c>
      <c r="AB443" s="62" t="e">
        <v>#N/A</v>
      </c>
      <c r="AC443" s="62" t="e">
        <v>#N/A</v>
      </c>
      <c r="AD443" s="62" t="e">
        <v>#N/A</v>
      </c>
      <c r="AE443" s="62" t="e">
        <v>#N/A</v>
      </c>
      <c r="AF443" s="62" t="e">
        <v>#N/A</v>
      </c>
      <c r="AG443" s="62" t="e">
        <v>#N/A</v>
      </c>
      <c r="AH443" s="62" t="e">
        <v>#N/A</v>
      </c>
      <c r="AI443" s="62" t="e">
        <v>#N/A</v>
      </c>
      <c r="AJ443" s="62" t="e">
        <v>#N/A</v>
      </c>
      <c r="AK443" s="64" t="e">
        <v>#N/A</v>
      </c>
      <c r="AL443" s="19">
        <v>122964</v>
      </c>
      <c r="AM443" s="19">
        <v>106810</v>
      </c>
      <c r="AN443" s="23">
        <v>6147</v>
      </c>
      <c r="AO443" s="19">
        <v>172731</v>
      </c>
      <c r="AP443" s="19">
        <v>18219</v>
      </c>
      <c r="AQ443" s="19">
        <v>93662</v>
      </c>
      <c r="AR443" s="63"/>
      <c r="AS443" s="63"/>
      <c r="AT443" s="65">
        <f t="shared" si="32"/>
        <v>7254.7020000000002</v>
      </c>
      <c r="AU443" s="65">
        <f t="shared" si="33"/>
        <v>258.17399999999998</v>
      </c>
      <c r="AV443" s="65">
        <f t="shared" si="34"/>
        <v>765.19799999999998</v>
      </c>
      <c r="AW443" s="65">
        <f t="shared" si="35"/>
        <v>5164.4880000000003</v>
      </c>
      <c r="AX443" s="65">
        <f t="shared" si="35"/>
        <v>4486.0200000000004</v>
      </c>
      <c r="AY443" s="65">
        <f t="shared" si="31"/>
        <v>3933.8040000000001</v>
      </c>
      <c r="AZ443" s="19">
        <v>41882</v>
      </c>
      <c r="BA443" s="19">
        <v>42431</v>
      </c>
      <c r="BB443" s="19">
        <v>46297</v>
      </c>
      <c r="BC443" s="19">
        <v>2739</v>
      </c>
      <c r="BD443" s="19">
        <v>1901</v>
      </c>
      <c r="BE443" s="62"/>
      <c r="BF443" s="62"/>
      <c r="BG443" s="62"/>
      <c r="BH443" s="62"/>
      <c r="BI443" s="67">
        <v>69.41</v>
      </c>
      <c r="BJ443" s="67">
        <v>1.85</v>
      </c>
      <c r="BK443" s="67">
        <v>1.83</v>
      </c>
      <c r="BL443" s="67">
        <v>1.92</v>
      </c>
      <c r="BM443" s="62"/>
      <c r="BN443" s="62"/>
      <c r="BO443" s="62"/>
      <c r="BP443" s="62"/>
      <c r="BQ443" s="62"/>
      <c r="BR443" s="62"/>
      <c r="BS443" s="62"/>
      <c r="BT443" s="62"/>
      <c r="BU443" s="62"/>
      <c r="BV443" s="62"/>
      <c r="BW443" s="62"/>
      <c r="BX443" s="62"/>
      <c r="BY443" s="62"/>
      <c r="BZ443" s="62"/>
      <c r="CA443" s="62"/>
      <c r="CB443" s="62"/>
      <c r="CC443" s="62"/>
      <c r="CD443" s="62"/>
      <c r="CE443" s="62"/>
      <c r="CF443" s="62"/>
      <c r="CG443" s="62"/>
      <c r="CH443" s="62"/>
      <c r="CI443" s="62"/>
      <c r="CJ443" s="62"/>
      <c r="CK443" s="62"/>
      <c r="CL443" s="62"/>
      <c r="CM443" s="62"/>
      <c r="CN443" s="62"/>
      <c r="CO443" s="62"/>
      <c r="CP443" s="62"/>
      <c r="CQ443" s="62"/>
      <c r="CR443" s="62"/>
      <c r="CS443" s="62"/>
      <c r="CT443" s="62"/>
      <c r="CU443" s="62"/>
      <c r="CV443" s="62"/>
      <c r="CW443" s="62"/>
      <c r="CX443" s="62"/>
      <c r="CY443" s="62"/>
      <c r="CZ443" s="62"/>
      <c r="DA443" s="62"/>
      <c r="DB443" s="62"/>
      <c r="DC443" s="62"/>
      <c r="DD443" s="62"/>
      <c r="DE443" s="62"/>
      <c r="DF443" s="62"/>
      <c r="DG443" s="62"/>
      <c r="DH443" s="62"/>
      <c r="DI443" s="62"/>
      <c r="DJ443" s="62"/>
      <c r="DK443" s="62"/>
      <c r="DL443" s="62"/>
    </row>
    <row r="444" spans="1:116" x14ac:dyDescent="0.2">
      <c r="A444" s="57">
        <v>40087</v>
      </c>
      <c r="B444" s="58">
        <v>2009</v>
      </c>
      <c r="C444" s="66">
        <v>7.431</v>
      </c>
      <c r="D444" s="62">
        <v>0.10100000000000001</v>
      </c>
      <c r="E444" s="62">
        <v>1367.7170000000001</v>
      </c>
      <c r="F444" s="62">
        <v>57.444000000000003</v>
      </c>
      <c r="G444" s="62">
        <v>7.33</v>
      </c>
      <c r="H444" s="62">
        <v>164.386</v>
      </c>
      <c r="I444" s="62">
        <v>438.04500000000002</v>
      </c>
      <c r="J444" s="62">
        <v>-273.65899999999999</v>
      </c>
      <c r="K444" s="62">
        <v>553</v>
      </c>
      <c r="L444" s="62">
        <v>26</v>
      </c>
      <c r="M444" s="62">
        <v>1068.058</v>
      </c>
      <c r="N444" s="62">
        <v>44.857999999999997</v>
      </c>
      <c r="O444" s="66">
        <v>5.7240000000000002</v>
      </c>
      <c r="P444" s="61"/>
      <c r="Q444" s="62"/>
      <c r="R444" s="62"/>
      <c r="S444" s="62"/>
      <c r="T444" s="62"/>
      <c r="U444" s="62"/>
      <c r="V444" s="62"/>
      <c r="W444" s="62"/>
      <c r="X444" s="62"/>
      <c r="Y444" s="61"/>
      <c r="Z444" s="63"/>
      <c r="AA444" s="64" t="e">
        <v>#N/A</v>
      </c>
      <c r="AB444" s="62" t="e">
        <v>#N/A</v>
      </c>
      <c r="AC444" s="62" t="e">
        <v>#N/A</v>
      </c>
      <c r="AD444" s="62" t="e">
        <v>#N/A</v>
      </c>
      <c r="AE444" s="62" t="e">
        <v>#N/A</v>
      </c>
      <c r="AF444" s="62" t="e">
        <v>#N/A</v>
      </c>
      <c r="AG444" s="62" t="e">
        <v>#N/A</v>
      </c>
      <c r="AH444" s="62" t="e">
        <v>#N/A</v>
      </c>
      <c r="AI444" s="62" t="e">
        <v>#N/A</v>
      </c>
      <c r="AJ444" s="62" t="e">
        <v>#N/A</v>
      </c>
      <c r="AK444" s="64" t="e">
        <v>#N/A</v>
      </c>
      <c r="AL444" s="19">
        <v>123493</v>
      </c>
      <c r="AM444" s="19">
        <v>113276</v>
      </c>
      <c r="AN444" s="23">
        <v>5496</v>
      </c>
      <c r="AO444" s="19">
        <v>171164</v>
      </c>
      <c r="AP444" s="19">
        <v>17280</v>
      </c>
      <c r="AQ444" s="19">
        <v>93326</v>
      </c>
      <c r="AR444" s="63"/>
      <c r="AS444" s="63"/>
      <c r="AT444" s="65">
        <f t="shared" si="32"/>
        <v>7188.8879999999999</v>
      </c>
      <c r="AU444" s="65">
        <f t="shared" si="33"/>
        <v>230.83199999999999</v>
      </c>
      <c r="AV444" s="65">
        <f t="shared" si="34"/>
        <v>725.76</v>
      </c>
      <c r="AW444" s="65">
        <f t="shared" si="35"/>
        <v>5186.7060000000001</v>
      </c>
      <c r="AX444" s="65">
        <f t="shared" si="35"/>
        <v>4757.5919999999996</v>
      </c>
      <c r="AY444" s="65">
        <f t="shared" si="31"/>
        <v>3919.692</v>
      </c>
      <c r="AZ444" s="19">
        <v>40036</v>
      </c>
      <c r="BA444" s="19">
        <v>42231</v>
      </c>
      <c r="BB444" s="19">
        <v>43756</v>
      </c>
      <c r="BC444" s="19">
        <v>2603</v>
      </c>
      <c r="BD444" s="19">
        <v>2949</v>
      </c>
      <c r="BE444" s="62"/>
      <c r="BF444" s="62"/>
      <c r="BG444" s="62"/>
      <c r="BH444" s="62"/>
      <c r="BI444" s="67">
        <v>75.72</v>
      </c>
      <c r="BJ444" s="67">
        <v>1.98</v>
      </c>
      <c r="BK444" s="67">
        <v>1.93</v>
      </c>
      <c r="BL444" s="67">
        <v>1.98</v>
      </c>
      <c r="BM444" s="62"/>
      <c r="BN444" s="62"/>
      <c r="BO444" s="62"/>
      <c r="BP444" s="62"/>
      <c r="BQ444" s="62"/>
      <c r="BR444" s="62"/>
      <c r="BS444" s="62"/>
      <c r="BT444" s="62"/>
      <c r="BU444" s="62"/>
      <c r="BV444" s="62"/>
      <c r="BW444" s="62"/>
      <c r="BX444" s="62"/>
      <c r="BY444" s="62"/>
      <c r="BZ444" s="62"/>
      <c r="CA444" s="62"/>
      <c r="CB444" s="62"/>
      <c r="CC444" s="62"/>
      <c r="CD444" s="62"/>
      <c r="CE444" s="62"/>
      <c r="CF444" s="62"/>
      <c r="CG444" s="62"/>
      <c r="CH444" s="62"/>
      <c r="CI444" s="62"/>
      <c r="CJ444" s="62"/>
      <c r="CK444" s="62"/>
      <c r="CL444" s="62"/>
      <c r="CM444" s="62"/>
      <c r="CN444" s="62"/>
      <c r="CO444" s="62"/>
      <c r="CP444" s="62"/>
      <c r="CQ444" s="62"/>
      <c r="CR444" s="62"/>
      <c r="CS444" s="62"/>
      <c r="CT444" s="62"/>
      <c r="CU444" s="62"/>
      <c r="CV444" s="62"/>
      <c r="CW444" s="62"/>
      <c r="CX444" s="62"/>
      <c r="CY444" s="62"/>
      <c r="CZ444" s="62"/>
      <c r="DA444" s="62"/>
      <c r="DB444" s="62"/>
      <c r="DC444" s="62"/>
      <c r="DD444" s="62"/>
      <c r="DE444" s="62"/>
      <c r="DF444" s="62"/>
      <c r="DG444" s="62"/>
      <c r="DH444" s="62"/>
      <c r="DI444" s="62"/>
      <c r="DJ444" s="62"/>
      <c r="DK444" s="62"/>
      <c r="DL444" s="62"/>
    </row>
    <row r="445" spans="1:116" x14ac:dyDescent="0.2">
      <c r="A445" s="57">
        <v>40118</v>
      </c>
      <c r="B445" s="58">
        <v>2009</v>
      </c>
      <c r="C445" s="66">
        <v>8.2379999999999995</v>
      </c>
      <c r="D445" s="62">
        <v>0.112</v>
      </c>
      <c r="E445" s="62">
        <v>1516.239</v>
      </c>
      <c r="F445" s="62">
        <v>63.682000000000002</v>
      </c>
      <c r="G445" s="62">
        <v>8.1259999999999994</v>
      </c>
      <c r="H445" s="62">
        <v>108.604</v>
      </c>
      <c r="I445" s="62">
        <v>847.18399999999997</v>
      </c>
      <c r="J445" s="62">
        <v>-738.58</v>
      </c>
      <c r="K445" s="62">
        <v>531</v>
      </c>
      <c r="L445" s="62">
        <v>-22</v>
      </c>
      <c r="M445" s="62">
        <v>799.65899999999999</v>
      </c>
      <c r="N445" s="62">
        <v>33.585999999999999</v>
      </c>
      <c r="O445" s="66">
        <v>4.2850000000000001</v>
      </c>
      <c r="P445" s="61"/>
      <c r="Q445" s="62"/>
      <c r="R445" s="62"/>
      <c r="S445" s="62"/>
      <c r="T445" s="62"/>
      <c r="U445" s="62"/>
      <c r="V445" s="62"/>
      <c r="W445" s="62"/>
      <c r="X445" s="62"/>
      <c r="Y445" s="61"/>
      <c r="Z445" s="63"/>
      <c r="AA445" s="64" t="e">
        <v>#N/A</v>
      </c>
      <c r="AB445" s="62" t="e">
        <v>#N/A</v>
      </c>
      <c r="AC445" s="62" t="e">
        <v>#N/A</v>
      </c>
      <c r="AD445" s="62" t="e">
        <v>#N/A</v>
      </c>
      <c r="AE445" s="62" t="e">
        <v>#N/A</v>
      </c>
      <c r="AF445" s="62" t="e">
        <v>#N/A</v>
      </c>
      <c r="AG445" s="62" t="e">
        <v>#N/A</v>
      </c>
      <c r="AH445" s="62" t="e">
        <v>#N/A</v>
      </c>
      <c r="AI445" s="62" t="e">
        <v>#N/A</v>
      </c>
      <c r="AJ445" s="62" t="e">
        <v>#N/A</v>
      </c>
      <c r="AK445" s="64" t="e">
        <v>#N/A</v>
      </c>
      <c r="AL445" s="19">
        <v>120554</v>
      </c>
      <c r="AM445" s="19">
        <v>107875</v>
      </c>
      <c r="AN445" s="23">
        <v>4916</v>
      </c>
      <c r="AO445" s="19">
        <v>171125</v>
      </c>
      <c r="AP445" s="19">
        <v>17634</v>
      </c>
      <c r="AQ445" s="19">
        <v>94372</v>
      </c>
      <c r="AR445" s="63"/>
      <c r="AS445" s="63"/>
      <c r="AT445" s="65">
        <f t="shared" si="32"/>
        <v>7187.25</v>
      </c>
      <c r="AU445" s="65">
        <f t="shared" si="33"/>
        <v>206.47200000000001</v>
      </c>
      <c r="AV445" s="65">
        <f t="shared" si="34"/>
        <v>740.62800000000004</v>
      </c>
      <c r="AW445" s="65">
        <f t="shared" si="35"/>
        <v>5063.268</v>
      </c>
      <c r="AX445" s="65">
        <f t="shared" si="35"/>
        <v>4530.75</v>
      </c>
      <c r="AY445" s="65">
        <f t="shared" ref="AY445:AY508" si="36">AQ445*42/1000</f>
        <v>3963.6239999999998</v>
      </c>
      <c r="AZ445" s="19">
        <v>39325</v>
      </c>
      <c r="BA445" s="19">
        <v>40567</v>
      </c>
      <c r="BB445" s="19">
        <v>42422</v>
      </c>
      <c r="BC445" s="19">
        <v>2134</v>
      </c>
      <c r="BD445" s="19">
        <v>2226</v>
      </c>
      <c r="BE445" s="62"/>
      <c r="BF445" s="62"/>
      <c r="BG445" s="62"/>
      <c r="BH445" s="62"/>
      <c r="BI445" s="67">
        <v>77.989999999999995</v>
      </c>
      <c r="BJ445" s="67">
        <v>2.04</v>
      </c>
      <c r="BK445" s="67">
        <v>2.06</v>
      </c>
      <c r="BL445" s="67">
        <v>2.04</v>
      </c>
      <c r="BM445" s="62"/>
      <c r="BN445" s="62"/>
      <c r="BO445" s="62"/>
      <c r="BP445" s="62"/>
      <c r="BQ445" s="62"/>
      <c r="BR445" s="62"/>
      <c r="BS445" s="62"/>
      <c r="BT445" s="62"/>
      <c r="BU445" s="62"/>
      <c r="BV445" s="62"/>
      <c r="BW445" s="62"/>
      <c r="BX445" s="62"/>
      <c r="BY445" s="62"/>
      <c r="BZ445" s="62"/>
      <c r="CA445" s="62"/>
      <c r="CB445" s="62"/>
      <c r="CC445" s="62"/>
      <c r="CD445" s="62"/>
      <c r="CE445" s="62"/>
      <c r="CF445" s="62"/>
      <c r="CG445" s="62"/>
      <c r="CH445" s="62"/>
      <c r="CI445" s="62"/>
      <c r="CJ445" s="62"/>
      <c r="CK445" s="62"/>
      <c r="CL445" s="62"/>
      <c r="CM445" s="62"/>
      <c r="CN445" s="62"/>
      <c r="CO445" s="62"/>
      <c r="CP445" s="62"/>
      <c r="CQ445" s="62"/>
      <c r="CR445" s="62"/>
      <c r="CS445" s="62"/>
      <c r="CT445" s="62"/>
      <c r="CU445" s="62"/>
      <c r="CV445" s="62"/>
      <c r="CW445" s="62"/>
      <c r="CX445" s="62"/>
      <c r="CY445" s="62"/>
      <c r="CZ445" s="62"/>
      <c r="DA445" s="62"/>
      <c r="DB445" s="62"/>
      <c r="DC445" s="62"/>
      <c r="DD445" s="62"/>
      <c r="DE445" s="62"/>
      <c r="DF445" s="62"/>
      <c r="DG445" s="62"/>
      <c r="DH445" s="62"/>
      <c r="DI445" s="62"/>
      <c r="DJ445" s="62"/>
      <c r="DK445" s="62"/>
      <c r="DL445" s="62"/>
    </row>
    <row r="446" spans="1:116" x14ac:dyDescent="0.2">
      <c r="A446" s="57">
        <v>40148</v>
      </c>
      <c r="B446" s="58">
        <v>2009</v>
      </c>
      <c r="C446" s="66">
        <v>7.9480000000000004</v>
      </c>
      <c r="D446" s="62">
        <v>0.108</v>
      </c>
      <c r="E446" s="62">
        <v>1462.922</v>
      </c>
      <c r="F446" s="62">
        <v>61.442999999999998</v>
      </c>
      <c r="G446" s="62">
        <v>7.84</v>
      </c>
      <c r="H446" s="62">
        <v>171.02099999999999</v>
      </c>
      <c r="I446" s="62">
        <v>445.226</v>
      </c>
      <c r="J446" s="62">
        <v>-274.20499999999998</v>
      </c>
      <c r="K446" s="62">
        <v>711</v>
      </c>
      <c r="L446" s="62">
        <v>180</v>
      </c>
      <c r="M446" s="62">
        <v>1008.717</v>
      </c>
      <c r="N446" s="62">
        <v>42.366</v>
      </c>
      <c r="O446" s="66">
        <v>5.4059999999999997</v>
      </c>
      <c r="P446" s="61"/>
      <c r="Q446" s="62"/>
      <c r="R446" s="62"/>
      <c r="S446" s="62"/>
      <c r="T446" s="62"/>
      <c r="U446" s="62"/>
      <c r="V446" s="62"/>
      <c r="W446" s="62"/>
      <c r="X446" s="62"/>
      <c r="Y446" s="61"/>
      <c r="Z446" s="63"/>
      <c r="AA446" s="64" t="e">
        <v>#N/A</v>
      </c>
      <c r="AB446" s="62" t="e">
        <v>#N/A</v>
      </c>
      <c r="AC446" s="62" t="e">
        <v>#N/A</v>
      </c>
      <c r="AD446" s="62" t="e">
        <v>#N/A</v>
      </c>
      <c r="AE446" s="62" t="e">
        <v>#N/A</v>
      </c>
      <c r="AF446" s="62" t="e">
        <v>#N/A</v>
      </c>
      <c r="AG446" s="62" t="e">
        <v>#N/A</v>
      </c>
      <c r="AH446" s="62" t="e">
        <v>#N/A</v>
      </c>
      <c r="AI446" s="62" t="e">
        <v>#N/A</v>
      </c>
      <c r="AJ446" s="62" t="e">
        <v>#N/A</v>
      </c>
      <c r="AK446" s="64" t="e">
        <v>#N/A</v>
      </c>
      <c r="AL446" s="19">
        <v>120194</v>
      </c>
      <c r="AM446" s="19">
        <v>119706</v>
      </c>
      <c r="AN446" s="23">
        <v>6932</v>
      </c>
      <c r="AO446" s="19">
        <v>165964</v>
      </c>
      <c r="AP446" s="19">
        <v>12581</v>
      </c>
      <c r="AQ446" s="19">
        <v>93715</v>
      </c>
      <c r="AR446" s="63"/>
      <c r="AS446" s="63"/>
      <c r="AT446" s="65">
        <f t="shared" si="32"/>
        <v>6970.4880000000003</v>
      </c>
      <c r="AU446" s="65">
        <f t="shared" si="33"/>
        <v>291.14400000000001</v>
      </c>
      <c r="AV446" s="65">
        <f t="shared" si="34"/>
        <v>528.40200000000004</v>
      </c>
      <c r="AW446" s="65">
        <f t="shared" si="35"/>
        <v>5048.1480000000001</v>
      </c>
      <c r="AX446" s="65">
        <f t="shared" si="35"/>
        <v>5027.652</v>
      </c>
      <c r="AY446" s="65">
        <f t="shared" si="36"/>
        <v>3936.03</v>
      </c>
      <c r="AZ446" s="19">
        <v>45406</v>
      </c>
      <c r="BA446" s="19">
        <v>42524</v>
      </c>
      <c r="BB446" s="19">
        <v>43397</v>
      </c>
      <c r="BC446" s="19">
        <v>1698</v>
      </c>
      <c r="BD446" s="19">
        <v>3605</v>
      </c>
      <c r="BE446" s="62"/>
      <c r="BF446" s="62"/>
      <c r="BG446" s="62"/>
      <c r="BH446" s="62"/>
      <c r="BI446" s="67">
        <v>74.47</v>
      </c>
      <c r="BJ446" s="67">
        <v>2</v>
      </c>
      <c r="BK446" s="67">
        <v>2.02</v>
      </c>
      <c r="BL446" s="67">
        <v>2</v>
      </c>
      <c r="BM446" s="62"/>
      <c r="BN446" s="62"/>
      <c r="BO446" s="62"/>
      <c r="BP446" s="62"/>
      <c r="BQ446" s="62"/>
      <c r="BR446" s="62"/>
      <c r="BS446" s="62"/>
      <c r="BT446" s="62"/>
      <c r="BU446" s="62"/>
      <c r="BV446" s="62"/>
      <c r="BW446" s="62"/>
      <c r="BX446" s="62"/>
      <c r="BY446" s="62"/>
      <c r="BZ446" s="62"/>
      <c r="CA446" s="62"/>
      <c r="CB446" s="62"/>
      <c r="CC446" s="62"/>
      <c r="CD446" s="62"/>
      <c r="CE446" s="62"/>
      <c r="CF446" s="62"/>
      <c r="CG446" s="62"/>
      <c r="CH446" s="62"/>
      <c r="CI446" s="62"/>
      <c r="CJ446" s="62"/>
      <c r="CK446" s="62"/>
      <c r="CL446" s="62"/>
      <c r="CM446" s="62"/>
      <c r="CN446" s="62"/>
      <c r="CO446" s="62"/>
      <c r="CP446" s="62"/>
      <c r="CQ446" s="62"/>
      <c r="CR446" s="62"/>
      <c r="CS446" s="62"/>
      <c r="CT446" s="62"/>
      <c r="CU446" s="62"/>
      <c r="CV446" s="62"/>
      <c r="CW446" s="62"/>
      <c r="CX446" s="62"/>
      <c r="CY446" s="62"/>
      <c r="CZ446" s="62"/>
      <c r="DA446" s="62"/>
      <c r="DB446" s="62"/>
      <c r="DC446" s="62"/>
      <c r="DD446" s="62"/>
      <c r="DE446" s="62"/>
      <c r="DF446" s="62"/>
      <c r="DG446" s="62"/>
      <c r="DH446" s="62"/>
      <c r="DI446" s="62"/>
      <c r="DJ446" s="62"/>
      <c r="DK446" s="62"/>
      <c r="DL446" s="62"/>
    </row>
    <row r="447" spans="1:116" x14ac:dyDescent="0.2">
      <c r="A447" s="57">
        <v>40179</v>
      </c>
      <c r="B447" s="58">
        <v>2010</v>
      </c>
      <c r="C447" s="66">
        <v>3.4420000000000002</v>
      </c>
      <c r="D447" s="62">
        <v>4.7E-2</v>
      </c>
      <c r="E447" s="62">
        <v>633.49900000000002</v>
      </c>
      <c r="F447" s="62">
        <v>26.606999999999999</v>
      </c>
      <c r="G447" s="62">
        <v>3.395</v>
      </c>
      <c r="H447" s="62">
        <v>42.014000000000003</v>
      </c>
      <c r="I447" s="62">
        <v>306.20999999999998</v>
      </c>
      <c r="J447" s="62">
        <v>-264.197</v>
      </c>
      <c r="K447" s="62">
        <v>1049</v>
      </c>
      <c r="L447" s="62">
        <v>338</v>
      </c>
      <c r="M447" s="62">
        <v>31.302</v>
      </c>
      <c r="N447" s="62">
        <v>1.3149999999999999</v>
      </c>
      <c r="O447" s="66">
        <v>0.16800000000000001</v>
      </c>
      <c r="P447" s="61"/>
      <c r="Q447" s="62"/>
      <c r="R447" s="62"/>
      <c r="S447" s="62"/>
      <c r="T447" s="62"/>
      <c r="U447" s="62"/>
      <c r="V447" s="62"/>
      <c r="W447" s="62"/>
      <c r="X447" s="62"/>
      <c r="Y447" s="61"/>
      <c r="Z447" s="63"/>
      <c r="AA447" s="64" t="e">
        <v>#N/A</v>
      </c>
      <c r="AB447" s="62" t="e">
        <v>#N/A</v>
      </c>
      <c r="AC447" s="62" t="e">
        <v>#N/A</v>
      </c>
      <c r="AD447" s="62" t="e">
        <v>#N/A</v>
      </c>
      <c r="AE447" s="62" t="e">
        <v>#N/A</v>
      </c>
      <c r="AF447" s="62" t="e">
        <v>#N/A</v>
      </c>
      <c r="AG447" s="62" t="e">
        <v>#N/A</v>
      </c>
      <c r="AH447" s="62" t="e">
        <v>#N/A</v>
      </c>
      <c r="AI447" s="62" t="e">
        <v>#N/A</v>
      </c>
      <c r="AJ447" s="62" t="e">
        <v>#N/A</v>
      </c>
      <c r="AK447" s="64" t="e">
        <v>#N/A</v>
      </c>
      <c r="AL447" s="19">
        <v>110091</v>
      </c>
      <c r="AM447" s="19">
        <v>114716</v>
      </c>
      <c r="AN447" s="23">
        <v>14314</v>
      </c>
      <c r="AO447" s="19">
        <v>163527</v>
      </c>
      <c r="AP447" s="19">
        <v>12126</v>
      </c>
      <c r="AQ447" s="19">
        <v>86021</v>
      </c>
      <c r="AR447" s="63"/>
      <c r="AS447" s="63"/>
      <c r="AT447" s="65">
        <f t="shared" si="32"/>
        <v>6868.134</v>
      </c>
      <c r="AU447" s="65">
        <f t="shared" si="33"/>
        <v>601.18799999999999</v>
      </c>
      <c r="AV447" s="65">
        <f t="shared" si="34"/>
        <v>509.29199999999997</v>
      </c>
      <c r="AW447" s="65">
        <f t="shared" si="35"/>
        <v>4623.8220000000001</v>
      </c>
      <c r="AX447" s="65">
        <f t="shared" si="35"/>
        <v>4818.0720000000001</v>
      </c>
      <c r="AY447" s="65">
        <f t="shared" si="36"/>
        <v>3612.8820000000001</v>
      </c>
      <c r="AZ447" s="19">
        <v>41473</v>
      </c>
      <c r="BA447" s="19">
        <v>41652</v>
      </c>
      <c r="BB447" s="19">
        <v>43769</v>
      </c>
      <c r="BC447" s="19">
        <v>4065</v>
      </c>
      <c r="BD447" s="19">
        <v>3514</v>
      </c>
      <c r="BE447" s="62"/>
      <c r="BF447" s="62"/>
      <c r="BG447" s="62"/>
      <c r="BH447" s="62"/>
      <c r="BI447" s="67">
        <v>78.33</v>
      </c>
      <c r="BJ447" s="67">
        <v>2.08</v>
      </c>
      <c r="BK447" s="67">
        <v>2.13</v>
      </c>
      <c r="BL447" s="67">
        <v>2.1</v>
      </c>
      <c r="BM447" s="62"/>
      <c r="BN447" s="62"/>
      <c r="BO447" s="62"/>
      <c r="BP447" s="62"/>
      <c r="BQ447" s="62"/>
      <c r="BR447" s="62"/>
      <c r="BS447" s="62"/>
      <c r="BT447" s="62"/>
      <c r="BU447" s="62"/>
      <c r="BV447" s="62"/>
      <c r="BW447" s="62"/>
      <c r="BX447" s="62"/>
      <c r="BY447" s="62"/>
      <c r="BZ447" s="62"/>
      <c r="CA447" s="62"/>
      <c r="CB447" s="62"/>
      <c r="CC447" s="62"/>
      <c r="CD447" s="62"/>
      <c r="CE447" s="62"/>
      <c r="CF447" s="62"/>
      <c r="CG447" s="62"/>
      <c r="CH447" s="62"/>
      <c r="CI447" s="62"/>
      <c r="CJ447" s="62"/>
      <c r="CK447" s="62"/>
      <c r="CL447" s="62"/>
      <c r="CM447" s="62"/>
      <c r="CN447" s="62"/>
      <c r="CO447" s="62"/>
      <c r="CP447" s="62"/>
      <c r="CQ447" s="62"/>
      <c r="CR447" s="62"/>
      <c r="CS447" s="62"/>
      <c r="CT447" s="62"/>
      <c r="CU447" s="62"/>
      <c r="CV447" s="62"/>
      <c r="CW447" s="62"/>
      <c r="CX447" s="62"/>
      <c r="CY447" s="62"/>
      <c r="CZ447" s="62"/>
      <c r="DA447" s="62"/>
      <c r="DB447" s="62"/>
      <c r="DC447" s="62"/>
      <c r="DD447" s="62"/>
      <c r="DE447" s="62"/>
      <c r="DF447" s="62"/>
      <c r="DG447" s="62"/>
      <c r="DH447" s="62"/>
      <c r="DI447" s="62"/>
      <c r="DJ447" s="62"/>
      <c r="DK447" s="62"/>
      <c r="DL447" s="62"/>
    </row>
    <row r="448" spans="1:116" x14ac:dyDescent="0.2">
      <c r="A448" s="57">
        <v>40210</v>
      </c>
      <c r="B448" s="58">
        <v>2010</v>
      </c>
      <c r="C448" s="66">
        <v>3.7829999999999999</v>
      </c>
      <c r="D448" s="62">
        <v>5.1999999999999998E-2</v>
      </c>
      <c r="E448" s="62">
        <v>696.34100000000001</v>
      </c>
      <c r="F448" s="62">
        <v>29.245999999999999</v>
      </c>
      <c r="G448" s="62">
        <v>3.7320000000000002</v>
      </c>
      <c r="H448" s="62">
        <v>32.149000000000001</v>
      </c>
      <c r="I448" s="62">
        <v>143.52699999999999</v>
      </c>
      <c r="J448" s="62">
        <v>-111.378</v>
      </c>
      <c r="K448" s="62">
        <v>1039</v>
      </c>
      <c r="L448" s="62">
        <v>-10</v>
      </c>
      <c r="M448" s="62">
        <v>594.96400000000006</v>
      </c>
      <c r="N448" s="62">
        <v>24.988</v>
      </c>
      <c r="O448" s="66">
        <v>3.1880000000000002</v>
      </c>
      <c r="P448" s="61"/>
      <c r="Q448" s="62"/>
      <c r="R448" s="62"/>
      <c r="S448" s="62"/>
      <c r="T448" s="62"/>
      <c r="U448" s="62"/>
      <c r="V448" s="62"/>
      <c r="W448" s="62"/>
      <c r="X448" s="62"/>
      <c r="Y448" s="61"/>
      <c r="Z448" s="63"/>
      <c r="AA448" s="64" t="e">
        <v>#N/A</v>
      </c>
      <c r="AB448" s="62" t="e">
        <v>#N/A</v>
      </c>
      <c r="AC448" s="62" t="e">
        <v>#N/A</v>
      </c>
      <c r="AD448" s="62" t="e">
        <v>#N/A</v>
      </c>
      <c r="AE448" s="62" t="e">
        <v>#N/A</v>
      </c>
      <c r="AF448" s="62" t="e">
        <v>#N/A</v>
      </c>
      <c r="AG448" s="62" t="e">
        <v>#N/A</v>
      </c>
      <c r="AH448" s="62" t="e">
        <v>#N/A</v>
      </c>
      <c r="AI448" s="62" t="e">
        <v>#N/A</v>
      </c>
      <c r="AJ448" s="62" t="e">
        <v>#N/A</v>
      </c>
      <c r="AK448" s="64" t="e">
        <v>#N/A</v>
      </c>
      <c r="AL448" s="19">
        <v>102427</v>
      </c>
      <c r="AM448" s="19">
        <v>107925</v>
      </c>
      <c r="AN448" s="23">
        <v>8200</v>
      </c>
      <c r="AO448" s="19">
        <v>155333</v>
      </c>
      <c r="AP448" s="19">
        <v>10896</v>
      </c>
      <c r="AQ448" s="19">
        <v>77877</v>
      </c>
      <c r="AR448" s="63"/>
      <c r="AS448" s="63"/>
      <c r="AT448" s="65">
        <f t="shared" si="32"/>
        <v>6523.9859999999999</v>
      </c>
      <c r="AU448" s="65">
        <f t="shared" si="33"/>
        <v>344.4</v>
      </c>
      <c r="AV448" s="65">
        <f t="shared" si="34"/>
        <v>457.63200000000001</v>
      </c>
      <c r="AW448" s="65">
        <f t="shared" si="35"/>
        <v>4301.9340000000002</v>
      </c>
      <c r="AX448" s="65">
        <f t="shared" si="35"/>
        <v>4532.8500000000004</v>
      </c>
      <c r="AY448" s="65">
        <f t="shared" si="36"/>
        <v>3270.8339999999998</v>
      </c>
      <c r="AZ448" s="19">
        <v>37523</v>
      </c>
      <c r="BA448" s="19">
        <v>37600</v>
      </c>
      <c r="BB448" s="19">
        <v>43938</v>
      </c>
      <c r="BC448" s="19">
        <v>2098</v>
      </c>
      <c r="BD448" s="19">
        <v>1852</v>
      </c>
      <c r="BE448" s="62"/>
      <c r="BF448" s="62"/>
      <c r="BG448" s="62"/>
      <c r="BH448" s="62"/>
      <c r="BI448" s="67">
        <v>76.39</v>
      </c>
      <c r="BJ448" s="67">
        <v>2.02</v>
      </c>
      <c r="BK448" s="67">
        <v>2.02</v>
      </c>
      <c r="BL448" s="67">
        <v>2.0299999999999998</v>
      </c>
      <c r="BM448" s="62"/>
      <c r="BN448" s="62"/>
      <c r="BO448" s="62"/>
      <c r="BP448" s="62"/>
      <c r="BQ448" s="62"/>
      <c r="BR448" s="62"/>
      <c r="BS448" s="62"/>
      <c r="BT448" s="62"/>
      <c r="BU448" s="62"/>
      <c r="BV448" s="62"/>
      <c r="BW448" s="62"/>
      <c r="BX448" s="62"/>
      <c r="BY448" s="62"/>
      <c r="BZ448" s="62"/>
      <c r="CA448" s="62"/>
      <c r="CB448" s="62"/>
      <c r="CC448" s="62"/>
      <c r="CD448" s="62"/>
      <c r="CE448" s="62"/>
      <c r="CF448" s="62"/>
      <c r="CG448" s="62"/>
      <c r="CH448" s="62"/>
      <c r="CI448" s="62"/>
      <c r="CJ448" s="62"/>
      <c r="CK448" s="62"/>
      <c r="CL448" s="62"/>
      <c r="CM448" s="62"/>
      <c r="CN448" s="62"/>
      <c r="CO448" s="62"/>
      <c r="CP448" s="62"/>
      <c r="CQ448" s="62"/>
      <c r="CR448" s="62"/>
      <c r="CS448" s="62"/>
      <c r="CT448" s="62"/>
      <c r="CU448" s="62"/>
      <c r="CV448" s="62"/>
      <c r="CW448" s="62"/>
      <c r="CX448" s="62"/>
      <c r="CY448" s="62"/>
      <c r="CZ448" s="62"/>
      <c r="DA448" s="62"/>
      <c r="DB448" s="62"/>
      <c r="DC448" s="62"/>
      <c r="DD448" s="62"/>
      <c r="DE448" s="62"/>
      <c r="DF448" s="62"/>
      <c r="DG448" s="62"/>
      <c r="DH448" s="62"/>
      <c r="DI448" s="62"/>
      <c r="DJ448" s="62"/>
      <c r="DK448" s="62"/>
      <c r="DL448" s="62"/>
    </row>
    <row r="449" spans="1:116" x14ac:dyDescent="0.2">
      <c r="A449" s="57">
        <v>40238</v>
      </c>
      <c r="B449" s="58">
        <v>2010</v>
      </c>
      <c r="C449" s="66">
        <v>4.3689999999999998</v>
      </c>
      <c r="D449" s="62">
        <v>0.06</v>
      </c>
      <c r="E449" s="62">
        <v>804.09699999999998</v>
      </c>
      <c r="F449" s="62">
        <v>33.771999999999998</v>
      </c>
      <c r="G449" s="62">
        <v>4.3090000000000002</v>
      </c>
      <c r="H449" s="62">
        <v>61.683999999999997</v>
      </c>
      <c r="I449" s="62">
        <v>448.072</v>
      </c>
      <c r="J449" s="62">
        <v>-386.38799999999998</v>
      </c>
      <c r="K449" s="62">
        <v>1057</v>
      </c>
      <c r="L449" s="62">
        <v>18</v>
      </c>
      <c r="M449" s="62">
        <v>399.70800000000003</v>
      </c>
      <c r="N449" s="62">
        <v>16.788</v>
      </c>
      <c r="O449" s="66">
        <v>2.1419999999999999</v>
      </c>
      <c r="P449" s="61"/>
      <c r="Q449" s="62"/>
      <c r="R449" s="62"/>
      <c r="S449" s="62"/>
      <c r="T449" s="62"/>
      <c r="U449" s="62"/>
      <c r="V449" s="62"/>
      <c r="W449" s="62"/>
      <c r="X449" s="62"/>
      <c r="Y449" s="61"/>
      <c r="Z449" s="63"/>
      <c r="AA449" s="64" t="e">
        <v>#N/A</v>
      </c>
      <c r="AB449" s="62" t="e">
        <v>#N/A</v>
      </c>
      <c r="AC449" s="62" t="e">
        <v>#N/A</v>
      </c>
      <c r="AD449" s="62" t="e">
        <v>#N/A</v>
      </c>
      <c r="AE449" s="62" t="e">
        <v>#N/A</v>
      </c>
      <c r="AF449" s="62" t="e">
        <v>#N/A</v>
      </c>
      <c r="AG449" s="62" t="e">
        <v>#N/A</v>
      </c>
      <c r="AH449" s="62" t="e">
        <v>#N/A</v>
      </c>
      <c r="AI449" s="62" t="e">
        <v>#N/A</v>
      </c>
      <c r="AJ449" s="62" t="e">
        <v>#N/A</v>
      </c>
      <c r="AK449" s="64" t="e">
        <v>#N/A</v>
      </c>
      <c r="AL449" s="19">
        <v>118886</v>
      </c>
      <c r="AM449" s="19">
        <v>118871</v>
      </c>
      <c r="AN449" s="23">
        <v>5542</v>
      </c>
      <c r="AO449" s="19">
        <v>146817</v>
      </c>
      <c r="AP449" s="19">
        <v>14073</v>
      </c>
      <c r="AQ449" s="19">
        <v>93450</v>
      </c>
      <c r="AR449" s="63"/>
      <c r="AS449" s="63"/>
      <c r="AT449" s="65">
        <f t="shared" si="32"/>
        <v>6166.3140000000003</v>
      </c>
      <c r="AU449" s="65">
        <f t="shared" si="33"/>
        <v>232.76400000000001</v>
      </c>
      <c r="AV449" s="65">
        <f t="shared" si="34"/>
        <v>591.06600000000003</v>
      </c>
      <c r="AW449" s="65">
        <f t="shared" si="35"/>
        <v>4993.2120000000004</v>
      </c>
      <c r="AX449" s="65">
        <f t="shared" si="35"/>
        <v>4992.5820000000003</v>
      </c>
      <c r="AY449" s="65">
        <f t="shared" si="36"/>
        <v>3924.9</v>
      </c>
      <c r="AZ449" s="19">
        <v>42750</v>
      </c>
      <c r="BA449" s="19">
        <v>44730</v>
      </c>
      <c r="BB449" s="19">
        <v>42242</v>
      </c>
      <c r="BC449" s="19">
        <v>2457</v>
      </c>
      <c r="BD449" s="19">
        <v>2173</v>
      </c>
      <c r="BE449" s="62"/>
      <c r="BF449" s="62"/>
      <c r="BG449" s="62"/>
      <c r="BH449" s="62"/>
      <c r="BI449" s="67">
        <v>81.2</v>
      </c>
      <c r="BJ449" s="67">
        <v>2.16</v>
      </c>
      <c r="BK449" s="67">
        <v>2.14</v>
      </c>
      <c r="BL449" s="67">
        <v>2.2000000000000002</v>
      </c>
      <c r="BM449" s="62"/>
      <c r="BN449" s="62"/>
      <c r="BO449" s="62"/>
      <c r="BP449" s="62"/>
      <c r="BQ449" s="62"/>
      <c r="BR449" s="62"/>
      <c r="BS449" s="62"/>
      <c r="BT449" s="62"/>
      <c r="BU449" s="62"/>
      <c r="BV449" s="62"/>
      <c r="BW449" s="62"/>
      <c r="BX449" s="62"/>
      <c r="BY449" s="62"/>
      <c r="BZ449" s="62"/>
      <c r="CA449" s="62"/>
      <c r="CB449" s="62"/>
      <c r="CC449" s="62"/>
      <c r="CD449" s="62"/>
      <c r="CE449" s="62"/>
      <c r="CF449" s="62"/>
      <c r="CG449" s="62"/>
      <c r="CH449" s="62"/>
      <c r="CI449" s="62"/>
      <c r="CJ449" s="62"/>
      <c r="CK449" s="62"/>
      <c r="CL449" s="62"/>
      <c r="CM449" s="62"/>
      <c r="CN449" s="62"/>
      <c r="CO449" s="62"/>
      <c r="CP449" s="62"/>
      <c r="CQ449" s="62"/>
      <c r="CR449" s="62"/>
      <c r="CS449" s="62"/>
      <c r="CT449" s="62"/>
      <c r="CU449" s="62"/>
      <c r="CV449" s="62"/>
      <c r="CW449" s="62"/>
      <c r="CX449" s="62"/>
      <c r="CY449" s="62"/>
      <c r="CZ449" s="62"/>
      <c r="DA449" s="62"/>
      <c r="DB449" s="62"/>
      <c r="DC449" s="62"/>
      <c r="DD449" s="62"/>
      <c r="DE449" s="62"/>
      <c r="DF449" s="62"/>
      <c r="DG449" s="62"/>
      <c r="DH449" s="62"/>
      <c r="DI449" s="62"/>
      <c r="DJ449" s="62"/>
      <c r="DK449" s="62"/>
      <c r="DL449" s="62"/>
    </row>
    <row r="450" spans="1:116" x14ac:dyDescent="0.2">
      <c r="A450" s="57">
        <v>40269</v>
      </c>
      <c r="B450" s="58">
        <v>2010</v>
      </c>
      <c r="C450" s="66">
        <v>4.423</v>
      </c>
      <c r="D450" s="62">
        <v>0.06</v>
      </c>
      <c r="E450" s="62">
        <v>814.04399999999998</v>
      </c>
      <c r="F450" s="62">
        <v>34.19</v>
      </c>
      <c r="G450" s="62">
        <v>4.3620000000000001</v>
      </c>
      <c r="H450" s="62">
        <v>46.237000000000002</v>
      </c>
      <c r="I450" s="62">
        <v>234.36099999999999</v>
      </c>
      <c r="J450" s="62">
        <v>-188.124</v>
      </c>
      <c r="K450" s="62">
        <v>1009</v>
      </c>
      <c r="L450" s="62">
        <v>-48</v>
      </c>
      <c r="M450" s="62">
        <v>673.92</v>
      </c>
      <c r="N450" s="62">
        <v>28.305</v>
      </c>
      <c r="O450" s="66">
        <v>3.6120000000000001</v>
      </c>
      <c r="P450" s="61"/>
      <c r="Q450" s="62"/>
      <c r="R450" s="62"/>
      <c r="S450" s="62"/>
      <c r="T450" s="62"/>
      <c r="U450" s="62"/>
      <c r="V450" s="62"/>
      <c r="W450" s="62"/>
      <c r="X450" s="62"/>
      <c r="Y450" s="61"/>
      <c r="Z450" s="63"/>
      <c r="AA450" s="64" t="e">
        <v>#N/A</v>
      </c>
      <c r="AB450" s="62" t="e">
        <v>#N/A</v>
      </c>
      <c r="AC450" s="62" t="e">
        <v>#N/A</v>
      </c>
      <c r="AD450" s="62" t="e">
        <v>#N/A</v>
      </c>
      <c r="AE450" s="62" t="e">
        <v>#N/A</v>
      </c>
      <c r="AF450" s="62" t="e">
        <v>#N/A</v>
      </c>
      <c r="AG450" s="62" t="e">
        <v>#N/A</v>
      </c>
      <c r="AH450" s="62" t="e">
        <v>#N/A</v>
      </c>
      <c r="AI450" s="62" t="e">
        <v>#N/A</v>
      </c>
      <c r="AJ450" s="62" t="e">
        <v>#N/A</v>
      </c>
      <c r="AK450" s="64" t="e">
        <v>#N/A</v>
      </c>
      <c r="AL450" s="19">
        <v>124694</v>
      </c>
      <c r="AM450" s="19">
        <v>112758</v>
      </c>
      <c r="AN450" s="23">
        <v>6601</v>
      </c>
      <c r="AO450" s="19">
        <v>144802</v>
      </c>
      <c r="AP450" s="19">
        <v>20552</v>
      </c>
      <c r="AQ450" s="19">
        <v>99684</v>
      </c>
      <c r="AR450" s="63"/>
      <c r="AS450" s="63"/>
      <c r="AT450" s="65">
        <f t="shared" si="32"/>
        <v>6081.6840000000002</v>
      </c>
      <c r="AU450" s="65">
        <f t="shared" si="33"/>
        <v>277.24200000000002</v>
      </c>
      <c r="AV450" s="65">
        <f t="shared" si="34"/>
        <v>863.18399999999997</v>
      </c>
      <c r="AW450" s="65">
        <f t="shared" si="35"/>
        <v>5237.1480000000001</v>
      </c>
      <c r="AX450" s="65">
        <f t="shared" si="35"/>
        <v>4735.8360000000002</v>
      </c>
      <c r="AY450" s="65">
        <f t="shared" si="36"/>
        <v>4186.7280000000001</v>
      </c>
      <c r="AZ450" s="19">
        <v>44108</v>
      </c>
      <c r="BA450" s="19">
        <v>42288</v>
      </c>
      <c r="BB450" s="19">
        <v>44408</v>
      </c>
      <c r="BC450" s="19">
        <v>2627</v>
      </c>
      <c r="BD450" s="19">
        <v>2281</v>
      </c>
      <c r="BE450" s="62"/>
      <c r="BF450" s="62"/>
      <c r="BG450" s="62"/>
      <c r="BH450" s="62"/>
      <c r="BI450" s="67">
        <v>84.29</v>
      </c>
      <c r="BJ450" s="67">
        <v>2.31</v>
      </c>
      <c r="BK450" s="67">
        <v>2.27</v>
      </c>
      <c r="BL450" s="67">
        <v>2.27</v>
      </c>
      <c r="BM450" s="62"/>
      <c r="BN450" s="62"/>
      <c r="BO450" s="62"/>
      <c r="BP450" s="62"/>
      <c r="BQ450" s="62"/>
      <c r="BR450" s="62"/>
      <c r="BS450" s="62"/>
      <c r="BT450" s="62"/>
      <c r="BU450" s="62"/>
      <c r="BV450" s="62"/>
      <c r="BW450" s="62"/>
      <c r="BX450" s="62"/>
      <c r="BY450" s="62"/>
      <c r="BZ450" s="62"/>
      <c r="CA450" s="62"/>
      <c r="CB450" s="62"/>
      <c r="CC450" s="62"/>
      <c r="CD450" s="62"/>
      <c r="CE450" s="62"/>
      <c r="CF450" s="62"/>
      <c r="CG450" s="62"/>
      <c r="CH450" s="62"/>
      <c r="CI450" s="62"/>
      <c r="CJ450" s="62"/>
      <c r="CK450" s="62"/>
      <c r="CL450" s="62"/>
      <c r="CM450" s="62"/>
      <c r="CN450" s="62"/>
      <c r="CO450" s="62"/>
      <c r="CP450" s="62"/>
      <c r="CQ450" s="62"/>
      <c r="CR450" s="62"/>
      <c r="CS450" s="62"/>
      <c r="CT450" s="62"/>
      <c r="CU450" s="62"/>
      <c r="CV450" s="62"/>
      <c r="CW450" s="62"/>
      <c r="CX450" s="62"/>
      <c r="CY450" s="62"/>
      <c r="CZ450" s="62"/>
      <c r="DA450" s="62"/>
      <c r="DB450" s="62"/>
      <c r="DC450" s="62"/>
      <c r="DD450" s="62"/>
      <c r="DE450" s="62"/>
      <c r="DF450" s="62"/>
      <c r="DG450" s="62"/>
      <c r="DH450" s="62"/>
      <c r="DI450" s="62"/>
      <c r="DJ450" s="62"/>
      <c r="DK450" s="62"/>
      <c r="DL450" s="62"/>
    </row>
    <row r="451" spans="1:116" x14ac:dyDescent="0.2">
      <c r="A451" s="57">
        <v>40299</v>
      </c>
      <c r="B451" s="58">
        <v>2010</v>
      </c>
      <c r="C451" s="66">
        <v>4.1280000000000001</v>
      </c>
      <c r="D451" s="62">
        <v>5.6000000000000001E-2</v>
      </c>
      <c r="E451" s="62">
        <v>759.88199999999995</v>
      </c>
      <c r="F451" s="62">
        <v>31.914999999999999</v>
      </c>
      <c r="G451" s="62">
        <v>4.0720000000000001</v>
      </c>
      <c r="H451" s="62">
        <v>82.89</v>
      </c>
      <c r="I451" s="62">
        <v>259.99200000000002</v>
      </c>
      <c r="J451" s="62">
        <v>-177.102</v>
      </c>
      <c r="K451" s="62">
        <v>1016</v>
      </c>
      <c r="L451" s="62">
        <v>7</v>
      </c>
      <c r="M451" s="62">
        <v>575.78</v>
      </c>
      <c r="N451" s="62">
        <v>24.183</v>
      </c>
      <c r="O451" s="66">
        <v>3.0859999999999999</v>
      </c>
      <c r="P451" s="61"/>
      <c r="Q451" s="62"/>
      <c r="R451" s="62"/>
      <c r="S451" s="62"/>
      <c r="T451" s="62"/>
      <c r="U451" s="62"/>
      <c r="V451" s="62"/>
      <c r="W451" s="62"/>
      <c r="X451" s="62"/>
      <c r="Y451" s="61"/>
      <c r="Z451" s="63"/>
      <c r="AA451" s="64" t="e">
        <v>#N/A</v>
      </c>
      <c r="AB451" s="62" t="e">
        <v>#N/A</v>
      </c>
      <c r="AC451" s="62" t="e">
        <v>#N/A</v>
      </c>
      <c r="AD451" s="62" t="e">
        <v>#N/A</v>
      </c>
      <c r="AE451" s="62" t="e">
        <v>#N/A</v>
      </c>
      <c r="AF451" s="62" t="e">
        <v>#N/A</v>
      </c>
      <c r="AG451" s="62" t="e">
        <v>#N/A</v>
      </c>
      <c r="AH451" s="62" t="e">
        <v>#N/A</v>
      </c>
      <c r="AI451" s="62" t="e">
        <v>#N/A</v>
      </c>
      <c r="AJ451" s="62" t="e">
        <v>#N/A</v>
      </c>
      <c r="AK451" s="64" t="e">
        <v>#N/A</v>
      </c>
      <c r="AL451" s="19">
        <v>135620</v>
      </c>
      <c r="AM451" s="19">
        <v>112797</v>
      </c>
      <c r="AN451" s="23">
        <v>5844</v>
      </c>
      <c r="AO451" s="19">
        <v>150041</v>
      </c>
      <c r="AP451" s="19">
        <v>23428</v>
      </c>
      <c r="AQ451" s="19">
        <v>110897</v>
      </c>
      <c r="AR451" s="63"/>
      <c r="AS451" s="63"/>
      <c r="AT451" s="65">
        <f t="shared" ref="AT451:AT514" si="37">AO451*42/1000</f>
        <v>6301.7219999999998</v>
      </c>
      <c r="AU451" s="65">
        <f t="shared" ref="AU451:AU514" si="38">AN451*42/1000</f>
        <v>245.44800000000001</v>
      </c>
      <c r="AV451" s="65">
        <f t="shared" ref="AV451:AV514" si="39">AP451*42/1000</f>
        <v>983.976</v>
      </c>
      <c r="AW451" s="65">
        <f t="shared" si="35"/>
        <v>5696.04</v>
      </c>
      <c r="AX451" s="65">
        <f t="shared" si="35"/>
        <v>4737.4740000000002</v>
      </c>
      <c r="AY451" s="65">
        <f t="shared" si="36"/>
        <v>4657.674</v>
      </c>
      <c r="AZ451" s="19">
        <v>44934</v>
      </c>
      <c r="BA451" s="19">
        <v>44821</v>
      </c>
      <c r="BB451" s="19">
        <v>44576</v>
      </c>
      <c r="BC451" s="19">
        <v>2496</v>
      </c>
      <c r="BD451" s="19">
        <v>2441</v>
      </c>
      <c r="BE451" s="62"/>
      <c r="BF451" s="62"/>
      <c r="BG451" s="62"/>
      <c r="BH451" s="62"/>
      <c r="BI451" s="67">
        <v>73.739999999999995</v>
      </c>
      <c r="BJ451" s="67">
        <v>2.1800000000000002</v>
      </c>
      <c r="BK451" s="67">
        <v>2.2000000000000002</v>
      </c>
      <c r="BL451" s="67">
        <v>2.15</v>
      </c>
      <c r="BM451" s="62"/>
      <c r="BN451" s="62"/>
      <c r="BO451" s="62"/>
      <c r="BP451" s="62"/>
      <c r="BQ451" s="62"/>
      <c r="BR451" s="62"/>
      <c r="BS451" s="62"/>
      <c r="BT451" s="62"/>
      <c r="BU451" s="62"/>
      <c r="BV451" s="62"/>
      <c r="BW451" s="62"/>
      <c r="BX451" s="62"/>
      <c r="BY451" s="62"/>
      <c r="BZ451" s="62"/>
      <c r="CA451" s="62"/>
      <c r="CB451" s="62"/>
      <c r="CC451" s="62"/>
      <c r="CD451" s="62"/>
      <c r="CE451" s="62"/>
      <c r="CF451" s="62"/>
      <c r="CG451" s="62"/>
      <c r="CH451" s="62"/>
      <c r="CI451" s="62"/>
      <c r="CJ451" s="62"/>
      <c r="CK451" s="62"/>
      <c r="CL451" s="62"/>
      <c r="CM451" s="62"/>
      <c r="CN451" s="62"/>
      <c r="CO451" s="62"/>
      <c r="CP451" s="62"/>
      <c r="CQ451" s="62"/>
      <c r="CR451" s="62"/>
      <c r="CS451" s="62"/>
      <c r="CT451" s="62"/>
      <c r="CU451" s="62"/>
      <c r="CV451" s="62"/>
      <c r="CW451" s="62"/>
      <c r="CX451" s="62"/>
      <c r="CY451" s="62"/>
      <c r="CZ451" s="62"/>
      <c r="DA451" s="62"/>
      <c r="DB451" s="62"/>
      <c r="DC451" s="62"/>
      <c r="DD451" s="62"/>
      <c r="DE451" s="62"/>
      <c r="DF451" s="62"/>
      <c r="DG451" s="62"/>
      <c r="DH451" s="62"/>
      <c r="DI451" s="62"/>
      <c r="DJ451" s="62"/>
      <c r="DK451" s="62"/>
      <c r="DL451" s="62"/>
    </row>
    <row r="452" spans="1:116" x14ac:dyDescent="0.2">
      <c r="A452" s="57">
        <v>40330</v>
      </c>
      <c r="B452" s="58">
        <v>2010</v>
      </c>
      <c r="C452" s="66">
        <v>3.5009999999999999</v>
      </c>
      <c r="D452" s="62">
        <v>4.8000000000000001E-2</v>
      </c>
      <c r="E452" s="62">
        <v>644.43600000000004</v>
      </c>
      <c r="F452" s="62">
        <v>27.065999999999999</v>
      </c>
      <c r="G452" s="62">
        <v>3.4540000000000002</v>
      </c>
      <c r="H452" s="62">
        <v>56.09</v>
      </c>
      <c r="I452" s="62">
        <v>313.827</v>
      </c>
      <c r="J452" s="62">
        <v>-257.73700000000002</v>
      </c>
      <c r="K452" s="62">
        <v>968</v>
      </c>
      <c r="L452" s="62">
        <v>-48</v>
      </c>
      <c r="M452" s="62">
        <v>434.69900000000001</v>
      </c>
      <c r="N452" s="62">
        <v>18.257000000000001</v>
      </c>
      <c r="O452" s="66">
        <v>2.33</v>
      </c>
      <c r="P452" s="61"/>
      <c r="Q452" s="62"/>
      <c r="R452" s="62"/>
      <c r="S452" s="62"/>
      <c r="T452" s="62"/>
      <c r="U452" s="62"/>
      <c r="V452" s="62"/>
      <c r="W452" s="62"/>
      <c r="X452" s="62"/>
      <c r="Y452" s="61"/>
      <c r="Z452" s="63"/>
      <c r="AA452" s="64" t="e">
        <v>#N/A</v>
      </c>
      <c r="AB452" s="62" t="e">
        <v>#N/A</v>
      </c>
      <c r="AC452" s="62" t="e">
        <v>#N/A</v>
      </c>
      <c r="AD452" s="62" t="e">
        <v>#N/A</v>
      </c>
      <c r="AE452" s="62" t="e">
        <v>#N/A</v>
      </c>
      <c r="AF452" s="62" t="e">
        <v>#N/A</v>
      </c>
      <c r="AG452" s="62" t="e">
        <v>#N/A</v>
      </c>
      <c r="AH452" s="62" t="e">
        <v>#N/A</v>
      </c>
      <c r="AI452" s="62" t="e">
        <v>#N/A</v>
      </c>
      <c r="AJ452" s="62" t="e">
        <v>#N/A</v>
      </c>
      <c r="AK452" s="64" t="e">
        <v>#N/A</v>
      </c>
      <c r="AL452" s="19">
        <v>132234</v>
      </c>
      <c r="AM452" s="19">
        <v>112280</v>
      </c>
      <c r="AN452" s="23">
        <v>7102</v>
      </c>
      <c r="AO452" s="19">
        <v>157944</v>
      </c>
      <c r="AP452" s="19">
        <v>19153</v>
      </c>
      <c r="AQ452" s="19">
        <v>109003</v>
      </c>
      <c r="AR452" s="63"/>
      <c r="AS452" s="63"/>
      <c r="AT452" s="65">
        <f t="shared" si="37"/>
        <v>6633.6480000000001</v>
      </c>
      <c r="AU452" s="65">
        <f t="shared" si="38"/>
        <v>298.28399999999999</v>
      </c>
      <c r="AV452" s="65">
        <f t="shared" si="39"/>
        <v>804.42600000000004</v>
      </c>
      <c r="AW452" s="65">
        <f t="shared" si="35"/>
        <v>5553.8280000000004</v>
      </c>
      <c r="AX452" s="65">
        <f t="shared" si="35"/>
        <v>4715.76</v>
      </c>
      <c r="AY452" s="65">
        <f t="shared" si="36"/>
        <v>4578.1260000000002</v>
      </c>
      <c r="AZ452" s="19">
        <v>44837</v>
      </c>
      <c r="BA452" s="19">
        <v>46298</v>
      </c>
      <c r="BB452" s="19">
        <v>44824</v>
      </c>
      <c r="BC452" s="19">
        <v>3410</v>
      </c>
      <c r="BD452" s="19">
        <v>1701</v>
      </c>
      <c r="BE452" s="62"/>
      <c r="BF452" s="62"/>
      <c r="BG452" s="62"/>
      <c r="BH452" s="62"/>
      <c r="BI452" s="67">
        <v>75.34</v>
      </c>
      <c r="BJ452" s="67">
        <v>2.12</v>
      </c>
      <c r="BK452" s="67">
        <v>2.1</v>
      </c>
      <c r="BL452" s="67">
        <v>2.11</v>
      </c>
      <c r="BM452" s="62"/>
      <c r="BN452" s="62"/>
      <c r="BO452" s="62"/>
      <c r="BP452" s="62"/>
      <c r="BQ452" s="62"/>
      <c r="BR452" s="62"/>
      <c r="BS452" s="62"/>
      <c r="BT452" s="62"/>
      <c r="BU452" s="62"/>
      <c r="BV452" s="62"/>
      <c r="BW452" s="62"/>
      <c r="BX452" s="62"/>
      <c r="BY452" s="62"/>
      <c r="BZ452" s="62"/>
      <c r="CA452" s="62"/>
      <c r="CB452" s="62"/>
      <c r="CC452" s="62"/>
      <c r="CD452" s="62"/>
      <c r="CE452" s="62"/>
      <c r="CF452" s="62"/>
      <c r="CG452" s="62"/>
      <c r="CH452" s="62"/>
      <c r="CI452" s="62"/>
      <c r="CJ452" s="62"/>
      <c r="CK452" s="62"/>
      <c r="CL452" s="62"/>
      <c r="CM452" s="62"/>
      <c r="CN452" s="62"/>
      <c r="CO452" s="62"/>
      <c r="CP452" s="62"/>
      <c r="CQ452" s="62"/>
      <c r="CR452" s="62"/>
      <c r="CS452" s="62"/>
      <c r="CT452" s="62"/>
      <c r="CU452" s="62"/>
      <c r="CV452" s="62"/>
      <c r="CW452" s="62"/>
      <c r="CX452" s="62"/>
      <c r="CY452" s="62"/>
      <c r="CZ452" s="62"/>
      <c r="DA452" s="62"/>
      <c r="DB452" s="62"/>
      <c r="DC452" s="62"/>
      <c r="DD452" s="62"/>
      <c r="DE452" s="62"/>
      <c r="DF452" s="62"/>
      <c r="DG452" s="62"/>
      <c r="DH452" s="62"/>
      <c r="DI452" s="62"/>
      <c r="DJ452" s="62"/>
      <c r="DK452" s="62"/>
      <c r="DL452" s="62"/>
    </row>
    <row r="453" spans="1:116" x14ac:dyDescent="0.2">
      <c r="A453" s="57">
        <v>40360</v>
      </c>
      <c r="B453" s="58">
        <v>2010</v>
      </c>
      <c r="C453" s="66">
        <v>3.57</v>
      </c>
      <c r="D453" s="62">
        <v>4.9000000000000002E-2</v>
      </c>
      <c r="E453" s="62">
        <v>657.08299999999997</v>
      </c>
      <c r="F453" s="62">
        <v>27.597000000000001</v>
      </c>
      <c r="G453" s="62">
        <v>3.5209999999999999</v>
      </c>
      <c r="H453" s="62">
        <v>33.344999999999999</v>
      </c>
      <c r="I453" s="62">
        <v>205.91499999999999</v>
      </c>
      <c r="J453" s="62">
        <v>-172.57</v>
      </c>
      <c r="K453" s="62">
        <v>830</v>
      </c>
      <c r="L453" s="62">
        <v>-138</v>
      </c>
      <c r="M453" s="62">
        <v>622.51300000000003</v>
      </c>
      <c r="N453" s="62">
        <v>26.146000000000001</v>
      </c>
      <c r="O453" s="66">
        <v>3.3359999999999999</v>
      </c>
      <c r="P453" s="61"/>
      <c r="Q453" s="62"/>
      <c r="R453" s="62"/>
      <c r="S453" s="62"/>
      <c r="T453" s="62"/>
      <c r="U453" s="62"/>
      <c r="V453" s="62"/>
      <c r="W453" s="62"/>
      <c r="X453" s="62"/>
      <c r="Y453" s="61"/>
      <c r="Z453" s="63"/>
      <c r="AA453" s="64" t="e">
        <v>#N/A</v>
      </c>
      <c r="AB453" s="62" t="e">
        <v>#N/A</v>
      </c>
      <c r="AC453" s="62" t="e">
        <v>#N/A</v>
      </c>
      <c r="AD453" s="62" t="e">
        <v>#N/A</v>
      </c>
      <c r="AE453" s="62" t="e">
        <v>#N/A</v>
      </c>
      <c r="AF453" s="62" t="e">
        <v>#N/A</v>
      </c>
      <c r="AG453" s="62" t="e">
        <v>#N/A</v>
      </c>
      <c r="AH453" s="62" t="e">
        <v>#N/A</v>
      </c>
      <c r="AI453" s="62" t="e">
        <v>#N/A</v>
      </c>
      <c r="AJ453" s="62" t="e">
        <v>#N/A</v>
      </c>
      <c r="AK453" s="64" t="e">
        <v>#N/A</v>
      </c>
      <c r="AL453" s="19">
        <v>137165</v>
      </c>
      <c r="AM453" s="19">
        <v>109865</v>
      </c>
      <c r="AN453" s="23">
        <v>5277</v>
      </c>
      <c r="AO453" s="19">
        <v>166628</v>
      </c>
      <c r="AP453" s="19">
        <v>23893</v>
      </c>
      <c r="AQ453" s="19">
        <v>112448</v>
      </c>
      <c r="AR453" s="63"/>
      <c r="AS453" s="63"/>
      <c r="AT453" s="65">
        <f t="shared" si="37"/>
        <v>6998.3760000000002</v>
      </c>
      <c r="AU453" s="65">
        <f t="shared" si="38"/>
        <v>221.63399999999999</v>
      </c>
      <c r="AV453" s="65">
        <f t="shared" si="39"/>
        <v>1003.506</v>
      </c>
      <c r="AW453" s="65">
        <f t="shared" si="35"/>
        <v>5760.93</v>
      </c>
      <c r="AX453" s="65">
        <f t="shared" si="35"/>
        <v>4614.33</v>
      </c>
      <c r="AY453" s="65">
        <f t="shared" si="36"/>
        <v>4722.8159999999998</v>
      </c>
      <c r="AZ453" s="19">
        <v>47816</v>
      </c>
      <c r="BA453" s="19">
        <v>46304</v>
      </c>
      <c r="BB453" s="19">
        <v>47290</v>
      </c>
      <c r="BC453" s="19">
        <v>3493</v>
      </c>
      <c r="BD453" s="19">
        <v>2539</v>
      </c>
      <c r="BE453" s="62"/>
      <c r="BF453" s="62"/>
      <c r="BG453" s="62"/>
      <c r="BH453" s="62"/>
      <c r="BI453" s="67">
        <v>76.319999999999993</v>
      </c>
      <c r="BJ453" s="67">
        <v>2.1</v>
      </c>
      <c r="BK453" s="67">
        <v>2.1</v>
      </c>
      <c r="BL453" s="67">
        <v>2.11</v>
      </c>
      <c r="BM453" s="62"/>
      <c r="BN453" s="62"/>
      <c r="BO453" s="62"/>
      <c r="BP453" s="62"/>
      <c r="BQ453" s="62"/>
      <c r="BR453" s="62"/>
      <c r="BS453" s="62"/>
      <c r="BT453" s="62"/>
      <c r="BU453" s="62"/>
      <c r="BV453" s="62"/>
      <c r="BW453" s="62"/>
      <c r="BX453" s="62"/>
      <c r="BY453" s="62"/>
      <c r="BZ453" s="62"/>
      <c r="CA453" s="62"/>
      <c r="CB453" s="62"/>
      <c r="CC453" s="62"/>
      <c r="CD453" s="62"/>
      <c r="CE453" s="62"/>
      <c r="CF453" s="62"/>
      <c r="CG453" s="62"/>
      <c r="CH453" s="62"/>
      <c r="CI453" s="62"/>
      <c r="CJ453" s="62"/>
      <c r="CK453" s="62"/>
      <c r="CL453" s="62"/>
      <c r="CM453" s="62"/>
      <c r="CN453" s="62"/>
      <c r="CO453" s="62"/>
      <c r="CP453" s="62"/>
      <c r="CQ453" s="62"/>
      <c r="CR453" s="62"/>
      <c r="CS453" s="62"/>
      <c r="CT453" s="62"/>
      <c r="CU453" s="62"/>
      <c r="CV453" s="62"/>
      <c r="CW453" s="62"/>
      <c r="CX453" s="62"/>
      <c r="CY453" s="62"/>
      <c r="CZ453" s="62"/>
      <c r="DA453" s="62"/>
      <c r="DB453" s="62"/>
      <c r="DC453" s="62"/>
      <c r="DD453" s="62"/>
      <c r="DE453" s="62"/>
      <c r="DF453" s="62"/>
      <c r="DG453" s="62"/>
      <c r="DH453" s="62"/>
      <c r="DI453" s="62"/>
      <c r="DJ453" s="62"/>
      <c r="DK453" s="62"/>
      <c r="DL453" s="62"/>
    </row>
    <row r="454" spans="1:116" x14ac:dyDescent="0.2">
      <c r="A454" s="57">
        <v>40391</v>
      </c>
      <c r="B454" s="58">
        <v>2010</v>
      </c>
      <c r="C454" s="66">
        <v>3.548</v>
      </c>
      <c r="D454" s="62">
        <v>4.8000000000000001E-2</v>
      </c>
      <c r="E454" s="62">
        <v>653.03399999999999</v>
      </c>
      <c r="F454" s="62">
        <v>27.427</v>
      </c>
      <c r="G454" s="62">
        <v>3.5</v>
      </c>
      <c r="H454" s="62">
        <v>53.767000000000003</v>
      </c>
      <c r="I454" s="62">
        <v>232.54</v>
      </c>
      <c r="J454" s="62">
        <v>-178.773</v>
      </c>
      <c r="K454" s="62">
        <v>771</v>
      </c>
      <c r="L454" s="62">
        <v>-59</v>
      </c>
      <c r="M454" s="62">
        <v>533.26099999999997</v>
      </c>
      <c r="N454" s="62">
        <v>22.396999999999998</v>
      </c>
      <c r="O454" s="66">
        <v>2.8580000000000001</v>
      </c>
      <c r="P454" s="61"/>
      <c r="Q454" s="62"/>
      <c r="R454" s="62"/>
      <c r="S454" s="62"/>
      <c r="T454" s="62"/>
      <c r="U454" s="62"/>
      <c r="V454" s="62"/>
      <c r="W454" s="62"/>
      <c r="X454" s="62"/>
      <c r="Y454" s="61"/>
      <c r="Z454" s="63"/>
      <c r="AA454" s="64" t="e">
        <v>#N/A</v>
      </c>
      <c r="AB454" s="62" t="e">
        <v>#N/A</v>
      </c>
      <c r="AC454" s="62" t="e">
        <v>#N/A</v>
      </c>
      <c r="AD454" s="62" t="e">
        <v>#N/A</v>
      </c>
      <c r="AE454" s="62" t="e">
        <v>#N/A</v>
      </c>
      <c r="AF454" s="62" t="e">
        <v>#N/A</v>
      </c>
      <c r="AG454" s="62" t="e">
        <v>#N/A</v>
      </c>
      <c r="AH454" s="62" t="e">
        <v>#N/A</v>
      </c>
      <c r="AI454" s="62" t="e">
        <v>#N/A</v>
      </c>
      <c r="AJ454" s="62" t="e">
        <v>#N/A</v>
      </c>
      <c r="AK454" s="64" t="e">
        <v>#N/A</v>
      </c>
      <c r="AL454" s="19">
        <v>136522</v>
      </c>
      <c r="AM454" s="19">
        <v>118715</v>
      </c>
      <c r="AN454" s="23">
        <v>7633</v>
      </c>
      <c r="AO454" s="19">
        <v>170334</v>
      </c>
      <c r="AP454" s="19">
        <v>21734</v>
      </c>
      <c r="AQ454" s="19">
        <v>111565</v>
      </c>
      <c r="AR454" s="63"/>
      <c r="AS454" s="63"/>
      <c r="AT454" s="65">
        <f t="shared" si="37"/>
        <v>7154.0280000000002</v>
      </c>
      <c r="AU454" s="65">
        <f t="shared" si="38"/>
        <v>320.58600000000001</v>
      </c>
      <c r="AV454" s="65">
        <f t="shared" si="39"/>
        <v>912.82799999999997</v>
      </c>
      <c r="AW454" s="65">
        <f t="shared" si="35"/>
        <v>5733.924</v>
      </c>
      <c r="AX454" s="65">
        <f t="shared" si="35"/>
        <v>4986.03</v>
      </c>
      <c r="AY454" s="65">
        <f t="shared" si="36"/>
        <v>4685.7299999999996</v>
      </c>
      <c r="AZ454" s="19">
        <v>45350</v>
      </c>
      <c r="BA454" s="19">
        <v>46062</v>
      </c>
      <c r="BB454" s="19">
        <v>47126</v>
      </c>
      <c r="BC454" s="19">
        <v>3178</v>
      </c>
      <c r="BD454" s="19">
        <v>2630</v>
      </c>
      <c r="BE454" s="62"/>
      <c r="BF454" s="62"/>
      <c r="BG454" s="62"/>
      <c r="BH454" s="62"/>
      <c r="BI454" s="67">
        <v>76.599999999999994</v>
      </c>
      <c r="BJ454" s="67">
        <v>2.16</v>
      </c>
      <c r="BK454" s="67">
        <v>2.16</v>
      </c>
      <c r="BL454" s="67">
        <v>2.1</v>
      </c>
      <c r="BM454" s="62"/>
      <c r="BN454" s="62"/>
      <c r="BO454" s="62"/>
      <c r="BP454" s="62"/>
      <c r="BQ454" s="62"/>
      <c r="BR454" s="62"/>
      <c r="BS454" s="62"/>
      <c r="BT454" s="62"/>
      <c r="BU454" s="62"/>
      <c r="BV454" s="62"/>
      <c r="BW454" s="62"/>
      <c r="BX454" s="62"/>
      <c r="BY454" s="62"/>
      <c r="BZ454" s="62"/>
      <c r="CA454" s="62"/>
      <c r="CB454" s="62"/>
      <c r="CC454" s="62"/>
      <c r="CD454" s="62"/>
      <c r="CE454" s="62"/>
      <c r="CF454" s="62"/>
      <c r="CG454" s="62"/>
      <c r="CH454" s="62"/>
      <c r="CI454" s="62"/>
      <c r="CJ454" s="62"/>
      <c r="CK454" s="62"/>
      <c r="CL454" s="62"/>
      <c r="CM454" s="62"/>
      <c r="CN454" s="62"/>
      <c r="CO454" s="62"/>
      <c r="CP454" s="62"/>
      <c r="CQ454" s="62"/>
      <c r="CR454" s="62"/>
      <c r="CS454" s="62"/>
      <c r="CT454" s="62"/>
      <c r="CU454" s="62"/>
      <c r="CV454" s="62"/>
      <c r="CW454" s="62"/>
      <c r="CX454" s="62"/>
      <c r="CY454" s="62"/>
      <c r="CZ454" s="62"/>
      <c r="DA454" s="62"/>
      <c r="DB454" s="62"/>
      <c r="DC454" s="62"/>
      <c r="DD454" s="62"/>
      <c r="DE454" s="62"/>
      <c r="DF454" s="62"/>
      <c r="DG454" s="62"/>
      <c r="DH454" s="62"/>
      <c r="DI454" s="62"/>
      <c r="DJ454" s="62"/>
      <c r="DK454" s="62"/>
      <c r="DL454" s="62"/>
    </row>
    <row r="455" spans="1:116" x14ac:dyDescent="0.2">
      <c r="A455" s="57">
        <v>40422</v>
      </c>
      <c r="B455" s="58">
        <v>2010</v>
      </c>
      <c r="C455" s="66">
        <v>3.927</v>
      </c>
      <c r="D455" s="62">
        <v>5.2999999999999999E-2</v>
      </c>
      <c r="E455" s="62">
        <v>722.78300000000002</v>
      </c>
      <c r="F455" s="62">
        <v>30.356999999999999</v>
      </c>
      <c r="G455" s="62">
        <v>3.8730000000000002</v>
      </c>
      <c r="H455" s="62">
        <v>70.941999999999993</v>
      </c>
      <c r="I455" s="62">
        <v>135.39599999999999</v>
      </c>
      <c r="J455" s="62">
        <v>-64.453999999999994</v>
      </c>
      <c r="K455" s="62">
        <v>682</v>
      </c>
      <c r="L455" s="62">
        <v>-89</v>
      </c>
      <c r="M455" s="62">
        <v>747.32899999999995</v>
      </c>
      <c r="N455" s="62">
        <v>31.388000000000002</v>
      </c>
      <c r="O455" s="66">
        <v>4.0049999999999999</v>
      </c>
      <c r="P455" s="61"/>
      <c r="Q455" s="62"/>
      <c r="R455" s="62"/>
      <c r="S455" s="62"/>
      <c r="T455" s="62"/>
      <c r="U455" s="62"/>
      <c r="V455" s="62"/>
      <c r="W455" s="62"/>
      <c r="X455" s="62"/>
      <c r="Y455" s="61"/>
      <c r="Z455" s="63"/>
      <c r="AA455" s="64" t="e">
        <v>#N/A</v>
      </c>
      <c r="AB455" s="62" t="e">
        <v>#N/A</v>
      </c>
      <c r="AC455" s="62" t="e">
        <v>#N/A</v>
      </c>
      <c r="AD455" s="62" t="e">
        <v>#N/A</v>
      </c>
      <c r="AE455" s="62" t="e">
        <v>#N/A</v>
      </c>
      <c r="AF455" s="62" t="e">
        <v>#N/A</v>
      </c>
      <c r="AG455" s="62" t="e">
        <v>#N/A</v>
      </c>
      <c r="AH455" s="62" t="e">
        <v>#N/A</v>
      </c>
      <c r="AI455" s="62" t="e">
        <v>#N/A</v>
      </c>
      <c r="AJ455" s="62" t="e">
        <v>#N/A</v>
      </c>
      <c r="AK455" s="64" t="e">
        <v>#N/A</v>
      </c>
      <c r="AL455" s="19">
        <v>130242</v>
      </c>
      <c r="AM455" s="19">
        <v>116585</v>
      </c>
      <c r="AN455" s="23">
        <v>5680</v>
      </c>
      <c r="AO455" s="19">
        <v>166735</v>
      </c>
      <c r="AP455" s="19">
        <v>22936</v>
      </c>
      <c r="AQ455" s="19">
        <v>108864</v>
      </c>
      <c r="AR455" s="63"/>
      <c r="AS455" s="63"/>
      <c r="AT455" s="65">
        <f t="shared" si="37"/>
        <v>7002.87</v>
      </c>
      <c r="AU455" s="65">
        <f t="shared" si="38"/>
        <v>238.56</v>
      </c>
      <c r="AV455" s="65">
        <f t="shared" si="39"/>
        <v>963.31200000000001</v>
      </c>
      <c r="AW455" s="65">
        <f t="shared" ref="AW455:AX518" si="40">AL455*42/1000</f>
        <v>5470.1639999999998</v>
      </c>
      <c r="AX455" s="65">
        <f t="shared" si="40"/>
        <v>4896.57</v>
      </c>
      <c r="AY455" s="65">
        <f t="shared" si="36"/>
        <v>4572.2879999999996</v>
      </c>
      <c r="AZ455" s="19">
        <v>42109</v>
      </c>
      <c r="BA455" s="19">
        <v>43702</v>
      </c>
      <c r="BB455" s="19">
        <v>46755</v>
      </c>
      <c r="BC455" s="19">
        <v>3648</v>
      </c>
      <c r="BD455" s="19">
        <v>2426</v>
      </c>
      <c r="BE455" s="62"/>
      <c r="BF455" s="62"/>
      <c r="BG455" s="62"/>
      <c r="BH455" s="62"/>
      <c r="BI455" s="67">
        <v>75.239999999999995</v>
      </c>
      <c r="BJ455" s="67">
        <v>2.19</v>
      </c>
      <c r="BK455" s="67">
        <v>2.15</v>
      </c>
      <c r="BL455" s="67">
        <v>2.09</v>
      </c>
      <c r="BM455" s="62"/>
      <c r="BN455" s="62"/>
      <c r="BO455" s="62"/>
      <c r="BP455" s="62"/>
      <c r="BQ455" s="62"/>
      <c r="BR455" s="62"/>
      <c r="BS455" s="62"/>
      <c r="BT455" s="62"/>
      <c r="BU455" s="62"/>
      <c r="BV455" s="62"/>
      <c r="BW455" s="62"/>
      <c r="BX455" s="62"/>
      <c r="BY455" s="62"/>
      <c r="BZ455" s="62"/>
      <c r="CA455" s="62"/>
      <c r="CB455" s="62"/>
      <c r="CC455" s="62"/>
      <c r="CD455" s="62"/>
      <c r="CE455" s="62"/>
      <c r="CF455" s="62"/>
      <c r="CG455" s="62"/>
      <c r="CH455" s="62"/>
      <c r="CI455" s="62"/>
      <c r="CJ455" s="62"/>
      <c r="CK455" s="62"/>
      <c r="CL455" s="62"/>
      <c r="CM455" s="62"/>
      <c r="CN455" s="62"/>
      <c r="CO455" s="62"/>
      <c r="CP455" s="62"/>
      <c r="CQ455" s="62"/>
      <c r="CR455" s="62"/>
      <c r="CS455" s="62"/>
      <c r="CT455" s="62"/>
      <c r="CU455" s="62"/>
      <c r="CV455" s="62"/>
      <c r="CW455" s="62"/>
      <c r="CX455" s="62"/>
      <c r="CY455" s="62"/>
      <c r="CZ455" s="62"/>
      <c r="DA455" s="62"/>
      <c r="DB455" s="62"/>
      <c r="DC455" s="62"/>
      <c r="DD455" s="62"/>
      <c r="DE455" s="62"/>
      <c r="DF455" s="62"/>
      <c r="DG455" s="62"/>
      <c r="DH455" s="62"/>
      <c r="DI455" s="62"/>
      <c r="DJ455" s="62"/>
      <c r="DK455" s="62"/>
      <c r="DL455" s="62"/>
    </row>
    <row r="456" spans="1:116" x14ac:dyDescent="0.2">
      <c r="A456" s="57">
        <v>40452</v>
      </c>
      <c r="B456" s="58">
        <v>2010</v>
      </c>
      <c r="C456" s="66">
        <v>3.6739999999999999</v>
      </c>
      <c r="D456" s="62">
        <v>0.05</v>
      </c>
      <c r="E456" s="62">
        <v>676.29399999999998</v>
      </c>
      <c r="F456" s="62">
        <v>28.404</v>
      </c>
      <c r="G456" s="62">
        <v>3.6240000000000001</v>
      </c>
      <c r="H456" s="62">
        <v>18.687000000000001</v>
      </c>
      <c r="I456" s="62">
        <v>136.94999999999999</v>
      </c>
      <c r="J456" s="62">
        <v>-118.262</v>
      </c>
      <c r="K456" s="62">
        <v>650</v>
      </c>
      <c r="L456" s="62">
        <v>-32</v>
      </c>
      <c r="M456" s="62">
        <v>590.03099999999995</v>
      </c>
      <c r="N456" s="62">
        <v>24.780999999999999</v>
      </c>
      <c r="O456" s="66">
        <v>3.1619999999999999</v>
      </c>
      <c r="P456" s="61"/>
      <c r="Q456" s="62"/>
      <c r="R456" s="62"/>
      <c r="S456" s="62"/>
      <c r="T456" s="62"/>
      <c r="U456" s="62"/>
      <c r="V456" s="62"/>
      <c r="W456" s="62"/>
      <c r="X456" s="62"/>
      <c r="Y456" s="61"/>
      <c r="Z456" s="63"/>
      <c r="AA456" s="64" t="e">
        <v>#N/A</v>
      </c>
      <c r="AB456" s="62" t="e">
        <v>#N/A</v>
      </c>
      <c r="AC456" s="62" t="e">
        <v>#N/A</v>
      </c>
      <c r="AD456" s="62" t="e">
        <v>#N/A</v>
      </c>
      <c r="AE456" s="62" t="e">
        <v>#N/A</v>
      </c>
      <c r="AF456" s="62" t="e">
        <v>#N/A</v>
      </c>
      <c r="AG456" s="62" t="e">
        <v>#N/A</v>
      </c>
      <c r="AH456" s="62" t="e">
        <v>#N/A</v>
      </c>
      <c r="AI456" s="62" t="e">
        <v>#N/A</v>
      </c>
      <c r="AJ456" s="62" t="e">
        <v>#N/A</v>
      </c>
      <c r="AK456" s="64" t="e">
        <v>#N/A</v>
      </c>
      <c r="AL456" s="19">
        <v>133775</v>
      </c>
      <c r="AM456" s="19">
        <v>116961</v>
      </c>
      <c r="AN456" s="23">
        <v>5068</v>
      </c>
      <c r="AO456" s="19">
        <v>161510</v>
      </c>
      <c r="AP456" s="19">
        <v>27107</v>
      </c>
      <c r="AQ456" s="19">
        <v>111433</v>
      </c>
      <c r="AR456" s="63"/>
      <c r="AS456" s="63"/>
      <c r="AT456" s="65">
        <f t="shared" si="37"/>
        <v>6783.42</v>
      </c>
      <c r="AU456" s="65">
        <f t="shared" si="38"/>
        <v>212.85599999999999</v>
      </c>
      <c r="AV456" s="65">
        <f t="shared" si="39"/>
        <v>1138.4939999999999</v>
      </c>
      <c r="AW456" s="65">
        <f t="shared" si="40"/>
        <v>5618.55</v>
      </c>
      <c r="AX456" s="65">
        <f t="shared" si="40"/>
        <v>4912.3620000000001</v>
      </c>
      <c r="AY456" s="65">
        <f t="shared" si="36"/>
        <v>4680.1859999999997</v>
      </c>
      <c r="AZ456" s="19">
        <v>40828</v>
      </c>
      <c r="BA456" s="19">
        <v>44317</v>
      </c>
      <c r="BB456" s="19">
        <v>44196</v>
      </c>
      <c r="BC456" s="19">
        <v>2903</v>
      </c>
      <c r="BD456" s="19">
        <v>1973</v>
      </c>
      <c r="BE456" s="62"/>
      <c r="BF456" s="62"/>
      <c r="BG456" s="62"/>
      <c r="BH456" s="62"/>
      <c r="BI456" s="67">
        <v>81.89</v>
      </c>
      <c r="BJ456" s="67">
        <v>2.33</v>
      </c>
      <c r="BK456" s="67">
        <v>2.2999999999999998</v>
      </c>
      <c r="BL456" s="67">
        <v>2.2000000000000002</v>
      </c>
      <c r="BM456" s="62"/>
      <c r="BN456" s="62"/>
      <c r="BO456" s="62"/>
      <c r="BP456" s="62"/>
      <c r="BQ456" s="62"/>
      <c r="BR456" s="62"/>
      <c r="BS456" s="62"/>
      <c r="BT456" s="62"/>
      <c r="BU456" s="62"/>
      <c r="BV456" s="62"/>
      <c r="BW456" s="62"/>
      <c r="BX456" s="62"/>
      <c r="BY456" s="62"/>
      <c r="BZ456" s="62"/>
      <c r="CA456" s="62"/>
      <c r="CB456" s="62"/>
      <c r="CC456" s="62"/>
      <c r="CD456" s="62"/>
      <c r="CE456" s="62"/>
      <c r="CF456" s="62"/>
      <c r="CG456" s="62"/>
      <c r="CH456" s="62"/>
      <c r="CI456" s="62"/>
      <c r="CJ456" s="62"/>
      <c r="CK456" s="62"/>
      <c r="CL456" s="62"/>
      <c r="CM456" s="62"/>
      <c r="CN456" s="62"/>
      <c r="CO456" s="62"/>
      <c r="CP456" s="62"/>
      <c r="CQ456" s="62"/>
      <c r="CR456" s="62"/>
      <c r="CS456" s="62"/>
      <c r="CT456" s="62"/>
      <c r="CU456" s="62"/>
      <c r="CV456" s="62"/>
      <c r="CW456" s="62"/>
      <c r="CX456" s="62"/>
      <c r="CY456" s="62"/>
      <c r="CZ456" s="62"/>
      <c r="DA456" s="62"/>
      <c r="DB456" s="62"/>
      <c r="DC456" s="62"/>
      <c r="DD456" s="62"/>
      <c r="DE456" s="62"/>
      <c r="DF456" s="62"/>
      <c r="DG456" s="62"/>
      <c r="DH456" s="62"/>
      <c r="DI456" s="62"/>
      <c r="DJ456" s="62"/>
      <c r="DK456" s="62"/>
      <c r="DL456" s="62"/>
    </row>
    <row r="457" spans="1:116" x14ac:dyDescent="0.2">
      <c r="A457" s="57">
        <v>40483</v>
      </c>
      <c r="B457" s="58">
        <v>2010</v>
      </c>
      <c r="C457" s="66">
        <v>2.8679999999999999</v>
      </c>
      <c r="D457" s="62">
        <v>3.9E-2</v>
      </c>
      <c r="E457" s="62">
        <v>527.803</v>
      </c>
      <c r="F457" s="62">
        <v>22.167999999999999</v>
      </c>
      <c r="G457" s="62">
        <v>2.8279999999999998</v>
      </c>
      <c r="H457" s="62">
        <v>30.98</v>
      </c>
      <c r="I457" s="62">
        <v>58.567999999999998</v>
      </c>
      <c r="J457" s="62">
        <v>-27.588000000000001</v>
      </c>
      <c r="K457" s="62">
        <v>676</v>
      </c>
      <c r="L457" s="62">
        <v>26</v>
      </c>
      <c r="M457" s="62">
        <v>474.21499999999997</v>
      </c>
      <c r="N457" s="62">
        <v>19.917000000000002</v>
      </c>
      <c r="O457" s="66">
        <v>2.5409999999999999</v>
      </c>
      <c r="P457" s="61"/>
      <c r="Q457" s="62"/>
      <c r="R457" s="62"/>
      <c r="S457" s="62"/>
      <c r="T457" s="62"/>
      <c r="U457" s="62"/>
      <c r="V457" s="62"/>
      <c r="W457" s="62"/>
      <c r="X457" s="62"/>
      <c r="Y457" s="61"/>
      <c r="Z457" s="63"/>
      <c r="AA457" s="64" t="e">
        <v>#N/A</v>
      </c>
      <c r="AB457" s="62" t="e">
        <v>#N/A</v>
      </c>
      <c r="AC457" s="62" t="e">
        <v>#N/A</v>
      </c>
      <c r="AD457" s="62" t="e">
        <v>#N/A</v>
      </c>
      <c r="AE457" s="62" t="e">
        <v>#N/A</v>
      </c>
      <c r="AF457" s="62" t="e">
        <v>#N/A</v>
      </c>
      <c r="AG457" s="62" t="e">
        <v>#N/A</v>
      </c>
      <c r="AH457" s="62" t="e">
        <v>#N/A</v>
      </c>
      <c r="AI457" s="62" t="e">
        <v>#N/A</v>
      </c>
      <c r="AJ457" s="62" t="e">
        <v>#N/A</v>
      </c>
      <c r="AK457" s="64" t="e">
        <v>#N/A</v>
      </c>
      <c r="AL457" s="19">
        <v>135087</v>
      </c>
      <c r="AM457" s="19">
        <v>116200</v>
      </c>
      <c r="AN457" s="23">
        <v>5331</v>
      </c>
      <c r="AO457" s="19">
        <v>161991</v>
      </c>
      <c r="AP457" s="19">
        <v>23737</v>
      </c>
      <c r="AQ457" s="19">
        <v>113951</v>
      </c>
      <c r="AR457" s="63"/>
      <c r="AS457" s="63"/>
      <c r="AT457" s="65">
        <f t="shared" si="37"/>
        <v>6803.6220000000003</v>
      </c>
      <c r="AU457" s="65">
        <f t="shared" si="38"/>
        <v>223.90199999999999</v>
      </c>
      <c r="AV457" s="65">
        <f t="shared" si="39"/>
        <v>996.95399999999995</v>
      </c>
      <c r="AW457" s="65">
        <f t="shared" si="40"/>
        <v>5673.6540000000005</v>
      </c>
      <c r="AX457" s="65">
        <f t="shared" si="40"/>
        <v>4880.3999999999996</v>
      </c>
      <c r="AY457" s="65">
        <f t="shared" si="36"/>
        <v>4785.942</v>
      </c>
      <c r="AZ457" s="19">
        <v>41822</v>
      </c>
      <c r="BA457" s="19">
        <v>41893</v>
      </c>
      <c r="BB457" s="19">
        <v>44059</v>
      </c>
      <c r="BC457" s="19">
        <v>3016</v>
      </c>
      <c r="BD457" s="19">
        <v>3082</v>
      </c>
      <c r="BE457" s="62"/>
      <c r="BF457" s="62"/>
      <c r="BG457" s="62"/>
      <c r="BH457" s="62"/>
      <c r="BI457" s="67">
        <v>84.25</v>
      </c>
      <c r="BJ457" s="67">
        <v>2.39</v>
      </c>
      <c r="BK457" s="67">
        <v>2.37</v>
      </c>
      <c r="BL457" s="67">
        <v>2.2400000000000002</v>
      </c>
      <c r="BM457" s="62"/>
      <c r="BN457" s="62"/>
      <c r="BO457" s="62"/>
      <c r="BP457" s="62"/>
      <c r="BQ457" s="62"/>
      <c r="BR457" s="62"/>
      <c r="BS457" s="62"/>
      <c r="BT457" s="62"/>
      <c r="BU457" s="62"/>
      <c r="BV457" s="62"/>
      <c r="BW457" s="62"/>
      <c r="BX457" s="62"/>
      <c r="BY457" s="62"/>
      <c r="BZ457" s="62"/>
      <c r="CA457" s="62"/>
      <c r="CB457" s="62"/>
      <c r="CC457" s="62"/>
      <c r="CD457" s="62"/>
      <c r="CE457" s="62"/>
      <c r="CF457" s="62"/>
      <c r="CG457" s="62"/>
      <c r="CH457" s="62"/>
      <c r="CI457" s="62"/>
      <c r="CJ457" s="62"/>
      <c r="CK457" s="62"/>
      <c r="CL457" s="62"/>
      <c r="CM457" s="62"/>
      <c r="CN457" s="62"/>
      <c r="CO457" s="62"/>
      <c r="CP457" s="62"/>
      <c r="CQ457" s="62"/>
      <c r="CR457" s="62"/>
      <c r="CS457" s="62"/>
      <c r="CT457" s="62"/>
      <c r="CU457" s="62"/>
      <c r="CV457" s="62"/>
      <c r="CW457" s="62"/>
      <c r="CX457" s="62"/>
      <c r="CY457" s="62"/>
      <c r="CZ457" s="62"/>
      <c r="DA457" s="62"/>
      <c r="DB457" s="62"/>
      <c r="DC457" s="62"/>
      <c r="DD457" s="62"/>
      <c r="DE457" s="62"/>
      <c r="DF457" s="62"/>
      <c r="DG457" s="62"/>
      <c r="DH457" s="62"/>
      <c r="DI457" s="62"/>
      <c r="DJ457" s="62"/>
      <c r="DK457" s="62"/>
      <c r="DL457" s="62"/>
    </row>
    <row r="458" spans="1:116" x14ac:dyDescent="0.2">
      <c r="A458" s="57">
        <v>40513</v>
      </c>
      <c r="B458" s="58">
        <v>2010</v>
      </c>
      <c r="C458" s="66">
        <v>3.194</v>
      </c>
      <c r="D458" s="62">
        <v>4.3999999999999997E-2</v>
      </c>
      <c r="E458" s="62">
        <v>587.97</v>
      </c>
      <c r="F458" s="62">
        <v>24.695</v>
      </c>
      <c r="G458" s="62">
        <v>3.1509999999999998</v>
      </c>
      <c r="H458" s="62">
        <v>35.170999999999999</v>
      </c>
      <c r="I458" s="62">
        <v>112.608</v>
      </c>
      <c r="J458" s="62">
        <v>-77.436999999999998</v>
      </c>
      <c r="K458" s="62">
        <v>672</v>
      </c>
      <c r="L458" s="62">
        <v>-4</v>
      </c>
      <c r="M458" s="62">
        <v>514.53300000000002</v>
      </c>
      <c r="N458" s="62">
        <v>21.61</v>
      </c>
      <c r="O458" s="66">
        <v>2.7570000000000001</v>
      </c>
      <c r="P458" s="61"/>
      <c r="Q458" s="62"/>
      <c r="R458" s="62"/>
      <c r="S458" s="62"/>
      <c r="T458" s="62"/>
      <c r="U458" s="62"/>
      <c r="V458" s="62"/>
      <c r="W458" s="62"/>
      <c r="X458" s="62"/>
      <c r="Y458" s="61"/>
      <c r="Z458" s="63"/>
      <c r="AA458" s="64" t="e">
        <v>#N/A</v>
      </c>
      <c r="AB458" s="62" t="e">
        <v>#N/A</v>
      </c>
      <c r="AC458" s="62" t="e">
        <v>#N/A</v>
      </c>
      <c r="AD458" s="62" t="e">
        <v>#N/A</v>
      </c>
      <c r="AE458" s="62" t="e">
        <v>#N/A</v>
      </c>
      <c r="AF458" s="62" t="e">
        <v>#N/A</v>
      </c>
      <c r="AG458" s="62" t="e">
        <v>#N/A</v>
      </c>
      <c r="AH458" s="62" t="e">
        <v>#N/A</v>
      </c>
      <c r="AI458" s="62" t="e">
        <v>#N/A</v>
      </c>
      <c r="AJ458" s="62" t="e">
        <v>#N/A</v>
      </c>
      <c r="AK458" s="64" t="e">
        <v>#N/A</v>
      </c>
      <c r="AL458" s="19">
        <v>144760</v>
      </c>
      <c r="AM458" s="19">
        <v>129441</v>
      </c>
      <c r="AN458" s="23">
        <v>6787</v>
      </c>
      <c r="AO458" s="19">
        <v>164306</v>
      </c>
      <c r="AP458" s="19">
        <v>19791</v>
      </c>
      <c r="AQ458" s="19">
        <v>122958</v>
      </c>
      <c r="AR458" s="63"/>
      <c r="AS458" s="63"/>
      <c r="AT458" s="65">
        <f t="shared" si="37"/>
        <v>6900.8519999999999</v>
      </c>
      <c r="AU458" s="65">
        <f t="shared" si="38"/>
        <v>285.05399999999997</v>
      </c>
      <c r="AV458" s="65">
        <f t="shared" si="39"/>
        <v>831.22199999999998</v>
      </c>
      <c r="AW458" s="65">
        <f t="shared" si="40"/>
        <v>6079.92</v>
      </c>
      <c r="AX458" s="65">
        <f t="shared" si="40"/>
        <v>5436.5219999999999</v>
      </c>
      <c r="AY458" s="65">
        <f t="shared" si="36"/>
        <v>5164.2359999999999</v>
      </c>
      <c r="AZ458" s="19">
        <v>43925</v>
      </c>
      <c r="BA458" s="19">
        <v>42885</v>
      </c>
      <c r="BB458" s="19">
        <v>43218</v>
      </c>
      <c r="BC458" s="19">
        <v>2260</v>
      </c>
      <c r="BD458" s="19">
        <v>4141</v>
      </c>
      <c r="BE458" s="62"/>
      <c r="BF458" s="62"/>
      <c r="BG458" s="62"/>
      <c r="BH458" s="62"/>
      <c r="BI458" s="67">
        <v>89.15</v>
      </c>
      <c r="BJ458" s="67">
        <v>2.4900000000000002</v>
      </c>
      <c r="BK458" s="67">
        <v>2.48</v>
      </c>
      <c r="BL458" s="67">
        <v>2.38</v>
      </c>
      <c r="BM458" s="62"/>
      <c r="BN458" s="62"/>
      <c r="BO458" s="62"/>
      <c r="BP458" s="62"/>
      <c r="BQ458" s="62"/>
      <c r="BR458" s="62"/>
      <c r="BS458" s="62"/>
      <c r="BT458" s="62"/>
      <c r="BU458" s="62"/>
      <c r="BV458" s="62"/>
      <c r="BW458" s="62"/>
      <c r="BX458" s="62"/>
      <c r="BY458" s="62"/>
      <c r="BZ458" s="62"/>
      <c r="CA458" s="62"/>
      <c r="CB458" s="62"/>
      <c r="CC458" s="62"/>
      <c r="CD458" s="62"/>
      <c r="CE458" s="62"/>
      <c r="CF458" s="62"/>
      <c r="CG458" s="62"/>
      <c r="CH458" s="62"/>
      <c r="CI458" s="62"/>
      <c r="CJ458" s="62"/>
      <c r="CK458" s="62"/>
      <c r="CL458" s="62"/>
      <c r="CM458" s="62"/>
      <c r="CN458" s="62"/>
      <c r="CO458" s="62"/>
      <c r="CP458" s="62"/>
      <c r="CQ458" s="62"/>
      <c r="CR458" s="62"/>
      <c r="CS458" s="62"/>
      <c r="CT458" s="62"/>
      <c r="CU458" s="62"/>
      <c r="CV458" s="62"/>
      <c r="CW458" s="62"/>
      <c r="CX458" s="62"/>
      <c r="CY458" s="62"/>
      <c r="CZ458" s="62"/>
      <c r="DA458" s="62"/>
      <c r="DB458" s="62"/>
      <c r="DC458" s="62"/>
      <c r="DD458" s="62"/>
      <c r="DE458" s="62"/>
      <c r="DF458" s="62"/>
      <c r="DG458" s="62"/>
      <c r="DH458" s="62"/>
      <c r="DI458" s="62"/>
      <c r="DJ458" s="62"/>
      <c r="DK458" s="62"/>
      <c r="DL458" s="62"/>
    </row>
    <row r="459" spans="1:116" x14ac:dyDescent="0.2">
      <c r="A459" s="57">
        <v>40544</v>
      </c>
      <c r="B459" s="58">
        <v>2011</v>
      </c>
      <c r="C459" s="66">
        <v>4.5730000000000004</v>
      </c>
      <c r="D459" s="62">
        <v>6.2E-2</v>
      </c>
      <c r="E459" s="62">
        <v>841.79700000000003</v>
      </c>
      <c r="F459" s="62">
        <v>35.354999999999997</v>
      </c>
      <c r="G459" s="62">
        <v>4.5110000000000001</v>
      </c>
      <c r="H459" s="62">
        <v>50.177</v>
      </c>
      <c r="I459" s="62">
        <v>224.49299999999999</v>
      </c>
      <c r="J459" s="62">
        <v>-174.316</v>
      </c>
      <c r="K459" s="62">
        <v>1015.761</v>
      </c>
      <c r="L459" s="62">
        <v>38.862000000000002</v>
      </c>
      <c r="M459" s="62">
        <v>628.61900000000003</v>
      </c>
      <c r="N459" s="62">
        <v>26.402000000000001</v>
      </c>
      <c r="O459" s="66">
        <v>3.3690000000000002</v>
      </c>
      <c r="P459" s="61">
        <v>105.425</v>
      </c>
      <c r="Q459" s="62">
        <v>4.4279999999999999</v>
      </c>
      <c r="R459" s="62">
        <v>0.57899999999999996</v>
      </c>
      <c r="S459" s="62"/>
      <c r="T459" s="62"/>
      <c r="U459" s="62"/>
      <c r="V459" s="62"/>
      <c r="W459" s="62">
        <v>105.425</v>
      </c>
      <c r="X459" s="62">
        <v>4.4279999999999999</v>
      </c>
      <c r="Y459" s="61">
        <v>0.57899999999999996</v>
      </c>
      <c r="Z459" s="63">
        <v>0.57899999999999996</v>
      </c>
      <c r="AA459" s="64" t="e">
        <v>#N/A</v>
      </c>
      <c r="AB459" s="62" t="e">
        <v>#N/A</v>
      </c>
      <c r="AC459" s="62" t="e">
        <v>#N/A</v>
      </c>
      <c r="AD459" s="62" t="e">
        <v>#N/A</v>
      </c>
      <c r="AE459" s="62" t="e">
        <v>#N/A</v>
      </c>
      <c r="AF459" s="62" t="e">
        <v>#N/A</v>
      </c>
      <c r="AG459" s="62" t="e">
        <v>#N/A</v>
      </c>
      <c r="AH459" s="62" t="e">
        <v>#N/A</v>
      </c>
      <c r="AI459" s="62" t="e">
        <v>#N/A</v>
      </c>
      <c r="AJ459" s="62" t="e">
        <v>#N/A</v>
      </c>
      <c r="AK459" s="64" t="e">
        <v>#N/A</v>
      </c>
      <c r="AL459" s="19">
        <v>133403</v>
      </c>
      <c r="AM459" s="19">
        <v>122699</v>
      </c>
      <c r="AN459" s="23">
        <v>10439</v>
      </c>
      <c r="AO459" s="19">
        <v>163086</v>
      </c>
      <c r="AP459" s="19">
        <v>22774</v>
      </c>
      <c r="AQ459" s="19">
        <v>115328</v>
      </c>
      <c r="AR459" s="63"/>
      <c r="AS459" s="63"/>
      <c r="AT459" s="65">
        <f t="shared" si="37"/>
        <v>6849.6120000000001</v>
      </c>
      <c r="AU459" s="65">
        <f t="shared" si="38"/>
        <v>438.43799999999999</v>
      </c>
      <c r="AV459" s="65">
        <f t="shared" si="39"/>
        <v>956.50800000000004</v>
      </c>
      <c r="AW459" s="65">
        <f t="shared" si="40"/>
        <v>5602.9260000000004</v>
      </c>
      <c r="AX459" s="65">
        <f t="shared" si="40"/>
        <v>5153.3580000000002</v>
      </c>
      <c r="AY459" s="65">
        <f t="shared" si="36"/>
        <v>4843.7759999999998</v>
      </c>
      <c r="AZ459" s="19">
        <v>42218</v>
      </c>
      <c r="BA459" s="19">
        <v>41740</v>
      </c>
      <c r="BB459" s="19">
        <v>41793</v>
      </c>
      <c r="BC459" s="19">
        <v>2003</v>
      </c>
      <c r="BD459" s="19">
        <v>3906</v>
      </c>
      <c r="BE459" s="62"/>
      <c r="BF459" s="62"/>
      <c r="BG459" s="62"/>
      <c r="BH459" s="62"/>
      <c r="BI459" s="67">
        <v>89.17</v>
      </c>
      <c r="BJ459" s="67">
        <v>2.62</v>
      </c>
      <c r="BK459" s="67">
        <v>2.62</v>
      </c>
      <c r="BL459" s="67">
        <v>2.4700000000000002</v>
      </c>
      <c r="BM459" s="62"/>
      <c r="BN459" s="62"/>
      <c r="BO459" s="62"/>
      <c r="BP459" s="62"/>
      <c r="BQ459" s="62"/>
      <c r="BR459" s="62"/>
      <c r="BS459" s="62"/>
      <c r="BT459" s="62"/>
      <c r="BU459" s="62"/>
      <c r="BV459" s="62"/>
      <c r="BW459" s="62"/>
      <c r="BX459" s="62"/>
      <c r="BY459" s="62"/>
      <c r="BZ459" s="62"/>
      <c r="CA459" s="62"/>
      <c r="CB459" s="62"/>
      <c r="CC459" s="62"/>
      <c r="CD459" s="62"/>
      <c r="CE459" s="62"/>
      <c r="CF459" s="62"/>
      <c r="CG459" s="62"/>
      <c r="CH459" s="62"/>
      <c r="CI459" s="62"/>
      <c r="CJ459" s="62"/>
      <c r="CK459" s="62"/>
      <c r="CL459" s="62"/>
      <c r="CM459" s="62"/>
      <c r="CN459" s="62"/>
      <c r="CO459" s="62"/>
      <c r="CP459" s="62"/>
      <c r="CQ459" s="62"/>
      <c r="CR459" s="62"/>
      <c r="CS459" s="62"/>
      <c r="CT459" s="62"/>
      <c r="CU459" s="62"/>
      <c r="CV459" s="62"/>
      <c r="CW459" s="62"/>
      <c r="CX459" s="62"/>
      <c r="CY459" s="62"/>
      <c r="CZ459" s="62"/>
      <c r="DA459" s="62"/>
      <c r="DB459" s="62"/>
      <c r="DC459" s="62"/>
      <c r="DD459" s="62"/>
      <c r="DE459" s="62"/>
      <c r="DF459" s="62"/>
      <c r="DG459" s="62"/>
      <c r="DH459" s="62"/>
      <c r="DI459" s="62"/>
      <c r="DJ459" s="62"/>
      <c r="DK459" s="62"/>
      <c r="DL459" s="62"/>
    </row>
    <row r="460" spans="1:116" x14ac:dyDescent="0.2">
      <c r="A460" s="57">
        <v>40575</v>
      </c>
      <c r="B460" s="58">
        <v>2011</v>
      </c>
      <c r="C460" s="66">
        <v>5.2190000000000003</v>
      </c>
      <c r="D460" s="62">
        <v>7.0999999999999994E-2</v>
      </c>
      <c r="E460" s="62">
        <v>960.53200000000004</v>
      </c>
      <c r="F460" s="62">
        <v>40.341999999999999</v>
      </c>
      <c r="G460" s="62">
        <v>5.1470000000000002</v>
      </c>
      <c r="H460" s="62">
        <v>38.563000000000002</v>
      </c>
      <c r="I460" s="62">
        <v>91.213999999999999</v>
      </c>
      <c r="J460" s="62">
        <v>-52.651000000000003</v>
      </c>
      <c r="K460" s="62">
        <v>1216.502</v>
      </c>
      <c r="L460" s="62">
        <v>200.74100000000001</v>
      </c>
      <c r="M460" s="62">
        <v>707.14</v>
      </c>
      <c r="N460" s="62">
        <v>29.7</v>
      </c>
      <c r="O460" s="66">
        <v>3.79</v>
      </c>
      <c r="P460" s="61">
        <v>22.91</v>
      </c>
      <c r="Q460" s="62">
        <v>0.96199999999999997</v>
      </c>
      <c r="R460" s="62">
        <v>0.126</v>
      </c>
      <c r="S460" s="62"/>
      <c r="T460" s="62"/>
      <c r="U460" s="62"/>
      <c r="V460" s="62"/>
      <c r="W460" s="62">
        <v>22.91</v>
      </c>
      <c r="X460" s="62">
        <v>0.96199999999999997</v>
      </c>
      <c r="Y460" s="61">
        <v>0.126</v>
      </c>
      <c r="Z460" s="63">
        <v>0.126</v>
      </c>
      <c r="AA460" s="64" t="e">
        <v>#N/A</v>
      </c>
      <c r="AB460" s="62" t="e">
        <v>#N/A</v>
      </c>
      <c r="AC460" s="62" t="e">
        <v>#N/A</v>
      </c>
      <c r="AD460" s="62" t="e">
        <v>#N/A</v>
      </c>
      <c r="AE460" s="62" t="e">
        <v>#N/A</v>
      </c>
      <c r="AF460" s="62" t="e">
        <v>#N/A</v>
      </c>
      <c r="AG460" s="62" t="e">
        <v>#N/A</v>
      </c>
      <c r="AH460" s="62" t="e">
        <v>#N/A</v>
      </c>
      <c r="AI460" s="62" t="e">
        <v>#N/A</v>
      </c>
      <c r="AJ460" s="62" t="e">
        <v>#N/A</v>
      </c>
      <c r="AK460" s="64" t="e">
        <v>#N/A</v>
      </c>
      <c r="AL460" s="19">
        <v>112929</v>
      </c>
      <c r="AM460" s="19">
        <v>109577</v>
      </c>
      <c r="AN460" s="23">
        <v>5772</v>
      </c>
      <c r="AO460" s="19">
        <v>154077</v>
      </c>
      <c r="AP460" s="19">
        <v>18666</v>
      </c>
      <c r="AQ460" s="19">
        <v>96038</v>
      </c>
      <c r="AR460" s="63"/>
      <c r="AS460" s="63"/>
      <c r="AT460" s="65">
        <f t="shared" si="37"/>
        <v>6471.2340000000004</v>
      </c>
      <c r="AU460" s="65">
        <f t="shared" si="38"/>
        <v>242.42400000000001</v>
      </c>
      <c r="AV460" s="65">
        <f t="shared" si="39"/>
        <v>783.97199999999998</v>
      </c>
      <c r="AW460" s="65">
        <f t="shared" si="40"/>
        <v>4743.018</v>
      </c>
      <c r="AX460" s="65">
        <f t="shared" si="40"/>
        <v>4602.2340000000004</v>
      </c>
      <c r="AY460" s="65">
        <f t="shared" si="36"/>
        <v>4033.596</v>
      </c>
      <c r="AZ460" s="19">
        <v>36346</v>
      </c>
      <c r="BA460" s="19">
        <v>37867</v>
      </c>
      <c r="BB460" s="19">
        <v>39390</v>
      </c>
      <c r="BC460" s="19">
        <v>1904</v>
      </c>
      <c r="BD460" s="19">
        <v>2786</v>
      </c>
      <c r="BE460" s="62"/>
      <c r="BF460" s="62"/>
      <c r="BG460" s="62"/>
      <c r="BH460" s="62"/>
      <c r="BI460" s="67">
        <v>88.58</v>
      </c>
      <c r="BJ460" s="67">
        <v>2.82</v>
      </c>
      <c r="BK460" s="67">
        <v>2.82</v>
      </c>
      <c r="BL460" s="67">
        <v>2.58</v>
      </c>
      <c r="BM460" s="62"/>
      <c r="BN460" s="62"/>
      <c r="BO460" s="62"/>
      <c r="BP460" s="62"/>
      <c r="BQ460" s="62"/>
      <c r="BR460" s="62"/>
      <c r="BS460" s="62"/>
      <c r="BT460" s="62"/>
      <c r="BU460" s="62"/>
      <c r="BV460" s="62"/>
      <c r="BW460" s="62"/>
      <c r="BX460" s="62"/>
      <c r="BY460" s="62"/>
      <c r="BZ460" s="62"/>
      <c r="CA460" s="62"/>
      <c r="CB460" s="62"/>
      <c r="CC460" s="62"/>
      <c r="CD460" s="62"/>
      <c r="CE460" s="62"/>
      <c r="CF460" s="62"/>
      <c r="CG460" s="62"/>
      <c r="CH460" s="62"/>
      <c r="CI460" s="62"/>
      <c r="CJ460" s="62"/>
      <c r="CK460" s="62"/>
      <c r="CL460" s="62"/>
      <c r="CM460" s="62"/>
      <c r="CN460" s="62"/>
      <c r="CO460" s="62"/>
      <c r="CP460" s="62"/>
      <c r="CQ460" s="62"/>
      <c r="CR460" s="62"/>
      <c r="CS460" s="62"/>
      <c r="CT460" s="62"/>
      <c r="CU460" s="62"/>
      <c r="CV460" s="62"/>
      <c r="CW460" s="62"/>
      <c r="CX460" s="62"/>
      <c r="CY460" s="62"/>
      <c r="CZ460" s="62"/>
      <c r="DA460" s="62"/>
      <c r="DB460" s="62"/>
      <c r="DC460" s="62"/>
      <c r="DD460" s="62"/>
      <c r="DE460" s="62"/>
      <c r="DF460" s="62"/>
      <c r="DG460" s="62"/>
      <c r="DH460" s="62"/>
      <c r="DI460" s="62"/>
      <c r="DJ460" s="62"/>
      <c r="DK460" s="62"/>
      <c r="DL460" s="62"/>
    </row>
    <row r="461" spans="1:116" x14ac:dyDescent="0.2">
      <c r="A461" s="57">
        <v>40603</v>
      </c>
      <c r="B461" s="58">
        <v>2011</v>
      </c>
      <c r="C461" s="66">
        <v>7.7080000000000002</v>
      </c>
      <c r="D461" s="62">
        <v>0.105</v>
      </c>
      <c r="E461" s="62">
        <v>1418.8140000000001</v>
      </c>
      <c r="F461" s="62">
        <v>59.59</v>
      </c>
      <c r="G461" s="62">
        <v>7.6029999999999998</v>
      </c>
      <c r="H461" s="62">
        <v>54.942999999999998</v>
      </c>
      <c r="I461" s="62">
        <v>203.90799999999999</v>
      </c>
      <c r="J461" s="62">
        <v>-148.96600000000001</v>
      </c>
      <c r="K461" s="62">
        <v>1380.624</v>
      </c>
      <c r="L461" s="62">
        <v>164.12100000000001</v>
      </c>
      <c r="M461" s="62">
        <v>1105.7270000000001</v>
      </c>
      <c r="N461" s="62">
        <v>46.441000000000003</v>
      </c>
      <c r="O461" s="66">
        <v>5.9260000000000002</v>
      </c>
      <c r="P461" s="61">
        <v>75.033000000000001</v>
      </c>
      <c r="Q461" s="62">
        <v>3.1509999999999998</v>
      </c>
      <c r="R461" s="62">
        <v>0.41199999999999998</v>
      </c>
      <c r="S461" s="62"/>
      <c r="T461" s="62"/>
      <c r="U461" s="62"/>
      <c r="V461" s="62"/>
      <c r="W461" s="62">
        <v>75.033000000000001</v>
      </c>
      <c r="X461" s="62">
        <v>3.1509999999999998</v>
      </c>
      <c r="Y461" s="61">
        <v>0.41199999999999998</v>
      </c>
      <c r="Z461" s="63">
        <v>0.41199999999999998</v>
      </c>
      <c r="AA461" s="64" t="e">
        <v>#N/A</v>
      </c>
      <c r="AB461" s="62" t="e">
        <v>#N/A</v>
      </c>
      <c r="AC461" s="62" t="e">
        <v>#N/A</v>
      </c>
      <c r="AD461" s="62" t="e">
        <v>#N/A</v>
      </c>
      <c r="AE461" s="62" t="e">
        <v>#N/A</v>
      </c>
      <c r="AF461" s="62" t="e">
        <v>#N/A</v>
      </c>
      <c r="AG461" s="62" t="e">
        <v>#N/A</v>
      </c>
      <c r="AH461" s="62" t="e">
        <v>#N/A</v>
      </c>
      <c r="AI461" s="62" t="e">
        <v>#N/A</v>
      </c>
      <c r="AJ461" s="62" t="e">
        <v>#N/A</v>
      </c>
      <c r="AK461" s="64" t="e">
        <v>#N/A</v>
      </c>
      <c r="AL461" s="19">
        <v>134107</v>
      </c>
      <c r="AM461" s="19">
        <v>125398</v>
      </c>
      <c r="AN461" s="23">
        <v>5885</v>
      </c>
      <c r="AO461" s="19">
        <v>149239</v>
      </c>
      <c r="AP461" s="19">
        <v>20182</v>
      </c>
      <c r="AQ461" s="19">
        <v>113713</v>
      </c>
      <c r="AR461" s="63"/>
      <c r="AS461" s="63"/>
      <c r="AT461" s="65">
        <f t="shared" si="37"/>
        <v>6268.0379999999996</v>
      </c>
      <c r="AU461" s="65">
        <f t="shared" si="38"/>
        <v>247.17</v>
      </c>
      <c r="AV461" s="65">
        <f t="shared" si="39"/>
        <v>847.64400000000001</v>
      </c>
      <c r="AW461" s="65">
        <f t="shared" si="40"/>
        <v>5632.4939999999997</v>
      </c>
      <c r="AX461" s="65">
        <f t="shared" si="40"/>
        <v>5266.7160000000003</v>
      </c>
      <c r="AY461" s="65">
        <f t="shared" si="36"/>
        <v>4775.9459999999999</v>
      </c>
      <c r="AZ461" s="19">
        <v>44352</v>
      </c>
      <c r="BA461" s="19">
        <v>42922</v>
      </c>
      <c r="BB461" s="19">
        <v>40108</v>
      </c>
      <c r="BC461" s="19">
        <v>2003</v>
      </c>
      <c r="BD461" s="19">
        <v>2715</v>
      </c>
      <c r="BE461" s="62"/>
      <c r="BF461" s="62"/>
      <c r="BG461" s="62"/>
      <c r="BH461" s="62"/>
      <c r="BI461" s="67">
        <v>102.86</v>
      </c>
      <c r="BJ461" s="67">
        <v>3.13</v>
      </c>
      <c r="BK461" s="67">
        <v>3.16</v>
      </c>
      <c r="BL461" s="67">
        <v>2.93</v>
      </c>
      <c r="BM461" s="62"/>
      <c r="BN461" s="62"/>
      <c r="BO461" s="62"/>
      <c r="BP461" s="62"/>
      <c r="BQ461" s="62"/>
      <c r="BR461" s="62"/>
      <c r="BS461" s="62"/>
      <c r="BT461" s="62"/>
      <c r="BU461" s="62"/>
      <c r="BV461" s="62"/>
      <c r="BW461" s="62"/>
      <c r="BX461" s="62"/>
      <c r="BY461" s="62"/>
      <c r="BZ461" s="62"/>
      <c r="CA461" s="62"/>
      <c r="CB461" s="62"/>
      <c r="CC461" s="62"/>
      <c r="CD461" s="62"/>
      <c r="CE461" s="62"/>
      <c r="CF461" s="62"/>
      <c r="CG461" s="62"/>
      <c r="CH461" s="62"/>
      <c r="CI461" s="62"/>
      <c r="CJ461" s="62"/>
      <c r="CK461" s="62"/>
      <c r="CL461" s="62"/>
      <c r="CM461" s="62"/>
      <c r="CN461" s="62"/>
      <c r="CO461" s="62"/>
      <c r="CP461" s="62"/>
      <c r="CQ461" s="62"/>
      <c r="CR461" s="62"/>
      <c r="CS461" s="62"/>
      <c r="CT461" s="62"/>
      <c r="CU461" s="62"/>
      <c r="CV461" s="62"/>
      <c r="CW461" s="62"/>
      <c r="CX461" s="62"/>
      <c r="CY461" s="62"/>
      <c r="CZ461" s="62"/>
      <c r="DA461" s="62"/>
      <c r="DB461" s="62"/>
      <c r="DC461" s="62"/>
      <c r="DD461" s="62"/>
      <c r="DE461" s="62"/>
      <c r="DF461" s="62"/>
      <c r="DG461" s="62"/>
      <c r="DH461" s="62"/>
      <c r="DI461" s="62"/>
      <c r="DJ461" s="62"/>
      <c r="DK461" s="62"/>
      <c r="DL461" s="62"/>
    </row>
    <row r="462" spans="1:116" x14ac:dyDescent="0.2">
      <c r="A462" s="57">
        <v>40634</v>
      </c>
      <c r="B462" s="58">
        <v>2011</v>
      </c>
      <c r="C462" s="66">
        <v>9.1910000000000007</v>
      </c>
      <c r="D462" s="62">
        <v>0.125</v>
      </c>
      <c r="E462" s="62">
        <v>1691.7080000000001</v>
      </c>
      <c r="F462" s="62">
        <v>71.052000000000007</v>
      </c>
      <c r="G462" s="62">
        <v>9.0660000000000007</v>
      </c>
      <c r="H462" s="62">
        <v>54.243000000000002</v>
      </c>
      <c r="I462" s="62">
        <v>229.2</v>
      </c>
      <c r="J462" s="62">
        <v>-174.95699999999999</v>
      </c>
      <c r="K462" s="62">
        <v>1408.001</v>
      </c>
      <c r="L462" s="62">
        <v>27.376999999999999</v>
      </c>
      <c r="M462" s="62">
        <v>1489.374</v>
      </c>
      <c r="N462" s="62">
        <v>62.554000000000002</v>
      </c>
      <c r="O462" s="66">
        <v>7.9820000000000002</v>
      </c>
      <c r="P462" s="61">
        <v>46.831000000000003</v>
      </c>
      <c r="Q462" s="62">
        <v>1.9670000000000001</v>
      </c>
      <c r="R462" s="62">
        <v>0.25700000000000001</v>
      </c>
      <c r="S462" s="62"/>
      <c r="T462" s="62"/>
      <c r="U462" s="62"/>
      <c r="V462" s="62"/>
      <c r="W462" s="62">
        <v>46.831000000000003</v>
      </c>
      <c r="X462" s="62">
        <v>1.9670000000000001</v>
      </c>
      <c r="Y462" s="61">
        <v>0.25700000000000001</v>
      </c>
      <c r="Z462" s="63">
        <v>0.25700000000000001</v>
      </c>
      <c r="AA462" s="64" t="e">
        <v>#N/A</v>
      </c>
      <c r="AB462" s="62" t="e">
        <v>#N/A</v>
      </c>
      <c r="AC462" s="62" t="e">
        <v>#N/A</v>
      </c>
      <c r="AD462" s="62" t="e">
        <v>#N/A</v>
      </c>
      <c r="AE462" s="62" t="e">
        <v>#N/A</v>
      </c>
      <c r="AF462" s="62" t="e">
        <v>#N/A</v>
      </c>
      <c r="AG462" s="62" t="e">
        <v>#N/A</v>
      </c>
      <c r="AH462" s="62" t="e">
        <v>#N/A</v>
      </c>
      <c r="AI462" s="62" t="e">
        <v>#N/A</v>
      </c>
      <c r="AJ462" s="62" t="e">
        <v>#N/A</v>
      </c>
      <c r="AK462" s="64" t="e">
        <v>#N/A</v>
      </c>
      <c r="AL462" s="19">
        <v>125663</v>
      </c>
      <c r="AM462" s="19">
        <v>112635</v>
      </c>
      <c r="AN462" s="23">
        <v>5716</v>
      </c>
      <c r="AO462" s="19">
        <v>142919</v>
      </c>
      <c r="AP462" s="19">
        <v>26191</v>
      </c>
      <c r="AQ462" s="19">
        <v>108773</v>
      </c>
      <c r="AR462" s="63"/>
      <c r="AS462" s="63"/>
      <c r="AT462" s="65">
        <f t="shared" si="37"/>
        <v>6002.598</v>
      </c>
      <c r="AU462" s="65">
        <f t="shared" si="38"/>
        <v>240.072</v>
      </c>
      <c r="AV462" s="65">
        <f t="shared" si="39"/>
        <v>1100.0219999999999</v>
      </c>
      <c r="AW462" s="65">
        <f t="shared" si="40"/>
        <v>5277.8459999999995</v>
      </c>
      <c r="AX462" s="65">
        <f t="shared" si="40"/>
        <v>4730.67</v>
      </c>
      <c r="AY462" s="65">
        <f t="shared" si="36"/>
        <v>4568.4660000000003</v>
      </c>
      <c r="AZ462" s="19">
        <v>42648</v>
      </c>
      <c r="BA462" s="19">
        <v>43714</v>
      </c>
      <c r="BB462" s="19">
        <v>38373</v>
      </c>
      <c r="BC462" s="19">
        <v>2390</v>
      </c>
      <c r="BD462" s="19">
        <v>3059</v>
      </c>
      <c r="BE462" s="62"/>
      <c r="BF462" s="62"/>
      <c r="BG462" s="62"/>
      <c r="BH462" s="62"/>
      <c r="BI462" s="67">
        <v>109.53</v>
      </c>
      <c r="BJ462" s="67">
        <v>3.3</v>
      </c>
      <c r="BK462" s="67">
        <v>3.31</v>
      </c>
      <c r="BL462" s="67">
        <v>3.22</v>
      </c>
      <c r="BM462" s="62"/>
      <c r="BN462" s="62"/>
      <c r="BO462" s="62"/>
      <c r="BP462" s="62"/>
      <c r="BQ462" s="62"/>
      <c r="BR462" s="62"/>
      <c r="BS462" s="62"/>
      <c r="BT462" s="62"/>
      <c r="BU462" s="62"/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/>
      <c r="CP462" s="62"/>
      <c r="CQ462" s="62"/>
      <c r="CR462" s="62"/>
      <c r="CS462" s="62"/>
      <c r="CT462" s="62"/>
      <c r="CU462" s="62"/>
      <c r="CV462" s="62"/>
      <c r="CW462" s="62"/>
      <c r="CX462" s="62"/>
      <c r="CY462" s="62"/>
      <c r="CZ462" s="62"/>
      <c r="DA462" s="62"/>
      <c r="DB462" s="62"/>
      <c r="DC462" s="62"/>
      <c r="DD462" s="62"/>
      <c r="DE462" s="62"/>
      <c r="DF462" s="62"/>
      <c r="DG462" s="62"/>
      <c r="DH462" s="62"/>
      <c r="DI462" s="62"/>
      <c r="DJ462" s="62"/>
      <c r="DK462" s="62"/>
      <c r="DL462" s="62"/>
    </row>
    <row r="463" spans="1:116" x14ac:dyDescent="0.2">
      <c r="A463" s="57">
        <v>40664</v>
      </c>
      <c r="B463" s="58">
        <v>2011</v>
      </c>
      <c r="C463" s="66">
        <v>9.9860000000000007</v>
      </c>
      <c r="D463" s="62">
        <v>0.13600000000000001</v>
      </c>
      <c r="E463" s="62">
        <v>1838.0150000000001</v>
      </c>
      <c r="F463" s="62">
        <v>77.197000000000003</v>
      </c>
      <c r="G463" s="62">
        <v>9.85</v>
      </c>
      <c r="H463" s="62">
        <v>49.35</v>
      </c>
      <c r="I463" s="62">
        <v>198.24199999999999</v>
      </c>
      <c r="J463" s="62">
        <v>-148.89099999999999</v>
      </c>
      <c r="K463" s="62">
        <v>1576.299</v>
      </c>
      <c r="L463" s="62">
        <v>168.298</v>
      </c>
      <c r="M463" s="62">
        <v>1520.826</v>
      </c>
      <c r="N463" s="62">
        <v>63.875</v>
      </c>
      <c r="O463" s="66">
        <v>8.15</v>
      </c>
      <c r="P463" s="61">
        <v>179.18199999999999</v>
      </c>
      <c r="Q463" s="62">
        <v>7.5259999999999998</v>
      </c>
      <c r="R463" s="62">
        <v>0.98399999999999999</v>
      </c>
      <c r="S463" s="62"/>
      <c r="T463" s="62"/>
      <c r="U463" s="62"/>
      <c r="V463" s="62"/>
      <c r="W463" s="62">
        <v>179.18199999999999</v>
      </c>
      <c r="X463" s="62">
        <v>7.5259999999999998</v>
      </c>
      <c r="Y463" s="61">
        <v>0.98399999999999999</v>
      </c>
      <c r="Z463" s="63">
        <v>0.98399999999999999</v>
      </c>
      <c r="AA463" s="64" t="e">
        <v>#N/A</v>
      </c>
      <c r="AB463" s="62" t="e">
        <v>#N/A</v>
      </c>
      <c r="AC463" s="62" t="e">
        <v>#N/A</v>
      </c>
      <c r="AD463" s="62" t="e">
        <v>#N/A</v>
      </c>
      <c r="AE463" s="62" t="e">
        <v>#N/A</v>
      </c>
      <c r="AF463" s="62" t="e">
        <v>#N/A</v>
      </c>
      <c r="AG463" s="62" t="e">
        <v>#N/A</v>
      </c>
      <c r="AH463" s="62" t="e">
        <v>#N/A</v>
      </c>
      <c r="AI463" s="62" t="e">
        <v>#N/A</v>
      </c>
      <c r="AJ463" s="62" t="e">
        <v>#N/A</v>
      </c>
      <c r="AK463" s="64" t="e">
        <v>#N/A</v>
      </c>
      <c r="AL463" s="19">
        <v>132783</v>
      </c>
      <c r="AM463" s="19">
        <v>114681</v>
      </c>
      <c r="AN463" s="23">
        <v>5264</v>
      </c>
      <c r="AO463" s="19">
        <v>144847</v>
      </c>
      <c r="AP463" s="19">
        <v>22569</v>
      </c>
      <c r="AQ463" s="19">
        <v>117271</v>
      </c>
      <c r="AR463" s="63"/>
      <c r="AS463" s="63"/>
      <c r="AT463" s="65">
        <f t="shared" si="37"/>
        <v>6083.5739999999996</v>
      </c>
      <c r="AU463" s="65">
        <f t="shared" si="38"/>
        <v>221.08799999999999</v>
      </c>
      <c r="AV463" s="65">
        <f t="shared" si="39"/>
        <v>947.89800000000002</v>
      </c>
      <c r="AW463" s="65">
        <f t="shared" si="40"/>
        <v>5576.8860000000004</v>
      </c>
      <c r="AX463" s="65">
        <f t="shared" si="40"/>
        <v>4816.6019999999999</v>
      </c>
      <c r="AY463" s="65">
        <f t="shared" si="36"/>
        <v>4925.3819999999996</v>
      </c>
      <c r="AZ463" s="19">
        <v>45860</v>
      </c>
      <c r="BA463" s="19">
        <v>44135</v>
      </c>
      <c r="BB463" s="19">
        <v>41197</v>
      </c>
      <c r="BC463" s="19">
        <v>2832</v>
      </c>
      <c r="BD463" s="19">
        <v>1733</v>
      </c>
      <c r="BE463" s="62"/>
      <c r="BF463" s="62"/>
      <c r="BG463" s="62"/>
      <c r="BH463" s="62"/>
      <c r="BI463" s="67">
        <v>100.9</v>
      </c>
      <c r="BJ463" s="67">
        <v>3.12</v>
      </c>
      <c r="BK463" s="67">
        <v>3.22</v>
      </c>
      <c r="BL463" s="67">
        <v>3.17</v>
      </c>
      <c r="BM463" s="62"/>
      <c r="BN463" s="62"/>
      <c r="BO463" s="62"/>
      <c r="BP463" s="62"/>
      <c r="BQ463" s="62"/>
      <c r="BR463" s="62"/>
      <c r="BS463" s="62"/>
      <c r="BT463" s="62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62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  <c r="DK463" s="62"/>
      <c r="DL463" s="62"/>
    </row>
    <row r="464" spans="1:116" x14ac:dyDescent="0.2">
      <c r="A464" s="57">
        <v>40695</v>
      </c>
      <c r="B464" s="58">
        <v>2011</v>
      </c>
      <c r="C464" s="66">
        <v>10.529</v>
      </c>
      <c r="D464" s="62">
        <v>0.14299999999999999</v>
      </c>
      <c r="E464" s="62">
        <v>1937.8820000000001</v>
      </c>
      <c r="F464" s="62">
        <v>81.391000000000005</v>
      </c>
      <c r="G464" s="62">
        <v>10.385</v>
      </c>
      <c r="H464" s="62">
        <v>49.62</v>
      </c>
      <c r="I464" s="62">
        <v>120.45399999999999</v>
      </c>
      <c r="J464" s="62">
        <v>-70.834000000000003</v>
      </c>
      <c r="K464" s="62">
        <v>1523.5820000000001</v>
      </c>
      <c r="L464" s="62">
        <v>-52.716999999999999</v>
      </c>
      <c r="M464" s="62">
        <v>1919.7650000000001</v>
      </c>
      <c r="N464" s="62">
        <v>80.63</v>
      </c>
      <c r="O464" s="66">
        <v>10.288</v>
      </c>
      <c r="P464" s="61">
        <v>108.66</v>
      </c>
      <c r="Q464" s="62">
        <v>4.5640000000000001</v>
      </c>
      <c r="R464" s="62">
        <v>0.59699999999999998</v>
      </c>
      <c r="S464" s="62"/>
      <c r="T464" s="62"/>
      <c r="U464" s="62"/>
      <c r="V464" s="62"/>
      <c r="W464" s="62">
        <v>108.66</v>
      </c>
      <c r="X464" s="62">
        <v>4.5640000000000001</v>
      </c>
      <c r="Y464" s="61">
        <v>0.59699999999999998</v>
      </c>
      <c r="Z464" s="63">
        <v>0.59699999999999998</v>
      </c>
      <c r="AA464" s="64" t="e">
        <v>#N/A</v>
      </c>
      <c r="AB464" s="62" t="e">
        <v>#N/A</v>
      </c>
      <c r="AC464" s="62" t="e">
        <v>#N/A</v>
      </c>
      <c r="AD464" s="62" t="e">
        <v>#N/A</v>
      </c>
      <c r="AE464" s="62" t="e">
        <v>#N/A</v>
      </c>
      <c r="AF464" s="62" t="e">
        <v>#N/A</v>
      </c>
      <c r="AG464" s="62" t="e">
        <v>#N/A</v>
      </c>
      <c r="AH464" s="62" t="e">
        <v>#N/A</v>
      </c>
      <c r="AI464" s="62" t="e">
        <v>#N/A</v>
      </c>
      <c r="AJ464" s="62" t="e">
        <v>#N/A</v>
      </c>
      <c r="AK464" s="64" t="e">
        <v>#N/A</v>
      </c>
      <c r="AL464" s="19">
        <v>134123</v>
      </c>
      <c r="AM464" s="19">
        <v>118423</v>
      </c>
      <c r="AN464" s="23">
        <v>3814</v>
      </c>
      <c r="AO464" s="19">
        <v>143870</v>
      </c>
      <c r="AP464" s="19">
        <v>21771</v>
      </c>
      <c r="AQ464" s="19">
        <v>116585</v>
      </c>
      <c r="AR464" s="63"/>
      <c r="AS464" s="63"/>
      <c r="AT464" s="65">
        <f t="shared" si="37"/>
        <v>6042.54</v>
      </c>
      <c r="AU464" s="65">
        <f t="shared" si="38"/>
        <v>160.18799999999999</v>
      </c>
      <c r="AV464" s="65">
        <f t="shared" si="39"/>
        <v>914.38199999999995</v>
      </c>
      <c r="AW464" s="65">
        <f t="shared" si="40"/>
        <v>5633.1660000000002</v>
      </c>
      <c r="AX464" s="65">
        <f t="shared" si="40"/>
        <v>4973.7659999999996</v>
      </c>
      <c r="AY464" s="65">
        <f t="shared" si="36"/>
        <v>4896.57</v>
      </c>
      <c r="AZ464" s="19">
        <v>47043</v>
      </c>
      <c r="BA464" s="19">
        <v>46203</v>
      </c>
      <c r="BB464" s="19">
        <v>42290</v>
      </c>
      <c r="BC464" s="19">
        <v>2474</v>
      </c>
      <c r="BD464" s="19">
        <v>2221</v>
      </c>
      <c r="BE464" s="62"/>
      <c r="BF464" s="62"/>
      <c r="BG464" s="62"/>
      <c r="BH464" s="62"/>
      <c r="BI464" s="67">
        <v>96.26</v>
      </c>
      <c r="BJ464" s="67">
        <v>3.08</v>
      </c>
      <c r="BK464" s="67">
        <v>3.14</v>
      </c>
      <c r="BL464" s="67">
        <v>2.97</v>
      </c>
      <c r="BM464" s="62"/>
      <c r="BN464" s="62"/>
      <c r="BO464" s="62"/>
      <c r="BP464" s="62"/>
      <c r="BQ464" s="62"/>
      <c r="BR464" s="62"/>
      <c r="BS464" s="62"/>
      <c r="BT464" s="62"/>
      <c r="BU464" s="62"/>
      <c r="BV464" s="62"/>
      <c r="BW464" s="62"/>
      <c r="BX464" s="62"/>
      <c r="BY464" s="62"/>
      <c r="BZ464" s="62"/>
      <c r="CA464" s="62"/>
      <c r="CB464" s="62"/>
      <c r="CC464" s="62"/>
      <c r="CD464" s="62"/>
      <c r="CE464" s="62"/>
      <c r="CF464" s="62"/>
      <c r="CG464" s="62"/>
      <c r="CH464" s="62"/>
      <c r="CI464" s="62"/>
      <c r="CJ464" s="62"/>
      <c r="CK464" s="62"/>
      <c r="CL464" s="62"/>
      <c r="CM464" s="62"/>
      <c r="CN464" s="62"/>
      <c r="CO464" s="62"/>
      <c r="CP464" s="62"/>
      <c r="CQ464" s="62"/>
      <c r="CR464" s="62"/>
      <c r="CS464" s="62"/>
      <c r="CT464" s="62"/>
      <c r="CU464" s="62"/>
      <c r="CV464" s="62"/>
      <c r="CW464" s="62"/>
      <c r="CX464" s="62"/>
      <c r="CY464" s="62"/>
      <c r="CZ464" s="62"/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  <c r="DK464" s="62"/>
      <c r="DL464" s="62"/>
    </row>
    <row r="465" spans="1:116" x14ac:dyDescent="0.2">
      <c r="A465" s="57">
        <v>40725</v>
      </c>
      <c r="B465" s="58">
        <v>2011</v>
      </c>
      <c r="C465" s="66">
        <v>11.859</v>
      </c>
      <c r="D465" s="62">
        <v>0.16200000000000001</v>
      </c>
      <c r="E465" s="62">
        <v>2182.85</v>
      </c>
      <c r="F465" s="62">
        <v>91.68</v>
      </c>
      <c r="G465" s="62">
        <v>11.698</v>
      </c>
      <c r="H465" s="62">
        <v>64.320999999999998</v>
      </c>
      <c r="I465" s="62">
        <v>146.63300000000001</v>
      </c>
      <c r="J465" s="62">
        <v>-82.311000000000007</v>
      </c>
      <c r="K465" s="62">
        <v>1747.585</v>
      </c>
      <c r="L465" s="62">
        <v>224.00200000000001</v>
      </c>
      <c r="M465" s="62">
        <v>1876.537</v>
      </c>
      <c r="N465" s="62">
        <v>78.814999999999998</v>
      </c>
      <c r="O465" s="66">
        <v>10.055999999999999</v>
      </c>
      <c r="P465" s="61">
        <v>153.96100000000001</v>
      </c>
      <c r="Q465" s="62">
        <v>6.4660000000000002</v>
      </c>
      <c r="R465" s="62">
        <v>0.84599999999999997</v>
      </c>
      <c r="S465" s="62"/>
      <c r="T465" s="62"/>
      <c r="U465" s="62"/>
      <c r="V465" s="62"/>
      <c r="W465" s="62">
        <v>153.96100000000001</v>
      </c>
      <c r="X465" s="62">
        <v>6.4660000000000002</v>
      </c>
      <c r="Y465" s="61">
        <v>0.84599999999999997</v>
      </c>
      <c r="Z465" s="63">
        <v>0.84599999999999997</v>
      </c>
      <c r="AA465" s="64" t="e">
        <v>#N/A</v>
      </c>
      <c r="AB465" s="62" t="e">
        <v>#N/A</v>
      </c>
      <c r="AC465" s="62" t="e">
        <v>#N/A</v>
      </c>
      <c r="AD465" s="62" t="e">
        <v>#N/A</v>
      </c>
      <c r="AE465" s="62" t="e">
        <v>#N/A</v>
      </c>
      <c r="AF465" s="62" t="e">
        <v>#N/A</v>
      </c>
      <c r="AG465" s="62" t="e">
        <v>#N/A</v>
      </c>
      <c r="AH465" s="62" t="e">
        <v>#N/A</v>
      </c>
      <c r="AI465" s="62" t="e">
        <v>#N/A</v>
      </c>
      <c r="AJ465" s="62" t="e">
        <v>#N/A</v>
      </c>
      <c r="AK465" s="64" t="e">
        <v>#N/A</v>
      </c>
      <c r="AL465" s="19">
        <v>144348</v>
      </c>
      <c r="AM465" s="19">
        <v>110474</v>
      </c>
      <c r="AN465" s="23">
        <v>4867</v>
      </c>
      <c r="AO465" s="19">
        <v>154455</v>
      </c>
      <c r="AP465" s="19">
        <v>29464</v>
      </c>
      <c r="AQ465" s="19">
        <v>124026</v>
      </c>
      <c r="AR465" s="63"/>
      <c r="AS465" s="63"/>
      <c r="AT465" s="65">
        <f t="shared" si="37"/>
        <v>6487.11</v>
      </c>
      <c r="AU465" s="65">
        <f t="shared" si="38"/>
        <v>204.41399999999999</v>
      </c>
      <c r="AV465" s="65">
        <f t="shared" si="39"/>
        <v>1237.4880000000001</v>
      </c>
      <c r="AW465" s="65">
        <f t="shared" si="40"/>
        <v>6062.616</v>
      </c>
      <c r="AX465" s="65">
        <f t="shared" si="40"/>
        <v>4639.9080000000004</v>
      </c>
      <c r="AY465" s="65">
        <f t="shared" si="36"/>
        <v>5209.0919999999996</v>
      </c>
      <c r="AZ465" s="19">
        <v>48047</v>
      </c>
      <c r="BA465" s="19">
        <v>45669</v>
      </c>
      <c r="BB465" s="19">
        <v>44228</v>
      </c>
      <c r="BC465" s="19">
        <v>2950</v>
      </c>
      <c r="BD465" s="19">
        <v>3390</v>
      </c>
      <c r="BE465" s="62"/>
      <c r="BF465" s="62"/>
      <c r="BG465" s="62"/>
      <c r="BH465" s="62"/>
      <c r="BI465" s="67">
        <v>97.3</v>
      </c>
      <c r="BJ465" s="67">
        <v>3.13</v>
      </c>
      <c r="BK465" s="67">
        <v>3.12</v>
      </c>
      <c r="BL465" s="67">
        <v>3.06</v>
      </c>
      <c r="BM465" s="62"/>
      <c r="BN465" s="62"/>
      <c r="BO465" s="62"/>
      <c r="BP465" s="62"/>
      <c r="BQ465" s="62"/>
      <c r="BR465" s="62"/>
      <c r="BS465" s="62"/>
      <c r="BT465" s="62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62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  <c r="DK465" s="62"/>
      <c r="DL465" s="62"/>
    </row>
    <row r="466" spans="1:116" x14ac:dyDescent="0.2">
      <c r="A466" s="57">
        <v>40756</v>
      </c>
      <c r="B466" s="58">
        <v>2011</v>
      </c>
      <c r="C466" s="66">
        <v>12.352</v>
      </c>
      <c r="D466" s="62">
        <v>0.16800000000000001</v>
      </c>
      <c r="E466" s="62">
        <v>2273.4499999999998</v>
      </c>
      <c r="F466" s="62">
        <v>95.484999999999999</v>
      </c>
      <c r="G466" s="62">
        <v>12.183</v>
      </c>
      <c r="H466" s="62">
        <v>66.7</v>
      </c>
      <c r="I466" s="62">
        <v>73.825999999999993</v>
      </c>
      <c r="J466" s="62">
        <v>-7.125</v>
      </c>
      <c r="K466" s="62">
        <v>1833.597</v>
      </c>
      <c r="L466" s="62">
        <v>86.012</v>
      </c>
      <c r="M466" s="62">
        <v>2180.3130000000001</v>
      </c>
      <c r="N466" s="62">
        <v>91.572999999999993</v>
      </c>
      <c r="O466" s="66">
        <v>11.683999999999999</v>
      </c>
      <c r="P466" s="61">
        <v>201.08</v>
      </c>
      <c r="Q466" s="62">
        <v>8.4450000000000003</v>
      </c>
      <c r="R466" s="62">
        <v>1.105</v>
      </c>
      <c r="S466" s="62"/>
      <c r="T466" s="62"/>
      <c r="U466" s="62"/>
      <c r="V466" s="62"/>
      <c r="W466" s="62">
        <v>201.08</v>
      </c>
      <c r="X466" s="62">
        <v>8.4450000000000003</v>
      </c>
      <c r="Y466" s="61">
        <v>1.105</v>
      </c>
      <c r="Z466" s="63">
        <v>1.105</v>
      </c>
      <c r="AA466" s="64" t="e">
        <v>#N/A</v>
      </c>
      <c r="AB466" s="62" t="e">
        <v>#N/A</v>
      </c>
      <c r="AC466" s="62" t="e">
        <v>#N/A</v>
      </c>
      <c r="AD466" s="62" t="e">
        <v>#N/A</v>
      </c>
      <c r="AE466" s="62" t="e">
        <v>#N/A</v>
      </c>
      <c r="AF466" s="62" t="e">
        <v>#N/A</v>
      </c>
      <c r="AG466" s="62" t="e">
        <v>#N/A</v>
      </c>
      <c r="AH466" s="62" t="e">
        <v>#N/A</v>
      </c>
      <c r="AI466" s="62" t="e">
        <v>#N/A</v>
      </c>
      <c r="AJ466" s="62" t="e">
        <v>#N/A</v>
      </c>
      <c r="AK466" s="64" t="e">
        <v>#N/A</v>
      </c>
      <c r="AL466" s="19">
        <v>144700</v>
      </c>
      <c r="AM466" s="19">
        <v>124277</v>
      </c>
      <c r="AN466" s="23">
        <v>4581</v>
      </c>
      <c r="AO466" s="19">
        <v>155064</v>
      </c>
      <c r="AP466" s="19">
        <v>25886</v>
      </c>
      <c r="AQ466" s="19">
        <v>124788</v>
      </c>
      <c r="AR466" s="63"/>
      <c r="AS466" s="63"/>
      <c r="AT466" s="65">
        <f t="shared" si="37"/>
        <v>6512.6880000000001</v>
      </c>
      <c r="AU466" s="65">
        <f t="shared" si="38"/>
        <v>192.40199999999999</v>
      </c>
      <c r="AV466" s="65">
        <f t="shared" si="39"/>
        <v>1087.212</v>
      </c>
      <c r="AW466" s="65">
        <f t="shared" si="40"/>
        <v>6077.4</v>
      </c>
      <c r="AX466" s="65">
        <f t="shared" si="40"/>
        <v>5219.634</v>
      </c>
      <c r="AY466" s="65">
        <f t="shared" si="36"/>
        <v>5241.0959999999995</v>
      </c>
      <c r="AZ466" s="19">
        <v>47833</v>
      </c>
      <c r="BA466" s="19">
        <v>48185</v>
      </c>
      <c r="BB466" s="19">
        <v>43106</v>
      </c>
      <c r="BC466" s="19">
        <v>2036</v>
      </c>
      <c r="BD466" s="19">
        <v>2806</v>
      </c>
      <c r="BE466" s="62"/>
      <c r="BF466" s="62"/>
      <c r="BG466" s="62"/>
      <c r="BH466" s="62"/>
      <c r="BI466" s="67">
        <v>86.33</v>
      </c>
      <c r="BJ466" s="67">
        <v>3.03</v>
      </c>
      <c r="BK466" s="67">
        <v>3.06</v>
      </c>
      <c r="BL466" s="67">
        <v>2.95</v>
      </c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62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  <c r="DK466" s="62"/>
      <c r="DL466" s="62"/>
    </row>
    <row r="467" spans="1:116" x14ac:dyDescent="0.2">
      <c r="A467" s="57">
        <v>40787</v>
      </c>
      <c r="B467" s="58">
        <v>2011</v>
      </c>
      <c r="C467" s="66">
        <v>12.411</v>
      </c>
      <c r="D467" s="62">
        <v>0.16900000000000001</v>
      </c>
      <c r="E467" s="62">
        <v>2284.337</v>
      </c>
      <c r="F467" s="62">
        <v>95.941999999999993</v>
      </c>
      <c r="G467" s="62">
        <v>12.242000000000001</v>
      </c>
      <c r="H467" s="62">
        <v>67.478999999999999</v>
      </c>
      <c r="I467" s="62">
        <v>199.261</v>
      </c>
      <c r="J467" s="62">
        <v>-131.78200000000001</v>
      </c>
      <c r="K467" s="62">
        <v>1617.43</v>
      </c>
      <c r="L467" s="62">
        <v>-216.167</v>
      </c>
      <c r="M467" s="62">
        <v>2368.7220000000002</v>
      </c>
      <c r="N467" s="62">
        <v>99.486000000000004</v>
      </c>
      <c r="O467" s="66">
        <v>12.694000000000001</v>
      </c>
      <c r="P467" s="61">
        <v>140.45400000000001</v>
      </c>
      <c r="Q467" s="62">
        <v>5.899</v>
      </c>
      <c r="R467" s="62">
        <v>0.77200000000000002</v>
      </c>
      <c r="S467" s="62"/>
      <c r="T467" s="62"/>
      <c r="U467" s="62"/>
      <c r="V467" s="62"/>
      <c r="W467" s="62">
        <v>140.45400000000001</v>
      </c>
      <c r="X467" s="62">
        <v>5.899</v>
      </c>
      <c r="Y467" s="61">
        <v>0.77200000000000002</v>
      </c>
      <c r="Z467" s="63">
        <v>0.77200000000000002</v>
      </c>
      <c r="AA467" s="64" t="e">
        <v>#N/A</v>
      </c>
      <c r="AB467" s="62" t="e">
        <v>#N/A</v>
      </c>
      <c r="AC467" s="62" t="e">
        <v>#N/A</v>
      </c>
      <c r="AD467" s="62" t="e">
        <v>#N/A</v>
      </c>
      <c r="AE467" s="62" t="e">
        <v>#N/A</v>
      </c>
      <c r="AF467" s="62" t="e">
        <v>#N/A</v>
      </c>
      <c r="AG467" s="62" t="e">
        <v>#N/A</v>
      </c>
      <c r="AH467" s="62" t="e">
        <v>#N/A</v>
      </c>
      <c r="AI467" s="62" t="e">
        <v>#N/A</v>
      </c>
      <c r="AJ467" s="62" t="e">
        <v>#N/A</v>
      </c>
      <c r="AK467" s="64" t="e">
        <v>#N/A</v>
      </c>
      <c r="AL467" s="19">
        <v>137294</v>
      </c>
      <c r="AM467" s="19">
        <v>118081</v>
      </c>
      <c r="AN467" s="23">
        <v>5375</v>
      </c>
      <c r="AO467" s="19">
        <v>153399</v>
      </c>
      <c r="AP467" s="19">
        <v>27925</v>
      </c>
      <c r="AQ467" s="19">
        <v>121092</v>
      </c>
      <c r="AR467" s="63"/>
      <c r="AS467" s="63"/>
      <c r="AT467" s="65">
        <f t="shared" si="37"/>
        <v>6442.7579999999998</v>
      </c>
      <c r="AU467" s="65">
        <f t="shared" si="38"/>
        <v>225.75</v>
      </c>
      <c r="AV467" s="65">
        <f t="shared" si="39"/>
        <v>1172.8499999999999</v>
      </c>
      <c r="AW467" s="65">
        <f t="shared" si="40"/>
        <v>5766.348</v>
      </c>
      <c r="AX467" s="65">
        <f t="shared" si="40"/>
        <v>4959.402</v>
      </c>
      <c r="AY467" s="65">
        <f t="shared" si="36"/>
        <v>5085.8639999999996</v>
      </c>
      <c r="AZ467" s="19">
        <v>46601</v>
      </c>
      <c r="BA467" s="19">
        <v>42486</v>
      </c>
      <c r="BB467" s="19">
        <v>45860</v>
      </c>
      <c r="BC467" s="19">
        <v>1728</v>
      </c>
      <c r="BD467" s="19">
        <v>3089</v>
      </c>
      <c r="BE467" s="62"/>
      <c r="BF467" s="62"/>
      <c r="BG467" s="62"/>
      <c r="BH467" s="62"/>
      <c r="BI467" s="67">
        <v>85.52</v>
      </c>
      <c r="BJ467" s="67">
        <v>3.04</v>
      </c>
      <c r="BK467" s="67">
        <v>3.06</v>
      </c>
      <c r="BL467" s="67">
        <v>2.9</v>
      </c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62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  <c r="DK467" s="62"/>
      <c r="DL467" s="62"/>
    </row>
    <row r="468" spans="1:116" x14ac:dyDescent="0.2">
      <c r="A468" s="57">
        <v>40817</v>
      </c>
      <c r="B468" s="58">
        <v>2011</v>
      </c>
      <c r="C468" s="66">
        <v>13.627000000000001</v>
      </c>
      <c r="D468" s="62">
        <v>0.186</v>
      </c>
      <c r="E468" s="62">
        <v>2508.154</v>
      </c>
      <c r="F468" s="62">
        <v>105.342</v>
      </c>
      <c r="G468" s="62">
        <v>13.441000000000001</v>
      </c>
      <c r="H468" s="62">
        <v>85.009</v>
      </c>
      <c r="I468" s="62">
        <v>136.09200000000001</v>
      </c>
      <c r="J468" s="62">
        <v>-51.082999999999998</v>
      </c>
      <c r="K468" s="62">
        <v>1937.7660000000001</v>
      </c>
      <c r="L468" s="62">
        <v>320.33600000000001</v>
      </c>
      <c r="M468" s="62">
        <v>2136.7350000000001</v>
      </c>
      <c r="N468" s="62">
        <v>89.742999999999995</v>
      </c>
      <c r="O468" s="66">
        <v>11.451000000000001</v>
      </c>
      <c r="P468" s="61">
        <v>164.715</v>
      </c>
      <c r="Q468" s="62">
        <v>6.9180000000000001</v>
      </c>
      <c r="R468" s="62">
        <v>0.90500000000000003</v>
      </c>
      <c r="S468" s="62"/>
      <c r="T468" s="62"/>
      <c r="U468" s="62">
        <v>27</v>
      </c>
      <c r="V468" s="62">
        <v>27</v>
      </c>
      <c r="W468" s="62">
        <v>137.715</v>
      </c>
      <c r="X468" s="62">
        <v>5.7839999999999998</v>
      </c>
      <c r="Y468" s="61">
        <v>0.75700000000000001</v>
      </c>
      <c r="Z468" s="63">
        <v>0.75700000000000001</v>
      </c>
      <c r="AA468" s="64" t="e">
        <v>#N/A</v>
      </c>
      <c r="AB468" s="62" t="e">
        <v>#N/A</v>
      </c>
      <c r="AC468" s="62" t="e">
        <v>#N/A</v>
      </c>
      <c r="AD468" s="62" t="e">
        <v>#N/A</v>
      </c>
      <c r="AE468" s="62" t="e">
        <v>#N/A</v>
      </c>
      <c r="AF468" s="62" t="e">
        <v>#N/A</v>
      </c>
      <c r="AG468" s="62" t="e">
        <v>#N/A</v>
      </c>
      <c r="AH468" s="62" t="e">
        <v>#N/A</v>
      </c>
      <c r="AI468" s="62" t="e">
        <v>#N/A</v>
      </c>
      <c r="AJ468" s="62" t="e">
        <v>#N/A</v>
      </c>
      <c r="AK468" s="64" t="e">
        <v>#N/A</v>
      </c>
      <c r="AL468" s="19">
        <v>140700</v>
      </c>
      <c r="AM468" s="19">
        <v>124105</v>
      </c>
      <c r="AN468" s="23">
        <v>3966</v>
      </c>
      <c r="AO468" s="19">
        <v>142327</v>
      </c>
      <c r="AP468" s="19">
        <v>33064</v>
      </c>
      <c r="AQ468" s="19">
        <v>122368</v>
      </c>
      <c r="AR468" s="63">
        <v>10000</v>
      </c>
      <c r="AS468" s="63"/>
      <c r="AT468" s="65">
        <f t="shared" si="37"/>
        <v>5977.7340000000004</v>
      </c>
      <c r="AU468" s="65">
        <f t="shared" si="38"/>
        <v>166.572</v>
      </c>
      <c r="AV468" s="65">
        <f t="shared" si="39"/>
        <v>1388.6880000000001</v>
      </c>
      <c r="AW468" s="65">
        <f t="shared" si="40"/>
        <v>5909.4</v>
      </c>
      <c r="AX468" s="65">
        <f t="shared" si="40"/>
        <v>5212.41</v>
      </c>
      <c r="AY468" s="65">
        <f t="shared" si="36"/>
        <v>5139.4560000000001</v>
      </c>
      <c r="AZ468" s="19">
        <v>42706</v>
      </c>
      <c r="BA468" s="19">
        <v>42897</v>
      </c>
      <c r="BB468" s="19">
        <v>45135</v>
      </c>
      <c r="BC468" s="19">
        <v>1885</v>
      </c>
      <c r="BD468" s="19">
        <v>2419</v>
      </c>
      <c r="BE468" s="62"/>
      <c r="BF468" s="62"/>
      <c r="BG468" s="62"/>
      <c r="BH468" s="62"/>
      <c r="BI468" s="67">
        <v>86.32</v>
      </c>
      <c r="BJ468" s="67">
        <v>3.04</v>
      </c>
      <c r="BK468" s="67">
        <v>2.99</v>
      </c>
      <c r="BL468" s="67">
        <v>2.81</v>
      </c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62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  <c r="DK468" s="62"/>
      <c r="DL468" s="62"/>
    </row>
    <row r="469" spans="1:116" x14ac:dyDescent="0.2">
      <c r="A469" s="57">
        <v>40848</v>
      </c>
      <c r="B469" s="58">
        <v>2011</v>
      </c>
      <c r="C469" s="66">
        <v>13.55</v>
      </c>
      <c r="D469" s="62">
        <v>0.185</v>
      </c>
      <c r="E469" s="62">
        <v>2493.9839999999999</v>
      </c>
      <c r="F469" s="62">
        <v>104.747</v>
      </c>
      <c r="G469" s="62">
        <v>13.365</v>
      </c>
      <c r="H469" s="62">
        <v>68.537999999999997</v>
      </c>
      <c r="I469" s="62">
        <v>135.464</v>
      </c>
      <c r="J469" s="62">
        <v>-66.926000000000002</v>
      </c>
      <c r="K469" s="62">
        <v>1865.65</v>
      </c>
      <c r="L469" s="62">
        <v>-72.116</v>
      </c>
      <c r="M469" s="62">
        <v>2499.174</v>
      </c>
      <c r="N469" s="62">
        <v>104.965</v>
      </c>
      <c r="O469" s="66">
        <v>13.393000000000001</v>
      </c>
      <c r="P469" s="61">
        <v>124.617</v>
      </c>
      <c r="Q469" s="62">
        <v>5.234</v>
      </c>
      <c r="R469" s="62">
        <v>0.68500000000000005</v>
      </c>
      <c r="S469" s="62"/>
      <c r="T469" s="62"/>
      <c r="U469" s="62">
        <v>11</v>
      </c>
      <c r="V469" s="62">
        <v>-16</v>
      </c>
      <c r="W469" s="62">
        <v>140.61699999999999</v>
      </c>
      <c r="X469" s="62">
        <v>5.9059999999999997</v>
      </c>
      <c r="Y469" s="61">
        <v>0.77300000000000002</v>
      </c>
      <c r="Z469" s="63">
        <v>0.77300000000000002</v>
      </c>
      <c r="AA469" s="64" t="e">
        <v>#N/A</v>
      </c>
      <c r="AB469" s="62" t="e">
        <v>#N/A</v>
      </c>
      <c r="AC469" s="62" t="e">
        <v>#N/A</v>
      </c>
      <c r="AD469" s="62" t="e">
        <v>#N/A</v>
      </c>
      <c r="AE469" s="62" t="e">
        <v>#N/A</v>
      </c>
      <c r="AF469" s="62" t="e">
        <v>#N/A</v>
      </c>
      <c r="AG469" s="62" t="e">
        <v>#N/A</v>
      </c>
      <c r="AH469" s="62" t="e">
        <v>#N/A</v>
      </c>
      <c r="AI469" s="62" t="e">
        <v>#N/A</v>
      </c>
      <c r="AJ469" s="62" t="e">
        <v>#N/A</v>
      </c>
      <c r="AK469" s="64" t="e">
        <v>#N/A</v>
      </c>
      <c r="AL469" s="19">
        <v>147072</v>
      </c>
      <c r="AM469" s="19">
        <v>123283</v>
      </c>
      <c r="AN469" s="23">
        <v>4145</v>
      </c>
      <c r="AO469" s="19">
        <v>143857</v>
      </c>
      <c r="AP469" s="19">
        <v>28286</v>
      </c>
      <c r="AQ469" s="19">
        <v>126564</v>
      </c>
      <c r="AR469" s="63"/>
      <c r="AS469" s="63"/>
      <c r="AT469" s="65">
        <f t="shared" si="37"/>
        <v>6041.9939999999997</v>
      </c>
      <c r="AU469" s="65">
        <f t="shared" si="38"/>
        <v>174.09</v>
      </c>
      <c r="AV469" s="65">
        <f t="shared" si="39"/>
        <v>1188.0119999999999</v>
      </c>
      <c r="AW469" s="65">
        <f t="shared" si="40"/>
        <v>6177.0240000000003</v>
      </c>
      <c r="AX469" s="65">
        <f t="shared" si="40"/>
        <v>5177.8860000000004</v>
      </c>
      <c r="AY469" s="65">
        <f t="shared" si="36"/>
        <v>5315.6880000000001</v>
      </c>
      <c r="AZ469" s="19">
        <v>40241</v>
      </c>
      <c r="BA469" s="19">
        <v>42494</v>
      </c>
      <c r="BB469" s="19">
        <v>41872</v>
      </c>
      <c r="BC469" s="19">
        <v>2163</v>
      </c>
      <c r="BD469" s="19">
        <v>3173</v>
      </c>
      <c r="BE469" s="62"/>
      <c r="BF469" s="62"/>
      <c r="BG469" s="62"/>
      <c r="BH469" s="62"/>
      <c r="BI469" s="67">
        <v>97.16</v>
      </c>
      <c r="BJ469" s="67">
        <v>3.16</v>
      </c>
      <c r="BK469" s="67">
        <v>3.12</v>
      </c>
      <c r="BL469" s="67">
        <v>2.7</v>
      </c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62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  <c r="DK469" s="62"/>
      <c r="DL469" s="62"/>
    </row>
    <row r="470" spans="1:116" x14ac:dyDescent="0.2">
      <c r="A470" s="57">
        <v>40878</v>
      </c>
      <c r="B470" s="58">
        <v>2011</v>
      </c>
      <c r="C470" s="66">
        <v>14.146000000000001</v>
      </c>
      <c r="D470" s="62">
        <v>0.193</v>
      </c>
      <c r="E470" s="62">
        <v>2603.7460000000001</v>
      </c>
      <c r="F470" s="62">
        <v>109.357</v>
      </c>
      <c r="G470" s="62">
        <v>13.952999999999999</v>
      </c>
      <c r="H470" s="62">
        <v>241.43</v>
      </c>
      <c r="I470" s="62">
        <v>39.832000000000001</v>
      </c>
      <c r="J470" s="62">
        <v>201.59700000000001</v>
      </c>
      <c r="K470" s="62">
        <v>2004.6220000000001</v>
      </c>
      <c r="L470" s="62">
        <v>138.97200000000001</v>
      </c>
      <c r="M470" s="62">
        <v>2666.3710000000001</v>
      </c>
      <c r="N470" s="62">
        <v>111.988</v>
      </c>
      <c r="O470" s="66">
        <v>14.289</v>
      </c>
      <c r="P470" s="61">
        <v>154.30600000000001</v>
      </c>
      <c r="Q470" s="62">
        <v>6.4809999999999999</v>
      </c>
      <c r="R470" s="62">
        <v>0.84799999999999998</v>
      </c>
      <c r="S470" s="62"/>
      <c r="T470" s="62"/>
      <c r="U470" s="62">
        <v>7</v>
      </c>
      <c r="V470" s="62">
        <v>-4</v>
      </c>
      <c r="W470" s="62">
        <v>158.30600000000001</v>
      </c>
      <c r="X470" s="62">
        <v>6.649</v>
      </c>
      <c r="Y470" s="61">
        <v>0.87</v>
      </c>
      <c r="Z470" s="63">
        <v>0.87</v>
      </c>
      <c r="AA470" s="64" t="e">
        <v>#N/A</v>
      </c>
      <c r="AB470" s="62" t="e">
        <v>#N/A</v>
      </c>
      <c r="AC470" s="62" t="e">
        <v>#N/A</v>
      </c>
      <c r="AD470" s="62" t="e">
        <v>#N/A</v>
      </c>
      <c r="AE470" s="62" t="e">
        <v>#N/A</v>
      </c>
      <c r="AF470" s="62" t="e">
        <v>#N/A</v>
      </c>
      <c r="AG470" s="62" t="e">
        <v>#N/A</v>
      </c>
      <c r="AH470" s="62" t="e">
        <v>#N/A</v>
      </c>
      <c r="AI470" s="62" t="e">
        <v>#N/A</v>
      </c>
      <c r="AJ470" s="62" t="e">
        <v>#N/A</v>
      </c>
      <c r="AK470" s="64" t="e">
        <v>#N/A</v>
      </c>
      <c r="AL470" s="19">
        <v>152484</v>
      </c>
      <c r="AM470" s="19">
        <v>119448</v>
      </c>
      <c r="AN470" s="23">
        <v>5410</v>
      </c>
      <c r="AO470" s="19">
        <v>149212</v>
      </c>
      <c r="AP470" s="19">
        <v>34969</v>
      </c>
      <c r="AQ470" s="19">
        <v>131789</v>
      </c>
      <c r="AR470" s="63"/>
      <c r="AS470" s="63"/>
      <c r="AT470" s="65">
        <f t="shared" si="37"/>
        <v>6266.9040000000005</v>
      </c>
      <c r="AU470" s="65">
        <f t="shared" si="38"/>
        <v>227.22</v>
      </c>
      <c r="AV470" s="65">
        <f t="shared" si="39"/>
        <v>1468.6980000000001</v>
      </c>
      <c r="AW470" s="65">
        <f t="shared" si="40"/>
        <v>6404.3280000000004</v>
      </c>
      <c r="AX470" s="65">
        <f t="shared" si="40"/>
        <v>5016.8159999999998</v>
      </c>
      <c r="AY470" s="65">
        <f t="shared" si="36"/>
        <v>5535.1379999999999</v>
      </c>
      <c r="AZ470" s="19">
        <v>44916</v>
      </c>
      <c r="BA470" s="19">
        <v>41938</v>
      </c>
      <c r="BB470" s="19">
        <v>41483</v>
      </c>
      <c r="BC470" s="19">
        <v>660</v>
      </c>
      <c r="BD470" s="19">
        <v>4027</v>
      </c>
      <c r="BE470" s="62"/>
      <c r="BF470" s="62"/>
      <c r="BG470" s="62"/>
      <c r="BH470" s="62"/>
      <c r="BI470" s="67">
        <v>98.56</v>
      </c>
      <c r="BJ470" s="67">
        <v>2.93</v>
      </c>
      <c r="BK470" s="67">
        <v>2.96</v>
      </c>
      <c r="BL470" s="67">
        <v>2.61</v>
      </c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62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  <c r="DK470" s="62"/>
      <c r="DL470" s="62"/>
    </row>
    <row r="471" spans="1:116" x14ac:dyDescent="0.2">
      <c r="A471" s="57">
        <v>40909</v>
      </c>
      <c r="B471" s="58">
        <v>2012</v>
      </c>
      <c r="C471" s="66">
        <v>9.5139999999999993</v>
      </c>
      <c r="D471" s="62">
        <v>0.13</v>
      </c>
      <c r="E471" s="62">
        <v>1751.085</v>
      </c>
      <c r="F471" s="62">
        <v>73.546000000000006</v>
      </c>
      <c r="G471" s="62">
        <v>9.3840000000000003</v>
      </c>
      <c r="H471" s="62">
        <v>48</v>
      </c>
      <c r="I471" s="62">
        <v>258.39100000000002</v>
      </c>
      <c r="J471" s="62">
        <v>-210.39099999999999</v>
      </c>
      <c r="K471" s="62">
        <v>2503.4070000000002</v>
      </c>
      <c r="L471" s="62">
        <v>498.78500000000003</v>
      </c>
      <c r="M471" s="62">
        <v>1041.9090000000001</v>
      </c>
      <c r="N471" s="62">
        <v>43.76</v>
      </c>
      <c r="O471" s="66">
        <v>5.5839999999999996</v>
      </c>
      <c r="P471" s="61">
        <v>100.413</v>
      </c>
      <c r="Q471" s="62">
        <v>4.2169999999999996</v>
      </c>
      <c r="R471" s="62">
        <v>0.55200000000000005</v>
      </c>
      <c r="S471" s="62"/>
      <c r="T471" s="62"/>
      <c r="U471" s="62">
        <v>7</v>
      </c>
      <c r="V471" s="62">
        <v>0</v>
      </c>
      <c r="W471" s="62">
        <v>100.413</v>
      </c>
      <c r="X471" s="62">
        <v>4.2169999999999996</v>
      </c>
      <c r="Y471" s="61">
        <v>0.55200000000000005</v>
      </c>
      <c r="Z471" s="63">
        <v>0.55200000000000005</v>
      </c>
      <c r="AA471" s="64" t="e">
        <v>#N/A</v>
      </c>
      <c r="AB471" s="62" t="e">
        <v>#N/A</v>
      </c>
      <c r="AC471" s="62" t="e">
        <v>#N/A</v>
      </c>
      <c r="AD471" s="62" t="e">
        <v>#N/A</v>
      </c>
      <c r="AE471" s="62" t="e">
        <v>#N/A</v>
      </c>
      <c r="AF471" s="62" t="e">
        <v>#N/A</v>
      </c>
      <c r="AG471" s="62" t="e">
        <v>#N/A</v>
      </c>
      <c r="AH471" s="62" t="e">
        <v>#N/A</v>
      </c>
      <c r="AI471" s="62" t="e">
        <v>#N/A</v>
      </c>
      <c r="AJ471" s="62" t="e">
        <v>#N/A</v>
      </c>
      <c r="AK471" s="64" t="e">
        <v>#N/A</v>
      </c>
      <c r="AL471" s="19">
        <v>139512</v>
      </c>
      <c r="AM471" s="19">
        <v>119689</v>
      </c>
      <c r="AN471" s="23">
        <v>4863</v>
      </c>
      <c r="AO471" s="19">
        <v>147210</v>
      </c>
      <c r="AP471" s="19">
        <v>27049</v>
      </c>
      <c r="AQ471" s="19">
        <v>121619</v>
      </c>
      <c r="AR471" s="63"/>
      <c r="AS471" s="63"/>
      <c r="AT471" s="65">
        <f t="shared" si="37"/>
        <v>6182.82</v>
      </c>
      <c r="AU471" s="65">
        <f t="shared" si="38"/>
        <v>204.24600000000001</v>
      </c>
      <c r="AV471" s="65">
        <f t="shared" si="39"/>
        <v>1136.058</v>
      </c>
      <c r="AW471" s="65">
        <f t="shared" si="40"/>
        <v>5859.5039999999999</v>
      </c>
      <c r="AX471" s="65">
        <f t="shared" si="40"/>
        <v>5026.9380000000001</v>
      </c>
      <c r="AY471" s="65">
        <f t="shared" si="36"/>
        <v>5107.9979999999996</v>
      </c>
      <c r="AZ471" s="19">
        <v>44553</v>
      </c>
      <c r="BA471" s="19">
        <v>40548</v>
      </c>
      <c r="BB471" s="19">
        <v>42127</v>
      </c>
      <c r="BC471" s="19">
        <v>201</v>
      </c>
      <c r="BD471" s="19">
        <v>3562</v>
      </c>
      <c r="BE471" s="23">
        <v>38259.269999999997</v>
      </c>
      <c r="BF471" s="23">
        <v>6367.9359999999997</v>
      </c>
      <c r="BG471" s="23"/>
      <c r="BH471" s="23"/>
      <c r="BI471" s="67">
        <v>100.27</v>
      </c>
      <c r="BJ471" s="67">
        <v>3.02</v>
      </c>
      <c r="BK471" s="67">
        <v>3.09</v>
      </c>
      <c r="BL471" s="67">
        <v>2.75</v>
      </c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62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  <c r="DK471" s="62"/>
      <c r="DL471" s="62"/>
    </row>
    <row r="472" spans="1:116" x14ac:dyDescent="0.2">
      <c r="A472" s="57">
        <v>40940</v>
      </c>
      <c r="B472" s="58">
        <v>2012</v>
      </c>
      <c r="C472" s="66">
        <v>10.25</v>
      </c>
      <c r="D472" s="62">
        <v>0.14000000000000001</v>
      </c>
      <c r="E472" s="62">
        <v>1886.5609999999999</v>
      </c>
      <c r="F472" s="62">
        <v>79.236000000000004</v>
      </c>
      <c r="G472" s="62">
        <v>10.11</v>
      </c>
      <c r="H472" s="62">
        <v>72</v>
      </c>
      <c r="I472" s="62">
        <v>124.622</v>
      </c>
      <c r="J472" s="62">
        <v>-52.622</v>
      </c>
      <c r="K472" s="62">
        <v>2887.6779999999999</v>
      </c>
      <c r="L472" s="62">
        <v>384.27100000000002</v>
      </c>
      <c r="M472" s="62">
        <v>1449.6679999999999</v>
      </c>
      <c r="N472" s="62">
        <v>60.886000000000003</v>
      </c>
      <c r="O472" s="66">
        <v>7.7690000000000001</v>
      </c>
      <c r="P472" s="61">
        <v>75.94</v>
      </c>
      <c r="Q472" s="62">
        <v>3.1890000000000001</v>
      </c>
      <c r="R472" s="62">
        <v>0.41699999999999998</v>
      </c>
      <c r="S472" s="62"/>
      <c r="T472" s="62"/>
      <c r="U472" s="62">
        <v>7</v>
      </c>
      <c r="V472" s="62">
        <v>0</v>
      </c>
      <c r="W472" s="62">
        <v>75.94</v>
      </c>
      <c r="X472" s="62">
        <v>3.1890000000000001</v>
      </c>
      <c r="Y472" s="61">
        <v>0.41699999999999998</v>
      </c>
      <c r="Z472" s="63">
        <v>0.41699999999999998</v>
      </c>
      <c r="AA472" s="64" t="e">
        <v>#N/A</v>
      </c>
      <c r="AB472" s="62" t="e">
        <v>#N/A</v>
      </c>
      <c r="AC472" s="62" t="e">
        <v>#N/A</v>
      </c>
      <c r="AD472" s="62" t="e">
        <v>#N/A</v>
      </c>
      <c r="AE472" s="62" t="e">
        <v>#N/A</v>
      </c>
      <c r="AF472" s="62" t="e">
        <v>#N/A</v>
      </c>
      <c r="AG472" s="62" t="e">
        <v>#N/A</v>
      </c>
      <c r="AH472" s="62" t="e">
        <v>#N/A</v>
      </c>
      <c r="AI472" s="62" t="e">
        <v>#N/A</v>
      </c>
      <c r="AJ472" s="62" t="e">
        <v>#N/A</v>
      </c>
      <c r="AK472" s="64" t="e">
        <v>#N/A</v>
      </c>
      <c r="AL472" s="19">
        <v>127823</v>
      </c>
      <c r="AM472" s="19">
        <v>113763</v>
      </c>
      <c r="AN472" s="23">
        <v>4127</v>
      </c>
      <c r="AO472" s="19">
        <v>139289</v>
      </c>
      <c r="AP472" s="19">
        <v>26880</v>
      </c>
      <c r="AQ472" s="19">
        <v>110048</v>
      </c>
      <c r="AR472" s="63"/>
      <c r="AS472" s="63"/>
      <c r="AT472" s="65">
        <f t="shared" si="37"/>
        <v>5850.1379999999999</v>
      </c>
      <c r="AU472" s="65">
        <f t="shared" si="38"/>
        <v>173.334</v>
      </c>
      <c r="AV472" s="65">
        <f t="shared" si="39"/>
        <v>1128.96</v>
      </c>
      <c r="AW472" s="65">
        <f t="shared" si="40"/>
        <v>5368.5659999999998</v>
      </c>
      <c r="AX472" s="65">
        <f t="shared" si="40"/>
        <v>4778.0460000000003</v>
      </c>
      <c r="AY472" s="65">
        <f t="shared" si="36"/>
        <v>4622.0159999999996</v>
      </c>
      <c r="AZ472" s="19">
        <v>40652</v>
      </c>
      <c r="BA472" s="19">
        <v>39173</v>
      </c>
      <c r="BB472" s="19">
        <v>41140</v>
      </c>
      <c r="BC472" s="19">
        <v>1184</v>
      </c>
      <c r="BD472" s="19">
        <v>3650</v>
      </c>
      <c r="BE472" s="23">
        <v>17407.379000000001</v>
      </c>
      <c r="BF472" s="23">
        <v>8433.5079999999998</v>
      </c>
      <c r="BG472" s="23"/>
      <c r="BH472" s="23"/>
      <c r="BI472" s="67">
        <v>102.2</v>
      </c>
      <c r="BJ472" s="67">
        <v>3.16</v>
      </c>
      <c r="BK472" s="67">
        <v>3.21</v>
      </c>
      <c r="BL472" s="67">
        <v>2.94</v>
      </c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62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  <c r="DK472" s="62"/>
      <c r="DL472" s="62"/>
    </row>
    <row r="473" spans="1:116" x14ac:dyDescent="0.2">
      <c r="A473" s="57">
        <v>40969</v>
      </c>
      <c r="B473" s="58">
        <v>2012</v>
      </c>
      <c r="C473" s="66">
        <v>12.227</v>
      </c>
      <c r="D473" s="62">
        <v>0.16700000000000001</v>
      </c>
      <c r="E473" s="62">
        <v>2250.578</v>
      </c>
      <c r="F473" s="62">
        <v>94.524000000000001</v>
      </c>
      <c r="G473" s="62">
        <v>12.061</v>
      </c>
      <c r="H473" s="62">
        <v>25</v>
      </c>
      <c r="I473" s="62">
        <v>189.28</v>
      </c>
      <c r="J473" s="62">
        <v>-164.28</v>
      </c>
      <c r="K473" s="62">
        <v>2886.4450000000002</v>
      </c>
      <c r="L473" s="62">
        <v>-1.2330000000000001</v>
      </c>
      <c r="M473" s="62">
        <v>2087.5309999999999</v>
      </c>
      <c r="N473" s="62">
        <v>87.676000000000002</v>
      </c>
      <c r="O473" s="66">
        <v>11.186999999999999</v>
      </c>
      <c r="P473" s="61">
        <v>127.483</v>
      </c>
      <c r="Q473" s="62">
        <v>5.3540000000000001</v>
      </c>
      <c r="R473" s="62">
        <v>0.7</v>
      </c>
      <c r="S473" s="62"/>
      <c r="T473" s="62"/>
      <c r="U473" s="62">
        <v>7</v>
      </c>
      <c r="V473" s="62">
        <v>0</v>
      </c>
      <c r="W473" s="62">
        <v>127.483</v>
      </c>
      <c r="X473" s="62">
        <v>5.3540000000000001</v>
      </c>
      <c r="Y473" s="61">
        <v>0.7</v>
      </c>
      <c r="Z473" s="63">
        <v>0.7</v>
      </c>
      <c r="AA473" s="64" t="e">
        <v>#N/A</v>
      </c>
      <c r="AB473" s="62" t="e">
        <v>#N/A</v>
      </c>
      <c r="AC473" s="62" t="e">
        <v>#N/A</v>
      </c>
      <c r="AD473" s="62" t="e">
        <v>#N/A</v>
      </c>
      <c r="AE473" s="62" t="e">
        <v>#N/A</v>
      </c>
      <c r="AF473" s="62" t="e">
        <v>#N/A</v>
      </c>
      <c r="AG473" s="62" t="e">
        <v>#N/A</v>
      </c>
      <c r="AH473" s="62" t="e">
        <v>#N/A</v>
      </c>
      <c r="AI473" s="62" t="e">
        <v>#N/A</v>
      </c>
      <c r="AJ473" s="62" t="e">
        <v>#N/A</v>
      </c>
      <c r="AK473" s="64" t="e">
        <v>#N/A</v>
      </c>
      <c r="AL473" s="19">
        <v>132146</v>
      </c>
      <c r="AM473" s="19">
        <v>115160</v>
      </c>
      <c r="AN473" s="23">
        <v>4237</v>
      </c>
      <c r="AO473" s="19">
        <v>133697</v>
      </c>
      <c r="AP473" s="19">
        <v>28243</v>
      </c>
      <c r="AQ473" s="19">
        <v>115184</v>
      </c>
      <c r="AR473" s="63"/>
      <c r="AS473" s="63"/>
      <c r="AT473" s="65">
        <f t="shared" si="37"/>
        <v>5615.2740000000003</v>
      </c>
      <c r="AU473" s="65">
        <f t="shared" si="38"/>
        <v>177.95400000000001</v>
      </c>
      <c r="AV473" s="65">
        <f t="shared" si="39"/>
        <v>1186.2059999999999</v>
      </c>
      <c r="AW473" s="65">
        <f t="shared" si="40"/>
        <v>5550.1319999999996</v>
      </c>
      <c r="AX473" s="65">
        <f t="shared" si="40"/>
        <v>4836.72</v>
      </c>
      <c r="AY473" s="65">
        <f t="shared" si="36"/>
        <v>4837.7280000000001</v>
      </c>
      <c r="AZ473" s="19">
        <v>43772</v>
      </c>
      <c r="BA473" s="19">
        <v>42817</v>
      </c>
      <c r="BB473" s="19">
        <v>39150</v>
      </c>
      <c r="BC473" s="19">
        <v>145</v>
      </c>
      <c r="BD473" s="19">
        <v>3090</v>
      </c>
      <c r="BE473" s="23">
        <v>26546.314999999999</v>
      </c>
      <c r="BF473" s="23">
        <v>8032.8289999999997</v>
      </c>
      <c r="BG473" s="23"/>
      <c r="BH473" s="23"/>
      <c r="BI473" s="67">
        <v>106.16</v>
      </c>
      <c r="BJ473" s="67">
        <v>3.31</v>
      </c>
      <c r="BK473" s="67">
        <v>3.34</v>
      </c>
      <c r="BL473" s="67">
        <v>3.2</v>
      </c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62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  <c r="DK473" s="62"/>
      <c r="DL473" s="62"/>
    </row>
    <row r="474" spans="1:116" x14ac:dyDescent="0.2">
      <c r="A474" s="57">
        <v>41000</v>
      </c>
      <c r="B474" s="58">
        <v>2012</v>
      </c>
      <c r="C474" s="66">
        <v>12.151999999999999</v>
      </c>
      <c r="D474" s="62">
        <v>0.16600000000000001</v>
      </c>
      <c r="E474" s="62">
        <v>2236.7420000000002</v>
      </c>
      <c r="F474" s="62">
        <v>93.942999999999998</v>
      </c>
      <c r="G474" s="62">
        <v>11.987</v>
      </c>
      <c r="H474" s="62">
        <v>32</v>
      </c>
      <c r="I474" s="62">
        <v>230.38800000000001</v>
      </c>
      <c r="J474" s="62">
        <v>-198.38800000000001</v>
      </c>
      <c r="K474" s="62">
        <v>2772.6</v>
      </c>
      <c r="L474" s="62">
        <v>-113.845</v>
      </c>
      <c r="M474" s="62">
        <v>2152.1990000000001</v>
      </c>
      <c r="N474" s="62">
        <v>90.391999999999996</v>
      </c>
      <c r="O474" s="66">
        <v>11.534000000000001</v>
      </c>
      <c r="P474" s="61">
        <v>84.58</v>
      </c>
      <c r="Q474" s="62">
        <v>3.552</v>
      </c>
      <c r="R474" s="62">
        <v>0.46500000000000002</v>
      </c>
      <c r="S474" s="62">
        <v>50</v>
      </c>
      <c r="T474" s="62"/>
      <c r="U474" s="62">
        <v>10</v>
      </c>
      <c r="V474" s="62">
        <v>3</v>
      </c>
      <c r="W474" s="62">
        <v>131.58000000000001</v>
      </c>
      <c r="X474" s="62">
        <v>5.5259999999999998</v>
      </c>
      <c r="Y474" s="61">
        <v>0.72299999999999998</v>
      </c>
      <c r="Z474" s="63">
        <v>0.72299999999999998</v>
      </c>
      <c r="AA474" s="64" t="e">
        <v>#N/A</v>
      </c>
      <c r="AB474" s="62" t="e">
        <v>#N/A</v>
      </c>
      <c r="AC474" s="62" t="e">
        <v>#N/A</v>
      </c>
      <c r="AD474" s="62" t="e">
        <v>#N/A</v>
      </c>
      <c r="AE474" s="62" t="e">
        <v>#N/A</v>
      </c>
      <c r="AF474" s="62" t="e">
        <v>#N/A</v>
      </c>
      <c r="AG474" s="62" t="e">
        <v>#N/A</v>
      </c>
      <c r="AH474" s="62" t="e">
        <v>#N/A</v>
      </c>
      <c r="AI474" s="62" t="e">
        <v>#N/A</v>
      </c>
      <c r="AJ474" s="62" t="e">
        <v>#N/A</v>
      </c>
      <c r="AK474" s="64" t="e">
        <v>#N/A</v>
      </c>
      <c r="AL474" s="19">
        <v>130551</v>
      </c>
      <c r="AM474" s="19">
        <v>111568</v>
      </c>
      <c r="AN474" s="23">
        <v>2937</v>
      </c>
      <c r="AO474" s="19">
        <v>124665</v>
      </c>
      <c r="AP474" s="19">
        <v>32346</v>
      </c>
      <c r="AQ474" s="19">
        <v>116092</v>
      </c>
      <c r="AR474" s="63"/>
      <c r="AS474" s="63"/>
      <c r="AT474" s="65">
        <f t="shared" si="37"/>
        <v>5235.93</v>
      </c>
      <c r="AU474" s="65">
        <f t="shared" si="38"/>
        <v>123.354</v>
      </c>
      <c r="AV474" s="65">
        <f t="shared" si="39"/>
        <v>1358.5319999999999</v>
      </c>
      <c r="AW474" s="65">
        <f t="shared" si="40"/>
        <v>5483.1419999999998</v>
      </c>
      <c r="AX474" s="65">
        <f t="shared" si="40"/>
        <v>4685.8559999999998</v>
      </c>
      <c r="AY474" s="65">
        <f t="shared" si="36"/>
        <v>4875.8639999999996</v>
      </c>
      <c r="AZ474" s="19">
        <v>43017</v>
      </c>
      <c r="BA474" s="19">
        <v>40510</v>
      </c>
      <c r="BB474" s="19">
        <v>40312</v>
      </c>
      <c r="BC474" s="19">
        <v>1352</v>
      </c>
      <c r="BD474" s="19">
        <v>2697</v>
      </c>
      <c r="BE474" s="23">
        <v>32165.218000000001</v>
      </c>
      <c r="BF474" s="23">
        <v>7204.7619999999997</v>
      </c>
      <c r="BG474" s="23"/>
      <c r="BH474" s="23"/>
      <c r="BI474" s="67">
        <v>103.32</v>
      </c>
      <c r="BJ474" s="67">
        <v>3.25</v>
      </c>
      <c r="BK474" s="67">
        <v>3.28</v>
      </c>
      <c r="BL474" s="67">
        <v>3.19</v>
      </c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62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  <c r="DK474" s="62"/>
      <c r="DL474" s="62"/>
    </row>
    <row r="475" spans="1:116" x14ac:dyDescent="0.2">
      <c r="A475" s="57">
        <v>41030</v>
      </c>
      <c r="B475" s="58">
        <v>2012</v>
      </c>
      <c r="C475" s="66">
        <v>13.19</v>
      </c>
      <c r="D475" s="62">
        <v>0.18</v>
      </c>
      <c r="E475" s="62">
        <v>2427.846</v>
      </c>
      <c r="F475" s="62">
        <v>101.97</v>
      </c>
      <c r="G475" s="62">
        <v>13.010999999999999</v>
      </c>
      <c r="H475" s="62">
        <v>75</v>
      </c>
      <c r="I475" s="62">
        <v>319.56</v>
      </c>
      <c r="J475" s="62">
        <v>-244.56</v>
      </c>
      <c r="K475" s="62">
        <v>2709.8519999999999</v>
      </c>
      <c r="L475" s="62">
        <v>-62.747999999999998</v>
      </c>
      <c r="M475" s="62">
        <v>2246.0340000000001</v>
      </c>
      <c r="N475" s="62">
        <v>94.332999999999998</v>
      </c>
      <c r="O475" s="66">
        <v>12.036</v>
      </c>
      <c r="P475" s="61">
        <v>89.673000000000002</v>
      </c>
      <c r="Q475" s="62">
        <v>3.766</v>
      </c>
      <c r="R475" s="62">
        <v>0.49299999999999999</v>
      </c>
      <c r="S475" s="62">
        <v>55</v>
      </c>
      <c r="T475" s="62"/>
      <c r="U475" s="62">
        <v>0</v>
      </c>
      <c r="V475" s="62">
        <v>-10</v>
      </c>
      <c r="W475" s="62">
        <v>154.673</v>
      </c>
      <c r="X475" s="62">
        <v>6.4960000000000004</v>
      </c>
      <c r="Y475" s="61">
        <v>0.85</v>
      </c>
      <c r="Z475" s="63">
        <v>0.85</v>
      </c>
      <c r="AA475" s="64" t="e">
        <v>#N/A</v>
      </c>
      <c r="AB475" s="62" t="e">
        <v>#N/A</v>
      </c>
      <c r="AC475" s="62" t="e">
        <v>#N/A</v>
      </c>
      <c r="AD475" s="62" t="e">
        <v>#N/A</v>
      </c>
      <c r="AE475" s="62" t="e">
        <v>#N/A</v>
      </c>
      <c r="AF475" s="62" t="e">
        <v>#N/A</v>
      </c>
      <c r="AG475" s="62" t="e">
        <v>#N/A</v>
      </c>
      <c r="AH475" s="62" t="e">
        <v>#N/A</v>
      </c>
      <c r="AI475" s="62" t="e">
        <v>#N/A</v>
      </c>
      <c r="AJ475" s="62" t="e">
        <v>#N/A</v>
      </c>
      <c r="AK475" s="64" t="e">
        <v>#N/A</v>
      </c>
      <c r="AL475" s="19">
        <v>140966</v>
      </c>
      <c r="AM475" s="19">
        <v>116445</v>
      </c>
      <c r="AN475" s="23">
        <v>3498</v>
      </c>
      <c r="AO475" s="19">
        <v>121445</v>
      </c>
      <c r="AP475" s="19">
        <v>32623</v>
      </c>
      <c r="AQ475" s="19">
        <v>124769</v>
      </c>
      <c r="AR475" s="63"/>
      <c r="AS475" s="63"/>
      <c r="AT475" s="65">
        <f t="shared" si="37"/>
        <v>5100.6899999999996</v>
      </c>
      <c r="AU475" s="65">
        <f t="shared" si="38"/>
        <v>146.916</v>
      </c>
      <c r="AV475" s="65">
        <f t="shared" si="39"/>
        <v>1370.1659999999999</v>
      </c>
      <c r="AW475" s="65">
        <f t="shared" si="40"/>
        <v>5920.5720000000001</v>
      </c>
      <c r="AX475" s="65">
        <f t="shared" si="40"/>
        <v>4890.6899999999996</v>
      </c>
      <c r="AY475" s="65">
        <f t="shared" si="36"/>
        <v>5240.2979999999998</v>
      </c>
      <c r="AZ475" s="19">
        <v>45542</v>
      </c>
      <c r="BA475" s="19">
        <v>43666</v>
      </c>
      <c r="BB475" s="19">
        <v>39855</v>
      </c>
      <c r="BC475" s="19">
        <v>1531</v>
      </c>
      <c r="BD475" s="19">
        <v>3864</v>
      </c>
      <c r="BE475" s="23">
        <v>44563.913</v>
      </c>
      <c r="BF475" s="23">
        <v>13763.531999999999</v>
      </c>
      <c r="BG475" s="23"/>
      <c r="BH475" s="23"/>
      <c r="BI475" s="67">
        <v>94.66</v>
      </c>
      <c r="BJ475" s="67">
        <v>3.04</v>
      </c>
      <c r="BK475" s="67">
        <v>3.1</v>
      </c>
      <c r="BL475" s="67">
        <v>3.02</v>
      </c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62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  <c r="DK475" s="62"/>
      <c r="DL475" s="62"/>
    </row>
    <row r="476" spans="1:116" x14ac:dyDescent="0.2">
      <c r="A476" s="57">
        <v>41061</v>
      </c>
      <c r="B476" s="58">
        <v>2012</v>
      </c>
      <c r="C476" s="66">
        <v>12.079000000000001</v>
      </c>
      <c r="D476" s="62">
        <v>0.16500000000000001</v>
      </c>
      <c r="E476" s="62">
        <v>2223.2020000000002</v>
      </c>
      <c r="F476" s="62">
        <v>93.373999999999995</v>
      </c>
      <c r="G476" s="62">
        <v>11.914</v>
      </c>
      <c r="H476" s="62">
        <v>132</v>
      </c>
      <c r="I476" s="62">
        <v>391.86099999999999</v>
      </c>
      <c r="J476" s="62">
        <v>-259.86099999999999</v>
      </c>
      <c r="K476" s="62">
        <v>2347.895</v>
      </c>
      <c r="L476" s="62">
        <v>-361.95800000000003</v>
      </c>
      <c r="M476" s="62">
        <v>2325.299</v>
      </c>
      <c r="N476" s="62">
        <v>97.662999999999997</v>
      </c>
      <c r="O476" s="66">
        <v>12.461</v>
      </c>
      <c r="P476" s="61">
        <v>85.539000000000001</v>
      </c>
      <c r="Q476" s="62">
        <v>3.593</v>
      </c>
      <c r="R476" s="62">
        <v>0.47</v>
      </c>
      <c r="S476" s="62">
        <v>58</v>
      </c>
      <c r="T476" s="62"/>
      <c r="U476" s="62">
        <v>0</v>
      </c>
      <c r="V476" s="62">
        <v>0</v>
      </c>
      <c r="W476" s="62">
        <v>143.53899999999999</v>
      </c>
      <c r="X476" s="62">
        <v>6.0289999999999999</v>
      </c>
      <c r="Y476" s="61">
        <v>0.78900000000000003</v>
      </c>
      <c r="Z476" s="63">
        <v>0.78900000000000003</v>
      </c>
      <c r="AA476" s="64" t="e">
        <v>#N/A</v>
      </c>
      <c r="AB476" s="62" t="e">
        <v>#N/A</v>
      </c>
      <c r="AC476" s="62" t="e">
        <v>#N/A</v>
      </c>
      <c r="AD476" s="62" t="e">
        <v>#N/A</v>
      </c>
      <c r="AE476" s="62" t="e">
        <v>#N/A</v>
      </c>
      <c r="AF476" s="62" t="e">
        <v>#N/A</v>
      </c>
      <c r="AG476" s="62" t="e">
        <v>#N/A</v>
      </c>
      <c r="AH476" s="62" t="e">
        <v>#N/A</v>
      </c>
      <c r="AI476" s="62" t="e">
        <v>#N/A</v>
      </c>
      <c r="AJ476" s="62" t="e">
        <v>#N/A</v>
      </c>
      <c r="AK476" s="64" t="e">
        <v>#N/A</v>
      </c>
      <c r="AL476" s="19">
        <v>138954</v>
      </c>
      <c r="AM476" s="19">
        <v>111974</v>
      </c>
      <c r="AN476" s="23">
        <v>2616</v>
      </c>
      <c r="AO476" s="19">
        <v>119890</v>
      </c>
      <c r="AP476" s="19">
        <v>32592</v>
      </c>
      <c r="AQ476" s="19">
        <v>123455</v>
      </c>
      <c r="AR476" s="63"/>
      <c r="AS476" s="63"/>
      <c r="AT476" s="65">
        <f t="shared" si="37"/>
        <v>5035.38</v>
      </c>
      <c r="AU476" s="65">
        <f t="shared" si="38"/>
        <v>109.872</v>
      </c>
      <c r="AV476" s="65">
        <f t="shared" si="39"/>
        <v>1368.864</v>
      </c>
      <c r="AW476" s="65">
        <f t="shared" si="40"/>
        <v>5836.0680000000002</v>
      </c>
      <c r="AX476" s="65">
        <f t="shared" si="40"/>
        <v>4702.9080000000004</v>
      </c>
      <c r="AY476" s="65">
        <f t="shared" si="36"/>
        <v>5185.1099999999997</v>
      </c>
      <c r="AZ476" s="19">
        <v>48286</v>
      </c>
      <c r="BA476" s="19">
        <v>46388</v>
      </c>
      <c r="BB476" s="19">
        <v>38464</v>
      </c>
      <c r="BC476" s="19">
        <v>1273</v>
      </c>
      <c r="BD476" s="19">
        <v>4562</v>
      </c>
      <c r="BE476" s="23">
        <v>48388.213000000003</v>
      </c>
      <c r="BF476" s="23">
        <v>14919.224</v>
      </c>
      <c r="BG476" s="23"/>
      <c r="BH476" s="23"/>
      <c r="BI476" s="67">
        <v>82.3</v>
      </c>
      <c r="BJ476" s="67">
        <v>2.74</v>
      </c>
      <c r="BK476" s="67">
        <v>2.77</v>
      </c>
      <c r="BL476" s="67">
        <v>2.76</v>
      </c>
      <c r="BM476" s="62"/>
      <c r="BN476" s="62"/>
      <c r="BO476" s="62"/>
      <c r="BP476" s="62"/>
      <c r="BQ476" s="62"/>
      <c r="BR476" s="62"/>
      <c r="BS476" s="62"/>
      <c r="BT476" s="62"/>
      <c r="BU476" s="62"/>
      <c r="BV476" s="62"/>
      <c r="BW476" s="62"/>
      <c r="BX476" s="62"/>
      <c r="BY476" s="62"/>
      <c r="BZ476" s="62"/>
      <c r="CA476" s="62"/>
      <c r="CB476" s="62"/>
      <c r="CC476" s="62"/>
      <c r="CD476" s="62"/>
      <c r="CE476" s="62"/>
      <c r="CF476" s="62"/>
      <c r="CG476" s="62"/>
      <c r="CH476" s="62"/>
      <c r="CI476" s="62"/>
      <c r="CJ476" s="62"/>
      <c r="CK476" s="62"/>
      <c r="CL476" s="62"/>
      <c r="CM476" s="62"/>
      <c r="CN476" s="62"/>
      <c r="CO476" s="62"/>
      <c r="CP476" s="62"/>
      <c r="CQ476" s="62"/>
      <c r="CR476" s="62"/>
      <c r="CS476" s="62"/>
      <c r="CT476" s="62"/>
      <c r="CU476" s="62"/>
      <c r="CV476" s="62"/>
      <c r="CW476" s="62"/>
      <c r="CX476" s="62"/>
      <c r="CY476" s="62"/>
      <c r="CZ476" s="62"/>
      <c r="DA476" s="62"/>
      <c r="DB476" s="62"/>
      <c r="DC476" s="62"/>
      <c r="DD476" s="62"/>
      <c r="DE476" s="62"/>
      <c r="DF476" s="62"/>
      <c r="DG476" s="62"/>
      <c r="DH476" s="62"/>
      <c r="DI476" s="62"/>
      <c r="DJ476" s="62"/>
      <c r="DK476" s="62"/>
      <c r="DL476" s="62"/>
    </row>
    <row r="477" spans="1:116" x14ac:dyDescent="0.2">
      <c r="A477" s="57">
        <v>41091</v>
      </c>
      <c r="B477" s="58">
        <v>2012</v>
      </c>
      <c r="C477" s="66">
        <v>11.554</v>
      </c>
      <c r="D477" s="62">
        <v>0.157</v>
      </c>
      <c r="E477" s="62">
        <v>2126.596</v>
      </c>
      <c r="F477" s="62">
        <v>89.316999999999993</v>
      </c>
      <c r="G477" s="62">
        <v>11.396000000000001</v>
      </c>
      <c r="H477" s="62">
        <v>166</v>
      </c>
      <c r="I477" s="62">
        <v>426.255</v>
      </c>
      <c r="J477" s="62">
        <v>-260.255</v>
      </c>
      <c r="K477" s="62">
        <v>2261.5929999999998</v>
      </c>
      <c r="L477" s="62">
        <v>-86.301000000000002</v>
      </c>
      <c r="M477" s="62">
        <v>1952.6420000000001</v>
      </c>
      <c r="N477" s="62">
        <v>82.010999999999996</v>
      </c>
      <c r="O477" s="66">
        <v>10.464</v>
      </c>
      <c r="P477" s="61">
        <v>149.49299999999999</v>
      </c>
      <c r="Q477" s="62">
        <v>6.2789999999999999</v>
      </c>
      <c r="R477" s="62">
        <v>0.82099999999999995</v>
      </c>
      <c r="S477" s="62"/>
      <c r="T477" s="62"/>
      <c r="U477" s="62">
        <v>0</v>
      </c>
      <c r="V477" s="62">
        <v>0</v>
      </c>
      <c r="W477" s="62">
        <v>149.49299999999999</v>
      </c>
      <c r="X477" s="62">
        <v>6.2789999999999999</v>
      </c>
      <c r="Y477" s="61">
        <v>0.82099999999999995</v>
      </c>
      <c r="Z477" s="63">
        <v>0.82099999999999995</v>
      </c>
      <c r="AA477" s="64" t="e">
        <v>#N/A</v>
      </c>
      <c r="AB477" s="62" t="e">
        <v>#N/A</v>
      </c>
      <c r="AC477" s="62" t="e">
        <v>#N/A</v>
      </c>
      <c r="AD477" s="62" t="e">
        <v>#N/A</v>
      </c>
      <c r="AE477" s="62" t="e">
        <v>#N/A</v>
      </c>
      <c r="AF477" s="62" t="e">
        <v>#N/A</v>
      </c>
      <c r="AG477" s="62" t="e">
        <v>#N/A</v>
      </c>
      <c r="AH477" s="62" t="e">
        <v>#N/A</v>
      </c>
      <c r="AI477" s="62" t="e">
        <v>#N/A</v>
      </c>
      <c r="AJ477" s="62" t="e">
        <v>#N/A</v>
      </c>
      <c r="AK477" s="64" t="e">
        <v>#N/A</v>
      </c>
      <c r="AL477" s="19">
        <v>144462</v>
      </c>
      <c r="AM477" s="19">
        <v>110254</v>
      </c>
      <c r="AN477" s="23">
        <v>3618</v>
      </c>
      <c r="AO477" s="19">
        <v>126454</v>
      </c>
      <c r="AP477" s="19">
        <v>32425</v>
      </c>
      <c r="AQ477" s="19">
        <v>129322</v>
      </c>
      <c r="AR477" s="63"/>
      <c r="AS477" s="63"/>
      <c r="AT477" s="65">
        <f t="shared" si="37"/>
        <v>5311.0680000000002</v>
      </c>
      <c r="AU477" s="65">
        <f t="shared" si="38"/>
        <v>151.95599999999999</v>
      </c>
      <c r="AV477" s="65">
        <f t="shared" si="39"/>
        <v>1361.85</v>
      </c>
      <c r="AW477" s="65">
        <f t="shared" si="40"/>
        <v>6067.4040000000005</v>
      </c>
      <c r="AX477" s="65">
        <f t="shared" si="40"/>
        <v>4630.6679999999997</v>
      </c>
      <c r="AY477" s="65">
        <f t="shared" si="36"/>
        <v>5431.5240000000003</v>
      </c>
      <c r="AZ477" s="19">
        <v>49989</v>
      </c>
      <c r="BA477" s="19">
        <v>45518</v>
      </c>
      <c r="BB477" s="19">
        <v>40021</v>
      </c>
      <c r="BC477" s="19">
        <v>1476</v>
      </c>
      <c r="BD477" s="19">
        <v>4390</v>
      </c>
      <c r="BE477" s="23">
        <v>53139.32</v>
      </c>
      <c r="BF477" s="23">
        <v>23304.674999999999</v>
      </c>
      <c r="BG477" s="23"/>
      <c r="BH477" s="23"/>
      <c r="BI477" s="67">
        <v>87.89</v>
      </c>
      <c r="BJ477" s="67">
        <v>2.91</v>
      </c>
      <c r="BK477" s="67">
        <v>2.86</v>
      </c>
      <c r="BL477" s="67">
        <v>2.81</v>
      </c>
      <c r="BM477" s="62"/>
      <c r="BN477" s="62"/>
      <c r="BO477" s="62"/>
      <c r="BP477" s="62"/>
      <c r="BQ477" s="62"/>
      <c r="BR477" s="62"/>
      <c r="BS477" s="62"/>
      <c r="BT477" s="62"/>
      <c r="BU477" s="62"/>
      <c r="BV477" s="62"/>
      <c r="BW477" s="62"/>
      <c r="BX477" s="62"/>
      <c r="BY477" s="62"/>
      <c r="BZ477" s="62"/>
      <c r="CA477" s="62"/>
      <c r="CB477" s="62"/>
      <c r="CC477" s="62"/>
      <c r="CD477" s="62"/>
      <c r="CE477" s="62"/>
      <c r="CF477" s="62"/>
      <c r="CG477" s="62"/>
      <c r="CH477" s="62"/>
      <c r="CI477" s="62"/>
      <c r="CJ477" s="62"/>
      <c r="CK477" s="62"/>
      <c r="CL477" s="62"/>
      <c r="CM477" s="62"/>
      <c r="CN477" s="62"/>
      <c r="CO477" s="62"/>
      <c r="CP477" s="62"/>
      <c r="CQ477" s="62"/>
      <c r="CR477" s="62"/>
      <c r="CS477" s="62"/>
      <c r="CT477" s="62"/>
      <c r="CU477" s="62"/>
      <c r="CV477" s="62"/>
      <c r="CW477" s="62"/>
      <c r="CX477" s="62"/>
      <c r="CY477" s="62"/>
      <c r="CZ477" s="62"/>
      <c r="DA477" s="62"/>
      <c r="DB477" s="62"/>
      <c r="DC477" s="62"/>
      <c r="DD477" s="62"/>
      <c r="DE477" s="62"/>
      <c r="DF477" s="62"/>
      <c r="DG477" s="62"/>
      <c r="DH477" s="62"/>
      <c r="DI477" s="62"/>
      <c r="DJ477" s="62"/>
      <c r="DK477" s="62"/>
      <c r="DL477" s="62"/>
    </row>
    <row r="478" spans="1:116" x14ac:dyDescent="0.2">
      <c r="A478" s="57">
        <v>41122</v>
      </c>
      <c r="B478" s="58">
        <v>2012</v>
      </c>
      <c r="C478" s="66">
        <v>11.824</v>
      </c>
      <c r="D478" s="62">
        <v>0.161</v>
      </c>
      <c r="E478" s="62">
        <v>2176.3049999999998</v>
      </c>
      <c r="F478" s="62">
        <v>91.405000000000001</v>
      </c>
      <c r="G478" s="62">
        <v>11.663</v>
      </c>
      <c r="H478" s="62">
        <v>55</v>
      </c>
      <c r="I478" s="62">
        <v>402.75099999999998</v>
      </c>
      <c r="J478" s="62">
        <v>-347.75099999999998</v>
      </c>
      <c r="K478" s="62">
        <v>2011.4549999999999</v>
      </c>
      <c r="L478" s="62">
        <v>-250.13800000000001</v>
      </c>
      <c r="M478" s="62">
        <v>2078.692</v>
      </c>
      <c r="N478" s="62">
        <v>87.305000000000007</v>
      </c>
      <c r="O478" s="66">
        <v>11.14</v>
      </c>
      <c r="P478" s="61">
        <v>130.50200000000001</v>
      </c>
      <c r="Q478" s="62">
        <v>5.4809999999999999</v>
      </c>
      <c r="R478" s="62">
        <v>0.71699999999999997</v>
      </c>
      <c r="S478" s="62"/>
      <c r="T478" s="62"/>
      <c r="U478" s="62">
        <v>0</v>
      </c>
      <c r="V478" s="62">
        <v>0</v>
      </c>
      <c r="W478" s="62">
        <v>130.50200000000001</v>
      </c>
      <c r="X478" s="62">
        <v>5.4809999999999999</v>
      </c>
      <c r="Y478" s="61">
        <v>0.71699999999999997</v>
      </c>
      <c r="Z478" s="63">
        <v>0.71699999999999997</v>
      </c>
      <c r="AA478" s="64" t="e">
        <v>#N/A</v>
      </c>
      <c r="AB478" s="62" t="e">
        <v>#N/A</v>
      </c>
      <c r="AC478" s="62" t="e">
        <v>#N/A</v>
      </c>
      <c r="AD478" s="62" t="e">
        <v>#N/A</v>
      </c>
      <c r="AE478" s="62" t="e">
        <v>#N/A</v>
      </c>
      <c r="AF478" s="62" t="e">
        <v>#N/A</v>
      </c>
      <c r="AG478" s="62" t="e">
        <v>#N/A</v>
      </c>
      <c r="AH478" s="62" t="e">
        <v>#N/A</v>
      </c>
      <c r="AI478" s="62" t="e">
        <v>#N/A</v>
      </c>
      <c r="AJ478" s="62" t="e">
        <v>#N/A</v>
      </c>
      <c r="AK478" s="64" t="e">
        <v>#N/A</v>
      </c>
      <c r="AL478" s="19">
        <v>142591</v>
      </c>
      <c r="AM478" s="19">
        <v>116032</v>
      </c>
      <c r="AN478" s="23">
        <v>3459</v>
      </c>
      <c r="AO478" s="19">
        <v>127309</v>
      </c>
      <c r="AP478" s="19">
        <v>30352</v>
      </c>
      <c r="AQ478" s="19">
        <v>126371</v>
      </c>
      <c r="AR478" s="63"/>
      <c r="AS478" s="63"/>
      <c r="AT478" s="65">
        <f t="shared" si="37"/>
        <v>5346.9780000000001</v>
      </c>
      <c r="AU478" s="65">
        <f t="shared" si="38"/>
        <v>145.27799999999999</v>
      </c>
      <c r="AV478" s="65">
        <f t="shared" si="39"/>
        <v>1274.7840000000001</v>
      </c>
      <c r="AW478" s="65">
        <f t="shared" si="40"/>
        <v>5988.8220000000001</v>
      </c>
      <c r="AX478" s="65">
        <f t="shared" si="40"/>
        <v>4873.3440000000001</v>
      </c>
      <c r="AY478" s="65">
        <f t="shared" si="36"/>
        <v>5307.5820000000003</v>
      </c>
      <c r="AZ478" s="19">
        <v>48369</v>
      </c>
      <c r="BA478" s="19">
        <v>45579</v>
      </c>
      <c r="BB478" s="19">
        <v>43246</v>
      </c>
      <c r="BC478" s="19">
        <v>3845</v>
      </c>
      <c r="BD478" s="19">
        <v>3410</v>
      </c>
      <c r="BE478" s="23">
        <v>53119.199999999997</v>
      </c>
      <c r="BF478" s="23">
        <v>6315.6220000000003</v>
      </c>
      <c r="BG478" s="23"/>
      <c r="BH478" s="23"/>
      <c r="BI478" s="67">
        <v>94.13</v>
      </c>
      <c r="BJ478" s="67">
        <v>3.21</v>
      </c>
      <c r="BK478" s="67">
        <v>3.12</v>
      </c>
      <c r="BL478" s="67">
        <v>3.09</v>
      </c>
      <c r="BM478" s="62"/>
      <c r="BN478" s="62"/>
      <c r="BO478" s="62"/>
      <c r="BP478" s="62"/>
      <c r="BQ478" s="62"/>
      <c r="BR478" s="62"/>
      <c r="BS478" s="62"/>
      <c r="BT478" s="62"/>
      <c r="BU478" s="62"/>
      <c r="BV478" s="62"/>
      <c r="BW478" s="62"/>
      <c r="BX478" s="62"/>
      <c r="BY478" s="62"/>
      <c r="BZ478" s="62"/>
      <c r="CA478" s="62"/>
      <c r="CB478" s="62"/>
      <c r="CC478" s="62"/>
      <c r="CD478" s="62"/>
      <c r="CE478" s="62"/>
      <c r="CF478" s="62"/>
      <c r="CG478" s="62"/>
      <c r="CH478" s="62"/>
      <c r="CI478" s="62"/>
      <c r="CJ478" s="62"/>
      <c r="CK478" s="62"/>
      <c r="CL478" s="62"/>
      <c r="CM478" s="62"/>
      <c r="CN478" s="62"/>
      <c r="CO478" s="62"/>
      <c r="CP478" s="62"/>
      <c r="CQ478" s="62"/>
      <c r="CR478" s="62"/>
      <c r="CS478" s="62"/>
      <c r="CT478" s="62"/>
      <c r="CU478" s="62"/>
      <c r="CV478" s="62"/>
      <c r="CW478" s="62"/>
      <c r="CX478" s="62"/>
      <c r="CY478" s="62"/>
      <c r="CZ478" s="62"/>
      <c r="DA478" s="62"/>
      <c r="DB478" s="62"/>
      <c r="DC478" s="62"/>
      <c r="DD478" s="62"/>
      <c r="DE478" s="62"/>
      <c r="DF478" s="62"/>
      <c r="DG478" s="62"/>
      <c r="DH478" s="62"/>
      <c r="DI478" s="62"/>
      <c r="DJ478" s="62"/>
      <c r="DK478" s="62"/>
      <c r="DL478" s="62"/>
    </row>
    <row r="479" spans="1:116" x14ac:dyDescent="0.2">
      <c r="A479" s="57">
        <v>41153</v>
      </c>
      <c r="B479" s="58">
        <v>2012</v>
      </c>
      <c r="C479" s="66">
        <v>10.587999999999999</v>
      </c>
      <c r="D479" s="62">
        <v>0.14399999999999999</v>
      </c>
      <c r="E479" s="62">
        <v>1948.88</v>
      </c>
      <c r="F479" s="62">
        <v>81.852999999999994</v>
      </c>
      <c r="G479" s="62">
        <v>10.444000000000001</v>
      </c>
      <c r="H479" s="62">
        <v>108</v>
      </c>
      <c r="I479" s="62">
        <v>294.85599999999999</v>
      </c>
      <c r="J479" s="62">
        <v>-186.85599999999999</v>
      </c>
      <c r="K479" s="62">
        <v>2048.5140000000001</v>
      </c>
      <c r="L479" s="62">
        <v>37.058</v>
      </c>
      <c r="M479" s="62">
        <v>1724.9659999999999</v>
      </c>
      <c r="N479" s="62">
        <v>72.448999999999998</v>
      </c>
      <c r="O479" s="66">
        <v>9.2439999999999998</v>
      </c>
      <c r="P479" s="61">
        <v>89.022000000000006</v>
      </c>
      <c r="Q479" s="62">
        <v>3.7389999999999999</v>
      </c>
      <c r="R479" s="62">
        <v>0.48899999999999999</v>
      </c>
      <c r="S479" s="62">
        <v>56</v>
      </c>
      <c r="T479" s="62"/>
      <c r="U479" s="62">
        <v>0</v>
      </c>
      <c r="V479" s="62">
        <v>0</v>
      </c>
      <c r="W479" s="62">
        <v>145.02199999999999</v>
      </c>
      <c r="X479" s="62">
        <v>6.0910000000000002</v>
      </c>
      <c r="Y479" s="61">
        <v>0.79700000000000004</v>
      </c>
      <c r="Z479" s="63">
        <v>0.79700000000000004</v>
      </c>
      <c r="AA479" s="64" t="e">
        <v>#N/A</v>
      </c>
      <c r="AB479" s="62" t="e">
        <v>#N/A</v>
      </c>
      <c r="AC479" s="62" t="e">
        <v>#N/A</v>
      </c>
      <c r="AD479" s="62" t="e">
        <v>#N/A</v>
      </c>
      <c r="AE479" s="62" t="e">
        <v>#N/A</v>
      </c>
      <c r="AF479" s="62" t="e">
        <v>#N/A</v>
      </c>
      <c r="AG479" s="62" t="e">
        <v>#N/A</v>
      </c>
      <c r="AH479" s="62" t="e">
        <v>#N/A</v>
      </c>
      <c r="AI479" s="62" t="e">
        <v>#N/A</v>
      </c>
      <c r="AJ479" s="62" t="e">
        <v>#N/A</v>
      </c>
      <c r="AK479" s="64" t="e">
        <v>#N/A</v>
      </c>
      <c r="AL479" s="19">
        <v>136965</v>
      </c>
      <c r="AM479" s="19">
        <v>110228</v>
      </c>
      <c r="AN479" s="23">
        <v>2572</v>
      </c>
      <c r="AO479" s="19">
        <v>127384</v>
      </c>
      <c r="AP479" s="19">
        <v>30099</v>
      </c>
      <c r="AQ479" s="19">
        <v>123206</v>
      </c>
      <c r="AR479" s="63"/>
      <c r="AS479" s="63"/>
      <c r="AT479" s="65">
        <f t="shared" si="37"/>
        <v>5350.1279999999997</v>
      </c>
      <c r="AU479" s="65">
        <f t="shared" si="38"/>
        <v>108.024</v>
      </c>
      <c r="AV479" s="65">
        <f t="shared" si="39"/>
        <v>1264.1579999999999</v>
      </c>
      <c r="AW479" s="65">
        <f t="shared" si="40"/>
        <v>5752.53</v>
      </c>
      <c r="AX479" s="65">
        <f t="shared" si="40"/>
        <v>4629.576</v>
      </c>
      <c r="AY479" s="65">
        <f t="shared" si="36"/>
        <v>5174.652</v>
      </c>
      <c r="AZ479" s="19">
        <v>43492</v>
      </c>
      <c r="BA479" s="19">
        <v>41333</v>
      </c>
      <c r="BB479" s="19">
        <v>43991</v>
      </c>
      <c r="BC479" s="19">
        <v>2506</v>
      </c>
      <c r="BD479" s="19">
        <v>3920</v>
      </c>
      <c r="BE479" s="23">
        <v>33756.614000000001</v>
      </c>
      <c r="BF479" s="23">
        <v>11773.983</v>
      </c>
      <c r="BG479" s="23"/>
      <c r="BH479" s="23"/>
      <c r="BI479" s="67">
        <v>94.51</v>
      </c>
      <c r="BJ479" s="67">
        <v>3.28</v>
      </c>
      <c r="BK479" s="67">
        <v>3.28</v>
      </c>
      <c r="BL479" s="67">
        <v>3.16</v>
      </c>
      <c r="BM479" s="62"/>
      <c r="BN479" s="62"/>
      <c r="BO479" s="62"/>
      <c r="BP479" s="62"/>
      <c r="BQ479" s="62"/>
      <c r="BR479" s="62"/>
      <c r="BS479" s="62"/>
      <c r="BT479" s="62"/>
      <c r="BU479" s="62"/>
      <c r="BV479" s="62"/>
      <c r="BW479" s="62"/>
      <c r="BX479" s="62"/>
      <c r="BY479" s="62"/>
      <c r="BZ479" s="62"/>
      <c r="CA479" s="62"/>
      <c r="CB479" s="62"/>
      <c r="CC479" s="62"/>
      <c r="CD479" s="62"/>
      <c r="CE479" s="62"/>
      <c r="CF479" s="62"/>
      <c r="CG479" s="62"/>
      <c r="CH479" s="62"/>
      <c r="CI479" s="62"/>
      <c r="CJ479" s="62"/>
      <c r="CK479" s="62"/>
      <c r="CL479" s="62"/>
      <c r="CM479" s="62"/>
      <c r="CN479" s="62"/>
      <c r="CO479" s="62"/>
      <c r="CP479" s="62"/>
      <c r="CQ479" s="62"/>
      <c r="CR479" s="62"/>
      <c r="CS479" s="62"/>
      <c r="CT479" s="62"/>
      <c r="CU479" s="62"/>
      <c r="CV479" s="62"/>
      <c r="CW479" s="62"/>
      <c r="CX479" s="62"/>
      <c r="CY479" s="62"/>
      <c r="CZ479" s="62"/>
      <c r="DA479" s="62"/>
      <c r="DB479" s="62"/>
      <c r="DC479" s="62"/>
      <c r="DD479" s="62"/>
      <c r="DE479" s="62"/>
      <c r="DF479" s="62"/>
      <c r="DG479" s="62"/>
      <c r="DH479" s="62"/>
      <c r="DI479" s="62"/>
      <c r="DJ479" s="62"/>
      <c r="DK479" s="62"/>
      <c r="DL479" s="62"/>
    </row>
    <row r="480" spans="1:116" x14ac:dyDescent="0.2">
      <c r="A480" s="57">
        <v>41183</v>
      </c>
      <c r="B480" s="58">
        <v>2012</v>
      </c>
      <c r="C480" s="66">
        <v>9.7379999999999995</v>
      </c>
      <c r="D480" s="62">
        <v>0.13300000000000001</v>
      </c>
      <c r="E480" s="62">
        <v>1792.4480000000001</v>
      </c>
      <c r="F480" s="62">
        <v>75.283000000000001</v>
      </c>
      <c r="G480" s="62">
        <v>9.6059999999999999</v>
      </c>
      <c r="H480" s="62">
        <v>60</v>
      </c>
      <c r="I480" s="62">
        <v>209.08699999999999</v>
      </c>
      <c r="J480" s="62">
        <v>-149.08699999999999</v>
      </c>
      <c r="K480" s="62">
        <v>2175.7350000000001</v>
      </c>
      <c r="L480" s="62">
        <v>127.221</v>
      </c>
      <c r="M480" s="62">
        <v>1516.14</v>
      </c>
      <c r="N480" s="62">
        <v>63.677999999999997</v>
      </c>
      <c r="O480" s="66">
        <v>8.125</v>
      </c>
      <c r="P480" s="61">
        <v>91.757999999999996</v>
      </c>
      <c r="Q480" s="62">
        <v>3.8540000000000001</v>
      </c>
      <c r="R480" s="62">
        <v>0.504</v>
      </c>
      <c r="S480" s="62">
        <v>114</v>
      </c>
      <c r="T480" s="62"/>
      <c r="U480" s="62">
        <v>0</v>
      </c>
      <c r="V480" s="62">
        <v>0</v>
      </c>
      <c r="W480" s="62">
        <v>205.75800000000001</v>
      </c>
      <c r="X480" s="62">
        <v>8.6419999999999995</v>
      </c>
      <c r="Y480" s="61">
        <v>1.1299999999999999</v>
      </c>
      <c r="Z480" s="63">
        <v>1.1299999999999999</v>
      </c>
      <c r="AA480" s="64" t="e">
        <v>#N/A</v>
      </c>
      <c r="AB480" s="62" t="e">
        <v>#N/A</v>
      </c>
      <c r="AC480" s="62" t="e">
        <v>#N/A</v>
      </c>
      <c r="AD480" s="62" t="e">
        <v>#N/A</v>
      </c>
      <c r="AE480" s="62" t="e">
        <v>#N/A</v>
      </c>
      <c r="AF480" s="62" t="e">
        <v>#N/A</v>
      </c>
      <c r="AG480" s="62" t="e">
        <v>#N/A</v>
      </c>
      <c r="AH480" s="62" t="e">
        <v>#N/A</v>
      </c>
      <c r="AI480" s="62" t="e">
        <v>#N/A</v>
      </c>
      <c r="AJ480" s="62" t="e">
        <v>#N/A</v>
      </c>
      <c r="AK480" s="64" t="e">
        <v>#N/A</v>
      </c>
      <c r="AL480" s="19">
        <v>139805</v>
      </c>
      <c r="AM480" s="19">
        <v>119424</v>
      </c>
      <c r="AN480" s="23">
        <v>2722</v>
      </c>
      <c r="AO480" s="19">
        <v>118653</v>
      </c>
      <c r="AP480" s="19">
        <v>32471</v>
      </c>
      <c r="AQ480" s="19">
        <v>124263</v>
      </c>
      <c r="AR480" s="63"/>
      <c r="AS480" s="63"/>
      <c r="AT480" s="65">
        <f t="shared" si="37"/>
        <v>4983.4260000000004</v>
      </c>
      <c r="AU480" s="65">
        <f t="shared" si="38"/>
        <v>114.324</v>
      </c>
      <c r="AV480" s="65">
        <f t="shared" si="39"/>
        <v>1363.7819999999999</v>
      </c>
      <c r="AW480" s="65">
        <f t="shared" si="40"/>
        <v>5871.81</v>
      </c>
      <c r="AX480" s="65">
        <f t="shared" si="40"/>
        <v>5015.808</v>
      </c>
      <c r="AY480" s="65">
        <f t="shared" si="36"/>
        <v>5219.0460000000003</v>
      </c>
      <c r="AZ480" s="19">
        <v>43980</v>
      </c>
      <c r="BA480" s="19">
        <v>41941</v>
      </c>
      <c r="BB480" s="19">
        <v>44677</v>
      </c>
      <c r="BC480" s="19">
        <v>3284</v>
      </c>
      <c r="BD480" s="19">
        <v>4637</v>
      </c>
      <c r="BE480" s="23">
        <v>29193.37</v>
      </c>
      <c r="BF480" s="23">
        <v>4844.8440000000001</v>
      </c>
      <c r="BG480" s="23"/>
      <c r="BH480" s="23"/>
      <c r="BI480" s="67">
        <v>89.49</v>
      </c>
      <c r="BJ480" s="67">
        <v>3.27</v>
      </c>
      <c r="BK480" s="67">
        <v>3.21</v>
      </c>
      <c r="BL480" s="67">
        <v>2.94</v>
      </c>
      <c r="BM480" s="62"/>
      <c r="BN480" s="62"/>
      <c r="BO480" s="62"/>
      <c r="BP480" s="62"/>
      <c r="BQ480" s="62"/>
      <c r="BR480" s="62"/>
      <c r="BS480" s="62"/>
      <c r="BT480" s="62"/>
      <c r="BU480" s="62"/>
      <c r="BV480" s="62"/>
      <c r="BW480" s="62"/>
      <c r="BX480" s="62"/>
      <c r="BY480" s="62"/>
      <c r="BZ480" s="62"/>
      <c r="CA480" s="62"/>
      <c r="CB480" s="62"/>
      <c r="CC480" s="62"/>
      <c r="CD480" s="62"/>
      <c r="CE480" s="62"/>
      <c r="CF480" s="62"/>
      <c r="CG480" s="62"/>
      <c r="CH480" s="62"/>
      <c r="CI480" s="62"/>
      <c r="CJ480" s="62"/>
      <c r="CK480" s="62"/>
      <c r="CL480" s="62"/>
      <c r="CM480" s="62"/>
      <c r="CN480" s="62"/>
      <c r="CO480" s="62"/>
      <c r="CP480" s="62"/>
      <c r="CQ480" s="62"/>
      <c r="CR480" s="62"/>
      <c r="CS480" s="62"/>
      <c r="CT480" s="62"/>
      <c r="CU480" s="62"/>
      <c r="CV480" s="62"/>
      <c r="CW480" s="62"/>
      <c r="CX480" s="62"/>
      <c r="CY480" s="62"/>
      <c r="CZ480" s="62"/>
      <c r="DA480" s="62"/>
      <c r="DB480" s="62"/>
      <c r="DC480" s="62"/>
      <c r="DD480" s="62"/>
      <c r="DE480" s="62"/>
      <c r="DF480" s="62"/>
      <c r="DG480" s="62"/>
      <c r="DH480" s="62"/>
      <c r="DI480" s="62"/>
      <c r="DJ480" s="62"/>
      <c r="DK480" s="62"/>
      <c r="DL480" s="62"/>
    </row>
    <row r="481" spans="1:116" x14ac:dyDescent="0.2">
      <c r="A481" s="57">
        <v>41214</v>
      </c>
      <c r="B481" s="58">
        <v>2012</v>
      </c>
      <c r="C481" s="66">
        <v>7.4029999999999996</v>
      </c>
      <c r="D481" s="62">
        <v>0.10100000000000001</v>
      </c>
      <c r="E481" s="62">
        <v>1362.585</v>
      </c>
      <c r="F481" s="62">
        <v>57.228999999999999</v>
      </c>
      <c r="G481" s="62">
        <v>7.3019999999999996</v>
      </c>
      <c r="H481" s="62">
        <v>9</v>
      </c>
      <c r="I481" s="62">
        <v>65.251000000000005</v>
      </c>
      <c r="J481" s="62">
        <v>-56.250999999999998</v>
      </c>
      <c r="K481" s="62">
        <v>1861.77</v>
      </c>
      <c r="L481" s="62">
        <v>-313.964</v>
      </c>
      <c r="M481" s="62">
        <v>1620.298</v>
      </c>
      <c r="N481" s="62">
        <v>68.052999999999997</v>
      </c>
      <c r="O481" s="66">
        <v>8.6829999999999998</v>
      </c>
      <c r="P481" s="61">
        <v>132.874</v>
      </c>
      <c r="Q481" s="62">
        <v>5.5810000000000004</v>
      </c>
      <c r="R481" s="62">
        <v>0.73</v>
      </c>
      <c r="S481" s="62">
        <v>57</v>
      </c>
      <c r="T481" s="62"/>
      <c r="U481" s="62">
        <v>0</v>
      </c>
      <c r="V481" s="62">
        <v>0</v>
      </c>
      <c r="W481" s="62">
        <v>189.874</v>
      </c>
      <c r="X481" s="62">
        <v>7.9749999999999996</v>
      </c>
      <c r="Y481" s="61">
        <v>1.0429999999999999</v>
      </c>
      <c r="Z481" s="63">
        <v>1.0429999999999999</v>
      </c>
      <c r="AA481" s="64" t="e">
        <v>#N/A</v>
      </c>
      <c r="AB481" s="62" t="e">
        <v>#N/A</v>
      </c>
      <c r="AC481" s="62" t="e">
        <v>#N/A</v>
      </c>
      <c r="AD481" s="62" t="e">
        <v>#N/A</v>
      </c>
      <c r="AE481" s="62" t="e">
        <v>#N/A</v>
      </c>
      <c r="AF481" s="62" t="e">
        <v>#N/A</v>
      </c>
      <c r="AG481" s="62" t="e">
        <v>#N/A</v>
      </c>
      <c r="AH481" s="62" t="e">
        <v>#N/A</v>
      </c>
      <c r="AI481" s="62" t="e">
        <v>#N/A</v>
      </c>
      <c r="AJ481" s="62" t="e">
        <v>#N/A</v>
      </c>
      <c r="AK481" s="64" t="e">
        <v>#N/A</v>
      </c>
      <c r="AL481" s="19">
        <v>140064</v>
      </c>
      <c r="AM481" s="19">
        <v>115427</v>
      </c>
      <c r="AN481" s="23">
        <v>5650</v>
      </c>
      <c r="AO481" s="19">
        <v>117993</v>
      </c>
      <c r="AP481" s="19">
        <v>31828</v>
      </c>
      <c r="AQ481" s="19">
        <v>124692</v>
      </c>
      <c r="AR481" s="63"/>
      <c r="AS481" s="63"/>
      <c r="AT481" s="65">
        <f t="shared" si="37"/>
        <v>4955.7060000000001</v>
      </c>
      <c r="AU481" s="65">
        <f t="shared" si="38"/>
        <v>237.3</v>
      </c>
      <c r="AV481" s="65">
        <f t="shared" si="39"/>
        <v>1336.7760000000001</v>
      </c>
      <c r="AW481" s="65">
        <f t="shared" si="40"/>
        <v>5882.6880000000001</v>
      </c>
      <c r="AX481" s="65">
        <f t="shared" si="40"/>
        <v>4847.9340000000002</v>
      </c>
      <c r="AY481" s="65">
        <f t="shared" si="36"/>
        <v>5237.0640000000003</v>
      </c>
      <c r="AZ481" s="19">
        <v>41234</v>
      </c>
      <c r="BA481" s="19">
        <v>41433</v>
      </c>
      <c r="BB481" s="19">
        <v>41048</v>
      </c>
      <c r="BC481" s="19">
        <v>1371</v>
      </c>
      <c r="BD481" s="19">
        <v>4801</v>
      </c>
      <c r="BE481" s="23">
        <v>9117.5869999999995</v>
      </c>
      <c r="BF481" s="23">
        <v>1221.4780000000001</v>
      </c>
      <c r="BG481" s="23"/>
      <c r="BH481" s="23"/>
      <c r="BI481" s="67">
        <v>86.53</v>
      </c>
      <c r="BJ481" s="67">
        <v>3.12</v>
      </c>
      <c r="BK481" s="67">
        <v>3.04</v>
      </c>
      <c r="BL481" s="67">
        <v>2.71</v>
      </c>
      <c r="BM481" s="62"/>
      <c r="BN481" s="62"/>
      <c r="BO481" s="62"/>
      <c r="BP481" s="62"/>
      <c r="BQ481" s="62"/>
      <c r="BR481" s="62"/>
      <c r="BS481" s="62"/>
      <c r="BT481" s="62"/>
      <c r="BU481" s="62"/>
      <c r="BV481" s="62"/>
      <c r="BW481" s="62"/>
      <c r="BX481" s="62"/>
      <c r="BY481" s="62"/>
      <c r="BZ481" s="62"/>
      <c r="CA481" s="62"/>
      <c r="CB481" s="62"/>
      <c r="CC481" s="62"/>
      <c r="CD481" s="62"/>
      <c r="CE481" s="62"/>
      <c r="CF481" s="62"/>
      <c r="CG481" s="62"/>
      <c r="CH481" s="62"/>
      <c r="CI481" s="62"/>
      <c r="CJ481" s="62"/>
      <c r="CK481" s="62"/>
      <c r="CL481" s="62"/>
      <c r="CM481" s="62"/>
      <c r="CN481" s="62"/>
      <c r="CO481" s="62"/>
      <c r="CP481" s="62"/>
      <c r="CQ481" s="62"/>
      <c r="CR481" s="62"/>
      <c r="CS481" s="62"/>
      <c r="CT481" s="62"/>
      <c r="CU481" s="62"/>
      <c r="CV481" s="62"/>
      <c r="CW481" s="62"/>
      <c r="CX481" s="62"/>
      <c r="CY481" s="62"/>
      <c r="CZ481" s="62"/>
      <c r="DA481" s="62"/>
      <c r="DB481" s="62"/>
      <c r="DC481" s="62"/>
      <c r="DD481" s="62"/>
      <c r="DE481" s="62"/>
      <c r="DF481" s="62"/>
      <c r="DG481" s="62"/>
      <c r="DH481" s="62"/>
      <c r="DI481" s="62"/>
      <c r="DJ481" s="62"/>
      <c r="DK481" s="62"/>
      <c r="DL481" s="62"/>
    </row>
    <row r="482" spans="1:116" x14ac:dyDescent="0.2">
      <c r="A482" s="57">
        <v>41244</v>
      </c>
      <c r="B482" s="58">
        <v>2012</v>
      </c>
      <c r="C482" s="66">
        <v>7.6360000000000001</v>
      </c>
      <c r="D482" s="62">
        <v>0.104</v>
      </c>
      <c r="E482" s="62">
        <v>1405.5319999999999</v>
      </c>
      <c r="F482" s="62">
        <v>59.031999999999996</v>
      </c>
      <c r="G482" s="62">
        <v>7.532</v>
      </c>
      <c r="H482" s="62">
        <v>71</v>
      </c>
      <c r="I482" s="62">
        <v>143.46</v>
      </c>
      <c r="J482" s="62">
        <v>-72.459999999999994</v>
      </c>
      <c r="K482" s="62">
        <v>1984.356</v>
      </c>
      <c r="L482" s="62">
        <v>122.586</v>
      </c>
      <c r="M482" s="62">
        <v>1210.4860000000001</v>
      </c>
      <c r="N482" s="62">
        <v>50.84</v>
      </c>
      <c r="O482" s="66">
        <v>6.4870000000000001</v>
      </c>
      <c r="P482" s="61">
        <v>90.367999999999995</v>
      </c>
      <c r="Q482" s="62">
        <v>3.7949999999999999</v>
      </c>
      <c r="R482" s="62">
        <v>0.496</v>
      </c>
      <c r="S482" s="62">
        <v>215</v>
      </c>
      <c r="T482" s="62"/>
      <c r="U482" s="62">
        <v>94</v>
      </c>
      <c r="V482" s="62">
        <v>94</v>
      </c>
      <c r="W482" s="62">
        <v>211.36799999999999</v>
      </c>
      <c r="X482" s="62">
        <v>8.8770000000000007</v>
      </c>
      <c r="Y482" s="61">
        <v>1.161</v>
      </c>
      <c r="Z482" s="63">
        <v>1.161</v>
      </c>
      <c r="AA482" s="64" t="e">
        <v>#N/A</v>
      </c>
      <c r="AB482" s="62" t="e">
        <v>#N/A</v>
      </c>
      <c r="AC482" s="62" t="e">
        <v>#N/A</v>
      </c>
      <c r="AD482" s="62" t="e">
        <v>#N/A</v>
      </c>
      <c r="AE482" s="62" t="e">
        <v>#N/A</v>
      </c>
      <c r="AF482" s="62" t="e">
        <v>#N/A</v>
      </c>
      <c r="AG482" s="62" t="e">
        <v>#N/A</v>
      </c>
      <c r="AH482" s="62" t="e">
        <v>#N/A</v>
      </c>
      <c r="AI482" s="62" t="e">
        <v>#N/A</v>
      </c>
      <c r="AJ482" s="62" t="e">
        <v>#N/A</v>
      </c>
      <c r="AK482" s="64" t="e">
        <v>#N/A</v>
      </c>
      <c r="AL482" s="19">
        <v>151417</v>
      </c>
      <c r="AM482" s="19">
        <v>109393</v>
      </c>
      <c r="AN482" s="23">
        <v>5880</v>
      </c>
      <c r="AO482" s="19">
        <v>134809</v>
      </c>
      <c r="AP482" s="19">
        <v>31724</v>
      </c>
      <c r="AQ482" s="19">
        <v>135286</v>
      </c>
      <c r="AR482" s="63"/>
      <c r="AS482" s="63"/>
      <c r="AT482" s="65">
        <f t="shared" si="37"/>
        <v>5661.9780000000001</v>
      </c>
      <c r="AU482" s="65">
        <f t="shared" si="38"/>
        <v>246.96</v>
      </c>
      <c r="AV482" s="65">
        <f t="shared" si="39"/>
        <v>1332.4079999999999</v>
      </c>
      <c r="AW482" s="65">
        <f t="shared" si="40"/>
        <v>6359.5140000000001</v>
      </c>
      <c r="AX482" s="65">
        <f t="shared" si="40"/>
        <v>4594.5060000000003</v>
      </c>
      <c r="AY482" s="65">
        <f t="shared" si="36"/>
        <v>5682.0119999999997</v>
      </c>
      <c r="AZ482" s="19">
        <v>45433</v>
      </c>
      <c r="BA482" s="19">
        <v>42812</v>
      </c>
      <c r="BB482" s="19">
        <v>39620</v>
      </c>
      <c r="BC482" s="19">
        <v>1825</v>
      </c>
      <c r="BD482" s="19">
        <v>5874</v>
      </c>
      <c r="BE482" s="23">
        <v>20173.02</v>
      </c>
      <c r="BF482" s="23">
        <v>9496.8250000000007</v>
      </c>
      <c r="BG482" s="23"/>
      <c r="BH482" s="23"/>
      <c r="BI482" s="67">
        <v>87.86</v>
      </c>
      <c r="BJ482" s="67">
        <v>3.02</v>
      </c>
      <c r="BK482" s="67">
        <v>3.01</v>
      </c>
      <c r="BL482" s="67">
        <v>2.59</v>
      </c>
      <c r="BM482" s="62"/>
      <c r="BN482" s="62"/>
      <c r="BO482" s="62"/>
      <c r="BP482" s="62"/>
      <c r="BQ482" s="62"/>
      <c r="BR482" s="62"/>
      <c r="BS482" s="62"/>
      <c r="BT482" s="62"/>
      <c r="BU482" s="62"/>
      <c r="BV482" s="62"/>
      <c r="BW482" s="62"/>
      <c r="BX482" s="62"/>
      <c r="BY482" s="62"/>
      <c r="BZ482" s="62"/>
      <c r="CA482" s="62"/>
      <c r="CB482" s="62"/>
      <c r="CC482" s="62"/>
      <c r="CD482" s="62"/>
      <c r="CE482" s="62"/>
      <c r="CF482" s="62"/>
      <c r="CG482" s="62"/>
      <c r="CH482" s="62"/>
      <c r="CI482" s="62"/>
      <c r="CJ482" s="62"/>
      <c r="CK482" s="62"/>
      <c r="CL482" s="62"/>
      <c r="CM482" s="62"/>
      <c r="CN482" s="62"/>
      <c r="CO482" s="62"/>
      <c r="CP482" s="62"/>
      <c r="CQ482" s="62"/>
      <c r="CR482" s="62"/>
      <c r="CS482" s="62"/>
      <c r="CT482" s="62"/>
      <c r="CU482" s="62"/>
      <c r="CV482" s="62"/>
      <c r="CW482" s="62"/>
      <c r="CX482" s="62"/>
      <c r="CY482" s="62"/>
      <c r="CZ482" s="62"/>
      <c r="DA482" s="62"/>
      <c r="DB482" s="62"/>
      <c r="DC482" s="62"/>
      <c r="DD482" s="62"/>
      <c r="DE482" s="62"/>
      <c r="DF482" s="62"/>
      <c r="DG482" s="62"/>
      <c r="DH482" s="62"/>
      <c r="DI482" s="62"/>
      <c r="DJ482" s="62"/>
      <c r="DK482" s="62"/>
      <c r="DL482" s="62"/>
    </row>
    <row r="483" spans="1:116" x14ac:dyDescent="0.2">
      <c r="A483" s="57">
        <v>41275</v>
      </c>
      <c r="B483" s="58">
        <v>2013</v>
      </c>
      <c r="C483" s="66">
        <v>8.9079999999999995</v>
      </c>
      <c r="D483" s="62">
        <v>0.121</v>
      </c>
      <c r="E483" s="62">
        <v>1639.6179999999999</v>
      </c>
      <c r="F483" s="62">
        <v>68.864000000000004</v>
      </c>
      <c r="G483" s="62">
        <v>8.7870000000000008</v>
      </c>
      <c r="H483" s="62">
        <v>38</v>
      </c>
      <c r="I483" s="62">
        <v>15.683</v>
      </c>
      <c r="J483" s="62">
        <v>22.317</v>
      </c>
      <c r="K483" s="62">
        <v>2001.8689999999999</v>
      </c>
      <c r="L483" s="62">
        <v>17.513999999999999</v>
      </c>
      <c r="M483" s="62">
        <v>1644.421</v>
      </c>
      <c r="N483" s="62">
        <v>69.066000000000003</v>
      </c>
      <c r="O483" s="66">
        <v>8.8119999999999994</v>
      </c>
      <c r="P483" s="61">
        <v>30.446999999999999</v>
      </c>
      <c r="Q483" s="62">
        <v>1.2789999999999999</v>
      </c>
      <c r="R483" s="62">
        <v>0.16700000000000001</v>
      </c>
      <c r="S483" s="62"/>
      <c r="T483" s="62"/>
      <c r="U483" s="62">
        <v>79</v>
      </c>
      <c r="V483" s="62">
        <v>-15</v>
      </c>
      <c r="W483" s="62">
        <v>45.447000000000003</v>
      </c>
      <c r="X483" s="62">
        <v>1.909</v>
      </c>
      <c r="Y483" s="61">
        <v>0.25</v>
      </c>
      <c r="Z483" s="63">
        <v>0.25</v>
      </c>
      <c r="AA483" s="64" t="e">
        <v>#N/A</v>
      </c>
      <c r="AB483" s="62" t="e">
        <v>#N/A</v>
      </c>
      <c r="AC483" s="62" t="e">
        <v>#N/A</v>
      </c>
      <c r="AD483" s="62" t="e">
        <v>#N/A</v>
      </c>
      <c r="AE483" s="62" t="e">
        <v>#N/A</v>
      </c>
      <c r="AF483" s="62" t="e">
        <v>#N/A</v>
      </c>
      <c r="AG483" s="62" t="e">
        <v>#N/A</v>
      </c>
      <c r="AH483" s="62" t="e">
        <v>#N/A</v>
      </c>
      <c r="AI483" s="62" t="e">
        <v>#N/A</v>
      </c>
      <c r="AJ483" s="62" t="e">
        <v>#N/A</v>
      </c>
      <c r="AK483" s="64" t="e">
        <v>#N/A</v>
      </c>
      <c r="AL483" s="19">
        <v>138875</v>
      </c>
      <c r="AM483" s="19">
        <v>125916</v>
      </c>
      <c r="AN483" s="23">
        <v>6616</v>
      </c>
      <c r="AO483" s="19">
        <v>131268</v>
      </c>
      <c r="AP483" s="19">
        <v>23996</v>
      </c>
      <c r="AQ483" s="19">
        <v>123458</v>
      </c>
      <c r="AR483" s="63"/>
      <c r="AS483" s="63"/>
      <c r="AT483" s="65">
        <f t="shared" si="37"/>
        <v>5513.2560000000003</v>
      </c>
      <c r="AU483" s="65">
        <f t="shared" si="38"/>
        <v>277.87200000000001</v>
      </c>
      <c r="AV483" s="65">
        <f t="shared" si="39"/>
        <v>1007.832</v>
      </c>
      <c r="AW483" s="65">
        <f t="shared" si="40"/>
        <v>5832.75</v>
      </c>
      <c r="AX483" s="65">
        <f t="shared" si="40"/>
        <v>5288.4719999999998</v>
      </c>
      <c r="AY483" s="65">
        <f t="shared" si="36"/>
        <v>5185.2359999999999</v>
      </c>
      <c r="AZ483" s="19">
        <v>43848</v>
      </c>
      <c r="BA483" s="19">
        <v>40640</v>
      </c>
      <c r="BB483" s="19">
        <v>39649</v>
      </c>
      <c r="BC483" s="19">
        <v>1896</v>
      </c>
      <c r="BD483" s="19">
        <v>5075</v>
      </c>
      <c r="BE483" s="23">
        <v>2303.7719999999999</v>
      </c>
      <c r="BF483" s="23">
        <v>1835.69</v>
      </c>
      <c r="BG483" s="23"/>
      <c r="BH483" s="23"/>
      <c r="BI483" s="67">
        <v>94.76</v>
      </c>
      <c r="BJ483" s="67">
        <v>3.05</v>
      </c>
      <c r="BK483" s="67">
        <v>3.12</v>
      </c>
      <c r="BL483" s="67">
        <v>2.68</v>
      </c>
      <c r="BM483" s="62"/>
      <c r="BN483" s="62"/>
      <c r="BO483" s="62"/>
      <c r="BP483" s="62"/>
      <c r="BQ483" s="62"/>
      <c r="BR483" s="62"/>
      <c r="BS483" s="62"/>
      <c r="BT483" s="62"/>
      <c r="BU483" s="62"/>
      <c r="BV483" s="62"/>
      <c r="BW483" s="62"/>
      <c r="BX483" s="62"/>
      <c r="BY483" s="62"/>
      <c r="BZ483" s="62"/>
      <c r="CA483" s="62"/>
      <c r="CB483" s="62"/>
      <c r="CC483" s="62"/>
      <c r="CD483" s="62"/>
      <c r="CE483" s="62"/>
      <c r="CF483" s="62"/>
      <c r="CG483" s="62"/>
      <c r="CH483" s="62"/>
      <c r="CI483" s="62"/>
      <c r="CJ483" s="62"/>
      <c r="CK483" s="62"/>
      <c r="CL483" s="62"/>
      <c r="CM483" s="62"/>
      <c r="CN483" s="62"/>
      <c r="CO483" s="62"/>
      <c r="CP483" s="62"/>
      <c r="CQ483" s="62"/>
      <c r="CR483" s="62"/>
      <c r="CS483" s="62"/>
      <c r="CT483" s="62"/>
      <c r="CU483" s="62"/>
      <c r="CV483" s="62"/>
      <c r="CW483" s="62"/>
      <c r="CX483" s="62"/>
      <c r="CY483" s="62"/>
      <c r="CZ483" s="62"/>
      <c r="DA483" s="62"/>
      <c r="DB483" s="62"/>
      <c r="DC483" s="62"/>
      <c r="DD483" s="62"/>
      <c r="DE483" s="62"/>
      <c r="DF483" s="62"/>
      <c r="DG483" s="62"/>
      <c r="DH483" s="62"/>
      <c r="DI483" s="62"/>
      <c r="DJ483" s="62"/>
      <c r="DK483" s="62"/>
      <c r="DL483" s="62"/>
    </row>
    <row r="484" spans="1:116" x14ac:dyDescent="0.2">
      <c r="A484" s="57">
        <v>41306</v>
      </c>
      <c r="B484" s="58">
        <v>2013</v>
      </c>
      <c r="C484" s="66">
        <v>9.0850000000000009</v>
      </c>
      <c r="D484" s="62">
        <v>0.124</v>
      </c>
      <c r="E484" s="62">
        <v>1672.2449999999999</v>
      </c>
      <c r="F484" s="62">
        <v>70.233999999999995</v>
      </c>
      <c r="G484" s="62">
        <v>8.9619999999999997</v>
      </c>
      <c r="H484" s="62">
        <v>88</v>
      </c>
      <c r="I484" s="62">
        <v>36.991</v>
      </c>
      <c r="J484" s="62">
        <v>51.009</v>
      </c>
      <c r="K484" s="62">
        <v>2025.81</v>
      </c>
      <c r="L484" s="62">
        <v>23.94</v>
      </c>
      <c r="M484" s="62">
        <v>1699.3140000000001</v>
      </c>
      <c r="N484" s="62">
        <v>71.370999999999995</v>
      </c>
      <c r="O484" s="66">
        <v>9.1069999999999993</v>
      </c>
      <c r="P484" s="61">
        <v>30.777999999999999</v>
      </c>
      <c r="Q484" s="62">
        <v>1.2929999999999999</v>
      </c>
      <c r="R484" s="62">
        <v>0.16900000000000001</v>
      </c>
      <c r="S484" s="62">
        <v>218</v>
      </c>
      <c r="T484" s="62"/>
      <c r="U484" s="62">
        <v>58</v>
      </c>
      <c r="V484" s="62">
        <v>-21</v>
      </c>
      <c r="W484" s="62">
        <v>269.77800000000002</v>
      </c>
      <c r="X484" s="62">
        <v>11.331</v>
      </c>
      <c r="Y484" s="61">
        <v>1.482</v>
      </c>
      <c r="Z484" s="63">
        <v>1.482</v>
      </c>
      <c r="AA484" s="64" t="e">
        <v>#N/A</v>
      </c>
      <c r="AB484" s="62" t="e">
        <v>#N/A</v>
      </c>
      <c r="AC484" s="62" t="e">
        <v>#N/A</v>
      </c>
      <c r="AD484" s="62" t="e">
        <v>#N/A</v>
      </c>
      <c r="AE484" s="62" t="e">
        <v>#N/A</v>
      </c>
      <c r="AF484" s="62" t="e">
        <v>#N/A</v>
      </c>
      <c r="AG484" s="62" t="e">
        <v>#N/A</v>
      </c>
      <c r="AH484" s="62" t="e">
        <v>#N/A</v>
      </c>
      <c r="AI484" s="62" t="e">
        <v>#N/A</v>
      </c>
      <c r="AJ484" s="62" t="e">
        <v>#N/A</v>
      </c>
      <c r="AK484" s="64" t="e">
        <v>#N/A</v>
      </c>
      <c r="AL484" s="19">
        <v>119854</v>
      </c>
      <c r="AM484" s="19">
        <v>111563</v>
      </c>
      <c r="AN484" s="23">
        <v>4865</v>
      </c>
      <c r="AO484" s="19">
        <v>121963</v>
      </c>
      <c r="AP484" s="19">
        <v>23329</v>
      </c>
      <c r="AQ484" s="19">
        <v>106928</v>
      </c>
      <c r="AR484" s="63"/>
      <c r="AS484" s="63"/>
      <c r="AT484" s="65">
        <f t="shared" si="37"/>
        <v>5122.4459999999999</v>
      </c>
      <c r="AU484" s="65">
        <f t="shared" si="38"/>
        <v>204.33</v>
      </c>
      <c r="AV484" s="65">
        <f t="shared" si="39"/>
        <v>979.81799999999998</v>
      </c>
      <c r="AW484" s="65">
        <f t="shared" si="40"/>
        <v>5033.8680000000004</v>
      </c>
      <c r="AX484" s="65">
        <f t="shared" si="40"/>
        <v>4685.6459999999997</v>
      </c>
      <c r="AY484" s="65">
        <f t="shared" si="36"/>
        <v>4490.9759999999997</v>
      </c>
      <c r="AZ484" s="19">
        <v>39248</v>
      </c>
      <c r="BA484" s="19">
        <v>37624</v>
      </c>
      <c r="BB484" s="19">
        <v>40497</v>
      </c>
      <c r="BC484" s="19">
        <v>1960</v>
      </c>
      <c r="BD484" s="19">
        <v>2736</v>
      </c>
      <c r="BE484" s="23">
        <v>5269.8379999999997</v>
      </c>
      <c r="BF484" s="23">
        <v>7309.067</v>
      </c>
      <c r="BG484" s="23"/>
      <c r="BH484" s="23"/>
      <c r="BI484" s="67">
        <v>95.31</v>
      </c>
      <c r="BJ484" s="67">
        <v>3.26</v>
      </c>
      <c r="BK484" s="67">
        <v>3.29</v>
      </c>
      <c r="BL484" s="67">
        <v>3.02</v>
      </c>
      <c r="BM484" s="62"/>
      <c r="BN484" s="62"/>
      <c r="BO484" s="62"/>
      <c r="BP484" s="62"/>
      <c r="BQ484" s="62"/>
      <c r="BR484" s="62"/>
      <c r="BS484" s="62"/>
      <c r="BT484" s="62"/>
      <c r="BU484" s="62"/>
      <c r="BV484" s="62"/>
      <c r="BW484" s="62"/>
      <c r="BX484" s="62"/>
      <c r="BY484" s="62"/>
      <c r="BZ484" s="62"/>
      <c r="CA484" s="62"/>
      <c r="CB484" s="62"/>
      <c r="CC484" s="62"/>
      <c r="CD484" s="62"/>
      <c r="CE484" s="62"/>
      <c r="CF484" s="62"/>
      <c r="CG484" s="62"/>
      <c r="CH484" s="62"/>
      <c r="CI484" s="62"/>
      <c r="CJ484" s="62"/>
      <c r="CK484" s="62"/>
      <c r="CL484" s="62"/>
      <c r="CM484" s="62"/>
      <c r="CN484" s="62"/>
      <c r="CO484" s="62"/>
      <c r="CP484" s="62"/>
      <c r="CQ484" s="62"/>
      <c r="CR484" s="62"/>
      <c r="CS484" s="62"/>
      <c r="CT484" s="62"/>
      <c r="CU484" s="62"/>
      <c r="CV484" s="62"/>
      <c r="CW484" s="62"/>
      <c r="CX484" s="62"/>
      <c r="CY484" s="62"/>
      <c r="CZ484" s="62"/>
      <c r="DA484" s="62"/>
      <c r="DB484" s="62"/>
      <c r="DC484" s="62"/>
      <c r="DD484" s="62"/>
      <c r="DE484" s="62"/>
      <c r="DF484" s="62"/>
      <c r="DG484" s="62"/>
      <c r="DH484" s="62"/>
      <c r="DI484" s="62"/>
      <c r="DJ484" s="62"/>
      <c r="DK484" s="62"/>
      <c r="DL484" s="62"/>
    </row>
    <row r="485" spans="1:116" x14ac:dyDescent="0.2">
      <c r="A485" s="57">
        <v>41334</v>
      </c>
      <c r="B485" s="58">
        <v>2013</v>
      </c>
      <c r="C485" s="66">
        <v>13.102</v>
      </c>
      <c r="D485" s="62">
        <v>0.17799999999999999</v>
      </c>
      <c r="E485" s="62">
        <v>2411.5230000000001</v>
      </c>
      <c r="F485" s="62">
        <v>101.28400000000001</v>
      </c>
      <c r="G485" s="62">
        <v>12.923</v>
      </c>
      <c r="H485" s="62">
        <v>439</v>
      </c>
      <c r="I485" s="62">
        <v>176.11600000000001</v>
      </c>
      <c r="J485" s="62">
        <v>262.88400000000001</v>
      </c>
      <c r="K485" s="62">
        <v>2389.8560000000002</v>
      </c>
      <c r="L485" s="62">
        <v>364.04700000000003</v>
      </c>
      <c r="M485" s="62">
        <v>2310.36</v>
      </c>
      <c r="N485" s="62">
        <v>97.034999999999997</v>
      </c>
      <c r="O485" s="66">
        <v>12.381</v>
      </c>
      <c r="P485" s="61">
        <v>44.631</v>
      </c>
      <c r="Q485" s="62">
        <v>1.8740000000000001</v>
      </c>
      <c r="R485" s="62">
        <v>0.245</v>
      </c>
      <c r="S485" s="62">
        <v>196</v>
      </c>
      <c r="T485" s="62"/>
      <c r="U485" s="62">
        <v>96</v>
      </c>
      <c r="V485" s="62">
        <v>38</v>
      </c>
      <c r="W485" s="62">
        <v>202.631</v>
      </c>
      <c r="X485" s="62">
        <v>8.51</v>
      </c>
      <c r="Y485" s="61">
        <v>1.113</v>
      </c>
      <c r="Z485" s="63">
        <v>1.113</v>
      </c>
      <c r="AA485" s="64" t="e">
        <v>#N/A</v>
      </c>
      <c r="AB485" s="62" t="e">
        <v>#N/A</v>
      </c>
      <c r="AC485" s="62" t="e">
        <v>#N/A</v>
      </c>
      <c r="AD485" s="62" t="e">
        <v>#N/A</v>
      </c>
      <c r="AE485" s="62" t="e">
        <v>#N/A</v>
      </c>
      <c r="AF485" s="62" t="e">
        <v>#N/A</v>
      </c>
      <c r="AG485" s="62" t="e">
        <v>#N/A</v>
      </c>
      <c r="AH485" s="62" t="e">
        <v>#N/A</v>
      </c>
      <c r="AI485" s="62" t="e">
        <v>#N/A</v>
      </c>
      <c r="AJ485" s="62" t="e">
        <v>#N/A</v>
      </c>
      <c r="AK485" s="64" t="e">
        <v>#N/A</v>
      </c>
      <c r="AL485" s="19">
        <v>132798</v>
      </c>
      <c r="AM485" s="19">
        <v>116843</v>
      </c>
      <c r="AN485" s="23">
        <v>4515</v>
      </c>
      <c r="AO485" s="19">
        <v>118737</v>
      </c>
      <c r="AP485" s="19">
        <v>25032</v>
      </c>
      <c r="AQ485" s="19">
        <v>118323</v>
      </c>
      <c r="AR485" s="63"/>
      <c r="AS485" s="63"/>
      <c r="AT485" s="65">
        <f t="shared" si="37"/>
        <v>4986.9539999999997</v>
      </c>
      <c r="AU485" s="65">
        <f t="shared" si="38"/>
        <v>189.63</v>
      </c>
      <c r="AV485" s="65">
        <f t="shared" si="39"/>
        <v>1051.3440000000001</v>
      </c>
      <c r="AW485" s="65">
        <f t="shared" si="40"/>
        <v>5577.5159999999996</v>
      </c>
      <c r="AX485" s="65">
        <f t="shared" si="40"/>
        <v>4907.4059999999999</v>
      </c>
      <c r="AY485" s="65">
        <f t="shared" si="36"/>
        <v>4969.5659999999998</v>
      </c>
      <c r="AZ485" s="19">
        <v>45305</v>
      </c>
      <c r="BA485" s="19">
        <v>43191</v>
      </c>
      <c r="BB485" s="19">
        <v>39883</v>
      </c>
      <c r="BC485" s="19">
        <v>1365</v>
      </c>
      <c r="BD485" s="19">
        <v>4093</v>
      </c>
      <c r="BE485" s="23">
        <v>24822.651000000002</v>
      </c>
      <c r="BF485" s="23">
        <v>60747.023000000001</v>
      </c>
      <c r="BG485" s="23"/>
      <c r="BH485" s="23"/>
      <c r="BI485" s="67">
        <v>92.94</v>
      </c>
      <c r="BJ485" s="67">
        <v>3.08</v>
      </c>
      <c r="BK485" s="67">
        <v>3.07</v>
      </c>
      <c r="BL485" s="67">
        <v>2.99</v>
      </c>
      <c r="BM485" s="62"/>
      <c r="BN485" s="62"/>
      <c r="BO485" s="62"/>
      <c r="BP485" s="62"/>
      <c r="BQ485" s="62"/>
      <c r="BR485" s="62"/>
      <c r="BS485" s="62"/>
      <c r="BT485" s="62"/>
      <c r="BU485" s="62"/>
      <c r="BV485" s="62"/>
      <c r="BW485" s="62"/>
      <c r="BX485" s="62"/>
      <c r="BY485" s="62"/>
      <c r="BZ485" s="62"/>
      <c r="CA485" s="62"/>
      <c r="CB485" s="62"/>
      <c r="CC485" s="62"/>
      <c r="CD485" s="62"/>
      <c r="CE485" s="62"/>
      <c r="CF485" s="62"/>
      <c r="CG485" s="62"/>
      <c r="CH485" s="62"/>
      <c r="CI485" s="62"/>
      <c r="CJ485" s="62"/>
      <c r="CK485" s="62"/>
      <c r="CL485" s="62"/>
      <c r="CM485" s="62"/>
      <c r="CN485" s="62"/>
      <c r="CO485" s="62"/>
      <c r="CP485" s="62"/>
      <c r="CQ485" s="62"/>
      <c r="CR485" s="62"/>
      <c r="CS485" s="62"/>
      <c r="CT485" s="62"/>
      <c r="CU485" s="62"/>
      <c r="CV485" s="62"/>
      <c r="CW485" s="62"/>
      <c r="CX485" s="62"/>
      <c r="CY485" s="62"/>
      <c r="CZ485" s="62"/>
      <c r="DA485" s="62"/>
      <c r="DB485" s="62"/>
      <c r="DC485" s="62"/>
      <c r="DD485" s="62"/>
      <c r="DE485" s="62"/>
      <c r="DF485" s="62"/>
      <c r="DG485" s="62"/>
      <c r="DH485" s="62"/>
      <c r="DI485" s="62"/>
      <c r="DJ485" s="62"/>
      <c r="DK485" s="62"/>
      <c r="DL485" s="62"/>
    </row>
    <row r="486" spans="1:116" x14ac:dyDescent="0.2">
      <c r="A486" s="57">
        <v>41365</v>
      </c>
      <c r="B486" s="58">
        <v>2013</v>
      </c>
      <c r="C486" s="66">
        <v>13.843999999999999</v>
      </c>
      <c r="D486" s="62">
        <v>0.189</v>
      </c>
      <c r="E486" s="62">
        <v>2548.0729999999999</v>
      </c>
      <c r="F486" s="62">
        <v>107.01900000000001</v>
      </c>
      <c r="G486" s="62">
        <v>13.654999999999999</v>
      </c>
      <c r="H486" s="62">
        <v>372</v>
      </c>
      <c r="I486" s="62">
        <v>370.96899999999999</v>
      </c>
      <c r="J486" s="62">
        <v>1.0309999999999999</v>
      </c>
      <c r="K486" s="62">
        <v>2506.9760000000001</v>
      </c>
      <c r="L486" s="62">
        <v>117.121</v>
      </c>
      <c r="M486" s="62">
        <v>2431.9830000000002</v>
      </c>
      <c r="N486" s="62">
        <v>102.143</v>
      </c>
      <c r="O486" s="66">
        <v>13.032999999999999</v>
      </c>
      <c r="P486" s="61">
        <v>39.853000000000002</v>
      </c>
      <c r="Q486" s="62">
        <v>1.6739999999999999</v>
      </c>
      <c r="R486" s="62">
        <v>0.219</v>
      </c>
      <c r="S486" s="62">
        <v>148</v>
      </c>
      <c r="T486" s="62"/>
      <c r="U486" s="62">
        <v>76</v>
      </c>
      <c r="V486" s="62">
        <v>-20</v>
      </c>
      <c r="W486" s="62">
        <v>207.85300000000001</v>
      </c>
      <c r="X486" s="62">
        <v>8.73</v>
      </c>
      <c r="Y486" s="61">
        <v>1.1419999999999999</v>
      </c>
      <c r="Z486" s="63">
        <v>1.1419999999999999</v>
      </c>
      <c r="AA486" s="64" t="e">
        <v>#N/A</v>
      </c>
      <c r="AB486" s="62" t="e">
        <v>#N/A</v>
      </c>
      <c r="AC486" s="62" t="e">
        <v>#N/A</v>
      </c>
      <c r="AD486" s="62" t="e">
        <v>#N/A</v>
      </c>
      <c r="AE486" s="62" t="e">
        <v>#N/A</v>
      </c>
      <c r="AF486" s="62" t="e">
        <v>#N/A</v>
      </c>
      <c r="AG486" s="62" t="e">
        <v>#N/A</v>
      </c>
      <c r="AH486" s="62" t="e">
        <v>#N/A</v>
      </c>
      <c r="AI486" s="62" t="e">
        <v>#N/A</v>
      </c>
      <c r="AJ486" s="62" t="e">
        <v>#N/A</v>
      </c>
      <c r="AK486" s="64" t="e">
        <v>#N/A</v>
      </c>
      <c r="AL486" s="19">
        <v>132493</v>
      </c>
      <c r="AM486" s="19">
        <v>115631</v>
      </c>
      <c r="AN486" s="23">
        <v>7135</v>
      </c>
      <c r="AO486" s="19">
        <v>118791</v>
      </c>
      <c r="AP486" s="19">
        <v>25297</v>
      </c>
      <c r="AQ486" s="19">
        <v>118955</v>
      </c>
      <c r="AR486" s="63"/>
      <c r="AS486" s="63"/>
      <c r="AT486" s="65">
        <f t="shared" si="37"/>
        <v>4989.2219999999998</v>
      </c>
      <c r="AU486" s="65">
        <f t="shared" si="38"/>
        <v>299.67</v>
      </c>
      <c r="AV486" s="65">
        <f t="shared" si="39"/>
        <v>1062.4739999999999</v>
      </c>
      <c r="AW486" s="65">
        <f t="shared" si="40"/>
        <v>5564.7060000000001</v>
      </c>
      <c r="AX486" s="65">
        <f t="shared" si="40"/>
        <v>4856.5020000000004</v>
      </c>
      <c r="AY486" s="65">
        <f t="shared" si="36"/>
        <v>4996.1099999999997</v>
      </c>
      <c r="AZ486" s="19">
        <v>45733</v>
      </c>
      <c r="BA486" s="19">
        <v>43314</v>
      </c>
      <c r="BB486" s="19">
        <v>41315</v>
      </c>
      <c r="BC486" s="19">
        <v>3116</v>
      </c>
      <c r="BD486" s="19">
        <v>4103</v>
      </c>
      <c r="BE486" s="23">
        <v>52288.838000000003</v>
      </c>
      <c r="BF486" s="23">
        <v>48066.938000000002</v>
      </c>
      <c r="BG486" s="23"/>
      <c r="BH486" s="23"/>
      <c r="BI486" s="67">
        <v>92.02</v>
      </c>
      <c r="BJ486" s="67">
        <v>2.97</v>
      </c>
      <c r="BK486" s="67">
        <v>2.92</v>
      </c>
      <c r="BL486" s="67">
        <v>2.85</v>
      </c>
      <c r="BM486" s="62"/>
      <c r="BN486" s="62"/>
      <c r="BO486" s="62"/>
      <c r="BP486" s="62"/>
      <c r="BQ486" s="62"/>
      <c r="BR486" s="62"/>
      <c r="BS486" s="62"/>
      <c r="BT486" s="62"/>
      <c r="BU486" s="62"/>
      <c r="BV486" s="62"/>
      <c r="BW486" s="62"/>
      <c r="BX486" s="62"/>
      <c r="BY486" s="62"/>
      <c r="BZ486" s="62"/>
      <c r="CA486" s="62"/>
      <c r="CB486" s="62"/>
      <c r="CC486" s="62"/>
      <c r="CD486" s="62"/>
      <c r="CE486" s="62"/>
      <c r="CF486" s="62"/>
      <c r="CG486" s="62"/>
      <c r="CH486" s="62"/>
      <c r="CI486" s="62"/>
      <c r="CJ486" s="62"/>
      <c r="CK486" s="62"/>
      <c r="CL486" s="62"/>
      <c r="CM486" s="62"/>
      <c r="CN486" s="62"/>
      <c r="CO486" s="62"/>
      <c r="CP486" s="62"/>
      <c r="CQ486" s="62"/>
      <c r="CR486" s="62"/>
      <c r="CS486" s="62"/>
      <c r="CT486" s="62"/>
      <c r="CU486" s="62"/>
      <c r="CV486" s="62"/>
      <c r="CW486" s="62"/>
      <c r="CX486" s="62"/>
      <c r="CY486" s="62"/>
      <c r="CZ486" s="62"/>
      <c r="DA486" s="62"/>
      <c r="DB486" s="62"/>
      <c r="DC486" s="62"/>
      <c r="DD486" s="62"/>
      <c r="DE486" s="62"/>
      <c r="DF486" s="62"/>
      <c r="DG486" s="62"/>
      <c r="DH486" s="62"/>
      <c r="DI486" s="62"/>
      <c r="DJ486" s="62"/>
      <c r="DK486" s="62"/>
      <c r="DL486" s="62"/>
    </row>
    <row r="487" spans="1:116" x14ac:dyDescent="0.2">
      <c r="A487" s="57">
        <v>41395</v>
      </c>
      <c r="B487" s="58">
        <v>2013</v>
      </c>
      <c r="C487" s="66">
        <v>14.372</v>
      </c>
      <c r="D487" s="62">
        <v>0.19600000000000001</v>
      </c>
      <c r="E487" s="62">
        <v>2645.26</v>
      </c>
      <c r="F487" s="62">
        <v>111.101</v>
      </c>
      <c r="G487" s="62">
        <v>14.176</v>
      </c>
      <c r="H487" s="62">
        <v>410</v>
      </c>
      <c r="I487" s="62">
        <v>563.10400000000004</v>
      </c>
      <c r="J487" s="62">
        <v>-153.10400000000001</v>
      </c>
      <c r="K487" s="62">
        <v>2459.7020000000002</v>
      </c>
      <c r="L487" s="62">
        <v>-47.274000000000001</v>
      </c>
      <c r="M487" s="62">
        <v>2539.4299999999998</v>
      </c>
      <c r="N487" s="62">
        <v>106.65600000000001</v>
      </c>
      <c r="O487" s="66">
        <v>13.609</v>
      </c>
      <c r="P487" s="61">
        <v>66.486999999999995</v>
      </c>
      <c r="Q487" s="62">
        <v>2.7919999999999998</v>
      </c>
      <c r="R487" s="62">
        <v>0.36499999999999999</v>
      </c>
      <c r="S487" s="62">
        <v>136</v>
      </c>
      <c r="T487" s="62"/>
      <c r="U487" s="62">
        <v>130</v>
      </c>
      <c r="V487" s="62">
        <v>54</v>
      </c>
      <c r="W487" s="62">
        <v>148.48699999999999</v>
      </c>
      <c r="X487" s="62">
        <v>6.2359999999999998</v>
      </c>
      <c r="Y487" s="61">
        <v>0.81599999999999995</v>
      </c>
      <c r="Z487" s="63">
        <v>0.81599999999999995</v>
      </c>
      <c r="AA487" s="64" t="e">
        <v>#N/A</v>
      </c>
      <c r="AB487" s="62" t="e">
        <v>#N/A</v>
      </c>
      <c r="AC487" s="62" t="e">
        <v>#N/A</v>
      </c>
      <c r="AD487" s="62" t="e">
        <v>#N/A</v>
      </c>
      <c r="AE487" s="62" t="e">
        <v>#N/A</v>
      </c>
      <c r="AF487" s="62" t="e">
        <v>#N/A</v>
      </c>
      <c r="AG487" s="62" t="e">
        <v>#N/A</v>
      </c>
      <c r="AH487" s="62" t="e">
        <v>#N/A</v>
      </c>
      <c r="AI487" s="62" t="e">
        <v>#N/A</v>
      </c>
      <c r="AJ487" s="62" t="e">
        <v>#N/A</v>
      </c>
      <c r="AK487" s="64" t="e">
        <v>#N/A</v>
      </c>
      <c r="AL487" s="19">
        <v>147781</v>
      </c>
      <c r="AM487" s="19">
        <v>116219</v>
      </c>
      <c r="AN487" s="23">
        <v>5211</v>
      </c>
      <c r="AO487" s="19">
        <v>122132</v>
      </c>
      <c r="AP487" s="19">
        <v>34823</v>
      </c>
      <c r="AQ487" s="19">
        <v>133100</v>
      </c>
      <c r="AR487" s="63"/>
      <c r="AS487" s="63"/>
      <c r="AT487" s="65">
        <f t="shared" si="37"/>
        <v>5129.5439999999999</v>
      </c>
      <c r="AU487" s="65">
        <f t="shared" si="38"/>
        <v>218.86199999999999</v>
      </c>
      <c r="AV487" s="65">
        <f t="shared" si="39"/>
        <v>1462.566</v>
      </c>
      <c r="AW487" s="65">
        <f t="shared" si="40"/>
        <v>6206.8019999999997</v>
      </c>
      <c r="AX487" s="65">
        <f t="shared" si="40"/>
        <v>4881.1980000000003</v>
      </c>
      <c r="AY487" s="65">
        <f t="shared" si="36"/>
        <v>5590.2</v>
      </c>
      <c r="AZ487" s="19">
        <v>44936</v>
      </c>
      <c r="BA487" s="19">
        <v>45234</v>
      </c>
      <c r="BB487" s="19">
        <v>40801</v>
      </c>
      <c r="BC487" s="19">
        <v>3502</v>
      </c>
      <c r="BD487" s="19">
        <v>3718</v>
      </c>
      <c r="BE487" s="23">
        <v>79370.789999999994</v>
      </c>
      <c r="BF487" s="23">
        <v>67407.11</v>
      </c>
      <c r="BG487" s="23"/>
      <c r="BH487" s="23"/>
      <c r="BI487" s="67">
        <v>94.51</v>
      </c>
      <c r="BJ487" s="67">
        <v>2.96</v>
      </c>
      <c r="BK487" s="67">
        <v>2.79</v>
      </c>
      <c r="BL487" s="67">
        <v>2.95</v>
      </c>
      <c r="BM487" s="62"/>
      <c r="BN487" s="62"/>
      <c r="BO487" s="62"/>
      <c r="BP487" s="62"/>
      <c r="BQ487" s="62"/>
      <c r="BR487" s="62"/>
      <c r="BS487" s="62"/>
      <c r="BT487" s="62"/>
      <c r="BU487" s="62"/>
      <c r="BV487" s="62"/>
      <c r="BW487" s="62"/>
      <c r="BX487" s="62"/>
      <c r="BY487" s="62"/>
      <c r="BZ487" s="62"/>
      <c r="CA487" s="62"/>
      <c r="CB487" s="62"/>
      <c r="CC487" s="62"/>
      <c r="CD487" s="62"/>
      <c r="CE487" s="62"/>
      <c r="CF487" s="62"/>
      <c r="CG487" s="62"/>
      <c r="CH487" s="62"/>
      <c r="CI487" s="62"/>
      <c r="CJ487" s="62"/>
      <c r="CK487" s="62"/>
      <c r="CL487" s="62"/>
      <c r="CM487" s="62"/>
      <c r="CN487" s="62"/>
      <c r="CO487" s="62"/>
      <c r="CP487" s="62"/>
      <c r="CQ487" s="62"/>
      <c r="CR487" s="62"/>
      <c r="CS487" s="62"/>
      <c r="CT487" s="62"/>
      <c r="CU487" s="62"/>
      <c r="CV487" s="62"/>
      <c r="CW487" s="62"/>
      <c r="CX487" s="62"/>
      <c r="CY487" s="62"/>
      <c r="CZ487" s="62"/>
      <c r="DA487" s="62"/>
      <c r="DB487" s="62"/>
      <c r="DC487" s="62"/>
      <c r="DD487" s="62"/>
      <c r="DE487" s="62"/>
      <c r="DF487" s="62"/>
      <c r="DG487" s="62"/>
      <c r="DH487" s="62"/>
      <c r="DI487" s="62"/>
      <c r="DJ487" s="62"/>
      <c r="DK487" s="62"/>
      <c r="DL487" s="62"/>
    </row>
    <row r="488" spans="1:116" x14ac:dyDescent="0.2">
      <c r="A488" s="57">
        <v>41426</v>
      </c>
      <c r="B488" s="58">
        <v>2013</v>
      </c>
      <c r="C488" s="66">
        <v>14.664999999999999</v>
      </c>
      <c r="D488" s="62">
        <v>0.2</v>
      </c>
      <c r="E488" s="62">
        <v>2699.2530000000002</v>
      </c>
      <c r="F488" s="62">
        <v>113.369</v>
      </c>
      <c r="G488" s="62">
        <v>14.465</v>
      </c>
      <c r="H488" s="62">
        <v>698</v>
      </c>
      <c r="I488" s="62">
        <v>587.38699999999994</v>
      </c>
      <c r="J488" s="62">
        <v>110.613</v>
      </c>
      <c r="K488" s="62">
        <v>2484.8649999999998</v>
      </c>
      <c r="L488" s="62">
        <v>25.163</v>
      </c>
      <c r="M488" s="62">
        <v>2784.703</v>
      </c>
      <c r="N488" s="62">
        <v>116.958</v>
      </c>
      <c r="O488" s="66">
        <v>14.923</v>
      </c>
      <c r="P488" s="61">
        <v>172.761</v>
      </c>
      <c r="Q488" s="62">
        <v>7.2560000000000002</v>
      </c>
      <c r="R488" s="62">
        <v>0.94899999999999995</v>
      </c>
      <c r="S488" s="62">
        <v>523</v>
      </c>
      <c r="T488" s="62"/>
      <c r="U488" s="62">
        <v>77</v>
      </c>
      <c r="V488" s="62">
        <v>-53</v>
      </c>
      <c r="W488" s="62">
        <v>748.76099999999997</v>
      </c>
      <c r="X488" s="62">
        <v>31.448</v>
      </c>
      <c r="Y488" s="61">
        <v>4.1139999999999999</v>
      </c>
      <c r="Z488" s="63">
        <v>4.1139999999999999</v>
      </c>
      <c r="AA488" s="64" t="e">
        <v>#N/A</v>
      </c>
      <c r="AB488" s="62" t="e">
        <v>#N/A</v>
      </c>
      <c r="AC488" s="62" t="e">
        <v>#N/A</v>
      </c>
      <c r="AD488" s="62" t="e">
        <v>#N/A</v>
      </c>
      <c r="AE488" s="62" t="e">
        <v>#N/A</v>
      </c>
      <c r="AF488" s="62" t="e">
        <v>#N/A</v>
      </c>
      <c r="AG488" s="62" t="e">
        <v>#N/A</v>
      </c>
      <c r="AH488" s="62" t="e">
        <v>#N/A</v>
      </c>
      <c r="AI488" s="62" t="e">
        <v>#N/A</v>
      </c>
      <c r="AJ488" s="62" t="e">
        <v>#N/A</v>
      </c>
      <c r="AK488" s="64" t="e">
        <v>#N/A</v>
      </c>
      <c r="AL488" s="19">
        <v>143745</v>
      </c>
      <c r="AM488" s="19">
        <v>109886</v>
      </c>
      <c r="AN488" s="23">
        <v>3617</v>
      </c>
      <c r="AO488" s="19">
        <v>122463</v>
      </c>
      <c r="AP488" s="19">
        <v>38771</v>
      </c>
      <c r="AQ488" s="19">
        <v>127874</v>
      </c>
      <c r="AR488" s="63"/>
      <c r="AS488" s="63"/>
      <c r="AT488" s="65">
        <f t="shared" si="37"/>
        <v>5143.4459999999999</v>
      </c>
      <c r="AU488" s="65">
        <f t="shared" si="38"/>
        <v>151.91399999999999</v>
      </c>
      <c r="AV488" s="65">
        <f t="shared" si="39"/>
        <v>1628.3820000000001</v>
      </c>
      <c r="AW488" s="65">
        <f t="shared" si="40"/>
        <v>6037.29</v>
      </c>
      <c r="AX488" s="65">
        <f t="shared" si="40"/>
        <v>4615.2120000000004</v>
      </c>
      <c r="AY488" s="65">
        <f t="shared" si="36"/>
        <v>5370.7079999999996</v>
      </c>
      <c r="AZ488" s="19">
        <v>45651</v>
      </c>
      <c r="BA488" s="19">
        <v>43615</v>
      </c>
      <c r="BB488" s="19">
        <v>40414</v>
      </c>
      <c r="BC488" s="19">
        <v>2959</v>
      </c>
      <c r="BD488" s="19">
        <v>5382</v>
      </c>
      <c r="BE488" s="23">
        <v>82788.963000000003</v>
      </c>
      <c r="BF488" s="23">
        <v>96149.150999999998</v>
      </c>
      <c r="BG488" s="23"/>
      <c r="BH488" s="23"/>
      <c r="BI488" s="67">
        <v>95.77</v>
      </c>
      <c r="BJ488" s="67">
        <v>2.92</v>
      </c>
      <c r="BK488" s="67">
        <v>2.81</v>
      </c>
      <c r="BL488" s="67">
        <v>2.88</v>
      </c>
      <c r="BM488" s="62"/>
      <c r="BN488" s="62"/>
      <c r="BO488" s="62"/>
      <c r="BP488" s="62"/>
      <c r="BQ488" s="62"/>
      <c r="BR488" s="62"/>
      <c r="BS488" s="62"/>
      <c r="BT488" s="62"/>
      <c r="BU488" s="62"/>
      <c r="BV488" s="62"/>
      <c r="BW488" s="62"/>
      <c r="BX488" s="62"/>
      <c r="BY488" s="62"/>
      <c r="BZ488" s="62"/>
      <c r="CA488" s="62"/>
      <c r="CB488" s="62"/>
      <c r="CC488" s="62"/>
      <c r="CD488" s="62"/>
      <c r="CE488" s="62"/>
      <c r="CF488" s="62"/>
      <c r="CG488" s="62"/>
      <c r="CH488" s="62"/>
      <c r="CI488" s="62"/>
      <c r="CJ488" s="62"/>
      <c r="CK488" s="62"/>
      <c r="CL488" s="62"/>
      <c r="CM488" s="62"/>
      <c r="CN488" s="62"/>
      <c r="CO488" s="62"/>
      <c r="CP488" s="62"/>
      <c r="CQ488" s="62"/>
      <c r="CR488" s="62"/>
      <c r="CS488" s="62"/>
      <c r="CT488" s="62"/>
      <c r="CU488" s="62"/>
      <c r="CV488" s="62"/>
      <c r="CW488" s="62"/>
      <c r="CX488" s="62"/>
      <c r="CY488" s="62"/>
      <c r="CZ488" s="62"/>
      <c r="DA488" s="62"/>
      <c r="DB488" s="62"/>
      <c r="DC488" s="62"/>
      <c r="DD488" s="62"/>
      <c r="DE488" s="62"/>
      <c r="DF488" s="62"/>
      <c r="DG488" s="62"/>
      <c r="DH488" s="62"/>
      <c r="DI488" s="62"/>
      <c r="DJ488" s="62"/>
      <c r="DK488" s="62"/>
      <c r="DL488" s="62"/>
    </row>
    <row r="489" spans="1:116" x14ac:dyDescent="0.2">
      <c r="A489" s="57">
        <v>41456</v>
      </c>
      <c r="B489" s="58">
        <v>2013</v>
      </c>
      <c r="C489" s="66">
        <v>16.690000000000001</v>
      </c>
      <c r="D489" s="62">
        <v>0.22700000000000001</v>
      </c>
      <c r="E489" s="62">
        <v>3072.0529999999999</v>
      </c>
      <c r="F489" s="62">
        <v>129.02600000000001</v>
      </c>
      <c r="G489" s="62">
        <v>16.463000000000001</v>
      </c>
      <c r="H489" s="62">
        <v>358</v>
      </c>
      <c r="I489" s="62">
        <v>428.84800000000001</v>
      </c>
      <c r="J489" s="62">
        <v>-70.847999999999999</v>
      </c>
      <c r="K489" s="62">
        <v>2682.873</v>
      </c>
      <c r="L489" s="62">
        <v>198.00700000000001</v>
      </c>
      <c r="M489" s="62">
        <v>2803.1979999999999</v>
      </c>
      <c r="N489" s="62">
        <v>117.73399999999999</v>
      </c>
      <c r="O489" s="66">
        <v>15.022</v>
      </c>
      <c r="P489" s="61">
        <v>374.10300000000001</v>
      </c>
      <c r="Q489" s="62">
        <v>15.712</v>
      </c>
      <c r="R489" s="62">
        <v>2.0550000000000002</v>
      </c>
      <c r="S489" s="62">
        <v>365</v>
      </c>
      <c r="T489" s="62"/>
      <c r="U489" s="62">
        <v>109</v>
      </c>
      <c r="V489" s="62">
        <v>32</v>
      </c>
      <c r="W489" s="62">
        <v>707.10299999999995</v>
      </c>
      <c r="X489" s="62">
        <v>29.698</v>
      </c>
      <c r="Y489" s="61">
        <v>3.8849999999999998</v>
      </c>
      <c r="Z489" s="63">
        <v>3.8849999999999998</v>
      </c>
      <c r="AA489" s="64" t="e">
        <v>#N/A</v>
      </c>
      <c r="AB489" s="62" t="e">
        <v>#N/A</v>
      </c>
      <c r="AC489" s="62" t="e">
        <v>#N/A</v>
      </c>
      <c r="AD489" s="62" t="e">
        <v>#N/A</v>
      </c>
      <c r="AE489" s="62" t="e">
        <v>#N/A</v>
      </c>
      <c r="AF489" s="62" t="e">
        <v>#N/A</v>
      </c>
      <c r="AG489" s="62" t="e">
        <v>#N/A</v>
      </c>
      <c r="AH489" s="62" t="e">
        <v>#N/A</v>
      </c>
      <c r="AI489" s="62" t="e">
        <v>#N/A</v>
      </c>
      <c r="AJ489" s="62" t="e">
        <v>#N/A</v>
      </c>
      <c r="AK489" s="64" t="e">
        <v>#N/A</v>
      </c>
      <c r="AL489" s="19">
        <v>152948</v>
      </c>
      <c r="AM489" s="19">
        <v>112251</v>
      </c>
      <c r="AN489" s="23">
        <v>3319</v>
      </c>
      <c r="AO489" s="19">
        <v>126020</v>
      </c>
      <c r="AP489" s="19">
        <v>41871</v>
      </c>
      <c r="AQ489" s="19">
        <v>138355</v>
      </c>
      <c r="AR489" s="63"/>
      <c r="AS489" s="63"/>
      <c r="AT489" s="65">
        <f t="shared" si="37"/>
        <v>5292.84</v>
      </c>
      <c r="AU489" s="65">
        <f t="shared" si="38"/>
        <v>139.398</v>
      </c>
      <c r="AV489" s="65">
        <f t="shared" si="39"/>
        <v>1758.5820000000001</v>
      </c>
      <c r="AW489" s="65">
        <f t="shared" si="40"/>
        <v>6423.8159999999998</v>
      </c>
      <c r="AX489" s="65">
        <f t="shared" si="40"/>
        <v>4714.5420000000004</v>
      </c>
      <c r="AY489" s="65">
        <f t="shared" si="36"/>
        <v>5810.91</v>
      </c>
      <c r="AZ489" s="19">
        <v>48385</v>
      </c>
      <c r="BA489" s="19">
        <v>47931</v>
      </c>
      <c r="BB489" s="19">
        <v>39151</v>
      </c>
      <c r="BC489" s="19">
        <v>2964</v>
      </c>
      <c r="BD489" s="19">
        <v>4681</v>
      </c>
      <c r="BE489" s="23">
        <v>60446.368999999999</v>
      </c>
      <c r="BF489" s="23">
        <v>47662.034</v>
      </c>
      <c r="BG489" s="23"/>
      <c r="BH489" s="23"/>
      <c r="BI489" s="67">
        <v>104.67</v>
      </c>
      <c r="BJ489" s="67">
        <v>3.02</v>
      </c>
      <c r="BK489" s="67">
        <v>2.91</v>
      </c>
      <c r="BL489" s="67">
        <v>2.94</v>
      </c>
      <c r="BM489" s="62"/>
      <c r="BN489" s="62"/>
      <c r="BO489" s="62"/>
      <c r="BP489" s="62"/>
      <c r="BQ489" s="62"/>
      <c r="BR489" s="62"/>
      <c r="BS489" s="62"/>
      <c r="BT489" s="62"/>
      <c r="BU489" s="62"/>
      <c r="BV489" s="62"/>
      <c r="BW489" s="62"/>
      <c r="BX489" s="62"/>
      <c r="BY489" s="62"/>
      <c r="BZ489" s="62"/>
      <c r="CA489" s="62"/>
      <c r="CB489" s="62"/>
      <c r="CC489" s="62"/>
      <c r="CD489" s="62"/>
      <c r="CE489" s="62"/>
      <c r="CF489" s="62"/>
      <c r="CG489" s="62"/>
      <c r="CH489" s="62"/>
      <c r="CI489" s="62"/>
      <c r="CJ489" s="62"/>
      <c r="CK489" s="62"/>
      <c r="CL489" s="62"/>
      <c r="CM489" s="62"/>
      <c r="CN489" s="62"/>
      <c r="CO489" s="62"/>
      <c r="CP489" s="62"/>
      <c r="CQ489" s="62"/>
      <c r="CR489" s="62"/>
      <c r="CS489" s="62"/>
      <c r="CT489" s="62"/>
      <c r="CU489" s="62"/>
      <c r="CV489" s="62"/>
      <c r="CW489" s="62"/>
      <c r="CX489" s="62"/>
      <c r="CY489" s="62"/>
      <c r="CZ489" s="62"/>
      <c r="DA489" s="62"/>
      <c r="DB489" s="62"/>
      <c r="DC489" s="62"/>
      <c r="DD489" s="62"/>
      <c r="DE489" s="62"/>
      <c r="DF489" s="62"/>
      <c r="DG489" s="62"/>
      <c r="DH489" s="62"/>
      <c r="DI489" s="62"/>
      <c r="DJ489" s="62"/>
      <c r="DK489" s="62"/>
      <c r="DL489" s="62"/>
    </row>
    <row r="490" spans="1:116" x14ac:dyDescent="0.2">
      <c r="A490" s="57">
        <v>41487</v>
      </c>
      <c r="B490" s="58">
        <v>2013</v>
      </c>
      <c r="C490" s="66">
        <v>16.766999999999999</v>
      </c>
      <c r="D490" s="62">
        <v>0.22800000000000001</v>
      </c>
      <c r="E490" s="62">
        <v>3086.1559999999999</v>
      </c>
      <c r="F490" s="62">
        <v>129.619</v>
      </c>
      <c r="G490" s="62">
        <v>16.539000000000001</v>
      </c>
      <c r="H490" s="62">
        <v>385</v>
      </c>
      <c r="I490" s="62">
        <v>686.726</v>
      </c>
      <c r="J490" s="62">
        <v>-301.726</v>
      </c>
      <c r="K490" s="62">
        <v>2549.1060000000002</v>
      </c>
      <c r="L490" s="62">
        <v>-133.767</v>
      </c>
      <c r="M490" s="62">
        <v>2918.1970000000001</v>
      </c>
      <c r="N490" s="62">
        <v>122.56399999999999</v>
      </c>
      <c r="O490" s="66">
        <v>15.638999999999999</v>
      </c>
      <c r="P490" s="61">
        <v>363.24400000000003</v>
      </c>
      <c r="Q490" s="62">
        <v>15.256</v>
      </c>
      <c r="R490" s="62">
        <v>1.996</v>
      </c>
      <c r="S490" s="62">
        <v>866</v>
      </c>
      <c r="T490" s="62"/>
      <c r="U490" s="62">
        <v>546</v>
      </c>
      <c r="V490" s="62">
        <v>437</v>
      </c>
      <c r="W490" s="62">
        <v>792.24400000000003</v>
      </c>
      <c r="X490" s="62">
        <v>33.274000000000001</v>
      </c>
      <c r="Y490" s="61">
        <v>4.3529999999999998</v>
      </c>
      <c r="Z490" s="63">
        <v>4.3529999999999998</v>
      </c>
      <c r="AA490" s="64" t="e">
        <v>#N/A</v>
      </c>
      <c r="AB490" s="62" t="e">
        <v>#N/A</v>
      </c>
      <c r="AC490" s="62" t="e">
        <v>#N/A</v>
      </c>
      <c r="AD490" s="62" t="e">
        <v>#N/A</v>
      </c>
      <c r="AE490" s="62" t="e">
        <v>#N/A</v>
      </c>
      <c r="AF490" s="62" t="e">
        <v>#N/A</v>
      </c>
      <c r="AG490" s="62" t="e">
        <v>#N/A</v>
      </c>
      <c r="AH490" s="62" t="e">
        <v>#N/A</v>
      </c>
      <c r="AI490" s="62" t="e">
        <v>#N/A</v>
      </c>
      <c r="AJ490" s="62" t="e">
        <v>#N/A</v>
      </c>
      <c r="AK490" s="64" t="e">
        <v>#N/A</v>
      </c>
      <c r="AL490" s="19">
        <v>152829</v>
      </c>
      <c r="AM490" s="19">
        <v>114490</v>
      </c>
      <c r="AN490" s="23">
        <v>3812</v>
      </c>
      <c r="AO490" s="19">
        <v>129060</v>
      </c>
      <c r="AP490" s="19">
        <v>40548</v>
      </c>
      <c r="AQ490" s="19">
        <v>137366</v>
      </c>
      <c r="AR490" s="63"/>
      <c r="AS490" s="63"/>
      <c r="AT490" s="65">
        <f t="shared" si="37"/>
        <v>5420.52</v>
      </c>
      <c r="AU490" s="65">
        <f t="shared" si="38"/>
        <v>160.10400000000001</v>
      </c>
      <c r="AV490" s="65">
        <f t="shared" si="39"/>
        <v>1703.0160000000001</v>
      </c>
      <c r="AW490" s="65">
        <f t="shared" si="40"/>
        <v>6418.8180000000002</v>
      </c>
      <c r="AX490" s="65">
        <f t="shared" si="40"/>
        <v>4808.58</v>
      </c>
      <c r="AY490" s="65">
        <f t="shared" si="36"/>
        <v>5769.3720000000003</v>
      </c>
      <c r="AZ490" s="19">
        <v>49751</v>
      </c>
      <c r="BA490" s="19">
        <v>47247</v>
      </c>
      <c r="BB490" s="19">
        <v>39453</v>
      </c>
      <c r="BC490" s="19">
        <v>3837</v>
      </c>
      <c r="BD490" s="19">
        <v>6039</v>
      </c>
      <c r="BE490" s="23">
        <v>96793.842000000004</v>
      </c>
      <c r="BF490" s="23">
        <v>71246.373999999996</v>
      </c>
      <c r="BG490" s="23"/>
      <c r="BH490" s="23"/>
      <c r="BI490" s="67">
        <v>106.57</v>
      </c>
      <c r="BJ490" s="67">
        <v>3.08</v>
      </c>
      <c r="BK490" s="67">
        <v>3</v>
      </c>
      <c r="BL490" s="67">
        <v>2.89</v>
      </c>
      <c r="BM490" s="62"/>
      <c r="BN490" s="62"/>
      <c r="BO490" s="62"/>
      <c r="BP490" s="62"/>
      <c r="BQ490" s="62"/>
      <c r="BR490" s="62"/>
      <c r="BS490" s="62"/>
      <c r="BT490" s="62"/>
      <c r="BU490" s="62"/>
      <c r="BV490" s="62"/>
      <c r="BW490" s="62"/>
      <c r="BX490" s="62"/>
      <c r="BY490" s="62"/>
      <c r="BZ490" s="62"/>
      <c r="CA490" s="62"/>
      <c r="CB490" s="62"/>
      <c r="CC490" s="62"/>
      <c r="CD490" s="62"/>
      <c r="CE490" s="62"/>
      <c r="CF490" s="62"/>
      <c r="CG490" s="62"/>
      <c r="CH490" s="62"/>
      <c r="CI490" s="62"/>
      <c r="CJ490" s="62"/>
      <c r="CK490" s="62"/>
      <c r="CL490" s="62"/>
      <c r="CM490" s="62"/>
      <c r="CN490" s="62"/>
      <c r="CO490" s="62"/>
      <c r="CP490" s="62"/>
      <c r="CQ490" s="62"/>
      <c r="CR490" s="62"/>
      <c r="CS490" s="62"/>
      <c r="CT490" s="62"/>
      <c r="CU490" s="62"/>
      <c r="CV490" s="62"/>
      <c r="CW490" s="62"/>
      <c r="CX490" s="62"/>
      <c r="CY490" s="62"/>
      <c r="CZ490" s="62"/>
      <c r="DA490" s="62"/>
      <c r="DB490" s="62"/>
      <c r="DC490" s="62"/>
      <c r="DD490" s="62"/>
      <c r="DE490" s="62"/>
      <c r="DF490" s="62"/>
      <c r="DG490" s="62"/>
      <c r="DH490" s="62"/>
      <c r="DI490" s="62"/>
      <c r="DJ490" s="62"/>
      <c r="DK490" s="62"/>
      <c r="DL490" s="62"/>
    </row>
    <row r="491" spans="1:116" x14ac:dyDescent="0.2">
      <c r="A491" s="57">
        <v>41518</v>
      </c>
      <c r="B491" s="58">
        <v>2013</v>
      </c>
      <c r="C491" s="66">
        <v>16.437000000000001</v>
      </c>
      <c r="D491" s="62">
        <v>0.224</v>
      </c>
      <c r="E491" s="62">
        <v>3025.366</v>
      </c>
      <c r="F491" s="62">
        <v>127.065</v>
      </c>
      <c r="G491" s="62">
        <v>16.213000000000001</v>
      </c>
      <c r="H491" s="62">
        <v>781</v>
      </c>
      <c r="I491" s="62">
        <v>510.70100000000002</v>
      </c>
      <c r="J491" s="62">
        <v>270.29899999999998</v>
      </c>
      <c r="K491" s="62">
        <v>2508.991</v>
      </c>
      <c r="L491" s="62">
        <v>-40.115000000000002</v>
      </c>
      <c r="M491" s="62">
        <v>3335.78</v>
      </c>
      <c r="N491" s="62">
        <v>140.10300000000001</v>
      </c>
      <c r="O491" s="66">
        <v>17.876000000000001</v>
      </c>
      <c r="P491" s="61">
        <v>420.02600000000001</v>
      </c>
      <c r="Q491" s="62">
        <v>17.640999999999998</v>
      </c>
      <c r="R491" s="62">
        <v>2.3079999999999998</v>
      </c>
      <c r="S491" s="62">
        <v>613</v>
      </c>
      <c r="T491" s="62"/>
      <c r="U491" s="62">
        <v>537</v>
      </c>
      <c r="V491" s="62">
        <v>-9</v>
      </c>
      <c r="W491" s="62">
        <v>1042.0260000000001</v>
      </c>
      <c r="X491" s="62">
        <v>43.765000000000001</v>
      </c>
      <c r="Y491" s="61">
        <v>5.7249999999999996</v>
      </c>
      <c r="Z491" s="63">
        <v>5.7249999999999996</v>
      </c>
      <c r="AA491" s="64" t="e">
        <v>#N/A</v>
      </c>
      <c r="AB491" s="62" t="e">
        <v>#N/A</v>
      </c>
      <c r="AC491" s="62" t="e">
        <v>#N/A</v>
      </c>
      <c r="AD491" s="62" t="e">
        <v>#N/A</v>
      </c>
      <c r="AE491" s="62" t="e">
        <v>#N/A</v>
      </c>
      <c r="AF491" s="62" t="e">
        <v>#N/A</v>
      </c>
      <c r="AG491" s="62" t="e">
        <v>#N/A</v>
      </c>
      <c r="AH491" s="62" t="e">
        <v>#N/A</v>
      </c>
      <c r="AI491" s="62" t="e">
        <v>#N/A</v>
      </c>
      <c r="AJ491" s="62" t="e">
        <v>#N/A</v>
      </c>
      <c r="AK491" s="64" t="e">
        <v>#N/A</v>
      </c>
      <c r="AL491" s="19">
        <v>146651</v>
      </c>
      <c r="AM491" s="19">
        <v>111739</v>
      </c>
      <c r="AN491" s="23">
        <v>3961</v>
      </c>
      <c r="AO491" s="19">
        <v>129326</v>
      </c>
      <c r="AP491" s="19">
        <v>40543</v>
      </c>
      <c r="AQ491" s="19">
        <v>131205</v>
      </c>
      <c r="AR491" s="63"/>
      <c r="AS491" s="63"/>
      <c r="AT491" s="65">
        <f t="shared" si="37"/>
        <v>5431.692</v>
      </c>
      <c r="AU491" s="65">
        <f t="shared" si="38"/>
        <v>166.36199999999999</v>
      </c>
      <c r="AV491" s="65">
        <f t="shared" si="39"/>
        <v>1702.806</v>
      </c>
      <c r="AW491" s="65">
        <f t="shared" si="40"/>
        <v>6159.3419999999996</v>
      </c>
      <c r="AX491" s="65">
        <f t="shared" si="40"/>
        <v>4693.0379999999996</v>
      </c>
      <c r="AY491" s="65">
        <f t="shared" si="36"/>
        <v>5510.61</v>
      </c>
      <c r="AZ491" s="19">
        <v>46319</v>
      </c>
      <c r="BA491" s="19">
        <v>42498</v>
      </c>
      <c r="BB491" s="19">
        <v>41099</v>
      </c>
      <c r="BC491" s="19">
        <v>2047</v>
      </c>
      <c r="BD491" s="19">
        <v>4222</v>
      </c>
      <c r="BE491" s="23">
        <v>71980.490000000005</v>
      </c>
      <c r="BF491" s="23">
        <v>96309.184999999998</v>
      </c>
      <c r="BG491" s="23"/>
      <c r="BH491" s="23"/>
      <c r="BI491" s="67">
        <v>106.29</v>
      </c>
      <c r="BJ491" s="67">
        <v>3.1</v>
      </c>
      <c r="BK491" s="67">
        <v>3.04</v>
      </c>
      <c r="BL491" s="67">
        <v>2.79</v>
      </c>
      <c r="BM491" s="62"/>
      <c r="BN491" s="62"/>
      <c r="BO491" s="62"/>
      <c r="BP491" s="62"/>
      <c r="BQ491" s="62"/>
      <c r="BR491" s="62"/>
      <c r="BS491" s="62"/>
      <c r="BT491" s="62"/>
      <c r="BU491" s="62"/>
      <c r="BV491" s="62"/>
      <c r="BW491" s="62"/>
      <c r="BX491" s="62"/>
      <c r="BY491" s="62"/>
      <c r="BZ491" s="62"/>
      <c r="CA491" s="62"/>
      <c r="CB491" s="62"/>
      <c r="CC491" s="62"/>
      <c r="CD491" s="62"/>
      <c r="CE491" s="62"/>
      <c r="CF491" s="62"/>
      <c r="CG491" s="62"/>
      <c r="CH491" s="62"/>
      <c r="CI491" s="62"/>
      <c r="CJ491" s="62"/>
      <c r="CK491" s="62"/>
      <c r="CL491" s="62"/>
      <c r="CM491" s="62"/>
      <c r="CN491" s="62"/>
      <c r="CO491" s="62"/>
      <c r="CP491" s="62"/>
      <c r="CQ491" s="62"/>
      <c r="CR491" s="62"/>
      <c r="CS491" s="62"/>
      <c r="CT491" s="62"/>
      <c r="CU491" s="62"/>
      <c r="CV491" s="62"/>
      <c r="CW491" s="62"/>
      <c r="CX491" s="62"/>
      <c r="CY491" s="62"/>
      <c r="CZ491" s="62"/>
      <c r="DA491" s="62"/>
      <c r="DB491" s="62"/>
      <c r="DC491" s="62"/>
      <c r="DD491" s="62"/>
      <c r="DE491" s="62"/>
      <c r="DF491" s="62"/>
      <c r="DG491" s="62"/>
      <c r="DH491" s="62"/>
      <c r="DI491" s="62"/>
      <c r="DJ491" s="62"/>
      <c r="DK491" s="62"/>
      <c r="DL491" s="62"/>
    </row>
    <row r="492" spans="1:116" x14ac:dyDescent="0.2">
      <c r="A492" s="57">
        <v>41548</v>
      </c>
      <c r="B492" s="58">
        <v>2013</v>
      </c>
      <c r="C492" s="66">
        <v>17.777999999999999</v>
      </c>
      <c r="D492" s="62">
        <v>0.24199999999999999</v>
      </c>
      <c r="E492" s="62">
        <v>3272.2330000000002</v>
      </c>
      <c r="F492" s="62">
        <v>137.434</v>
      </c>
      <c r="G492" s="62">
        <v>17.536000000000001</v>
      </c>
      <c r="H492" s="62">
        <v>1177</v>
      </c>
      <c r="I492" s="62">
        <v>414.60300000000001</v>
      </c>
      <c r="J492" s="62">
        <v>762.39700000000005</v>
      </c>
      <c r="K492" s="62">
        <v>2482.8310000000001</v>
      </c>
      <c r="L492" s="62">
        <v>-26.16</v>
      </c>
      <c r="M492" s="62">
        <v>4060.79</v>
      </c>
      <c r="N492" s="62">
        <v>170.553</v>
      </c>
      <c r="O492" s="66">
        <v>21.762</v>
      </c>
      <c r="P492" s="61">
        <v>450.75599999999997</v>
      </c>
      <c r="Q492" s="62">
        <v>18.931999999999999</v>
      </c>
      <c r="R492" s="62">
        <v>2.476</v>
      </c>
      <c r="S492" s="62">
        <v>467</v>
      </c>
      <c r="T492" s="62"/>
      <c r="U492" s="62">
        <v>486</v>
      </c>
      <c r="V492" s="62">
        <v>-51</v>
      </c>
      <c r="W492" s="62">
        <v>968.75599999999997</v>
      </c>
      <c r="X492" s="62">
        <v>40.688000000000002</v>
      </c>
      <c r="Y492" s="61">
        <v>5.3220000000000001</v>
      </c>
      <c r="Z492" s="63">
        <v>5.3220000000000001</v>
      </c>
      <c r="AA492" s="64" t="e">
        <v>#N/A</v>
      </c>
      <c r="AB492" s="62" t="e">
        <v>#N/A</v>
      </c>
      <c r="AC492" s="62" t="e">
        <v>#N/A</v>
      </c>
      <c r="AD492" s="62" t="e">
        <v>#N/A</v>
      </c>
      <c r="AE492" s="62" t="e">
        <v>#N/A</v>
      </c>
      <c r="AF492" s="62" t="e">
        <v>#N/A</v>
      </c>
      <c r="AG492" s="62" t="e">
        <v>#N/A</v>
      </c>
      <c r="AH492" s="62" t="e">
        <v>#N/A</v>
      </c>
      <c r="AI492" s="62" t="e">
        <v>#N/A</v>
      </c>
      <c r="AJ492" s="62" t="e">
        <v>#N/A</v>
      </c>
      <c r="AK492" s="64" t="e">
        <v>#N/A</v>
      </c>
      <c r="AL492" s="19">
        <v>149259</v>
      </c>
      <c r="AM492" s="19">
        <v>125201</v>
      </c>
      <c r="AN492" s="23">
        <v>3981</v>
      </c>
      <c r="AO492" s="19">
        <v>118035</v>
      </c>
      <c r="AP492" s="19">
        <v>41958</v>
      </c>
      <c r="AQ492" s="19">
        <v>134249</v>
      </c>
      <c r="AR492" s="63"/>
      <c r="AS492" s="63"/>
      <c r="AT492" s="65">
        <f t="shared" si="37"/>
        <v>4957.47</v>
      </c>
      <c r="AU492" s="65">
        <f t="shared" si="38"/>
        <v>167.202</v>
      </c>
      <c r="AV492" s="65">
        <f t="shared" si="39"/>
        <v>1762.2360000000001</v>
      </c>
      <c r="AW492" s="65">
        <f t="shared" si="40"/>
        <v>6268.8779999999997</v>
      </c>
      <c r="AX492" s="65">
        <f t="shared" si="40"/>
        <v>5258.442</v>
      </c>
      <c r="AY492" s="65">
        <f t="shared" si="36"/>
        <v>5638.4579999999996</v>
      </c>
      <c r="AZ492" s="19">
        <v>44202</v>
      </c>
      <c r="BA492" s="19">
        <v>45110</v>
      </c>
      <c r="BB492" s="19">
        <v>38961</v>
      </c>
      <c r="BC492" s="19">
        <v>3051</v>
      </c>
      <c r="BD492" s="19">
        <v>4281</v>
      </c>
      <c r="BE492" s="23">
        <v>58437.633999999998</v>
      </c>
      <c r="BF492" s="23">
        <v>155850.18299999999</v>
      </c>
      <c r="BG492" s="23"/>
      <c r="BH492" s="23"/>
      <c r="BI492" s="67">
        <v>100.54</v>
      </c>
      <c r="BJ492" s="67">
        <v>3.01</v>
      </c>
      <c r="BK492" s="67">
        <v>2.93</v>
      </c>
      <c r="BL492" s="67">
        <v>2.63</v>
      </c>
      <c r="BM492" s="62"/>
      <c r="BN492" s="62"/>
      <c r="BO492" s="62"/>
      <c r="BP492" s="62"/>
      <c r="BQ492" s="62"/>
      <c r="BR492" s="62"/>
      <c r="BS492" s="62"/>
      <c r="BT492" s="62"/>
      <c r="BU492" s="62"/>
      <c r="BV492" s="62"/>
      <c r="BW492" s="62"/>
      <c r="BX492" s="62"/>
      <c r="BY492" s="62"/>
      <c r="BZ492" s="62"/>
      <c r="CA492" s="62"/>
      <c r="CB492" s="62"/>
      <c r="CC492" s="62"/>
      <c r="CD492" s="62"/>
      <c r="CE492" s="62"/>
      <c r="CF492" s="62"/>
      <c r="CG492" s="62"/>
      <c r="CH492" s="62"/>
      <c r="CI492" s="62"/>
      <c r="CJ492" s="62"/>
      <c r="CK492" s="62"/>
      <c r="CL492" s="62"/>
      <c r="CM492" s="62"/>
      <c r="CN492" s="62"/>
      <c r="CO492" s="62"/>
      <c r="CP492" s="62"/>
      <c r="CQ492" s="62"/>
      <c r="CR492" s="62"/>
      <c r="CS492" s="62"/>
      <c r="CT492" s="62"/>
      <c r="CU492" s="62"/>
      <c r="CV492" s="62"/>
      <c r="CW492" s="62"/>
      <c r="CX492" s="62"/>
      <c r="CY492" s="62"/>
      <c r="CZ492" s="62"/>
      <c r="DA492" s="62"/>
      <c r="DB492" s="62"/>
      <c r="DC492" s="62"/>
      <c r="DD492" s="62"/>
      <c r="DE492" s="62"/>
      <c r="DF492" s="62"/>
      <c r="DG492" s="62"/>
      <c r="DH492" s="62"/>
      <c r="DI492" s="62"/>
      <c r="DJ492" s="62"/>
      <c r="DK492" s="62"/>
      <c r="DL492" s="62"/>
    </row>
    <row r="493" spans="1:116" x14ac:dyDescent="0.2">
      <c r="A493" s="57">
        <v>41579</v>
      </c>
      <c r="B493" s="58">
        <v>2013</v>
      </c>
      <c r="C493" s="66">
        <v>16.731000000000002</v>
      </c>
      <c r="D493" s="62">
        <v>0.22800000000000001</v>
      </c>
      <c r="E493" s="62">
        <v>3079.558</v>
      </c>
      <c r="F493" s="62">
        <v>129.34100000000001</v>
      </c>
      <c r="G493" s="62">
        <v>16.503</v>
      </c>
      <c r="H493" s="62">
        <v>1641</v>
      </c>
      <c r="I493" s="62">
        <v>407.82600000000002</v>
      </c>
      <c r="J493" s="62">
        <v>1233.174</v>
      </c>
      <c r="K493" s="62">
        <v>3359.7750000000001</v>
      </c>
      <c r="L493" s="62">
        <v>876.94299999999998</v>
      </c>
      <c r="M493" s="62">
        <v>3435.7890000000002</v>
      </c>
      <c r="N493" s="62">
        <v>144.303</v>
      </c>
      <c r="O493" s="66">
        <v>18.411999999999999</v>
      </c>
      <c r="P493" s="61">
        <v>373.30700000000002</v>
      </c>
      <c r="Q493" s="62">
        <v>15.679</v>
      </c>
      <c r="R493" s="62">
        <v>2.0510000000000002</v>
      </c>
      <c r="S493" s="62">
        <v>728</v>
      </c>
      <c r="T493" s="62"/>
      <c r="U493" s="62">
        <v>665</v>
      </c>
      <c r="V493" s="62">
        <v>179</v>
      </c>
      <c r="W493" s="62">
        <v>922.30700000000002</v>
      </c>
      <c r="X493" s="62">
        <v>38.737000000000002</v>
      </c>
      <c r="Y493" s="61">
        <v>5.0670000000000002</v>
      </c>
      <c r="Z493" s="63">
        <v>5.0670000000000002</v>
      </c>
      <c r="AA493" s="64" t="e">
        <v>#N/A</v>
      </c>
      <c r="AB493" s="62" t="e">
        <v>#N/A</v>
      </c>
      <c r="AC493" s="62" t="e">
        <v>#N/A</v>
      </c>
      <c r="AD493" s="62" t="e">
        <v>#N/A</v>
      </c>
      <c r="AE493" s="62" t="e">
        <v>#N/A</v>
      </c>
      <c r="AF493" s="62" t="e">
        <v>#N/A</v>
      </c>
      <c r="AG493" s="62" t="e">
        <v>#N/A</v>
      </c>
      <c r="AH493" s="62" t="e">
        <v>#N/A</v>
      </c>
      <c r="AI493" s="62" t="e">
        <v>#N/A</v>
      </c>
      <c r="AJ493" s="62" t="e">
        <v>#N/A</v>
      </c>
      <c r="AK493" s="64" t="e">
        <v>#N/A</v>
      </c>
      <c r="AL493" s="19">
        <v>151490</v>
      </c>
      <c r="AM493" s="19">
        <v>116797</v>
      </c>
      <c r="AN493" s="23">
        <v>4337</v>
      </c>
      <c r="AO493" s="19">
        <v>121118</v>
      </c>
      <c r="AP493" s="19">
        <v>38029</v>
      </c>
      <c r="AQ493" s="19">
        <v>134931</v>
      </c>
      <c r="AR493" s="63"/>
      <c r="AS493" s="63"/>
      <c r="AT493" s="65">
        <f t="shared" si="37"/>
        <v>5086.9560000000001</v>
      </c>
      <c r="AU493" s="65">
        <f t="shared" si="38"/>
        <v>182.154</v>
      </c>
      <c r="AV493" s="65">
        <f t="shared" si="39"/>
        <v>1597.2180000000001</v>
      </c>
      <c r="AW493" s="65">
        <f t="shared" si="40"/>
        <v>6362.58</v>
      </c>
      <c r="AX493" s="65">
        <f t="shared" si="40"/>
        <v>4905.4740000000002</v>
      </c>
      <c r="AY493" s="65">
        <f t="shared" si="36"/>
        <v>5667.1019999999999</v>
      </c>
      <c r="AZ493" s="19">
        <v>44733</v>
      </c>
      <c r="BA493" s="19">
        <v>42872</v>
      </c>
      <c r="BB493" s="19">
        <v>36990</v>
      </c>
      <c r="BC493" s="19">
        <v>2232</v>
      </c>
      <c r="BD493" s="19">
        <v>6064</v>
      </c>
      <c r="BE493" s="23">
        <v>57486.656000000003</v>
      </c>
      <c r="BF493" s="23">
        <v>203801.28</v>
      </c>
      <c r="BG493" s="23"/>
      <c r="BH493" s="23"/>
      <c r="BI493" s="67">
        <v>93.86</v>
      </c>
      <c r="BJ493" s="67">
        <v>2.95</v>
      </c>
      <c r="BK493" s="67">
        <v>2.88</v>
      </c>
      <c r="BL493" s="67">
        <v>2.54</v>
      </c>
      <c r="BM493" s="62"/>
      <c r="BN493" s="62"/>
      <c r="BO493" s="62"/>
      <c r="BP493" s="62"/>
      <c r="BQ493" s="62"/>
      <c r="BR493" s="62"/>
      <c r="BS493" s="62"/>
      <c r="BT493" s="62"/>
      <c r="BU493" s="62"/>
      <c r="BV493" s="62"/>
      <c r="BW493" s="62"/>
      <c r="BX493" s="62"/>
      <c r="BY493" s="62"/>
      <c r="BZ493" s="62"/>
      <c r="CA493" s="62"/>
      <c r="CB493" s="62"/>
      <c r="CC493" s="62"/>
      <c r="CD493" s="62"/>
      <c r="CE493" s="62"/>
      <c r="CF493" s="62"/>
      <c r="CG493" s="62"/>
      <c r="CH493" s="62"/>
      <c r="CI493" s="62"/>
      <c r="CJ493" s="62"/>
      <c r="CK493" s="62"/>
      <c r="CL493" s="62"/>
      <c r="CM493" s="62"/>
      <c r="CN493" s="62"/>
      <c r="CO493" s="62"/>
      <c r="CP493" s="62"/>
      <c r="CQ493" s="62"/>
      <c r="CR493" s="62"/>
      <c r="CS493" s="62"/>
      <c r="CT493" s="62"/>
      <c r="CU493" s="62"/>
      <c r="CV493" s="62"/>
      <c r="CW493" s="62"/>
      <c r="CX493" s="62"/>
      <c r="CY493" s="62"/>
      <c r="CZ493" s="62"/>
      <c r="DA493" s="62"/>
      <c r="DB493" s="62"/>
      <c r="DC493" s="62"/>
      <c r="DD493" s="62"/>
      <c r="DE493" s="62"/>
      <c r="DF493" s="62"/>
      <c r="DG493" s="62"/>
      <c r="DH493" s="62"/>
      <c r="DI493" s="62"/>
      <c r="DJ493" s="62"/>
      <c r="DK493" s="62"/>
      <c r="DL493" s="62"/>
    </row>
    <row r="494" spans="1:116" x14ac:dyDescent="0.2">
      <c r="A494" s="57">
        <v>41609</v>
      </c>
      <c r="B494" s="58">
        <v>2013</v>
      </c>
      <c r="C494" s="66">
        <v>17.475999999999999</v>
      </c>
      <c r="D494" s="62">
        <v>0.23799999999999999</v>
      </c>
      <c r="E494" s="62">
        <v>3216.6669999999999</v>
      </c>
      <c r="F494" s="62">
        <v>135.1</v>
      </c>
      <c r="G494" s="62">
        <v>17.238</v>
      </c>
      <c r="H494" s="62">
        <v>1765</v>
      </c>
      <c r="I494" s="62">
        <v>475.70299999999997</v>
      </c>
      <c r="J494" s="62">
        <v>1289.297</v>
      </c>
      <c r="K494" s="62">
        <v>3809.7089999999998</v>
      </c>
      <c r="L494" s="62">
        <v>449.935</v>
      </c>
      <c r="M494" s="62">
        <v>4056.029</v>
      </c>
      <c r="N494" s="62">
        <v>170.35300000000001</v>
      </c>
      <c r="O494" s="66">
        <v>21.736000000000001</v>
      </c>
      <c r="P494" s="61">
        <v>330.88799999999998</v>
      </c>
      <c r="Q494" s="62">
        <v>13.897</v>
      </c>
      <c r="R494" s="62">
        <v>1.8180000000000001</v>
      </c>
      <c r="S494" s="62">
        <v>661</v>
      </c>
      <c r="T494" s="62"/>
      <c r="U494" s="62">
        <v>691</v>
      </c>
      <c r="V494" s="62">
        <v>26</v>
      </c>
      <c r="W494" s="62">
        <v>965.88800000000003</v>
      </c>
      <c r="X494" s="62">
        <v>40.567</v>
      </c>
      <c r="Y494" s="61">
        <v>5.3070000000000004</v>
      </c>
      <c r="Z494" s="63">
        <v>5.3070000000000004</v>
      </c>
      <c r="AA494" s="64" t="e">
        <v>#N/A</v>
      </c>
      <c r="AB494" s="62" t="e">
        <v>#N/A</v>
      </c>
      <c r="AC494" s="62" t="e">
        <v>#N/A</v>
      </c>
      <c r="AD494" s="62" t="e">
        <v>#N/A</v>
      </c>
      <c r="AE494" s="62" t="e">
        <v>#N/A</v>
      </c>
      <c r="AF494" s="62" t="e">
        <v>#N/A</v>
      </c>
      <c r="AG494" s="62" t="e">
        <v>#N/A</v>
      </c>
      <c r="AH494" s="62" t="e">
        <v>#N/A</v>
      </c>
      <c r="AI494" s="62" t="e">
        <v>#N/A</v>
      </c>
      <c r="AJ494" s="62" t="e">
        <v>#N/A</v>
      </c>
      <c r="AK494" s="64" t="e">
        <v>#N/A</v>
      </c>
      <c r="AL494" s="19">
        <v>158770</v>
      </c>
      <c r="AM494" s="19">
        <v>120489</v>
      </c>
      <c r="AN494" s="23">
        <v>5096</v>
      </c>
      <c r="AO494" s="19">
        <v>127543</v>
      </c>
      <c r="AP494" s="19">
        <v>39691</v>
      </c>
      <c r="AQ494" s="19">
        <v>142155</v>
      </c>
      <c r="AR494" s="63"/>
      <c r="AS494" s="63"/>
      <c r="AT494" s="65">
        <f t="shared" si="37"/>
        <v>5356.8059999999996</v>
      </c>
      <c r="AU494" s="65">
        <f t="shared" si="38"/>
        <v>214.03200000000001</v>
      </c>
      <c r="AV494" s="65">
        <f t="shared" si="39"/>
        <v>1667.0219999999999</v>
      </c>
      <c r="AW494" s="65">
        <f t="shared" si="40"/>
        <v>6668.34</v>
      </c>
      <c r="AX494" s="65">
        <f t="shared" si="40"/>
        <v>5060.5379999999996</v>
      </c>
      <c r="AY494" s="65">
        <f t="shared" si="36"/>
        <v>5970.51</v>
      </c>
      <c r="AZ494" s="19">
        <v>49164</v>
      </c>
      <c r="BA494" s="19">
        <v>44281</v>
      </c>
      <c r="BB494" s="19">
        <v>37183</v>
      </c>
      <c r="BC494" s="19">
        <v>1903</v>
      </c>
      <c r="BD494" s="19">
        <v>6593</v>
      </c>
      <c r="BE494" s="23">
        <v>67050.120999999999</v>
      </c>
      <c r="BF494" s="23">
        <v>257575.92300000001</v>
      </c>
      <c r="BG494" s="23"/>
      <c r="BH494" s="23"/>
      <c r="BI494" s="67">
        <v>97.63</v>
      </c>
      <c r="BJ494" s="67">
        <v>3</v>
      </c>
      <c r="BK494" s="67">
        <v>3.01</v>
      </c>
      <c r="BL494" s="67">
        <v>2.58</v>
      </c>
      <c r="BM494" s="62"/>
      <c r="BN494" s="62"/>
      <c r="BO494" s="62"/>
      <c r="BP494" s="62"/>
      <c r="BQ494" s="62"/>
      <c r="BR494" s="62"/>
      <c r="BS494" s="62"/>
      <c r="BT494" s="62"/>
      <c r="BU494" s="62"/>
      <c r="BV494" s="62"/>
      <c r="BW494" s="62"/>
      <c r="BX494" s="62"/>
      <c r="BY494" s="62"/>
      <c r="BZ494" s="62"/>
      <c r="CA494" s="62"/>
      <c r="CB494" s="62"/>
      <c r="CC494" s="62"/>
      <c r="CD494" s="62"/>
      <c r="CE494" s="62"/>
      <c r="CF494" s="62"/>
      <c r="CG494" s="62"/>
      <c r="CH494" s="62"/>
      <c r="CI494" s="62"/>
      <c r="CJ494" s="62"/>
      <c r="CK494" s="62"/>
      <c r="CL494" s="62"/>
      <c r="CM494" s="62"/>
      <c r="CN494" s="62"/>
      <c r="CO494" s="62"/>
      <c r="CP494" s="62"/>
      <c r="CQ494" s="62"/>
      <c r="CR494" s="62"/>
      <c r="CS494" s="62"/>
      <c r="CT494" s="62"/>
      <c r="CU494" s="62"/>
      <c r="CV494" s="62"/>
      <c r="CW494" s="62"/>
      <c r="CX494" s="62"/>
      <c r="CY494" s="62"/>
      <c r="CZ494" s="62"/>
      <c r="DA494" s="62"/>
      <c r="DB494" s="62"/>
      <c r="DC494" s="62"/>
      <c r="DD494" s="62"/>
      <c r="DE494" s="62"/>
      <c r="DF494" s="62"/>
      <c r="DG494" s="62"/>
      <c r="DH494" s="62"/>
      <c r="DI494" s="62"/>
      <c r="DJ494" s="62"/>
      <c r="DK494" s="62"/>
      <c r="DL494" s="62"/>
    </row>
    <row r="495" spans="1:116" x14ac:dyDescent="0.2">
      <c r="A495" s="57">
        <v>41640</v>
      </c>
      <c r="B495" s="58">
        <v>2014</v>
      </c>
      <c r="C495" s="66">
        <v>9.3840000000000003</v>
      </c>
      <c r="D495" s="62">
        <v>0.128</v>
      </c>
      <c r="E495" s="62">
        <v>1727.1310000000001</v>
      </c>
      <c r="F495" s="62">
        <v>72.540000000000006</v>
      </c>
      <c r="G495" s="62">
        <v>9.2560000000000002</v>
      </c>
      <c r="H495" s="62">
        <v>222</v>
      </c>
      <c r="I495" s="62">
        <v>134.245</v>
      </c>
      <c r="J495" s="62">
        <v>87.754999999999995</v>
      </c>
      <c r="K495" s="62">
        <v>3708.31</v>
      </c>
      <c r="L495" s="62">
        <v>-101.399</v>
      </c>
      <c r="M495" s="62">
        <v>1916.2850000000001</v>
      </c>
      <c r="N495" s="62">
        <v>80.483999999999995</v>
      </c>
      <c r="O495" s="66">
        <v>10.269</v>
      </c>
      <c r="P495" s="61">
        <v>245.922</v>
      </c>
      <c r="Q495" s="62">
        <v>10.329000000000001</v>
      </c>
      <c r="R495" s="62">
        <v>1.351</v>
      </c>
      <c r="S495" s="62">
        <v>267</v>
      </c>
      <c r="T495" s="62"/>
      <c r="U495" s="62">
        <v>670</v>
      </c>
      <c r="V495" s="62">
        <v>-21</v>
      </c>
      <c r="W495" s="62">
        <v>533.92200000000003</v>
      </c>
      <c r="X495" s="62">
        <v>22.425000000000001</v>
      </c>
      <c r="Y495" s="61">
        <v>2.9329999999999998</v>
      </c>
      <c r="Z495" s="63">
        <v>2.9329999999999998</v>
      </c>
      <c r="AA495" s="64" t="s">
        <v>116</v>
      </c>
      <c r="AB495" s="62" t="s">
        <v>116</v>
      </c>
      <c r="AC495" s="62">
        <v>22.097999999999999</v>
      </c>
      <c r="AD495" s="62">
        <v>0.92800000000000005</v>
      </c>
      <c r="AE495" s="62">
        <v>0.11799999999999999</v>
      </c>
      <c r="AF495" s="62" t="s">
        <v>140</v>
      </c>
      <c r="AG495" s="62">
        <v>10</v>
      </c>
      <c r="AH495" s="62">
        <v>5</v>
      </c>
      <c r="AI495" s="62">
        <v>17.097999999999999</v>
      </c>
      <c r="AJ495" s="62">
        <v>0.71799999999999997</v>
      </c>
      <c r="AK495" s="64">
        <v>9.1999999999999998E-2</v>
      </c>
      <c r="AL495" s="19">
        <v>145244</v>
      </c>
      <c r="AM495" s="19">
        <v>134540</v>
      </c>
      <c r="AN495" s="23">
        <v>8784</v>
      </c>
      <c r="AO495" s="19">
        <v>114668</v>
      </c>
      <c r="AP495" s="19">
        <v>33099</v>
      </c>
      <c r="AQ495" s="19">
        <v>129743</v>
      </c>
      <c r="AR495" s="63"/>
      <c r="AS495" s="63"/>
      <c r="AT495" s="65">
        <f t="shared" si="37"/>
        <v>4816.0559999999996</v>
      </c>
      <c r="AU495" s="65">
        <f t="shared" si="38"/>
        <v>368.928</v>
      </c>
      <c r="AV495" s="65">
        <f t="shared" si="39"/>
        <v>1390.1579999999999</v>
      </c>
      <c r="AW495" s="65">
        <f t="shared" si="40"/>
        <v>6100.2479999999996</v>
      </c>
      <c r="AX495" s="65">
        <f t="shared" si="40"/>
        <v>5650.68</v>
      </c>
      <c r="AY495" s="65">
        <f t="shared" si="36"/>
        <v>5449.2060000000001</v>
      </c>
      <c r="AZ495" s="19">
        <v>45856</v>
      </c>
      <c r="BA495" s="19">
        <v>42296</v>
      </c>
      <c r="BB495" s="19">
        <v>37835</v>
      </c>
      <c r="BC495" s="19">
        <v>1298</v>
      </c>
      <c r="BD495" s="19">
        <v>4206</v>
      </c>
      <c r="BE495" s="23">
        <v>18924.707999999999</v>
      </c>
      <c r="BF495" s="23">
        <v>32282.295999999998</v>
      </c>
      <c r="BG495" s="23"/>
      <c r="BH495" s="23"/>
      <c r="BI495" s="67">
        <v>94.62</v>
      </c>
      <c r="BJ495" s="67">
        <v>2.98</v>
      </c>
      <c r="BK495" s="67">
        <v>2.99</v>
      </c>
      <c r="BL495" s="67">
        <v>2.6</v>
      </c>
      <c r="BM495" s="62"/>
      <c r="BN495" s="62"/>
      <c r="BO495" s="62"/>
      <c r="BP495" s="62"/>
      <c r="BQ495" s="62"/>
      <c r="BR495" s="62"/>
      <c r="BS495" s="62"/>
      <c r="BT495" s="62"/>
      <c r="BU495" s="62"/>
      <c r="BV495" s="62"/>
      <c r="BW495" s="62"/>
      <c r="BX495" s="62"/>
      <c r="BY495" s="62"/>
      <c r="BZ495" s="62"/>
      <c r="CA495" s="62"/>
      <c r="CB495" s="62"/>
      <c r="CC495" s="62"/>
      <c r="CD495" s="62"/>
      <c r="CE495" s="62"/>
      <c r="CF495" s="62"/>
      <c r="CG495" s="62"/>
      <c r="CH495" s="62"/>
      <c r="CI495" s="62"/>
      <c r="CJ495" s="62"/>
      <c r="CK495" s="62"/>
      <c r="CL495" s="62"/>
      <c r="CM495" s="62"/>
      <c r="CN495" s="62"/>
      <c r="CO495" s="62"/>
      <c r="CP495" s="62"/>
      <c r="CQ495" s="62"/>
      <c r="CR495" s="62"/>
      <c r="CS495" s="62"/>
      <c r="CT495" s="62"/>
      <c r="CU495" s="62"/>
      <c r="CV495" s="62"/>
      <c r="CW495" s="62"/>
      <c r="CX495" s="62"/>
      <c r="CY495" s="62"/>
      <c r="CZ495" s="62"/>
      <c r="DA495" s="62"/>
      <c r="DB495" s="62"/>
      <c r="DC495" s="62"/>
      <c r="DD495" s="62"/>
      <c r="DE495" s="62"/>
      <c r="DF495" s="62"/>
      <c r="DG495" s="62"/>
      <c r="DH495" s="62"/>
      <c r="DI495" s="62"/>
      <c r="DJ495" s="62"/>
      <c r="DK495" s="62"/>
      <c r="DL495" s="62"/>
    </row>
    <row r="496" spans="1:116" x14ac:dyDescent="0.2">
      <c r="A496" s="57">
        <v>41671</v>
      </c>
      <c r="B496" s="58">
        <v>2014</v>
      </c>
      <c r="C496" s="66">
        <v>9.7850000000000001</v>
      </c>
      <c r="D496" s="62">
        <v>0.13300000000000001</v>
      </c>
      <c r="E496" s="62">
        <v>1801.0219999999999</v>
      </c>
      <c r="F496" s="62">
        <v>75.643000000000001</v>
      </c>
      <c r="G496" s="62">
        <v>9.6519999999999992</v>
      </c>
      <c r="H496" s="62">
        <v>161</v>
      </c>
      <c r="I496" s="62">
        <v>140.684</v>
      </c>
      <c r="J496" s="62">
        <v>20.315999999999999</v>
      </c>
      <c r="K496" s="62">
        <v>3726.4670000000001</v>
      </c>
      <c r="L496" s="62">
        <v>18.158000000000001</v>
      </c>
      <c r="M496" s="62">
        <v>1803.18</v>
      </c>
      <c r="N496" s="62">
        <v>75.733999999999995</v>
      </c>
      <c r="O496" s="66">
        <v>9.6630000000000003</v>
      </c>
      <c r="P496" s="61">
        <v>292.69600000000003</v>
      </c>
      <c r="Q496" s="62">
        <v>12.292999999999999</v>
      </c>
      <c r="R496" s="62">
        <v>1.6080000000000001</v>
      </c>
      <c r="S496" s="62">
        <v>133</v>
      </c>
      <c r="T496" s="62"/>
      <c r="U496" s="62">
        <v>627</v>
      </c>
      <c r="V496" s="62">
        <v>-43</v>
      </c>
      <c r="W496" s="62">
        <v>468.69600000000003</v>
      </c>
      <c r="X496" s="62">
        <v>19.684999999999999</v>
      </c>
      <c r="Y496" s="61">
        <v>2.5750000000000002</v>
      </c>
      <c r="Z496" s="63">
        <v>2.5750000000000002</v>
      </c>
      <c r="AA496" s="64" t="s">
        <v>116</v>
      </c>
      <c r="AB496" s="62" t="s">
        <v>116</v>
      </c>
      <c r="AC496" s="62">
        <v>21.181999999999999</v>
      </c>
      <c r="AD496" s="62">
        <v>0.89</v>
      </c>
      <c r="AE496" s="62">
        <v>0.114</v>
      </c>
      <c r="AF496" s="62" t="s">
        <v>140</v>
      </c>
      <c r="AG496" s="62">
        <v>11</v>
      </c>
      <c r="AH496" s="62">
        <v>1</v>
      </c>
      <c r="AI496" s="62">
        <v>20.181999999999999</v>
      </c>
      <c r="AJ496" s="62">
        <v>0.84799999999999998</v>
      </c>
      <c r="AK496" s="64">
        <v>0.108</v>
      </c>
      <c r="AL496" s="19">
        <v>128645</v>
      </c>
      <c r="AM496" s="19">
        <v>116487</v>
      </c>
      <c r="AN496" s="23">
        <v>9433</v>
      </c>
      <c r="AO496" s="19">
        <v>113103</v>
      </c>
      <c r="AP496" s="19">
        <v>23870</v>
      </c>
      <c r="AQ496" s="19">
        <v>115550</v>
      </c>
      <c r="AR496" s="63"/>
      <c r="AS496" s="63"/>
      <c r="AT496" s="65">
        <f t="shared" si="37"/>
        <v>4750.326</v>
      </c>
      <c r="AU496" s="65">
        <f t="shared" si="38"/>
        <v>396.18599999999998</v>
      </c>
      <c r="AV496" s="65">
        <f t="shared" si="39"/>
        <v>1002.54</v>
      </c>
      <c r="AW496" s="65">
        <f t="shared" si="40"/>
        <v>5403.09</v>
      </c>
      <c r="AX496" s="65">
        <f t="shared" si="40"/>
        <v>4892.4539999999997</v>
      </c>
      <c r="AY496" s="65">
        <f t="shared" si="36"/>
        <v>4853.1000000000004</v>
      </c>
      <c r="AZ496" s="19">
        <v>40675</v>
      </c>
      <c r="BA496" s="19">
        <v>38654</v>
      </c>
      <c r="BB496" s="19">
        <v>38392</v>
      </c>
      <c r="BC496" s="19">
        <v>2623</v>
      </c>
      <c r="BD496" s="19">
        <v>4087</v>
      </c>
      <c r="BE496" s="23">
        <v>19830.772000000001</v>
      </c>
      <c r="BF496" s="23">
        <v>25064.815999999999</v>
      </c>
      <c r="BG496" s="23"/>
      <c r="BH496" s="23"/>
      <c r="BI496" s="67">
        <v>100.82</v>
      </c>
      <c r="BJ496" s="67">
        <v>3.09</v>
      </c>
      <c r="BK496" s="67">
        <v>2.99</v>
      </c>
      <c r="BL496" s="67">
        <v>2.7</v>
      </c>
      <c r="BM496" s="62"/>
      <c r="BN496" s="62"/>
      <c r="BO496" s="62"/>
      <c r="BP496" s="62"/>
      <c r="BQ496" s="62"/>
      <c r="BR496" s="62"/>
      <c r="BS496" s="62"/>
      <c r="BT496" s="62"/>
      <c r="BU496" s="62"/>
      <c r="BV496" s="62"/>
      <c r="BW496" s="62"/>
      <c r="BX496" s="62"/>
      <c r="BY496" s="62"/>
      <c r="BZ496" s="62"/>
      <c r="CA496" s="62"/>
      <c r="CB496" s="62"/>
      <c r="CC496" s="62"/>
      <c r="CD496" s="62"/>
      <c r="CE496" s="62"/>
      <c r="CF496" s="62"/>
      <c r="CG496" s="62"/>
      <c r="CH496" s="62"/>
      <c r="CI496" s="62"/>
      <c r="CJ496" s="62"/>
      <c r="CK496" s="62"/>
      <c r="CL496" s="62"/>
      <c r="CM496" s="62"/>
      <c r="CN496" s="62"/>
      <c r="CO496" s="62"/>
      <c r="CP496" s="62"/>
      <c r="CQ496" s="62"/>
      <c r="CR496" s="62"/>
      <c r="CS496" s="62"/>
      <c r="CT496" s="62"/>
      <c r="CU496" s="62"/>
      <c r="CV496" s="62"/>
      <c r="CW496" s="62"/>
      <c r="CX496" s="62"/>
      <c r="CY496" s="62"/>
      <c r="CZ496" s="62"/>
      <c r="DA496" s="62"/>
      <c r="DB496" s="62"/>
      <c r="DC496" s="62"/>
      <c r="DD496" s="62"/>
      <c r="DE496" s="62"/>
      <c r="DF496" s="62"/>
      <c r="DG496" s="62"/>
      <c r="DH496" s="62"/>
      <c r="DI496" s="62"/>
      <c r="DJ496" s="62"/>
      <c r="DK496" s="62"/>
      <c r="DL496" s="62"/>
    </row>
    <row r="497" spans="1:116" x14ac:dyDescent="0.2">
      <c r="A497" s="57">
        <v>41699</v>
      </c>
      <c r="B497" s="58">
        <v>2014</v>
      </c>
      <c r="C497" s="66">
        <v>12.829000000000001</v>
      </c>
      <c r="D497" s="62">
        <v>0.17499999999999999</v>
      </c>
      <c r="E497" s="62">
        <v>2361.3710000000001</v>
      </c>
      <c r="F497" s="62">
        <v>99.177999999999997</v>
      </c>
      <c r="G497" s="62">
        <v>12.654999999999999</v>
      </c>
      <c r="H497" s="62">
        <v>240</v>
      </c>
      <c r="I497" s="62">
        <v>91.408000000000001</v>
      </c>
      <c r="J497" s="62">
        <v>148.59200000000001</v>
      </c>
      <c r="K497" s="62">
        <v>3604.1880000000001</v>
      </c>
      <c r="L497" s="62">
        <v>-122.28</v>
      </c>
      <c r="M497" s="62">
        <v>2632.2429999999999</v>
      </c>
      <c r="N497" s="62">
        <v>110.554</v>
      </c>
      <c r="O497" s="66">
        <v>14.106</v>
      </c>
      <c r="P497" s="61">
        <v>356.03199999999998</v>
      </c>
      <c r="Q497" s="62">
        <v>14.952999999999999</v>
      </c>
      <c r="R497" s="62">
        <v>1.956</v>
      </c>
      <c r="S497" s="62">
        <v>267</v>
      </c>
      <c r="T497" s="62"/>
      <c r="U497" s="62">
        <v>599</v>
      </c>
      <c r="V497" s="62">
        <v>-28</v>
      </c>
      <c r="W497" s="62">
        <v>651.03200000000004</v>
      </c>
      <c r="X497" s="62">
        <v>27.343</v>
      </c>
      <c r="Y497" s="61">
        <v>3.577</v>
      </c>
      <c r="Z497" s="63">
        <v>3.577</v>
      </c>
      <c r="AA497" s="64" t="s">
        <v>116</v>
      </c>
      <c r="AB497" s="62" t="s">
        <v>116</v>
      </c>
      <c r="AC497" s="62">
        <v>23.977</v>
      </c>
      <c r="AD497" s="62">
        <v>1.0069999999999999</v>
      </c>
      <c r="AE497" s="62">
        <v>0.128</v>
      </c>
      <c r="AF497" s="62" t="s">
        <v>140</v>
      </c>
      <c r="AG497" s="62">
        <v>7</v>
      </c>
      <c r="AH497" s="62">
        <v>-4</v>
      </c>
      <c r="AI497" s="62">
        <v>27.977</v>
      </c>
      <c r="AJ497" s="62">
        <v>1.175</v>
      </c>
      <c r="AK497" s="64">
        <v>0.15</v>
      </c>
      <c r="AL497" s="19">
        <v>148170</v>
      </c>
      <c r="AM497" s="19">
        <v>126051</v>
      </c>
      <c r="AN497" s="23">
        <v>10054</v>
      </c>
      <c r="AO497" s="19">
        <v>115227</v>
      </c>
      <c r="AP497" s="19">
        <v>31432</v>
      </c>
      <c r="AQ497" s="19">
        <v>135178</v>
      </c>
      <c r="AR497" s="63"/>
      <c r="AS497" s="63"/>
      <c r="AT497" s="65">
        <f t="shared" si="37"/>
        <v>4839.5339999999997</v>
      </c>
      <c r="AU497" s="65">
        <f t="shared" si="38"/>
        <v>422.26799999999997</v>
      </c>
      <c r="AV497" s="65">
        <f t="shared" si="39"/>
        <v>1320.144</v>
      </c>
      <c r="AW497" s="65">
        <f t="shared" si="40"/>
        <v>6223.14</v>
      </c>
      <c r="AX497" s="65">
        <f t="shared" si="40"/>
        <v>5294.1419999999998</v>
      </c>
      <c r="AY497" s="65">
        <f t="shared" si="36"/>
        <v>5677.4759999999997</v>
      </c>
      <c r="AZ497" s="19">
        <v>44050</v>
      </c>
      <c r="BA497" s="19">
        <v>44427</v>
      </c>
      <c r="BB497" s="19">
        <v>36445</v>
      </c>
      <c r="BC497" s="19">
        <v>2812</v>
      </c>
      <c r="BD497" s="19">
        <v>4382</v>
      </c>
      <c r="BE497" s="23">
        <v>12887.924000000001</v>
      </c>
      <c r="BF497" s="23">
        <v>33330.379999999997</v>
      </c>
      <c r="BG497" s="23"/>
      <c r="BH497" s="23"/>
      <c r="BI497" s="67">
        <v>100.8</v>
      </c>
      <c r="BJ497" s="67">
        <v>3.03</v>
      </c>
      <c r="BK497" s="67">
        <v>2.94</v>
      </c>
      <c r="BL497" s="67">
        <v>2.85</v>
      </c>
      <c r="BM497" s="62"/>
      <c r="BN497" s="62"/>
      <c r="BO497" s="62"/>
      <c r="BP497" s="62"/>
      <c r="BQ497" s="62"/>
      <c r="BR497" s="62"/>
      <c r="BS497" s="62"/>
      <c r="BT497" s="62"/>
      <c r="BU497" s="62"/>
      <c r="BV497" s="62"/>
      <c r="BW497" s="62"/>
      <c r="BX497" s="62"/>
      <c r="BY497" s="62"/>
      <c r="BZ497" s="62"/>
      <c r="CA497" s="62"/>
      <c r="CB497" s="62"/>
      <c r="CC497" s="62"/>
      <c r="CD497" s="62"/>
      <c r="CE497" s="62"/>
      <c r="CF497" s="62"/>
      <c r="CG497" s="62"/>
      <c r="CH497" s="62"/>
      <c r="CI497" s="62"/>
      <c r="CJ497" s="62"/>
      <c r="CK497" s="62"/>
      <c r="CL497" s="62"/>
      <c r="CM497" s="62"/>
      <c r="CN497" s="62"/>
      <c r="CO497" s="62"/>
      <c r="CP497" s="62"/>
      <c r="CQ497" s="62"/>
      <c r="CR497" s="62"/>
      <c r="CS497" s="62"/>
      <c r="CT497" s="62"/>
      <c r="CU497" s="62"/>
      <c r="CV497" s="62"/>
      <c r="CW497" s="62"/>
      <c r="CX497" s="62"/>
      <c r="CY497" s="62"/>
      <c r="CZ497" s="62"/>
      <c r="DA497" s="62"/>
      <c r="DB497" s="62"/>
      <c r="DC497" s="62"/>
      <c r="DD497" s="62"/>
      <c r="DE497" s="62"/>
      <c r="DF497" s="62"/>
      <c r="DG497" s="62"/>
      <c r="DH497" s="62"/>
      <c r="DI497" s="62"/>
      <c r="DJ497" s="62"/>
      <c r="DK497" s="62"/>
      <c r="DL497" s="62"/>
    </row>
    <row r="498" spans="1:116" x14ac:dyDescent="0.2">
      <c r="A498" s="57">
        <v>41730</v>
      </c>
      <c r="B498" s="58">
        <v>2014</v>
      </c>
      <c r="C498" s="66">
        <v>12.076000000000001</v>
      </c>
      <c r="D498" s="62">
        <v>0.16400000000000001</v>
      </c>
      <c r="E498" s="62">
        <v>2222.6779999999999</v>
      </c>
      <c r="F498" s="62">
        <v>93.352000000000004</v>
      </c>
      <c r="G498" s="62">
        <v>11.911</v>
      </c>
      <c r="H498" s="62">
        <v>135</v>
      </c>
      <c r="I498" s="62">
        <v>261.08</v>
      </c>
      <c r="J498" s="62">
        <v>-126.08</v>
      </c>
      <c r="K498" s="62">
        <v>3401.8629999999998</v>
      </c>
      <c r="L498" s="62">
        <v>-202.32599999999999</v>
      </c>
      <c r="M498" s="62">
        <v>2298.924</v>
      </c>
      <c r="N498" s="62">
        <v>96.555000000000007</v>
      </c>
      <c r="O498" s="66">
        <v>12.32</v>
      </c>
      <c r="P498" s="61">
        <v>325.62700000000001</v>
      </c>
      <c r="Q498" s="62">
        <v>13.676</v>
      </c>
      <c r="R498" s="62">
        <v>1.7889999999999999</v>
      </c>
      <c r="S498" s="62">
        <v>247</v>
      </c>
      <c r="T498" s="62"/>
      <c r="U498" s="62">
        <v>374</v>
      </c>
      <c r="V498" s="62">
        <v>-225</v>
      </c>
      <c r="W498" s="62">
        <v>797.62699999999995</v>
      </c>
      <c r="X498" s="62">
        <v>33.5</v>
      </c>
      <c r="Y498" s="61">
        <v>4.3819999999999997</v>
      </c>
      <c r="Z498" s="63">
        <v>4.3819999999999997</v>
      </c>
      <c r="AA498" s="64" t="s">
        <v>116</v>
      </c>
      <c r="AB498" s="62" t="s">
        <v>116</v>
      </c>
      <c r="AC498" s="62">
        <v>21.231000000000002</v>
      </c>
      <c r="AD498" s="62">
        <v>0.89200000000000002</v>
      </c>
      <c r="AE498" s="62">
        <v>0.114</v>
      </c>
      <c r="AF498" s="62" t="s">
        <v>140</v>
      </c>
      <c r="AG498" s="62">
        <v>7</v>
      </c>
      <c r="AH498" s="62">
        <v>0</v>
      </c>
      <c r="AI498" s="62">
        <v>21.231000000000002</v>
      </c>
      <c r="AJ498" s="62">
        <v>0.89200000000000002</v>
      </c>
      <c r="AK498" s="64">
        <v>0.114</v>
      </c>
      <c r="AL498" s="19">
        <v>149637</v>
      </c>
      <c r="AM498" s="19">
        <v>119695</v>
      </c>
      <c r="AN498" s="23">
        <v>5420</v>
      </c>
      <c r="AO498" s="19">
        <v>116692</v>
      </c>
      <c r="AP498" s="19">
        <v>34850</v>
      </c>
      <c r="AQ498" s="19">
        <v>138586</v>
      </c>
      <c r="AR498" s="63"/>
      <c r="AS498" s="63"/>
      <c r="AT498" s="65">
        <f t="shared" si="37"/>
        <v>4901.0640000000003</v>
      </c>
      <c r="AU498" s="65">
        <f t="shared" si="38"/>
        <v>227.64</v>
      </c>
      <c r="AV498" s="65">
        <f t="shared" si="39"/>
        <v>1463.7</v>
      </c>
      <c r="AW498" s="65">
        <f t="shared" si="40"/>
        <v>6284.7539999999999</v>
      </c>
      <c r="AX498" s="65">
        <f t="shared" si="40"/>
        <v>5027.1899999999996</v>
      </c>
      <c r="AY498" s="65">
        <f t="shared" si="36"/>
        <v>5820.6120000000001</v>
      </c>
      <c r="AZ498" s="19">
        <v>44947</v>
      </c>
      <c r="BA498" s="19">
        <v>43662</v>
      </c>
      <c r="BB498" s="19">
        <v>38634</v>
      </c>
      <c r="BC498" s="19">
        <v>4332</v>
      </c>
      <c r="BD498" s="19">
        <v>3428</v>
      </c>
      <c r="BE498" s="23">
        <v>36800.79</v>
      </c>
      <c r="BF498" s="23">
        <v>21985.706999999999</v>
      </c>
      <c r="BG498" s="23"/>
      <c r="BH498" s="23"/>
      <c r="BI498" s="67">
        <v>102.07</v>
      </c>
      <c r="BJ498" s="67">
        <v>3.03</v>
      </c>
      <c r="BK498" s="67">
        <v>2.93</v>
      </c>
      <c r="BL498" s="67">
        <v>2.98</v>
      </c>
      <c r="BM498" s="62"/>
      <c r="BN498" s="62"/>
      <c r="BO498" s="62"/>
      <c r="BP498" s="62"/>
      <c r="BQ498" s="62"/>
      <c r="BR498" s="62"/>
      <c r="BS498" s="62"/>
      <c r="BT498" s="62"/>
      <c r="BU498" s="62"/>
      <c r="BV498" s="62"/>
      <c r="BW498" s="62"/>
      <c r="BX498" s="62"/>
      <c r="BY498" s="62"/>
      <c r="BZ498" s="62"/>
      <c r="CA498" s="62"/>
      <c r="CB498" s="62"/>
      <c r="CC498" s="62"/>
      <c r="CD498" s="62"/>
      <c r="CE498" s="62"/>
      <c r="CF498" s="62"/>
      <c r="CG498" s="62"/>
      <c r="CH498" s="62"/>
      <c r="CI498" s="62"/>
      <c r="CJ498" s="62"/>
      <c r="CK498" s="62"/>
      <c r="CL498" s="62"/>
      <c r="CM498" s="62"/>
      <c r="CN498" s="62"/>
      <c r="CO498" s="62"/>
      <c r="CP498" s="62"/>
      <c r="CQ498" s="62"/>
      <c r="CR498" s="62"/>
      <c r="CS498" s="62"/>
      <c r="CT498" s="62"/>
      <c r="CU498" s="62"/>
      <c r="CV498" s="62"/>
      <c r="CW498" s="62"/>
      <c r="CX498" s="62"/>
      <c r="CY498" s="62"/>
      <c r="CZ498" s="62"/>
      <c r="DA498" s="62"/>
      <c r="DB498" s="62"/>
      <c r="DC498" s="62"/>
      <c r="DD498" s="62"/>
      <c r="DE498" s="62"/>
      <c r="DF498" s="62"/>
      <c r="DG498" s="62"/>
      <c r="DH498" s="62"/>
      <c r="DI498" s="62"/>
      <c r="DJ498" s="62"/>
      <c r="DK498" s="62"/>
      <c r="DL498" s="62"/>
    </row>
    <row r="499" spans="1:116" x14ac:dyDescent="0.2">
      <c r="A499" s="57">
        <v>41760</v>
      </c>
      <c r="B499" s="58">
        <v>2014</v>
      </c>
      <c r="C499" s="66">
        <v>13.752000000000001</v>
      </c>
      <c r="D499" s="62">
        <v>0.187</v>
      </c>
      <c r="E499" s="62">
        <v>2531.2800000000002</v>
      </c>
      <c r="F499" s="62">
        <v>106.31399999999999</v>
      </c>
      <c r="G499" s="62">
        <v>13.565</v>
      </c>
      <c r="H499" s="62">
        <v>133</v>
      </c>
      <c r="I499" s="62">
        <v>207.56399999999999</v>
      </c>
      <c r="J499" s="62">
        <v>-74.563999999999993</v>
      </c>
      <c r="K499" s="62">
        <v>3134.9140000000002</v>
      </c>
      <c r="L499" s="62">
        <v>-266.94900000000001</v>
      </c>
      <c r="M499" s="62">
        <v>2723.665</v>
      </c>
      <c r="N499" s="62">
        <v>114.39400000000001</v>
      </c>
      <c r="O499" s="66">
        <v>14.596</v>
      </c>
      <c r="P499" s="61">
        <v>386.16300000000001</v>
      </c>
      <c r="Q499" s="62">
        <v>16.219000000000001</v>
      </c>
      <c r="R499" s="62">
        <v>2.1219999999999999</v>
      </c>
      <c r="S499" s="62">
        <v>409</v>
      </c>
      <c r="T499" s="62"/>
      <c r="U499" s="62">
        <v>392</v>
      </c>
      <c r="V499" s="62">
        <v>18</v>
      </c>
      <c r="W499" s="62">
        <v>777.16300000000001</v>
      </c>
      <c r="X499" s="62">
        <v>32.640999999999998</v>
      </c>
      <c r="Y499" s="61">
        <v>4.2699999999999996</v>
      </c>
      <c r="Z499" s="63">
        <v>4.2699999999999996</v>
      </c>
      <c r="AA499" s="64" t="s">
        <v>116</v>
      </c>
      <c r="AB499" s="62" t="s">
        <v>116</v>
      </c>
      <c r="AC499" s="62">
        <v>22.318000000000001</v>
      </c>
      <c r="AD499" s="62">
        <v>0.93700000000000006</v>
      </c>
      <c r="AE499" s="62">
        <v>0.12</v>
      </c>
      <c r="AF499" s="62" t="s">
        <v>140</v>
      </c>
      <c r="AG499" s="62">
        <v>10</v>
      </c>
      <c r="AH499" s="62">
        <v>3</v>
      </c>
      <c r="AI499" s="62">
        <v>19.318000000000001</v>
      </c>
      <c r="AJ499" s="62">
        <v>0.81100000000000005</v>
      </c>
      <c r="AK499" s="64">
        <v>0.104</v>
      </c>
      <c r="AL499" s="19">
        <v>155810</v>
      </c>
      <c r="AM499" s="19">
        <v>122500</v>
      </c>
      <c r="AN499" s="23">
        <v>6137</v>
      </c>
      <c r="AO499" s="19">
        <v>121564</v>
      </c>
      <c r="AP499" s="19">
        <v>36009</v>
      </c>
      <c r="AQ499" s="19">
        <v>142382</v>
      </c>
      <c r="AR499" s="63"/>
      <c r="AS499" s="63"/>
      <c r="AT499" s="65">
        <f t="shared" si="37"/>
        <v>5105.6880000000001</v>
      </c>
      <c r="AU499" s="65">
        <f t="shared" si="38"/>
        <v>257.75400000000002</v>
      </c>
      <c r="AV499" s="65">
        <f t="shared" si="39"/>
        <v>1512.3779999999999</v>
      </c>
      <c r="AW499" s="65">
        <f t="shared" si="40"/>
        <v>6544.02</v>
      </c>
      <c r="AX499" s="65">
        <f t="shared" si="40"/>
        <v>5145</v>
      </c>
      <c r="AY499" s="65">
        <f t="shared" si="36"/>
        <v>5980.0439999999999</v>
      </c>
      <c r="AZ499" s="19">
        <v>45493</v>
      </c>
      <c r="BA499" s="19">
        <v>43409</v>
      </c>
      <c r="BB499" s="19">
        <v>39036</v>
      </c>
      <c r="BC499" s="19">
        <v>3226</v>
      </c>
      <c r="BD499" s="19">
        <v>4908</v>
      </c>
      <c r="BE499" s="23">
        <v>29257.416000000001</v>
      </c>
      <c r="BF499" s="23">
        <v>15465.233</v>
      </c>
      <c r="BG499" s="23"/>
      <c r="BH499" s="23"/>
      <c r="BI499" s="67">
        <v>102.18</v>
      </c>
      <c r="BJ499" s="67">
        <v>2.99</v>
      </c>
      <c r="BK499" s="67">
        <v>2.96</v>
      </c>
      <c r="BL499" s="67">
        <v>2.95</v>
      </c>
      <c r="BM499" s="62"/>
      <c r="BN499" s="62"/>
      <c r="BO499" s="62"/>
      <c r="BP499" s="62"/>
      <c r="BQ499" s="62"/>
      <c r="BR499" s="62"/>
      <c r="BS499" s="62"/>
      <c r="BT499" s="62"/>
      <c r="BU499" s="62"/>
      <c r="BV499" s="62"/>
      <c r="BW499" s="62"/>
      <c r="BX499" s="62"/>
      <c r="BY499" s="62"/>
      <c r="BZ499" s="62"/>
      <c r="CA499" s="62"/>
      <c r="CB499" s="62"/>
      <c r="CC499" s="62"/>
      <c r="CD499" s="62"/>
      <c r="CE499" s="62"/>
      <c r="CF499" s="62"/>
      <c r="CG499" s="62"/>
      <c r="CH499" s="62"/>
      <c r="CI499" s="62"/>
      <c r="CJ499" s="62"/>
      <c r="CK499" s="62"/>
      <c r="CL499" s="62"/>
      <c r="CM499" s="62"/>
      <c r="CN499" s="62"/>
      <c r="CO499" s="62"/>
      <c r="CP499" s="62"/>
      <c r="CQ499" s="62"/>
      <c r="CR499" s="62"/>
      <c r="CS499" s="62"/>
      <c r="CT499" s="62"/>
      <c r="CU499" s="62"/>
      <c r="CV499" s="62"/>
      <c r="CW499" s="62"/>
      <c r="CX499" s="62"/>
      <c r="CY499" s="62"/>
      <c r="CZ499" s="62"/>
      <c r="DA499" s="62"/>
      <c r="DB499" s="62"/>
      <c r="DC499" s="62"/>
      <c r="DD499" s="62"/>
      <c r="DE499" s="62"/>
      <c r="DF499" s="62"/>
      <c r="DG499" s="62"/>
      <c r="DH499" s="62"/>
      <c r="DI499" s="62"/>
      <c r="DJ499" s="62"/>
      <c r="DK499" s="62"/>
      <c r="DL499" s="62"/>
    </row>
    <row r="500" spans="1:116" x14ac:dyDescent="0.2">
      <c r="A500" s="57">
        <v>41791</v>
      </c>
      <c r="B500" s="58">
        <v>2014</v>
      </c>
      <c r="C500" s="66">
        <v>14.368</v>
      </c>
      <c r="D500" s="62">
        <v>0.19600000000000001</v>
      </c>
      <c r="E500" s="62">
        <v>2644.529</v>
      </c>
      <c r="F500" s="62">
        <v>111.07</v>
      </c>
      <c r="G500" s="62">
        <v>14.172000000000001</v>
      </c>
      <c r="H500" s="62">
        <v>235</v>
      </c>
      <c r="I500" s="62">
        <v>263.41000000000003</v>
      </c>
      <c r="J500" s="62">
        <v>-28.41</v>
      </c>
      <c r="K500" s="62">
        <v>2798.31</v>
      </c>
      <c r="L500" s="62">
        <v>-336.60500000000002</v>
      </c>
      <c r="M500" s="62">
        <v>2952.7240000000002</v>
      </c>
      <c r="N500" s="62">
        <v>124.014</v>
      </c>
      <c r="O500" s="66">
        <v>15.824</v>
      </c>
      <c r="P500" s="61">
        <v>372.97399999999999</v>
      </c>
      <c r="Q500" s="62">
        <v>15.664999999999999</v>
      </c>
      <c r="R500" s="62">
        <v>2.0489999999999999</v>
      </c>
      <c r="S500" s="62"/>
      <c r="T500" s="62"/>
      <c r="U500" s="62">
        <v>346</v>
      </c>
      <c r="V500" s="62">
        <v>-46</v>
      </c>
      <c r="W500" s="62">
        <v>418.97399999999999</v>
      </c>
      <c r="X500" s="62">
        <v>17.597000000000001</v>
      </c>
      <c r="Y500" s="61">
        <v>2.302</v>
      </c>
      <c r="Z500" s="63">
        <v>2.302</v>
      </c>
      <c r="AA500" s="64" t="s">
        <v>116</v>
      </c>
      <c r="AB500" s="62" t="s">
        <v>116</v>
      </c>
      <c r="AC500" s="62">
        <v>22.114000000000001</v>
      </c>
      <c r="AD500" s="62">
        <v>0.92900000000000005</v>
      </c>
      <c r="AE500" s="62">
        <v>0.11899999999999999</v>
      </c>
      <c r="AF500" s="62" t="s">
        <v>140</v>
      </c>
      <c r="AG500" s="62">
        <v>11</v>
      </c>
      <c r="AH500" s="62">
        <v>1</v>
      </c>
      <c r="AI500" s="62">
        <v>21.114000000000001</v>
      </c>
      <c r="AJ500" s="62">
        <v>0.88700000000000001</v>
      </c>
      <c r="AK500" s="64">
        <v>0.113</v>
      </c>
      <c r="AL500" s="19">
        <v>146880</v>
      </c>
      <c r="AM500" s="19">
        <v>117047</v>
      </c>
      <c r="AN500" s="23">
        <v>3616</v>
      </c>
      <c r="AO500" s="19">
        <v>121585</v>
      </c>
      <c r="AP500" s="19">
        <v>35106</v>
      </c>
      <c r="AQ500" s="19">
        <v>135950</v>
      </c>
      <c r="AR500" s="63"/>
      <c r="AS500" s="63"/>
      <c r="AT500" s="65">
        <f t="shared" si="37"/>
        <v>5106.57</v>
      </c>
      <c r="AU500" s="65">
        <f t="shared" si="38"/>
        <v>151.87200000000001</v>
      </c>
      <c r="AV500" s="65">
        <f t="shared" si="39"/>
        <v>1474.452</v>
      </c>
      <c r="AW500" s="65">
        <f t="shared" si="40"/>
        <v>6168.96</v>
      </c>
      <c r="AX500" s="65">
        <f t="shared" si="40"/>
        <v>4915.9740000000002</v>
      </c>
      <c r="AY500" s="65">
        <f t="shared" si="36"/>
        <v>5709.9</v>
      </c>
      <c r="AZ500" s="19">
        <v>45643</v>
      </c>
      <c r="BA500" s="19">
        <v>46305</v>
      </c>
      <c r="BB500" s="19">
        <v>37074</v>
      </c>
      <c r="BC500" s="19">
        <v>3256</v>
      </c>
      <c r="BD500" s="19">
        <v>4556</v>
      </c>
      <c r="BE500" s="23">
        <v>37126.144999999997</v>
      </c>
      <c r="BF500" s="23">
        <v>27529.481</v>
      </c>
      <c r="BG500" s="23"/>
      <c r="BH500" s="23"/>
      <c r="BI500" s="67">
        <v>105.79</v>
      </c>
      <c r="BJ500" s="67">
        <v>2.97</v>
      </c>
      <c r="BK500" s="67">
        <v>2.94</v>
      </c>
      <c r="BL500" s="67">
        <v>3</v>
      </c>
      <c r="BM500" s="62"/>
      <c r="BN500" s="62"/>
      <c r="BO500" s="62"/>
      <c r="BP500" s="62"/>
      <c r="BQ500" s="62"/>
      <c r="BR500" s="62"/>
      <c r="BS500" s="62"/>
      <c r="BT500" s="62"/>
      <c r="BU500" s="62"/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/>
      <c r="CP500" s="62"/>
      <c r="CQ500" s="62"/>
      <c r="CR500" s="62"/>
      <c r="CS500" s="62"/>
      <c r="CT500" s="62"/>
      <c r="CU500" s="62"/>
      <c r="CV500" s="62"/>
      <c r="CW500" s="62"/>
      <c r="CX500" s="62"/>
      <c r="CY500" s="62"/>
      <c r="CZ500" s="62"/>
      <c r="DA500" s="62"/>
      <c r="DB500" s="62"/>
      <c r="DC500" s="62"/>
      <c r="DD500" s="62"/>
      <c r="DE500" s="62"/>
      <c r="DF500" s="62"/>
      <c r="DG500" s="62"/>
      <c r="DH500" s="62"/>
      <c r="DI500" s="62"/>
      <c r="DJ500" s="62"/>
      <c r="DK500" s="62"/>
      <c r="DL500" s="62"/>
    </row>
    <row r="501" spans="1:116" x14ac:dyDescent="0.2">
      <c r="A501" s="57">
        <v>41821</v>
      </c>
      <c r="B501" s="58">
        <v>2014</v>
      </c>
      <c r="C501" s="66">
        <v>15.896000000000001</v>
      </c>
      <c r="D501" s="62">
        <v>0.217</v>
      </c>
      <c r="E501" s="62">
        <v>2925.8870000000002</v>
      </c>
      <c r="F501" s="62">
        <v>122.887</v>
      </c>
      <c r="G501" s="62">
        <v>15.68</v>
      </c>
      <c r="H501" s="62">
        <v>493</v>
      </c>
      <c r="I501" s="62">
        <v>320.15199999999999</v>
      </c>
      <c r="J501" s="62">
        <v>172.84800000000001</v>
      </c>
      <c r="K501" s="62">
        <v>3089.1260000000002</v>
      </c>
      <c r="L501" s="62">
        <v>290.81700000000001</v>
      </c>
      <c r="M501" s="62">
        <v>2807.9180000000001</v>
      </c>
      <c r="N501" s="62">
        <v>117.93300000000001</v>
      </c>
      <c r="O501" s="66">
        <v>15.048</v>
      </c>
      <c r="P501" s="61">
        <v>333.27499999999998</v>
      </c>
      <c r="Q501" s="62">
        <v>13.997999999999999</v>
      </c>
      <c r="R501" s="62">
        <v>1.831</v>
      </c>
      <c r="S501" s="62">
        <v>603</v>
      </c>
      <c r="T501" s="62"/>
      <c r="U501" s="62">
        <v>595</v>
      </c>
      <c r="V501" s="62">
        <v>249</v>
      </c>
      <c r="W501" s="62">
        <v>687.27499999999998</v>
      </c>
      <c r="X501" s="62">
        <v>28.866</v>
      </c>
      <c r="Y501" s="61">
        <v>3.7759999999999998</v>
      </c>
      <c r="Z501" s="63">
        <v>3.7759999999999998</v>
      </c>
      <c r="AA501" s="64" t="s">
        <v>116</v>
      </c>
      <c r="AB501" s="62" t="s">
        <v>116</v>
      </c>
      <c r="AC501" s="62">
        <v>25.356999999999999</v>
      </c>
      <c r="AD501" s="62">
        <v>1.0649999999999999</v>
      </c>
      <c r="AE501" s="62">
        <v>0.13600000000000001</v>
      </c>
      <c r="AF501" s="62" t="s">
        <v>140</v>
      </c>
      <c r="AG501" s="62">
        <v>6</v>
      </c>
      <c r="AH501" s="62">
        <v>-5</v>
      </c>
      <c r="AI501" s="62">
        <v>30.356999999999999</v>
      </c>
      <c r="AJ501" s="62">
        <v>1.2749999999999999</v>
      </c>
      <c r="AK501" s="64">
        <v>0.16300000000000001</v>
      </c>
      <c r="AL501" s="19">
        <v>155657</v>
      </c>
      <c r="AM501" s="19">
        <v>119860</v>
      </c>
      <c r="AN501" s="23">
        <v>3984</v>
      </c>
      <c r="AO501" s="19">
        <v>125457</v>
      </c>
      <c r="AP501" s="19">
        <v>37412</v>
      </c>
      <c r="AQ501" s="19">
        <v>143417</v>
      </c>
      <c r="AR501" s="63"/>
      <c r="AS501" s="63"/>
      <c r="AT501" s="65">
        <f t="shared" si="37"/>
        <v>5269.1940000000004</v>
      </c>
      <c r="AU501" s="65">
        <f t="shared" si="38"/>
        <v>167.328</v>
      </c>
      <c r="AV501" s="65">
        <f t="shared" si="39"/>
        <v>1571.3040000000001</v>
      </c>
      <c r="AW501" s="65">
        <f t="shared" si="40"/>
        <v>6537.5940000000001</v>
      </c>
      <c r="AX501" s="65">
        <f t="shared" si="40"/>
        <v>5034.12</v>
      </c>
      <c r="AY501" s="65">
        <f t="shared" si="36"/>
        <v>6023.5140000000001</v>
      </c>
      <c r="AZ501" s="19">
        <v>50739</v>
      </c>
      <c r="BA501" s="19">
        <v>48322</v>
      </c>
      <c r="BB501" s="19">
        <v>35740</v>
      </c>
      <c r="BC501" s="19">
        <v>2648</v>
      </c>
      <c r="BD501" s="19">
        <v>6399</v>
      </c>
      <c r="BE501" s="23">
        <v>45123.783000000003</v>
      </c>
      <c r="BF501" s="23">
        <v>69494.194000000003</v>
      </c>
      <c r="BG501" s="23"/>
      <c r="BH501" s="23"/>
      <c r="BI501" s="67">
        <v>103.59</v>
      </c>
      <c r="BJ501" s="67">
        <v>2.92</v>
      </c>
      <c r="BK501" s="67">
        <v>2.91</v>
      </c>
      <c r="BL501" s="67">
        <v>2.85</v>
      </c>
      <c r="BM501" s="62"/>
      <c r="BN501" s="62"/>
      <c r="BO501" s="62"/>
      <c r="BP501" s="62"/>
      <c r="BQ501" s="62"/>
      <c r="BR501" s="62"/>
      <c r="BS501" s="62"/>
      <c r="BT501" s="62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62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  <c r="DK501" s="62"/>
      <c r="DL501" s="62"/>
    </row>
    <row r="502" spans="1:116" x14ac:dyDescent="0.2">
      <c r="A502" s="57">
        <v>41852</v>
      </c>
      <c r="B502" s="58">
        <v>2014</v>
      </c>
      <c r="C502" s="66">
        <v>16.225999999999999</v>
      </c>
      <c r="D502" s="62">
        <v>0.221</v>
      </c>
      <c r="E502" s="62">
        <v>2986.5940000000001</v>
      </c>
      <c r="F502" s="62">
        <v>125.437</v>
      </c>
      <c r="G502" s="62">
        <v>16.004999999999999</v>
      </c>
      <c r="H502" s="62">
        <v>571</v>
      </c>
      <c r="I502" s="62">
        <v>264.20100000000002</v>
      </c>
      <c r="J502" s="62">
        <v>306.79899999999998</v>
      </c>
      <c r="K502" s="62">
        <v>2785.5239999999999</v>
      </c>
      <c r="L502" s="62">
        <v>-303.60199999999998</v>
      </c>
      <c r="M502" s="62">
        <v>3596.9949999999999</v>
      </c>
      <c r="N502" s="62">
        <v>151.07400000000001</v>
      </c>
      <c r="O502" s="66">
        <v>19.276</v>
      </c>
      <c r="P502" s="61">
        <v>48.646000000000001</v>
      </c>
      <c r="Q502" s="62">
        <v>2.0430000000000001</v>
      </c>
      <c r="R502" s="62">
        <v>0.26700000000000002</v>
      </c>
      <c r="S502" s="62">
        <v>178</v>
      </c>
      <c r="T502" s="62"/>
      <c r="U502" s="62">
        <v>363</v>
      </c>
      <c r="V502" s="62">
        <v>-232</v>
      </c>
      <c r="W502" s="62">
        <v>458.64600000000002</v>
      </c>
      <c r="X502" s="62">
        <v>19.263000000000002</v>
      </c>
      <c r="Y502" s="61">
        <v>2.52</v>
      </c>
      <c r="Z502" s="63">
        <v>2.52</v>
      </c>
      <c r="AA502" s="64" t="s">
        <v>116</v>
      </c>
      <c r="AB502" s="62" t="s">
        <v>116</v>
      </c>
      <c r="AC502" s="62">
        <v>2.7839999999999998</v>
      </c>
      <c r="AD502" s="62">
        <v>0.11700000000000001</v>
      </c>
      <c r="AE502" s="62">
        <v>1.4999999999999999E-2</v>
      </c>
      <c r="AF502" s="62" t="s">
        <v>140</v>
      </c>
      <c r="AG502" s="62">
        <v>8</v>
      </c>
      <c r="AH502" s="62">
        <v>2</v>
      </c>
      <c r="AI502" s="62">
        <v>0.78400000000000003</v>
      </c>
      <c r="AJ502" s="62">
        <v>3.3000000000000002E-2</v>
      </c>
      <c r="AK502" s="64">
        <v>4.0000000000000001E-3</v>
      </c>
      <c r="AL502" s="19">
        <v>156316</v>
      </c>
      <c r="AM502" s="19">
        <v>120117</v>
      </c>
      <c r="AN502" s="23">
        <v>4434</v>
      </c>
      <c r="AO502" s="19">
        <v>128313</v>
      </c>
      <c r="AP502" s="19">
        <v>40032</v>
      </c>
      <c r="AQ502" s="19">
        <v>143597</v>
      </c>
      <c r="AR502" s="63"/>
      <c r="AS502" s="63"/>
      <c r="AT502" s="65">
        <f t="shared" si="37"/>
        <v>5389.1459999999997</v>
      </c>
      <c r="AU502" s="65">
        <f t="shared" si="38"/>
        <v>186.22800000000001</v>
      </c>
      <c r="AV502" s="65">
        <f t="shared" si="39"/>
        <v>1681.3440000000001</v>
      </c>
      <c r="AW502" s="65">
        <f t="shared" si="40"/>
        <v>6565.2719999999999</v>
      </c>
      <c r="AX502" s="65">
        <f t="shared" si="40"/>
        <v>5044.9139999999998</v>
      </c>
      <c r="AY502" s="65">
        <f t="shared" si="36"/>
        <v>6031.0739999999996</v>
      </c>
      <c r="AZ502" s="19">
        <v>51920</v>
      </c>
      <c r="BA502" s="19">
        <v>47190</v>
      </c>
      <c r="BB502" s="19">
        <v>35841</v>
      </c>
      <c r="BC502" s="19">
        <v>1961</v>
      </c>
      <c r="BD502" s="19">
        <v>6590</v>
      </c>
      <c r="BE502" s="23">
        <v>37239.993999999999</v>
      </c>
      <c r="BF502" s="23">
        <v>80751.678</v>
      </c>
      <c r="BG502" s="23"/>
      <c r="BH502" s="23"/>
      <c r="BI502" s="67">
        <v>96.53</v>
      </c>
      <c r="BJ502" s="67">
        <v>2.9</v>
      </c>
      <c r="BK502" s="67">
        <v>2.92</v>
      </c>
      <c r="BL502" s="67">
        <v>2.76</v>
      </c>
      <c r="BM502" s="62"/>
      <c r="BN502" s="62"/>
      <c r="BO502" s="62"/>
      <c r="BP502" s="62"/>
      <c r="BQ502" s="62"/>
      <c r="BR502" s="62"/>
      <c r="BS502" s="62"/>
      <c r="BT502" s="62"/>
      <c r="BU502" s="62"/>
      <c r="BV502" s="62"/>
      <c r="BW502" s="62"/>
      <c r="BX502" s="62"/>
      <c r="BY502" s="62"/>
      <c r="BZ502" s="62"/>
      <c r="CA502" s="62"/>
      <c r="CB502" s="62"/>
      <c r="CC502" s="62"/>
      <c r="CD502" s="62"/>
      <c r="CE502" s="62"/>
      <c r="CF502" s="62"/>
      <c r="CG502" s="62"/>
      <c r="CH502" s="62"/>
      <c r="CI502" s="62"/>
      <c r="CJ502" s="62"/>
      <c r="CK502" s="62"/>
      <c r="CL502" s="62"/>
      <c r="CM502" s="62"/>
      <c r="CN502" s="62"/>
      <c r="CO502" s="62"/>
      <c r="CP502" s="62"/>
      <c r="CQ502" s="62"/>
      <c r="CR502" s="62"/>
      <c r="CS502" s="62"/>
      <c r="CT502" s="62"/>
      <c r="CU502" s="62"/>
      <c r="CV502" s="62"/>
      <c r="CW502" s="62"/>
      <c r="CX502" s="62"/>
      <c r="CY502" s="62"/>
      <c r="CZ502" s="62"/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  <c r="DK502" s="62"/>
      <c r="DL502" s="62"/>
    </row>
    <row r="503" spans="1:116" x14ac:dyDescent="0.2">
      <c r="A503" s="57">
        <v>41883</v>
      </c>
      <c r="B503" s="58">
        <v>2014</v>
      </c>
      <c r="C503" s="66">
        <v>14.964</v>
      </c>
      <c r="D503" s="62">
        <v>0.20399999999999999</v>
      </c>
      <c r="E503" s="62">
        <v>2754.2060000000001</v>
      </c>
      <c r="F503" s="62">
        <v>115.67700000000001</v>
      </c>
      <c r="G503" s="62">
        <v>14.76</v>
      </c>
      <c r="H503" s="62">
        <v>352</v>
      </c>
      <c r="I503" s="62">
        <v>136.25800000000001</v>
      </c>
      <c r="J503" s="62">
        <v>215.74199999999999</v>
      </c>
      <c r="K503" s="62">
        <v>2293.2849999999999</v>
      </c>
      <c r="L503" s="62">
        <v>-492.23899999999998</v>
      </c>
      <c r="M503" s="62">
        <v>3462.1869999999999</v>
      </c>
      <c r="N503" s="62">
        <v>145.41200000000001</v>
      </c>
      <c r="O503" s="66">
        <v>18.553999999999998</v>
      </c>
      <c r="P503" s="61">
        <v>141.65299999999999</v>
      </c>
      <c r="Q503" s="62">
        <v>5.9489999999999998</v>
      </c>
      <c r="R503" s="62">
        <v>0.77800000000000002</v>
      </c>
      <c r="S503" s="62">
        <v>267</v>
      </c>
      <c r="T503" s="62"/>
      <c r="U503" s="62">
        <v>374</v>
      </c>
      <c r="V503" s="62">
        <v>11</v>
      </c>
      <c r="W503" s="62">
        <v>397.65300000000002</v>
      </c>
      <c r="X503" s="62">
        <v>16.701000000000001</v>
      </c>
      <c r="Y503" s="61">
        <v>2.1850000000000001</v>
      </c>
      <c r="Z503" s="63">
        <v>2.1850000000000001</v>
      </c>
      <c r="AA503" s="64" t="s">
        <v>116</v>
      </c>
      <c r="AB503" s="62" t="s">
        <v>116</v>
      </c>
      <c r="AC503" s="62">
        <v>16.690999999999999</v>
      </c>
      <c r="AD503" s="62">
        <v>0.70099999999999996</v>
      </c>
      <c r="AE503" s="62">
        <v>8.8999999999999996E-2</v>
      </c>
      <c r="AF503" s="62" t="s">
        <v>140</v>
      </c>
      <c r="AG503" s="62">
        <v>9</v>
      </c>
      <c r="AH503" s="62">
        <v>1</v>
      </c>
      <c r="AI503" s="62">
        <v>15.691000000000001</v>
      </c>
      <c r="AJ503" s="62">
        <v>0.65900000000000003</v>
      </c>
      <c r="AK503" s="64">
        <v>8.4000000000000005E-2</v>
      </c>
      <c r="AL503" s="19">
        <v>148194</v>
      </c>
      <c r="AM503" s="19">
        <v>118002</v>
      </c>
      <c r="AN503" s="23">
        <v>3768</v>
      </c>
      <c r="AO503" s="19">
        <v>131436</v>
      </c>
      <c r="AP503" s="19">
        <v>32909</v>
      </c>
      <c r="AQ503" s="19">
        <v>135635</v>
      </c>
      <c r="AR503" s="63"/>
      <c r="AS503" s="63"/>
      <c r="AT503" s="65">
        <f t="shared" si="37"/>
        <v>5520.3119999999999</v>
      </c>
      <c r="AU503" s="65">
        <f t="shared" si="38"/>
        <v>158.256</v>
      </c>
      <c r="AV503" s="65">
        <f t="shared" si="39"/>
        <v>1382.1780000000001</v>
      </c>
      <c r="AW503" s="65">
        <f t="shared" si="40"/>
        <v>6224.1480000000001</v>
      </c>
      <c r="AX503" s="65">
        <f t="shared" si="40"/>
        <v>4956.0839999999998</v>
      </c>
      <c r="AY503" s="65">
        <f t="shared" si="36"/>
        <v>5696.67</v>
      </c>
      <c r="AZ503" s="19">
        <v>48557</v>
      </c>
      <c r="BA503" s="19">
        <v>44454</v>
      </c>
      <c r="BB503" s="19">
        <v>39794</v>
      </c>
      <c r="BC503" s="19">
        <v>3986</v>
      </c>
      <c r="BD503" s="19">
        <v>4136</v>
      </c>
      <c r="BE503" s="23">
        <v>19207.118999999999</v>
      </c>
      <c r="BF503" s="23">
        <v>49684.639000000003</v>
      </c>
      <c r="BG503" s="23"/>
      <c r="BH503" s="23"/>
      <c r="BI503" s="67">
        <v>93.21</v>
      </c>
      <c r="BJ503" s="67">
        <v>2.81</v>
      </c>
      <c r="BK503" s="67">
        <v>2.83</v>
      </c>
      <c r="BL503" s="67">
        <v>2.67</v>
      </c>
      <c r="BM503" s="62"/>
      <c r="BN503" s="62"/>
      <c r="BO503" s="62"/>
      <c r="BP503" s="62"/>
      <c r="BQ503" s="62"/>
      <c r="BR503" s="62"/>
      <c r="BS503" s="62"/>
      <c r="BT503" s="62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62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  <c r="DK503" s="62"/>
      <c r="DL503" s="62"/>
    </row>
    <row r="504" spans="1:116" x14ac:dyDescent="0.2">
      <c r="A504" s="57">
        <v>41913</v>
      </c>
      <c r="B504" s="58">
        <v>2014</v>
      </c>
      <c r="C504" s="66">
        <v>15.909000000000001</v>
      </c>
      <c r="D504" s="62">
        <v>0.217</v>
      </c>
      <c r="E504" s="62">
        <v>2928.28</v>
      </c>
      <c r="F504" s="62">
        <v>122.988</v>
      </c>
      <c r="G504" s="62">
        <v>15.693</v>
      </c>
      <c r="H504" s="62">
        <v>507</v>
      </c>
      <c r="I504" s="62">
        <v>39.654000000000003</v>
      </c>
      <c r="J504" s="62">
        <v>467.346</v>
      </c>
      <c r="K504" s="62">
        <v>2640.5210000000002</v>
      </c>
      <c r="L504" s="62">
        <v>347.23599999999999</v>
      </c>
      <c r="M504" s="62">
        <v>3048.39</v>
      </c>
      <c r="N504" s="62">
        <v>128.03200000000001</v>
      </c>
      <c r="O504" s="66">
        <v>16.335999999999999</v>
      </c>
      <c r="P504" s="61">
        <v>350.52</v>
      </c>
      <c r="Q504" s="62">
        <v>14.722</v>
      </c>
      <c r="R504" s="62">
        <v>1.9259999999999999</v>
      </c>
      <c r="S504" s="62">
        <v>235</v>
      </c>
      <c r="T504" s="62"/>
      <c r="U504" s="62">
        <v>223</v>
      </c>
      <c r="V504" s="62">
        <v>-151</v>
      </c>
      <c r="W504" s="62">
        <v>736.52</v>
      </c>
      <c r="X504" s="62">
        <v>30.934000000000001</v>
      </c>
      <c r="Y504" s="61">
        <v>4.0460000000000003</v>
      </c>
      <c r="Z504" s="63">
        <v>4.0460000000000003</v>
      </c>
      <c r="AA504" s="64" t="s">
        <v>116</v>
      </c>
      <c r="AB504" s="62" t="s">
        <v>116</v>
      </c>
      <c r="AC504" s="62">
        <v>38.085999999999999</v>
      </c>
      <c r="AD504" s="62">
        <v>1.6</v>
      </c>
      <c r="AE504" s="62">
        <v>0.20399999999999999</v>
      </c>
      <c r="AF504" s="62" t="s">
        <v>140</v>
      </c>
      <c r="AG504" s="62" t="s">
        <v>140</v>
      </c>
      <c r="AH504" s="62">
        <v>-9</v>
      </c>
      <c r="AI504" s="62">
        <v>47.085999999999999</v>
      </c>
      <c r="AJ504" s="62">
        <v>1.978</v>
      </c>
      <c r="AK504" s="64">
        <v>0.252</v>
      </c>
      <c r="AL504" s="19">
        <v>144522</v>
      </c>
      <c r="AM504" s="19">
        <v>132255</v>
      </c>
      <c r="AN504" s="23">
        <v>3727</v>
      </c>
      <c r="AO504" s="19">
        <v>120372</v>
      </c>
      <c r="AP504" s="19">
        <v>28803</v>
      </c>
      <c r="AQ504" s="19">
        <v>129013</v>
      </c>
      <c r="AR504" s="63"/>
      <c r="AS504" s="63"/>
      <c r="AT504" s="65">
        <f t="shared" si="37"/>
        <v>5055.6239999999998</v>
      </c>
      <c r="AU504" s="65">
        <f t="shared" si="38"/>
        <v>156.53399999999999</v>
      </c>
      <c r="AV504" s="65">
        <f t="shared" si="39"/>
        <v>1209.7260000000001</v>
      </c>
      <c r="AW504" s="65">
        <f t="shared" si="40"/>
        <v>6069.924</v>
      </c>
      <c r="AX504" s="65">
        <f t="shared" si="40"/>
        <v>5554.71</v>
      </c>
      <c r="AY504" s="65">
        <f t="shared" si="36"/>
        <v>5418.5460000000003</v>
      </c>
      <c r="AZ504" s="19">
        <v>46023</v>
      </c>
      <c r="BA504" s="19">
        <v>45863</v>
      </c>
      <c r="BB504" s="19">
        <v>36457</v>
      </c>
      <c r="BC504" s="19">
        <v>2781</v>
      </c>
      <c r="BD504" s="19">
        <v>6278</v>
      </c>
      <c r="BE504" s="23">
        <v>5569.3329999999996</v>
      </c>
      <c r="BF504" s="23">
        <v>86343.88</v>
      </c>
      <c r="BG504" s="23"/>
      <c r="BH504" s="23"/>
      <c r="BI504" s="67">
        <v>84.4</v>
      </c>
      <c r="BJ504" s="67">
        <v>2.64</v>
      </c>
      <c r="BK504" s="67">
        <v>2.58</v>
      </c>
      <c r="BL504" s="67">
        <v>2.33</v>
      </c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62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  <c r="DK504" s="62"/>
      <c r="DL504" s="62"/>
    </row>
    <row r="505" spans="1:116" x14ac:dyDescent="0.2">
      <c r="A505" s="57">
        <v>41944</v>
      </c>
      <c r="B505" s="58">
        <v>2014</v>
      </c>
      <c r="C505" s="66">
        <v>14.183</v>
      </c>
      <c r="D505" s="62">
        <v>0.193</v>
      </c>
      <c r="E505" s="62">
        <v>2610.4569999999999</v>
      </c>
      <c r="F505" s="62">
        <v>109.639</v>
      </c>
      <c r="G505" s="62">
        <v>13.989000000000001</v>
      </c>
      <c r="H505" s="62">
        <v>989</v>
      </c>
      <c r="I505" s="62">
        <v>65.076999999999998</v>
      </c>
      <c r="J505" s="62">
        <v>923.923</v>
      </c>
      <c r="K505" s="62">
        <v>3084.221</v>
      </c>
      <c r="L505" s="62">
        <v>443.7</v>
      </c>
      <c r="M505" s="62">
        <v>3090.68</v>
      </c>
      <c r="N505" s="62">
        <v>129.809</v>
      </c>
      <c r="O505" s="66">
        <v>16.562999999999999</v>
      </c>
      <c r="P505" s="61">
        <v>391.971</v>
      </c>
      <c r="Q505" s="62">
        <v>16.463000000000001</v>
      </c>
      <c r="R505" s="62">
        <v>2.153</v>
      </c>
      <c r="S505" s="62"/>
      <c r="T505" s="62"/>
      <c r="U505" s="62">
        <v>222</v>
      </c>
      <c r="V505" s="62">
        <v>-1</v>
      </c>
      <c r="W505" s="62">
        <v>392.971</v>
      </c>
      <c r="X505" s="62">
        <v>16.504999999999999</v>
      </c>
      <c r="Y505" s="61">
        <v>2.1589999999999998</v>
      </c>
      <c r="Z505" s="63">
        <v>2.1589999999999998</v>
      </c>
      <c r="AA505" s="64" t="s">
        <v>116</v>
      </c>
      <c r="AB505" s="62" t="s">
        <v>116</v>
      </c>
      <c r="AC505" s="62">
        <v>32.53</v>
      </c>
      <c r="AD505" s="62">
        <v>1.3660000000000001</v>
      </c>
      <c r="AE505" s="62">
        <v>0.17399999999999999</v>
      </c>
      <c r="AF505" s="62" t="s">
        <v>140</v>
      </c>
      <c r="AG505" s="62">
        <v>5</v>
      </c>
      <c r="AH505" s="62">
        <v>5</v>
      </c>
      <c r="AI505" s="62">
        <v>27.53</v>
      </c>
      <c r="AJ505" s="62">
        <v>1.1559999999999999</v>
      </c>
      <c r="AK505" s="64">
        <v>0.14799999999999999</v>
      </c>
      <c r="AL505" s="19">
        <v>150349</v>
      </c>
      <c r="AM505" s="19">
        <v>117516</v>
      </c>
      <c r="AN505" s="23">
        <v>4092</v>
      </c>
      <c r="AO505" s="19">
        <v>126215</v>
      </c>
      <c r="AP505" s="19">
        <v>33030</v>
      </c>
      <c r="AQ505" s="19">
        <v>137767</v>
      </c>
      <c r="AR505" s="63"/>
      <c r="AS505" s="63"/>
      <c r="AT505" s="65">
        <f t="shared" si="37"/>
        <v>5301.03</v>
      </c>
      <c r="AU505" s="65">
        <f t="shared" si="38"/>
        <v>171.864</v>
      </c>
      <c r="AV505" s="65">
        <f t="shared" si="39"/>
        <v>1387.26</v>
      </c>
      <c r="AW505" s="65">
        <f t="shared" si="40"/>
        <v>6314.6580000000004</v>
      </c>
      <c r="AX505" s="65">
        <f t="shared" si="40"/>
        <v>4935.6719999999996</v>
      </c>
      <c r="AY505" s="65">
        <f t="shared" si="36"/>
        <v>5786.2139999999999</v>
      </c>
      <c r="AZ505" s="19">
        <v>47087</v>
      </c>
      <c r="BA505" s="19">
        <v>44285</v>
      </c>
      <c r="BB505" s="19">
        <v>35980</v>
      </c>
      <c r="BC505" s="19">
        <v>2400</v>
      </c>
      <c r="BD505" s="19">
        <v>5679</v>
      </c>
      <c r="BE505" s="23">
        <v>9173.0349999999999</v>
      </c>
      <c r="BF505" s="23">
        <v>124375.496</v>
      </c>
      <c r="BG505" s="23"/>
      <c r="BH505" s="23"/>
      <c r="BI505" s="67">
        <v>75.790000000000006</v>
      </c>
      <c r="BJ505" s="67">
        <v>2.56</v>
      </c>
      <c r="BK505" s="67">
        <v>2.4300000000000002</v>
      </c>
      <c r="BL505" s="67">
        <v>2.11</v>
      </c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62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  <c r="DK505" s="62"/>
      <c r="DL505" s="62"/>
    </row>
    <row r="506" spans="1:116" x14ac:dyDescent="0.2">
      <c r="A506" s="57">
        <v>41974</v>
      </c>
      <c r="B506" s="58">
        <v>2014</v>
      </c>
      <c r="C506" s="66">
        <v>16.073</v>
      </c>
      <c r="D506" s="62">
        <v>0.219</v>
      </c>
      <c r="E506" s="62">
        <v>2958.4389999999999</v>
      </c>
      <c r="F506" s="62">
        <v>124.254</v>
      </c>
      <c r="G506" s="62">
        <v>15.853999999999999</v>
      </c>
      <c r="H506" s="62">
        <v>540</v>
      </c>
      <c r="I506" s="62">
        <v>50.536000000000001</v>
      </c>
      <c r="J506" s="62">
        <v>489.464</v>
      </c>
      <c r="K506" s="62">
        <v>3130.6190000000001</v>
      </c>
      <c r="L506" s="62">
        <v>46.398000000000003</v>
      </c>
      <c r="M506" s="62">
        <v>3401.5050000000001</v>
      </c>
      <c r="N506" s="62">
        <v>142.863</v>
      </c>
      <c r="O506" s="66">
        <v>18.228999999999999</v>
      </c>
      <c r="P506" s="61">
        <v>543.59799999999996</v>
      </c>
      <c r="Q506" s="62">
        <v>22.831</v>
      </c>
      <c r="R506" s="62">
        <v>2.9870000000000001</v>
      </c>
      <c r="S506" s="62">
        <v>267</v>
      </c>
      <c r="T506" s="62"/>
      <c r="U506" s="62">
        <v>350</v>
      </c>
      <c r="V506" s="62">
        <v>128</v>
      </c>
      <c r="W506" s="62">
        <v>682.59799999999996</v>
      </c>
      <c r="X506" s="62">
        <v>28.669</v>
      </c>
      <c r="Y506" s="61">
        <v>3.75</v>
      </c>
      <c r="Z506" s="63">
        <v>3.75</v>
      </c>
      <c r="AA506" s="64" t="s">
        <v>116</v>
      </c>
      <c r="AB506" s="62" t="s">
        <v>116</v>
      </c>
      <c r="AC506" s="62">
        <v>42.103000000000002</v>
      </c>
      <c r="AD506" s="62">
        <v>1.768</v>
      </c>
      <c r="AE506" s="62">
        <v>0.22600000000000001</v>
      </c>
      <c r="AF506" s="62" t="s">
        <v>140</v>
      </c>
      <c r="AG506" s="62">
        <v>7</v>
      </c>
      <c r="AH506" s="62">
        <v>2</v>
      </c>
      <c r="AI506" s="62">
        <v>40.103000000000002</v>
      </c>
      <c r="AJ506" s="62">
        <v>1.6839999999999999</v>
      </c>
      <c r="AK506" s="64">
        <v>0.215</v>
      </c>
      <c r="AL506" s="19">
        <v>165009</v>
      </c>
      <c r="AM506" s="19">
        <v>129524</v>
      </c>
      <c r="AN506" s="23">
        <v>7601</v>
      </c>
      <c r="AO506" s="19">
        <v>136286</v>
      </c>
      <c r="AP506" s="19">
        <v>35324</v>
      </c>
      <c r="AQ506" s="19">
        <v>153149</v>
      </c>
      <c r="AR506" s="63"/>
      <c r="AS506" s="63"/>
      <c r="AT506" s="65">
        <f t="shared" si="37"/>
        <v>5724.0119999999997</v>
      </c>
      <c r="AU506" s="65">
        <f t="shared" si="38"/>
        <v>319.24200000000002</v>
      </c>
      <c r="AV506" s="65">
        <f t="shared" si="39"/>
        <v>1483.6079999999999</v>
      </c>
      <c r="AW506" s="65">
        <f t="shared" si="40"/>
        <v>6930.3779999999997</v>
      </c>
      <c r="AX506" s="65">
        <f t="shared" si="40"/>
        <v>5440.0079999999998</v>
      </c>
      <c r="AY506" s="65">
        <f t="shared" si="36"/>
        <v>6432.2579999999998</v>
      </c>
      <c r="AZ506" s="19">
        <v>51610</v>
      </c>
      <c r="BA506" s="19">
        <v>47657</v>
      </c>
      <c r="BB506" s="19">
        <v>38274</v>
      </c>
      <c r="BC506" s="19">
        <v>3156</v>
      </c>
      <c r="BD506" s="19">
        <v>4815</v>
      </c>
      <c r="BE506" s="23">
        <v>7124.6750000000002</v>
      </c>
      <c r="BF506" s="23">
        <v>76022.417000000001</v>
      </c>
      <c r="BG506" s="23"/>
      <c r="BH506" s="23"/>
      <c r="BI506" s="67">
        <v>59.29</v>
      </c>
      <c r="BJ506" s="67">
        <v>1.98</v>
      </c>
      <c r="BK506" s="67">
        <v>2.0299999999999998</v>
      </c>
      <c r="BL506" s="67">
        <v>1.63</v>
      </c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62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  <c r="DK506" s="62"/>
      <c r="DL506" s="62"/>
    </row>
    <row r="507" spans="1:116" x14ac:dyDescent="0.2">
      <c r="A507" s="57">
        <v>42005</v>
      </c>
      <c r="B507" s="58">
        <v>2015</v>
      </c>
      <c r="C507" s="66">
        <v>9.3840000000000003</v>
      </c>
      <c r="D507" s="62">
        <v>0.128</v>
      </c>
      <c r="E507" s="62">
        <v>1727.2909999999999</v>
      </c>
      <c r="F507" s="62">
        <v>72.546000000000006</v>
      </c>
      <c r="G507" s="62">
        <v>9.2569999999999997</v>
      </c>
      <c r="H507" s="62">
        <v>372</v>
      </c>
      <c r="I507" s="62">
        <v>21.933</v>
      </c>
      <c r="J507" s="62">
        <v>350.06700000000001</v>
      </c>
      <c r="K507" s="62">
        <v>4032.4470000000001</v>
      </c>
      <c r="L507" s="62">
        <v>901.82899999999995</v>
      </c>
      <c r="M507" s="62">
        <v>1175.529</v>
      </c>
      <c r="N507" s="62">
        <v>49.372</v>
      </c>
      <c r="O507" s="66">
        <v>6.3</v>
      </c>
      <c r="P507" s="61">
        <v>416.77800000000002</v>
      </c>
      <c r="Q507" s="62">
        <v>17.504999999999999</v>
      </c>
      <c r="R507" s="62">
        <v>2.29</v>
      </c>
      <c r="S507" s="62">
        <v>134</v>
      </c>
      <c r="T507" s="62"/>
      <c r="U507" s="62">
        <v>403</v>
      </c>
      <c r="V507" s="62">
        <v>53</v>
      </c>
      <c r="W507" s="62">
        <v>497.77800000000002</v>
      </c>
      <c r="X507" s="62">
        <v>20.907</v>
      </c>
      <c r="Y507" s="61">
        <v>2.7349999999999999</v>
      </c>
      <c r="Z507" s="63">
        <v>2.7349999999999999</v>
      </c>
      <c r="AA507" s="64" t="s">
        <v>116</v>
      </c>
      <c r="AB507" s="62" t="s">
        <v>116</v>
      </c>
      <c r="AC507" s="62">
        <v>42.17</v>
      </c>
      <c r="AD507" s="62">
        <v>1.7709999999999999</v>
      </c>
      <c r="AE507" s="62">
        <v>0.22600000000000001</v>
      </c>
      <c r="AF507" s="62" t="s">
        <v>140</v>
      </c>
      <c r="AG507" s="62">
        <v>6</v>
      </c>
      <c r="AH507" s="62">
        <v>-1</v>
      </c>
      <c r="AI507" s="62">
        <v>43.17</v>
      </c>
      <c r="AJ507" s="62">
        <v>1.8129999999999999</v>
      </c>
      <c r="AK507" s="64">
        <v>0.23100000000000001</v>
      </c>
      <c r="AL507" s="19">
        <v>149892</v>
      </c>
      <c r="AM507" s="19">
        <v>129758</v>
      </c>
      <c r="AN507" s="23">
        <v>10813</v>
      </c>
      <c r="AO507" s="19">
        <v>132608</v>
      </c>
      <c r="AP507" s="19">
        <v>34748</v>
      </c>
      <c r="AQ507" s="19">
        <v>139175</v>
      </c>
      <c r="AR507" s="63"/>
      <c r="AS507" s="63"/>
      <c r="AT507" s="65">
        <f t="shared" si="37"/>
        <v>5569.5360000000001</v>
      </c>
      <c r="AU507" s="65">
        <f t="shared" si="38"/>
        <v>454.14600000000002</v>
      </c>
      <c r="AV507" s="65">
        <f t="shared" si="39"/>
        <v>1459.4159999999999</v>
      </c>
      <c r="AW507" s="65">
        <f t="shared" si="40"/>
        <v>6295.4639999999999</v>
      </c>
      <c r="AX507" s="65">
        <f t="shared" si="40"/>
        <v>5449.8360000000002</v>
      </c>
      <c r="AY507" s="65">
        <f t="shared" si="36"/>
        <v>5845.35</v>
      </c>
      <c r="AZ507" s="19">
        <v>46914</v>
      </c>
      <c r="BA507" s="19">
        <v>42632</v>
      </c>
      <c r="BB507" s="19">
        <v>39189</v>
      </c>
      <c r="BC507" s="19">
        <v>4105</v>
      </c>
      <c r="BD507" s="19">
        <v>7472</v>
      </c>
      <c r="BE507" s="23">
        <v>3097.1370000000002</v>
      </c>
      <c r="BF507" s="23">
        <v>78358.553</v>
      </c>
      <c r="BG507" s="23"/>
      <c r="BH507" s="23"/>
      <c r="BI507" s="67">
        <v>47.22</v>
      </c>
      <c r="BJ507" s="67">
        <v>1.62</v>
      </c>
      <c r="BK507" s="67">
        <v>1.63</v>
      </c>
      <c r="BL507" s="67">
        <v>1.37</v>
      </c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62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  <c r="DK507" s="62"/>
      <c r="DL507" s="62"/>
    </row>
    <row r="508" spans="1:116" x14ac:dyDescent="0.2">
      <c r="A508" s="57">
        <v>42036</v>
      </c>
      <c r="B508" s="58">
        <v>2015</v>
      </c>
      <c r="C508" s="66">
        <v>10.055999999999999</v>
      </c>
      <c r="D508" s="62">
        <v>0.13700000000000001</v>
      </c>
      <c r="E508" s="62">
        <v>1850.855</v>
      </c>
      <c r="F508" s="62">
        <v>77.736000000000004</v>
      </c>
      <c r="G508" s="62">
        <v>9.9190000000000005</v>
      </c>
      <c r="H508" s="62">
        <v>526</v>
      </c>
      <c r="I508" s="62">
        <v>23.384</v>
      </c>
      <c r="J508" s="62">
        <v>502.61599999999999</v>
      </c>
      <c r="K508" s="62">
        <v>4244.5129999999999</v>
      </c>
      <c r="L508" s="62">
        <v>212.066</v>
      </c>
      <c r="M508" s="62">
        <v>2141.4050000000002</v>
      </c>
      <c r="N508" s="62">
        <v>89.938999999999993</v>
      </c>
      <c r="O508" s="66">
        <v>11.476000000000001</v>
      </c>
      <c r="P508" s="61">
        <v>320.97800000000001</v>
      </c>
      <c r="Q508" s="62">
        <v>13.481</v>
      </c>
      <c r="R508" s="62">
        <v>1.7629999999999999</v>
      </c>
      <c r="S508" s="62">
        <v>199</v>
      </c>
      <c r="T508" s="62"/>
      <c r="U508" s="62">
        <v>382</v>
      </c>
      <c r="V508" s="62">
        <v>-21</v>
      </c>
      <c r="W508" s="62">
        <v>540.97799999999995</v>
      </c>
      <c r="X508" s="62">
        <v>22.721</v>
      </c>
      <c r="Y508" s="61">
        <v>2.972</v>
      </c>
      <c r="Z508" s="63">
        <v>2.972</v>
      </c>
      <c r="AA508" s="64" t="s">
        <v>116</v>
      </c>
      <c r="AB508" s="62" t="s">
        <v>116</v>
      </c>
      <c r="AC508" s="62">
        <v>32.125</v>
      </c>
      <c r="AD508" s="62">
        <v>1.349</v>
      </c>
      <c r="AE508" s="62">
        <v>0.17199999999999999</v>
      </c>
      <c r="AF508" s="62" t="s">
        <v>140</v>
      </c>
      <c r="AG508" s="62">
        <v>8</v>
      </c>
      <c r="AH508" s="62">
        <v>2</v>
      </c>
      <c r="AI508" s="62">
        <v>30.125</v>
      </c>
      <c r="AJ508" s="62">
        <v>1.2649999999999999</v>
      </c>
      <c r="AK508" s="64">
        <v>0.161</v>
      </c>
      <c r="AL508" s="19">
        <v>133066</v>
      </c>
      <c r="AM508" s="19">
        <v>127659</v>
      </c>
      <c r="AN508" s="23">
        <v>10851</v>
      </c>
      <c r="AO508" s="19">
        <v>123608</v>
      </c>
      <c r="AP508" s="19">
        <v>26410</v>
      </c>
      <c r="AQ508" s="19">
        <v>122885</v>
      </c>
      <c r="AR508" s="63"/>
      <c r="AS508" s="63"/>
      <c r="AT508" s="65">
        <f t="shared" si="37"/>
        <v>5191.5360000000001</v>
      </c>
      <c r="AU508" s="65">
        <f t="shared" si="38"/>
        <v>455.74200000000002</v>
      </c>
      <c r="AV508" s="65">
        <f t="shared" si="39"/>
        <v>1109.22</v>
      </c>
      <c r="AW508" s="65">
        <f t="shared" si="40"/>
        <v>5588.7719999999999</v>
      </c>
      <c r="AX508" s="65">
        <f t="shared" si="40"/>
        <v>5361.6779999999999</v>
      </c>
      <c r="AY508" s="65">
        <f t="shared" si="36"/>
        <v>5161.17</v>
      </c>
      <c r="AZ508" s="19">
        <v>42708</v>
      </c>
      <c r="BA508" s="19">
        <v>40468</v>
      </c>
      <c r="BB508" s="19">
        <v>39588</v>
      </c>
      <c r="BC508" s="19">
        <v>3556</v>
      </c>
      <c r="BD508" s="19">
        <v>5397</v>
      </c>
      <c r="BE508" s="23">
        <v>3299.5920000000001</v>
      </c>
      <c r="BF508" s="23">
        <v>65320.285000000003</v>
      </c>
      <c r="BG508" s="23"/>
      <c r="BH508" s="23"/>
      <c r="BI508" s="67">
        <v>50.58</v>
      </c>
      <c r="BJ508" s="67">
        <v>1.86</v>
      </c>
      <c r="BK508" s="67">
        <v>1.75</v>
      </c>
      <c r="BL508" s="67">
        <v>1.64</v>
      </c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62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  <c r="DK508" s="62"/>
      <c r="DL508" s="62"/>
    </row>
    <row r="509" spans="1:116" x14ac:dyDescent="0.2">
      <c r="A509" s="57">
        <v>42064</v>
      </c>
      <c r="B509" s="58">
        <v>2015</v>
      </c>
      <c r="C509" s="66">
        <v>12.635</v>
      </c>
      <c r="D509" s="62">
        <v>0.17199999999999999</v>
      </c>
      <c r="E509" s="62">
        <v>2325.5450000000001</v>
      </c>
      <c r="F509" s="62">
        <v>97.673000000000002</v>
      </c>
      <c r="G509" s="62">
        <v>12.462999999999999</v>
      </c>
      <c r="H509" s="62">
        <v>340</v>
      </c>
      <c r="I509" s="62">
        <v>190.709</v>
      </c>
      <c r="J509" s="62">
        <v>149.291</v>
      </c>
      <c r="K509" s="62">
        <v>4244.0209999999997</v>
      </c>
      <c r="L509" s="62">
        <v>-0.49199999999999999</v>
      </c>
      <c r="M509" s="62">
        <v>2475.328</v>
      </c>
      <c r="N509" s="62">
        <v>103.964</v>
      </c>
      <c r="O509" s="66">
        <v>13.265000000000001</v>
      </c>
      <c r="P509" s="61">
        <v>383.57</v>
      </c>
      <c r="Q509" s="62">
        <v>16.11</v>
      </c>
      <c r="R509" s="62">
        <v>2.1070000000000002</v>
      </c>
      <c r="S509" s="62">
        <v>429</v>
      </c>
      <c r="T509" s="62"/>
      <c r="U509" s="62">
        <v>532</v>
      </c>
      <c r="V509" s="62">
        <v>150</v>
      </c>
      <c r="W509" s="62">
        <v>662.57</v>
      </c>
      <c r="X509" s="62">
        <v>27.827999999999999</v>
      </c>
      <c r="Y509" s="61">
        <v>3.64</v>
      </c>
      <c r="Z509" s="63">
        <v>3.64</v>
      </c>
      <c r="AA509" s="64" t="s">
        <v>116</v>
      </c>
      <c r="AB509" s="62" t="s">
        <v>116</v>
      </c>
      <c r="AC509" s="62">
        <v>27.091000000000001</v>
      </c>
      <c r="AD509" s="62">
        <v>1.1379999999999999</v>
      </c>
      <c r="AE509" s="62">
        <v>0.14499999999999999</v>
      </c>
      <c r="AF509" s="62" t="s">
        <v>140</v>
      </c>
      <c r="AG509" s="62" t="s">
        <v>140</v>
      </c>
      <c r="AH509" s="62">
        <v>-8</v>
      </c>
      <c r="AI509" s="62">
        <v>35.091000000000001</v>
      </c>
      <c r="AJ509" s="62">
        <v>1.474</v>
      </c>
      <c r="AK509" s="64">
        <v>0.188</v>
      </c>
      <c r="AL509" s="19">
        <v>151705</v>
      </c>
      <c r="AM509" s="19">
        <v>126423</v>
      </c>
      <c r="AN509" s="23">
        <v>10029</v>
      </c>
      <c r="AO509" s="19">
        <v>128692</v>
      </c>
      <c r="AP509" s="19">
        <v>31549</v>
      </c>
      <c r="AQ509" s="19">
        <v>140317</v>
      </c>
      <c r="AR509" s="63"/>
      <c r="AS509" s="63"/>
      <c r="AT509" s="65">
        <f t="shared" si="37"/>
        <v>5405.0640000000003</v>
      </c>
      <c r="AU509" s="65">
        <f t="shared" si="38"/>
        <v>421.21800000000002</v>
      </c>
      <c r="AV509" s="65">
        <f t="shared" si="39"/>
        <v>1325.058</v>
      </c>
      <c r="AW509" s="65">
        <f t="shared" si="40"/>
        <v>6371.61</v>
      </c>
      <c r="AX509" s="65">
        <f t="shared" si="40"/>
        <v>5309.7659999999996</v>
      </c>
      <c r="AY509" s="65">
        <f t="shared" ref="AY509:AY572" si="41">AQ509*42/1000</f>
        <v>5893.3140000000003</v>
      </c>
      <c r="AZ509" s="19">
        <v>46453</v>
      </c>
      <c r="BA509" s="19">
        <v>47993</v>
      </c>
      <c r="BB509" s="19">
        <v>38297</v>
      </c>
      <c r="BC509" s="19">
        <v>5044</v>
      </c>
      <c r="BD509" s="19">
        <v>4795</v>
      </c>
      <c r="BE509" s="23">
        <v>26879.190999999999</v>
      </c>
      <c r="BF509" s="23">
        <v>52576.377999999997</v>
      </c>
      <c r="BG509" s="23"/>
      <c r="BH509" s="23"/>
      <c r="BI509" s="67">
        <v>47.82</v>
      </c>
      <c r="BJ509" s="67">
        <v>1.81</v>
      </c>
      <c r="BK509" s="67">
        <v>1.77</v>
      </c>
      <c r="BL509" s="67">
        <v>1.77</v>
      </c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62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  <c r="DK509" s="62"/>
      <c r="DL509" s="62"/>
    </row>
    <row r="510" spans="1:116" x14ac:dyDescent="0.2">
      <c r="A510" s="57">
        <v>42095</v>
      </c>
      <c r="B510" s="58">
        <v>2015</v>
      </c>
      <c r="C510" s="66">
        <v>13.951000000000001</v>
      </c>
      <c r="D510" s="62">
        <v>0.19</v>
      </c>
      <c r="E510" s="62">
        <v>2567.8490000000002</v>
      </c>
      <c r="F510" s="62">
        <v>107.85</v>
      </c>
      <c r="G510" s="62">
        <v>13.760999999999999</v>
      </c>
      <c r="H510" s="62">
        <v>330</v>
      </c>
      <c r="I510" s="62">
        <v>240.14099999999999</v>
      </c>
      <c r="J510" s="62">
        <v>89.858999999999995</v>
      </c>
      <c r="K510" s="62">
        <v>4070.6350000000002</v>
      </c>
      <c r="L510" s="62">
        <v>-173.386</v>
      </c>
      <c r="M510" s="62">
        <v>2831.0940000000001</v>
      </c>
      <c r="N510" s="62">
        <v>118.90600000000001</v>
      </c>
      <c r="O510" s="66">
        <v>15.172000000000001</v>
      </c>
      <c r="P510" s="61">
        <v>374.58699999999999</v>
      </c>
      <c r="Q510" s="62">
        <v>15.733000000000001</v>
      </c>
      <c r="R510" s="62">
        <v>2.0579999999999998</v>
      </c>
      <c r="S510" s="62">
        <v>266</v>
      </c>
      <c r="T510" s="62"/>
      <c r="U510" s="62">
        <v>467</v>
      </c>
      <c r="V510" s="62">
        <v>-65</v>
      </c>
      <c r="W510" s="62">
        <v>705.58699999999999</v>
      </c>
      <c r="X510" s="62">
        <v>29.635000000000002</v>
      </c>
      <c r="Y510" s="61">
        <v>3.8759999999999999</v>
      </c>
      <c r="Z510" s="63">
        <v>3.8759999999999999</v>
      </c>
      <c r="AA510" s="64" t="s">
        <v>116</v>
      </c>
      <c r="AB510" s="62" t="s">
        <v>116</v>
      </c>
      <c r="AC510" s="62">
        <v>29.681000000000001</v>
      </c>
      <c r="AD510" s="62">
        <v>1.2470000000000001</v>
      </c>
      <c r="AE510" s="62">
        <v>0.159</v>
      </c>
      <c r="AF510" s="62" t="s">
        <v>140</v>
      </c>
      <c r="AG510" s="62" t="s">
        <v>140</v>
      </c>
      <c r="AH510" s="62">
        <v>0</v>
      </c>
      <c r="AI510" s="62">
        <v>29.681000000000001</v>
      </c>
      <c r="AJ510" s="62">
        <v>1.2470000000000001</v>
      </c>
      <c r="AK510" s="64">
        <v>0.159</v>
      </c>
      <c r="AL510" s="19">
        <v>149743</v>
      </c>
      <c r="AM510" s="19">
        <v>120822</v>
      </c>
      <c r="AN510" s="23">
        <v>7294</v>
      </c>
      <c r="AO510" s="19">
        <v>129776</v>
      </c>
      <c r="AP510" s="19">
        <v>36575</v>
      </c>
      <c r="AQ510" s="19">
        <v>138960</v>
      </c>
      <c r="AR510" s="63"/>
      <c r="AS510" s="63"/>
      <c r="AT510" s="65">
        <f t="shared" si="37"/>
        <v>5450.5919999999996</v>
      </c>
      <c r="AU510" s="65">
        <f t="shared" si="38"/>
        <v>306.34800000000001</v>
      </c>
      <c r="AV510" s="65">
        <f t="shared" si="39"/>
        <v>1536.15</v>
      </c>
      <c r="AW510" s="65">
        <f t="shared" si="40"/>
        <v>6289.2060000000001</v>
      </c>
      <c r="AX510" s="65">
        <f t="shared" si="40"/>
        <v>5074.5240000000003</v>
      </c>
      <c r="AY510" s="65">
        <f t="shared" si="41"/>
        <v>5836.32</v>
      </c>
      <c r="AZ510" s="19">
        <v>47722</v>
      </c>
      <c r="BA510" s="19">
        <v>45803</v>
      </c>
      <c r="BB510" s="19">
        <v>38440</v>
      </c>
      <c r="BC510" s="19">
        <v>4034</v>
      </c>
      <c r="BD510" s="19">
        <v>5810</v>
      </c>
      <c r="BE510" s="23">
        <v>33846.466</v>
      </c>
      <c r="BF510" s="23">
        <v>45728.798999999999</v>
      </c>
      <c r="BG510" s="23"/>
      <c r="BH510" s="23"/>
      <c r="BI510" s="67">
        <v>54.45</v>
      </c>
      <c r="BJ510" s="67">
        <v>1.8</v>
      </c>
      <c r="BK510" s="67">
        <v>1.74</v>
      </c>
      <c r="BL510" s="67">
        <v>1.83</v>
      </c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62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  <c r="DK510" s="62"/>
      <c r="DL510" s="62"/>
    </row>
    <row r="511" spans="1:116" x14ac:dyDescent="0.2">
      <c r="A511" s="57">
        <v>42125</v>
      </c>
      <c r="B511" s="58">
        <v>2015</v>
      </c>
      <c r="C511" s="66">
        <v>15.127000000000001</v>
      </c>
      <c r="D511" s="62">
        <v>0.20599999999999999</v>
      </c>
      <c r="E511" s="62">
        <v>2784.297</v>
      </c>
      <c r="F511" s="62">
        <v>116.94</v>
      </c>
      <c r="G511" s="62">
        <v>14.920999999999999</v>
      </c>
      <c r="H511" s="62">
        <v>336</v>
      </c>
      <c r="I511" s="62">
        <v>254.77199999999999</v>
      </c>
      <c r="J511" s="62">
        <v>81.227999999999994</v>
      </c>
      <c r="K511" s="62">
        <v>3599.2579999999998</v>
      </c>
      <c r="L511" s="62">
        <v>-471.37700000000001</v>
      </c>
      <c r="M511" s="62">
        <v>3336.902</v>
      </c>
      <c r="N511" s="62">
        <v>140.15</v>
      </c>
      <c r="O511" s="66">
        <v>17.882000000000001</v>
      </c>
      <c r="P511" s="61">
        <v>374.79</v>
      </c>
      <c r="Q511" s="62">
        <v>15.741</v>
      </c>
      <c r="R511" s="62">
        <v>2.0590000000000002</v>
      </c>
      <c r="S511" s="62">
        <v>539</v>
      </c>
      <c r="T511" s="62"/>
      <c r="U511" s="62">
        <v>716</v>
      </c>
      <c r="V511" s="62">
        <v>249</v>
      </c>
      <c r="W511" s="62">
        <v>664.79</v>
      </c>
      <c r="X511" s="62">
        <v>27.920999999999999</v>
      </c>
      <c r="Y511" s="61">
        <v>3.6520000000000001</v>
      </c>
      <c r="Z511" s="63">
        <v>3.6520000000000001</v>
      </c>
      <c r="AA511" s="64" t="s">
        <v>116</v>
      </c>
      <c r="AB511" s="62" t="s">
        <v>116</v>
      </c>
      <c r="AC511" s="62">
        <v>35.915999999999997</v>
      </c>
      <c r="AD511" s="62">
        <v>1.508</v>
      </c>
      <c r="AE511" s="62">
        <v>0.192</v>
      </c>
      <c r="AF511" s="62" t="s">
        <v>140</v>
      </c>
      <c r="AG511" s="62">
        <v>4</v>
      </c>
      <c r="AH511" s="62">
        <v>4</v>
      </c>
      <c r="AI511" s="62">
        <v>31.916</v>
      </c>
      <c r="AJ511" s="62">
        <v>1.34</v>
      </c>
      <c r="AK511" s="64">
        <v>0.17100000000000001</v>
      </c>
      <c r="AL511" s="19">
        <v>154467</v>
      </c>
      <c r="AM511" s="19">
        <v>117104</v>
      </c>
      <c r="AN511" s="23">
        <v>5936</v>
      </c>
      <c r="AO511" s="19">
        <v>135402</v>
      </c>
      <c r="AP511" s="19">
        <v>39694</v>
      </c>
      <c r="AQ511" s="19">
        <v>143017</v>
      </c>
      <c r="AR511" s="63"/>
      <c r="AS511" s="63"/>
      <c r="AT511" s="65">
        <f t="shared" si="37"/>
        <v>5686.884</v>
      </c>
      <c r="AU511" s="65">
        <f t="shared" si="38"/>
        <v>249.31200000000001</v>
      </c>
      <c r="AV511" s="65">
        <f t="shared" si="39"/>
        <v>1667.1479999999999</v>
      </c>
      <c r="AW511" s="65">
        <f t="shared" si="40"/>
        <v>6487.6139999999996</v>
      </c>
      <c r="AX511" s="65">
        <f t="shared" si="40"/>
        <v>4918.3680000000004</v>
      </c>
      <c r="AY511" s="65">
        <f t="shared" si="41"/>
        <v>6006.7139999999999</v>
      </c>
      <c r="AZ511" s="19">
        <v>49848</v>
      </c>
      <c r="BA511" s="19">
        <v>47098</v>
      </c>
      <c r="BB511" s="19">
        <v>42454</v>
      </c>
      <c r="BC511" s="19">
        <v>5272</v>
      </c>
      <c r="BD511" s="19">
        <v>4008</v>
      </c>
      <c r="BE511" s="23">
        <v>35914.785000000003</v>
      </c>
      <c r="BF511" s="23">
        <v>47207.006999999998</v>
      </c>
      <c r="BG511" s="23"/>
      <c r="BH511" s="23"/>
      <c r="BI511" s="67">
        <v>59.27</v>
      </c>
      <c r="BJ511" s="67">
        <v>1.97</v>
      </c>
      <c r="BK511" s="67">
        <v>1.98</v>
      </c>
      <c r="BL511" s="67">
        <v>2.08</v>
      </c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62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  <c r="DK511" s="62"/>
      <c r="DL511" s="62"/>
    </row>
    <row r="512" spans="1:116" x14ac:dyDescent="0.2">
      <c r="A512" s="57">
        <v>42156</v>
      </c>
      <c r="B512" s="58">
        <v>2015</v>
      </c>
      <c r="C512" s="66">
        <v>15.759</v>
      </c>
      <c r="D512" s="62">
        <v>0.215</v>
      </c>
      <c r="E512" s="62">
        <v>2900.5790000000002</v>
      </c>
      <c r="F512" s="62">
        <v>121.824</v>
      </c>
      <c r="G512" s="62">
        <v>15.544</v>
      </c>
      <c r="H512" s="62">
        <v>673</v>
      </c>
      <c r="I512" s="62">
        <v>259.88200000000001</v>
      </c>
      <c r="J512" s="62">
        <v>413.11799999999999</v>
      </c>
      <c r="K512" s="62">
        <v>3062.7910000000002</v>
      </c>
      <c r="L512" s="62">
        <v>-536.46600000000001</v>
      </c>
      <c r="M512" s="62">
        <v>3850.163</v>
      </c>
      <c r="N512" s="62">
        <v>161.70699999999999</v>
      </c>
      <c r="O512" s="66">
        <v>20.632999999999999</v>
      </c>
      <c r="P512" s="61">
        <v>343.33300000000003</v>
      </c>
      <c r="Q512" s="62">
        <v>14.42</v>
      </c>
      <c r="R512" s="62">
        <v>1.8859999999999999</v>
      </c>
      <c r="S512" s="62">
        <v>346</v>
      </c>
      <c r="T512" s="62"/>
      <c r="U512" s="62">
        <v>694</v>
      </c>
      <c r="V512" s="62">
        <v>-22</v>
      </c>
      <c r="W512" s="62">
        <v>711.33299999999997</v>
      </c>
      <c r="X512" s="62">
        <v>29.876000000000001</v>
      </c>
      <c r="Y512" s="61">
        <v>3.9079999999999999</v>
      </c>
      <c r="Z512" s="63">
        <v>3.9079999999999999</v>
      </c>
      <c r="AA512" s="64" t="s">
        <v>116</v>
      </c>
      <c r="AB512" s="62" t="s">
        <v>116</v>
      </c>
      <c r="AC512" s="62">
        <v>27.251000000000001</v>
      </c>
      <c r="AD512" s="62">
        <v>1.145</v>
      </c>
      <c r="AE512" s="62">
        <v>0.14599999999999999</v>
      </c>
      <c r="AF512" s="62" t="s">
        <v>140</v>
      </c>
      <c r="AG512" s="62">
        <v>4</v>
      </c>
      <c r="AH512" s="62">
        <v>0</v>
      </c>
      <c r="AI512" s="62">
        <v>27.251000000000001</v>
      </c>
      <c r="AJ512" s="62">
        <v>1.145</v>
      </c>
      <c r="AK512" s="64">
        <v>0.14599999999999999</v>
      </c>
      <c r="AL512" s="19">
        <v>150954</v>
      </c>
      <c r="AM512" s="19">
        <v>116905</v>
      </c>
      <c r="AN512" s="23">
        <v>3970</v>
      </c>
      <c r="AO512" s="19">
        <v>139636</v>
      </c>
      <c r="AP512" s="19">
        <v>36293</v>
      </c>
      <c r="AQ512" s="19">
        <v>139756</v>
      </c>
      <c r="AR512" s="63"/>
      <c r="AS512" s="63"/>
      <c r="AT512" s="65">
        <f t="shared" si="37"/>
        <v>5864.7120000000004</v>
      </c>
      <c r="AU512" s="65">
        <f t="shared" si="38"/>
        <v>166.74</v>
      </c>
      <c r="AV512" s="65">
        <f t="shared" si="39"/>
        <v>1524.306</v>
      </c>
      <c r="AW512" s="65">
        <f t="shared" si="40"/>
        <v>6340.0680000000002</v>
      </c>
      <c r="AX512" s="65">
        <f t="shared" si="40"/>
        <v>4910.01</v>
      </c>
      <c r="AY512" s="65">
        <f t="shared" si="41"/>
        <v>5869.7520000000004</v>
      </c>
      <c r="AZ512" s="19">
        <v>49207</v>
      </c>
      <c r="BA512" s="19">
        <v>49622</v>
      </c>
      <c r="BB512" s="19">
        <v>43756</v>
      </c>
      <c r="BC512" s="19">
        <v>6116</v>
      </c>
      <c r="BD512" s="19">
        <v>4399</v>
      </c>
      <c r="BE512" s="23">
        <v>36628.745000000003</v>
      </c>
      <c r="BF512" s="23">
        <v>95050.611999999994</v>
      </c>
      <c r="BG512" s="23"/>
      <c r="BH512" s="23"/>
      <c r="BI512" s="67">
        <v>59.82</v>
      </c>
      <c r="BJ512" s="67">
        <v>1.88</v>
      </c>
      <c r="BK512" s="67">
        <v>1.85</v>
      </c>
      <c r="BL512" s="67">
        <v>2.12</v>
      </c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62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  <c r="DK512" s="62"/>
      <c r="DL512" s="62"/>
    </row>
    <row r="513" spans="1:116" x14ac:dyDescent="0.2">
      <c r="A513" s="57">
        <v>42186</v>
      </c>
      <c r="B513" s="58">
        <v>2015</v>
      </c>
      <c r="C513" s="66">
        <v>15.662000000000001</v>
      </c>
      <c r="D513" s="62">
        <v>0.21299999999999999</v>
      </c>
      <c r="E513" s="62">
        <v>2882.7510000000002</v>
      </c>
      <c r="F513" s="62">
        <v>121.07599999999999</v>
      </c>
      <c r="G513" s="62">
        <v>15.449</v>
      </c>
      <c r="H513" s="62">
        <v>1157</v>
      </c>
      <c r="I513" s="62">
        <v>255.05</v>
      </c>
      <c r="J513" s="62">
        <v>901.95</v>
      </c>
      <c r="K513" s="62">
        <v>3403.6529999999998</v>
      </c>
      <c r="L513" s="62">
        <v>340.86200000000002</v>
      </c>
      <c r="M513" s="62">
        <v>3443.8389999999999</v>
      </c>
      <c r="N513" s="62">
        <v>144.64099999999999</v>
      </c>
      <c r="O513" s="66">
        <v>18.456</v>
      </c>
      <c r="P513" s="61">
        <v>369.55399999999997</v>
      </c>
      <c r="Q513" s="62">
        <v>15.521000000000001</v>
      </c>
      <c r="R513" s="62">
        <v>2.0299999999999998</v>
      </c>
      <c r="S513" s="62">
        <v>535</v>
      </c>
      <c r="T513" s="62"/>
      <c r="U513" s="62">
        <v>722</v>
      </c>
      <c r="V513" s="62">
        <v>28</v>
      </c>
      <c r="W513" s="62">
        <v>876.55399999999997</v>
      </c>
      <c r="X513" s="62">
        <v>36.814999999999998</v>
      </c>
      <c r="Y513" s="61">
        <v>4.8159999999999998</v>
      </c>
      <c r="Z513" s="63">
        <v>4.8159999999999998</v>
      </c>
      <c r="AA513" s="64" t="s">
        <v>116</v>
      </c>
      <c r="AB513" s="62" t="s">
        <v>116</v>
      </c>
      <c r="AC513" s="62">
        <v>37.414000000000001</v>
      </c>
      <c r="AD513" s="62">
        <v>1.571</v>
      </c>
      <c r="AE513" s="62">
        <v>0.20100000000000001</v>
      </c>
      <c r="AF513" s="62" t="s">
        <v>140</v>
      </c>
      <c r="AG513" s="62">
        <v>9</v>
      </c>
      <c r="AH513" s="62">
        <v>5</v>
      </c>
      <c r="AI513" s="62">
        <v>32.414000000000001</v>
      </c>
      <c r="AJ513" s="62">
        <v>1.361</v>
      </c>
      <c r="AK513" s="64">
        <v>0.17399999999999999</v>
      </c>
      <c r="AL513" s="19">
        <v>158137</v>
      </c>
      <c r="AM513" s="19">
        <v>120937</v>
      </c>
      <c r="AN513" s="23">
        <v>4423</v>
      </c>
      <c r="AO513" s="19">
        <v>142053</v>
      </c>
      <c r="AP513" s="19">
        <v>41176</v>
      </c>
      <c r="AQ513" s="19">
        <v>145581</v>
      </c>
      <c r="AR513" s="63"/>
      <c r="AS513" s="63"/>
      <c r="AT513" s="65">
        <f t="shared" si="37"/>
        <v>5966.2259999999997</v>
      </c>
      <c r="AU513" s="65">
        <f t="shared" si="38"/>
        <v>185.76599999999999</v>
      </c>
      <c r="AV513" s="65">
        <f t="shared" si="39"/>
        <v>1729.3920000000001</v>
      </c>
      <c r="AW513" s="65">
        <f t="shared" si="40"/>
        <v>6641.7539999999999</v>
      </c>
      <c r="AX513" s="65">
        <f t="shared" si="40"/>
        <v>5079.3540000000003</v>
      </c>
      <c r="AY513" s="65">
        <f t="shared" si="41"/>
        <v>6114.402</v>
      </c>
      <c r="AZ513" s="19">
        <v>51767</v>
      </c>
      <c r="BA513" s="19">
        <v>51164</v>
      </c>
      <c r="BB513" s="19">
        <v>43689</v>
      </c>
      <c r="BC513" s="19">
        <v>4946</v>
      </c>
      <c r="BD513" s="19">
        <v>5616</v>
      </c>
      <c r="BE513" s="23">
        <v>35948.046999999999</v>
      </c>
      <c r="BF513" s="23">
        <v>164423.05799999999</v>
      </c>
      <c r="BG513" s="23"/>
      <c r="BH513" s="23"/>
      <c r="BI513" s="67">
        <v>50.9</v>
      </c>
      <c r="BJ513" s="67">
        <v>1.73</v>
      </c>
      <c r="BK513" s="67">
        <v>1.69</v>
      </c>
      <c r="BL513" s="67">
        <v>2.0699999999999998</v>
      </c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62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  <c r="DK513" s="62"/>
      <c r="DL513" s="62"/>
    </row>
    <row r="514" spans="1:116" x14ac:dyDescent="0.2">
      <c r="A514" s="57">
        <v>42217</v>
      </c>
      <c r="B514" s="58">
        <v>2015</v>
      </c>
      <c r="C514" s="66">
        <v>15.933999999999999</v>
      </c>
      <c r="D514" s="62">
        <v>0.217</v>
      </c>
      <c r="E514" s="62">
        <v>2932.7620000000002</v>
      </c>
      <c r="F514" s="62">
        <v>123.176</v>
      </c>
      <c r="G514" s="62">
        <v>15.717000000000001</v>
      </c>
      <c r="H514" s="62">
        <v>961</v>
      </c>
      <c r="I514" s="62">
        <v>274.57499999999999</v>
      </c>
      <c r="J514" s="62">
        <v>686.42499999999995</v>
      </c>
      <c r="K514" s="62">
        <v>3333.0340000000001</v>
      </c>
      <c r="L514" s="62">
        <v>-70.619</v>
      </c>
      <c r="M514" s="62">
        <v>3689.806</v>
      </c>
      <c r="N514" s="62">
        <v>154.97200000000001</v>
      </c>
      <c r="O514" s="66">
        <v>19.774000000000001</v>
      </c>
      <c r="P514" s="61">
        <v>359.53399999999999</v>
      </c>
      <c r="Q514" s="62">
        <v>15.1</v>
      </c>
      <c r="R514" s="62">
        <v>1.9750000000000001</v>
      </c>
      <c r="S514" s="62">
        <v>560</v>
      </c>
      <c r="T514" s="62"/>
      <c r="U514" s="62">
        <v>879</v>
      </c>
      <c r="V514" s="62">
        <v>157</v>
      </c>
      <c r="W514" s="62">
        <v>762.53399999999999</v>
      </c>
      <c r="X514" s="62">
        <v>32.026000000000003</v>
      </c>
      <c r="Y514" s="61">
        <v>4.1890000000000001</v>
      </c>
      <c r="Z514" s="63">
        <v>4.1890000000000001</v>
      </c>
      <c r="AA514" s="64" t="s">
        <v>116</v>
      </c>
      <c r="AB514" s="62" t="s">
        <v>116</v>
      </c>
      <c r="AC514" s="62">
        <v>36.737000000000002</v>
      </c>
      <c r="AD514" s="62">
        <v>1.5429999999999999</v>
      </c>
      <c r="AE514" s="62">
        <v>0.19700000000000001</v>
      </c>
      <c r="AF514" s="62" t="s">
        <v>140</v>
      </c>
      <c r="AG514" s="62">
        <v>4</v>
      </c>
      <c r="AH514" s="62">
        <v>-5</v>
      </c>
      <c r="AI514" s="62">
        <v>41.737000000000002</v>
      </c>
      <c r="AJ514" s="62">
        <v>1.7529999999999999</v>
      </c>
      <c r="AK514" s="64">
        <v>0.224</v>
      </c>
      <c r="AL514" s="19">
        <v>158304</v>
      </c>
      <c r="AM514" s="19">
        <v>121355</v>
      </c>
      <c r="AN514" s="23">
        <v>4336</v>
      </c>
      <c r="AO514" s="19">
        <v>152529</v>
      </c>
      <c r="AP514" s="19">
        <v>33051</v>
      </c>
      <c r="AQ514" s="19">
        <v>144796</v>
      </c>
      <c r="AR514" s="63"/>
      <c r="AS514" s="63"/>
      <c r="AT514" s="65">
        <f t="shared" si="37"/>
        <v>6406.2179999999998</v>
      </c>
      <c r="AU514" s="65">
        <f t="shared" si="38"/>
        <v>182.11199999999999</v>
      </c>
      <c r="AV514" s="65">
        <f t="shared" si="39"/>
        <v>1388.1420000000001</v>
      </c>
      <c r="AW514" s="65">
        <f t="shared" si="40"/>
        <v>6648.768</v>
      </c>
      <c r="AX514" s="65">
        <f t="shared" si="40"/>
        <v>5096.91</v>
      </c>
      <c r="AY514" s="65">
        <f t="shared" si="41"/>
        <v>6081.4319999999998</v>
      </c>
      <c r="AZ514" s="19">
        <v>49607</v>
      </c>
      <c r="BA514" s="19">
        <v>49644</v>
      </c>
      <c r="BB514" s="19">
        <v>42993</v>
      </c>
      <c r="BC514" s="19">
        <v>4107</v>
      </c>
      <c r="BD514" s="19">
        <v>4766</v>
      </c>
      <c r="BE514" s="23">
        <v>38699.968000000001</v>
      </c>
      <c r="BF514" s="23">
        <v>126940.125</v>
      </c>
      <c r="BG514" s="23"/>
      <c r="BH514" s="23"/>
      <c r="BI514" s="67">
        <v>42.87</v>
      </c>
      <c r="BJ514" s="67">
        <v>1.56</v>
      </c>
      <c r="BK514" s="67">
        <v>1.52</v>
      </c>
      <c r="BL514" s="67">
        <v>1.84</v>
      </c>
      <c r="BM514" s="62"/>
      <c r="BN514" s="62"/>
      <c r="BO514" s="62"/>
      <c r="BP514" s="62"/>
      <c r="BQ514" s="62"/>
      <c r="BR514" s="62"/>
      <c r="BS514" s="62"/>
      <c r="BT514" s="62"/>
      <c r="BU514" s="62"/>
      <c r="BV514" s="62"/>
      <c r="BW514" s="62"/>
      <c r="BX514" s="62"/>
      <c r="BY514" s="62"/>
      <c r="BZ514" s="62"/>
      <c r="CA514" s="62"/>
      <c r="CB514" s="62"/>
      <c r="CC514" s="62"/>
      <c r="CD514" s="62"/>
      <c r="CE514" s="62"/>
      <c r="CF514" s="62"/>
      <c r="CG514" s="62"/>
      <c r="CH514" s="62"/>
      <c r="CI514" s="62"/>
      <c r="CJ514" s="62"/>
      <c r="CK514" s="62"/>
      <c r="CL514" s="62"/>
      <c r="CM514" s="62"/>
      <c r="CN514" s="62"/>
      <c r="CO514" s="62"/>
      <c r="CP514" s="62"/>
      <c r="CQ514" s="62"/>
      <c r="CR514" s="62"/>
      <c r="CS514" s="62"/>
      <c r="CT514" s="62"/>
      <c r="CU514" s="62"/>
      <c r="CV514" s="62"/>
      <c r="CW514" s="62"/>
      <c r="CX514" s="62"/>
      <c r="CY514" s="62"/>
      <c r="CZ514" s="62"/>
      <c r="DA514" s="62"/>
      <c r="DB514" s="62"/>
      <c r="DC514" s="62"/>
      <c r="DD514" s="62"/>
      <c r="DE514" s="62"/>
      <c r="DF514" s="62"/>
      <c r="DG514" s="62"/>
      <c r="DH514" s="62"/>
      <c r="DI514" s="62"/>
      <c r="DJ514" s="62"/>
      <c r="DK514" s="62"/>
      <c r="DL514" s="62"/>
    </row>
    <row r="515" spans="1:116" x14ac:dyDescent="0.2">
      <c r="A515" s="57">
        <v>42248</v>
      </c>
      <c r="B515" s="58">
        <v>2015</v>
      </c>
      <c r="C515" s="66">
        <v>13.468</v>
      </c>
      <c r="D515" s="62">
        <v>0.183</v>
      </c>
      <c r="E515" s="62">
        <v>2479.0160000000001</v>
      </c>
      <c r="F515" s="62">
        <v>104.119</v>
      </c>
      <c r="G515" s="62">
        <v>13.285</v>
      </c>
      <c r="H515" s="62">
        <v>1062</v>
      </c>
      <c r="I515" s="62">
        <v>200.16800000000001</v>
      </c>
      <c r="J515" s="62">
        <v>861.83199999999999</v>
      </c>
      <c r="K515" s="62">
        <v>3021.4810000000002</v>
      </c>
      <c r="L515" s="62">
        <v>-311.553</v>
      </c>
      <c r="M515" s="62">
        <v>3652.4009999999998</v>
      </c>
      <c r="N515" s="62">
        <v>153.40100000000001</v>
      </c>
      <c r="O515" s="66">
        <v>19.573</v>
      </c>
      <c r="P515" s="61">
        <v>329.673</v>
      </c>
      <c r="Q515" s="62">
        <v>13.846</v>
      </c>
      <c r="R515" s="62">
        <v>1.8109999999999999</v>
      </c>
      <c r="S515" s="62">
        <v>312</v>
      </c>
      <c r="T515" s="62"/>
      <c r="U515" s="62">
        <v>725</v>
      </c>
      <c r="V515" s="62">
        <v>-154</v>
      </c>
      <c r="W515" s="62">
        <v>795.673</v>
      </c>
      <c r="X515" s="62">
        <v>33.417999999999999</v>
      </c>
      <c r="Y515" s="61">
        <v>4.3710000000000004</v>
      </c>
      <c r="Z515" s="63">
        <v>4.3710000000000004</v>
      </c>
      <c r="AA515" s="64" t="s">
        <v>116</v>
      </c>
      <c r="AB515" s="62" t="s">
        <v>116</v>
      </c>
      <c r="AC515" s="62">
        <v>33.679000000000002</v>
      </c>
      <c r="AD515" s="62">
        <v>1.415</v>
      </c>
      <c r="AE515" s="62">
        <v>0.18</v>
      </c>
      <c r="AF515" s="62" t="s">
        <v>140</v>
      </c>
      <c r="AG515" s="62">
        <v>7</v>
      </c>
      <c r="AH515" s="62">
        <v>3</v>
      </c>
      <c r="AI515" s="62">
        <v>30.678999999999998</v>
      </c>
      <c r="AJ515" s="62">
        <v>1.2889999999999999</v>
      </c>
      <c r="AK515" s="64">
        <v>0.16400000000000001</v>
      </c>
      <c r="AL515" s="19">
        <v>151824</v>
      </c>
      <c r="AM515" s="19">
        <v>121889</v>
      </c>
      <c r="AN515" s="23">
        <v>3088</v>
      </c>
      <c r="AO515" s="19">
        <v>149403</v>
      </c>
      <c r="AP515" s="19">
        <v>38304</v>
      </c>
      <c r="AQ515" s="19">
        <v>139326</v>
      </c>
      <c r="AR515" s="63"/>
      <c r="AS515" s="63"/>
      <c r="AT515" s="65">
        <f t="shared" ref="AT515:AT578" si="42">AO515*42/1000</f>
        <v>6274.9260000000004</v>
      </c>
      <c r="AU515" s="65">
        <f t="shared" ref="AU515:AU578" si="43">AN515*42/1000</f>
        <v>129.696</v>
      </c>
      <c r="AV515" s="65">
        <f t="shared" ref="AV515:AV578" si="44">AP515*42/1000</f>
        <v>1608.768</v>
      </c>
      <c r="AW515" s="65">
        <f t="shared" si="40"/>
        <v>6376.6080000000002</v>
      </c>
      <c r="AX515" s="65">
        <f t="shared" si="40"/>
        <v>5119.3379999999997</v>
      </c>
      <c r="AY515" s="65">
        <f t="shared" si="41"/>
        <v>5851.692</v>
      </c>
      <c r="AZ515" s="19">
        <v>46396</v>
      </c>
      <c r="BA515" s="19">
        <v>46020</v>
      </c>
      <c r="BB515" s="19">
        <v>40473</v>
      </c>
      <c r="BC515" s="19">
        <v>1969</v>
      </c>
      <c r="BD515" s="19">
        <v>4865</v>
      </c>
      <c r="BE515" s="23">
        <v>28415.601999999999</v>
      </c>
      <c r="BF515" s="23">
        <v>130726.694</v>
      </c>
      <c r="BG515" s="23"/>
      <c r="BH515" s="23"/>
      <c r="BI515" s="67">
        <v>45.48</v>
      </c>
      <c r="BJ515" s="67">
        <v>1.55</v>
      </c>
      <c r="BK515" s="67">
        <v>1.47</v>
      </c>
      <c r="BL515" s="67">
        <v>1.61</v>
      </c>
      <c r="BM515" s="62"/>
      <c r="BN515" s="62"/>
      <c r="BO515" s="62"/>
      <c r="BP515" s="62"/>
      <c r="BQ515" s="62"/>
      <c r="BR515" s="62"/>
      <c r="BS515" s="62"/>
      <c r="BT515" s="62"/>
      <c r="BU515" s="62"/>
      <c r="BV515" s="62"/>
      <c r="BW515" s="62"/>
      <c r="BX515" s="62"/>
      <c r="BY515" s="62"/>
      <c r="BZ515" s="62"/>
      <c r="CA515" s="62"/>
      <c r="CB515" s="62"/>
      <c r="CC515" s="62"/>
      <c r="CD515" s="62"/>
      <c r="CE515" s="62"/>
      <c r="CF515" s="62"/>
      <c r="CG515" s="62"/>
      <c r="CH515" s="62"/>
      <c r="CI515" s="62"/>
      <c r="CJ515" s="62"/>
      <c r="CK515" s="62"/>
      <c r="CL515" s="62"/>
      <c r="CM515" s="62"/>
      <c r="CN515" s="62"/>
      <c r="CO515" s="62"/>
      <c r="CP515" s="62"/>
      <c r="CQ515" s="62"/>
      <c r="CR515" s="62"/>
      <c r="CS515" s="62"/>
      <c r="CT515" s="62"/>
      <c r="CU515" s="62"/>
      <c r="CV515" s="62"/>
      <c r="CW515" s="62"/>
      <c r="CX515" s="62"/>
      <c r="CY515" s="62"/>
      <c r="CZ515" s="62"/>
      <c r="DA515" s="62"/>
      <c r="DB515" s="62"/>
      <c r="DC515" s="62"/>
      <c r="DD515" s="62"/>
      <c r="DE515" s="62"/>
      <c r="DF515" s="62"/>
      <c r="DG515" s="62"/>
      <c r="DH515" s="62"/>
      <c r="DI515" s="62"/>
      <c r="DJ515" s="62"/>
      <c r="DK515" s="62"/>
      <c r="DL515" s="62"/>
    </row>
    <row r="516" spans="1:116" x14ac:dyDescent="0.2">
      <c r="A516" s="57">
        <v>42278</v>
      </c>
      <c r="B516" s="58">
        <v>2015</v>
      </c>
      <c r="C516" s="66">
        <v>13.772</v>
      </c>
      <c r="D516" s="62">
        <v>0.188</v>
      </c>
      <c r="E516" s="62">
        <v>2534.9299999999998</v>
      </c>
      <c r="F516" s="62">
        <v>106.467</v>
      </c>
      <c r="G516" s="62">
        <v>13.585000000000001</v>
      </c>
      <c r="H516" s="62">
        <v>863</v>
      </c>
      <c r="I516" s="62">
        <v>160.74100000000001</v>
      </c>
      <c r="J516" s="62">
        <v>702.25900000000001</v>
      </c>
      <c r="K516" s="62">
        <v>3069.6860000000001</v>
      </c>
      <c r="L516" s="62">
        <v>48.204000000000001</v>
      </c>
      <c r="M516" s="62">
        <v>3188.9850000000001</v>
      </c>
      <c r="N516" s="62">
        <v>133.93700000000001</v>
      </c>
      <c r="O516" s="66">
        <v>17.09</v>
      </c>
      <c r="P516" s="61">
        <v>319.38400000000001</v>
      </c>
      <c r="Q516" s="62">
        <v>13.414</v>
      </c>
      <c r="R516" s="62">
        <v>1.7549999999999999</v>
      </c>
      <c r="S516" s="62">
        <v>599</v>
      </c>
      <c r="T516" s="62"/>
      <c r="U516" s="62">
        <v>810</v>
      </c>
      <c r="V516" s="62">
        <v>85</v>
      </c>
      <c r="W516" s="62">
        <v>833.38400000000001</v>
      </c>
      <c r="X516" s="62">
        <v>35.002000000000002</v>
      </c>
      <c r="Y516" s="61">
        <v>4.5789999999999997</v>
      </c>
      <c r="Z516" s="63">
        <v>4.5789999999999997</v>
      </c>
      <c r="AA516" s="64" t="s">
        <v>116</v>
      </c>
      <c r="AB516" s="62" t="s">
        <v>116</v>
      </c>
      <c r="AC516" s="62">
        <v>31.69</v>
      </c>
      <c r="AD516" s="62">
        <v>1.331</v>
      </c>
      <c r="AE516" s="62">
        <v>0.17</v>
      </c>
      <c r="AF516" s="62" t="s">
        <v>140</v>
      </c>
      <c r="AG516" s="62">
        <v>10</v>
      </c>
      <c r="AH516" s="62">
        <v>3</v>
      </c>
      <c r="AI516" s="62">
        <v>28.69</v>
      </c>
      <c r="AJ516" s="62">
        <v>1.2050000000000001</v>
      </c>
      <c r="AK516" s="64">
        <v>0.154</v>
      </c>
      <c r="AL516" s="19">
        <v>149312</v>
      </c>
      <c r="AM516" s="19">
        <v>124438</v>
      </c>
      <c r="AN516" s="23">
        <v>3128</v>
      </c>
      <c r="AO516" s="19">
        <v>143625</v>
      </c>
      <c r="AP516" s="19">
        <v>35640</v>
      </c>
      <c r="AQ516" s="19">
        <v>137279</v>
      </c>
      <c r="AR516" s="63"/>
      <c r="AS516" s="63"/>
      <c r="AT516" s="65">
        <f t="shared" si="42"/>
        <v>6032.25</v>
      </c>
      <c r="AU516" s="65">
        <f t="shared" si="43"/>
        <v>131.376</v>
      </c>
      <c r="AV516" s="65">
        <f t="shared" si="44"/>
        <v>1496.88</v>
      </c>
      <c r="AW516" s="65">
        <f t="shared" si="40"/>
        <v>6271.1040000000003</v>
      </c>
      <c r="AX516" s="65">
        <f t="shared" si="40"/>
        <v>5226.3959999999997</v>
      </c>
      <c r="AY516" s="65">
        <f t="shared" si="41"/>
        <v>5765.7179999999998</v>
      </c>
      <c r="AZ516" s="19">
        <v>48159</v>
      </c>
      <c r="BA516" s="19">
        <v>50032</v>
      </c>
      <c r="BB516" s="19">
        <v>37492</v>
      </c>
      <c r="BC516" s="19">
        <v>2565</v>
      </c>
      <c r="BD516" s="19">
        <v>3673</v>
      </c>
      <c r="BE516" s="23">
        <v>22655.438999999998</v>
      </c>
      <c r="BF516" s="23">
        <v>121684.558</v>
      </c>
      <c r="BG516" s="23"/>
      <c r="BH516" s="23"/>
      <c r="BI516" s="67">
        <v>46.22</v>
      </c>
      <c r="BJ516" s="67">
        <v>1.57</v>
      </c>
      <c r="BK516" s="67">
        <v>1.47</v>
      </c>
      <c r="BL516" s="67">
        <v>1.56</v>
      </c>
      <c r="BM516" s="62"/>
      <c r="BN516" s="62"/>
      <c r="BO516" s="62"/>
      <c r="BP516" s="62"/>
      <c r="BQ516" s="62"/>
      <c r="BR516" s="62"/>
      <c r="BS516" s="62"/>
      <c r="BT516" s="62"/>
      <c r="BU516" s="62"/>
      <c r="BV516" s="62"/>
      <c r="BW516" s="62"/>
      <c r="BX516" s="62"/>
      <c r="BY516" s="62"/>
      <c r="BZ516" s="62"/>
      <c r="CA516" s="62"/>
      <c r="CB516" s="62"/>
      <c r="CC516" s="62"/>
      <c r="CD516" s="62"/>
      <c r="CE516" s="62"/>
      <c r="CF516" s="62"/>
      <c r="CG516" s="62"/>
      <c r="CH516" s="62"/>
      <c r="CI516" s="62"/>
      <c r="CJ516" s="62"/>
      <c r="CK516" s="62"/>
      <c r="CL516" s="62"/>
      <c r="CM516" s="62"/>
      <c r="CN516" s="62"/>
      <c r="CO516" s="62"/>
      <c r="CP516" s="62"/>
      <c r="CQ516" s="62"/>
      <c r="CR516" s="62"/>
      <c r="CS516" s="62"/>
      <c r="CT516" s="62"/>
      <c r="CU516" s="62"/>
      <c r="CV516" s="62"/>
      <c r="CW516" s="62"/>
      <c r="CX516" s="62"/>
      <c r="CY516" s="62"/>
      <c r="CZ516" s="62"/>
      <c r="DA516" s="62"/>
      <c r="DB516" s="62"/>
      <c r="DC516" s="62"/>
      <c r="DD516" s="62"/>
      <c r="DE516" s="62"/>
      <c r="DF516" s="62"/>
      <c r="DG516" s="62"/>
      <c r="DH516" s="62"/>
      <c r="DI516" s="62"/>
      <c r="DJ516" s="62"/>
      <c r="DK516" s="62"/>
      <c r="DL516" s="62"/>
    </row>
    <row r="517" spans="1:116" x14ac:dyDescent="0.2">
      <c r="A517" s="57">
        <v>42309</v>
      </c>
      <c r="B517" s="58">
        <v>2015</v>
      </c>
      <c r="C517" s="66">
        <v>13.696999999999999</v>
      </c>
      <c r="D517" s="62">
        <v>0.187</v>
      </c>
      <c r="E517" s="62">
        <v>2521.0189999999998</v>
      </c>
      <c r="F517" s="62">
        <v>105.883</v>
      </c>
      <c r="G517" s="62">
        <v>13.51</v>
      </c>
      <c r="H517" s="62">
        <v>701</v>
      </c>
      <c r="I517" s="62">
        <v>75.918999999999997</v>
      </c>
      <c r="J517" s="62">
        <v>625.08100000000002</v>
      </c>
      <c r="K517" s="62">
        <v>3599.97</v>
      </c>
      <c r="L517" s="62">
        <v>530.28499999999997</v>
      </c>
      <c r="M517" s="62">
        <v>2615.8150000000001</v>
      </c>
      <c r="N517" s="62">
        <v>109.864</v>
      </c>
      <c r="O517" s="66">
        <v>14.018000000000001</v>
      </c>
      <c r="P517" s="61">
        <v>301.32299999999998</v>
      </c>
      <c r="Q517" s="62">
        <v>12.656000000000001</v>
      </c>
      <c r="R517" s="62">
        <v>1.655</v>
      </c>
      <c r="S517" s="62">
        <v>472</v>
      </c>
      <c r="T517" s="62"/>
      <c r="U517" s="62">
        <v>657</v>
      </c>
      <c r="V517" s="62">
        <v>-153</v>
      </c>
      <c r="W517" s="62">
        <v>926.32299999999998</v>
      </c>
      <c r="X517" s="62">
        <v>38.905999999999999</v>
      </c>
      <c r="Y517" s="61">
        <v>5.0890000000000004</v>
      </c>
      <c r="Z517" s="63">
        <v>5.0890000000000004</v>
      </c>
      <c r="AA517" s="64" t="s">
        <v>116</v>
      </c>
      <c r="AB517" s="62" t="s">
        <v>116</v>
      </c>
      <c r="AC517" s="62">
        <v>29.62</v>
      </c>
      <c r="AD517" s="62">
        <v>1.244</v>
      </c>
      <c r="AE517" s="62">
        <v>0.159</v>
      </c>
      <c r="AF517" s="62" t="s">
        <v>140</v>
      </c>
      <c r="AG517" s="62">
        <v>11</v>
      </c>
      <c r="AH517" s="62">
        <v>1</v>
      </c>
      <c r="AI517" s="62">
        <v>28.62</v>
      </c>
      <c r="AJ517" s="62">
        <v>1.202</v>
      </c>
      <c r="AK517" s="64">
        <v>0.153</v>
      </c>
      <c r="AL517" s="19">
        <v>155071</v>
      </c>
      <c r="AM517" s="19">
        <v>112207</v>
      </c>
      <c r="AN517" s="23">
        <v>4509</v>
      </c>
      <c r="AO517" s="19">
        <v>157210</v>
      </c>
      <c r="AP517" s="19">
        <v>35341</v>
      </c>
      <c r="AQ517" s="19">
        <v>144104</v>
      </c>
      <c r="AR517" s="63"/>
      <c r="AS517" s="63"/>
      <c r="AT517" s="65">
        <f t="shared" si="42"/>
        <v>6602.82</v>
      </c>
      <c r="AU517" s="65">
        <f t="shared" si="43"/>
        <v>189.37799999999999</v>
      </c>
      <c r="AV517" s="65">
        <f t="shared" si="44"/>
        <v>1484.3219999999999</v>
      </c>
      <c r="AW517" s="65">
        <f t="shared" si="40"/>
        <v>6512.982</v>
      </c>
      <c r="AX517" s="65">
        <f t="shared" si="40"/>
        <v>4712.6940000000004</v>
      </c>
      <c r="AY517" s="65">
        <f t="shared" si="41"/>
        <v>6052.3680000000004</v>
      </c>
      <c r="AZ517" s="19">
        <v>49011</v>
      </c>
      <c r="BA517" s="19">
        <v>45712</v>
      </c>
      <c r="BB517" s="19">
        <v>38108</v>
      </c>
      <c r="BC517" s="19">
        <v>3049</v>
      </c>
      <c r="BD517" s="19">
        <v>5732</v>
      </c>
      <c r="BE517" s="23">
        <v>10684.021000000001</v>
      </c>
      <c r="BF517" s="23">
        <v>98895.442999999999</v>
      </c>
      <c r="BG517" s="23"/>
      <c r="BH517" s="23"/>
      <c r="BI517" s="67">
        <v>42.44</v>
      </c>
      <c r="BJ517" s="67">
        <v>1.46</v>
      </c>
      <c r="BK517" s="67">
        <v>1.42</v>
      </c>
      <c r="BL517" s="67">
        <v>1.43</v>
      </c>
      <c r="BM517" s="62"/>
      <c r="BN517" s="62"/>
      <c r="BO517" s="62"/>
      <c r="BP517" s="62"/>
      <c r="BQ517" s="62"/>
      <c r="BR517" s="62"/>
      <c r="BS517" s="62"/>
      <c r="BT517" s="62"/>
      <c r="BU517" s="62"/>
      <c r="BV517" s="62"/>
      <c r="BW517" s="62"/>
      <c r="BX517" s="62"/>
      <c r="BY517" s="62"/>
      <c r="BZ517" s="62"/>
      <c r="CA517" s="62"/>
      <c r="CB517" s="62"/>
      <c r="CC517" s="62"/>
      <c r="CD517" s="62"/>
      <c r="CE517" s="62"/>
      <c r="CF517" s="62"/>
      <c r="CG517" s="62"/>
      <c r="CH517" s="62"/>
      <c r="CI517" s="62"/>
      <c r="CJ517" s="62"/>
      <c r="CK517" s="62"/>
      <c r="CL517" s="62"/>
      <c r="CM517" s="62"/>
      <c r="CN517" s="62"/>
      <c r="CO517" s="62"/>
      <c r="CP517" s="62"/>
      <c r="CQ517" s="62"/>
      <c r="CR517" s="62"/>
      <c r="CS517" s="62"/>
      <c r="CT517" s="62"/>
      <c r="CU517" s="62"/>
      <c r="CV517" s="62"/>
      <c r="CW517" s="62"/>
      <c r="CX517" s="62"/>
      <c r="CY517" s="62"/>
      <c r="CZ517" s="62"/>
      <c r="DA517" s="62"/>
      <c r="DB517" s="62"/>
      <c r="DC517" s="62"/>
      <c r="DD517" s="62"/>
      <c r="DE517" s="62"/>
      <c r="DF517" s="62"/>
      <c r="DG517" s="62"/>
      <c r="DH517" s="62"/>
      <c r="DI517" s="62"/>
      <c r="DJ517" s="62"/>
      <c r="DK517" s="62"/>
      <c r="DL517" s="62"/>
    </row>
    <row r="518" spans="1:116" x14ac:dyDescent="0.2">
      <c r="A518" s="57">
        <v>42339</v>
      </c>
      <c r="B518" s="58">
        <v>2015</v>
      </c>
      <c r="C518" s="66">
        <v>13.978</v>
      </c>
      <c r="D518" s="62">
        <v>0.19</v>
      </c>
      <c r="E518" s="62">
        <v>2572.7939999999999</v>
      </c>
      <c r="F518" s="62">
        <v>108.057</v>
      </c>
      <c r="G518" s="62">
        <v>13.788</v>
      </c>
      <c r="H518" s="62">
        <v>1078</v>
      </c>
      <c r="I518" s="62">
        <v>133.483</v>
      </c>
      <c r="J518" s="62">
        <v>944.51700000000005</v>
      </c>
      <c r="K518" s="62">
        <v>3943.299</v>
      </c>
      <c r="L518" s="62">
        <v>343.32799999999997</v>
      </c>
      <c r="M518" s="62">
        <v>3173.9830000000002</v>
      </c>
      <c r="N518" s="62">
        <v>133.30699999999999</v>
      </c>
      <c r="O518" s="66">
        <v>17.009</v>
      </c>
      <c r="P518" s="61">
        <v>317.15600000000001</v>
      </c>
      <c r="Q518" s="62">
        <v>13.321</v>
      </c>
      <c r="R518" s="62">
        <v>1.742</v>
      </c>
      <c r="S518" s="62">
        <v>483</v>
      </c>
      <c r="T518" s="62"/>
      <c r="U518" s="62">
        <v>634</v>
      </c>
      <c r="V518" s="62">
        <v>-23</v>
      </c>
      <c r="W518" s="62">
        <v>823.15599999999995</v>
      </c>
      <c r="X518" s="62">
        <v>34.573</v>
      </c>
      <c r="Y518" s="61">
        <v>4.5220000000000002</v>
      </c>
      <c r="Z518" s="63">
        <v>4.5220000000000002</v>
      </c>
      <c r="AA518" s="64" t="s">
        <v>116</v>
      </c>
      <c r="AB518" s="62" t="s">
        <v>116</v>
      </c>
      <c r="AC518" s="62">
        <v>30.001000000000001</v>
      </c>
      <c r="AD518" s="62">
        <v>1.26</v>
      </c>
      <c r="AE518" s="62">
        <v>0.161</v>
      </c>
      <c r="AF518" s="62" t="s">
        <v>140</v>
      </c>
      <c r="AG518" s="62">
        <v>4</v>
      </c>
      <c r="AH518" s="62">
        <v>-7</v>
      </c>
      <c r="AI518" s="62">
        <v>37.000999999999998</v>
      </c>
      <c r="AJ518" s="62">
        <v>1.554</v>
      </c>
      <c r="AK518" s="64">
        <v>0.19800000000000001</v>
      </c>
      <c r="AL518" s="19">
        <v>156305</v>
      </c>
      <c r="AM518" s="19">
        <v>118765</v>
      </c>
      <c r="AN518" s="23">
        <v>4801</v>
      </c>
      <c r="AO518" s="19">
        <v>161326</v>
      </c>
      <c r="AP518" s="19">
        <v>40295</v>
      </c>
      <c r="AQ518" s="19">
        <v>146012</v>
      </c>
      <c r="AR518" s="63"/>
      <c r="AS518" s="63"/>
      <c r="AT518" s="65">
        <f t="shared" si="42"/>
        <v>6775.692</v>
      </c>
      <c r="AU518" s="65">
        <f t="shared" si="43"/>
        <v>201.642</v>
      </c>
      <c r="AV518" s="65">
        <f t="shared" si="44"/>
        <v>1692.39</v>
      </c>
      <c r="AW518" s="65">
        <f t="shared" si="40"/>
        <v>6564.81</v>
      </c>
      <c r="AX518" s="65">
        <f t="shared" si="40"/>
        <v>4988.13</v>
      </c>
      <c r="AY518" s="65">
        <f t="shared" si="41"/>
        <v>6132.5039999999999</v>
      </c>
      <c r="AZ518" s="19">
        <v>52639</v>
      </c>
      <c r="BA518" s="19">
        <v>48922</v>
      </c>
      <c r="BB518" s="19">
        <v>40390</v>
      </c>
      <c r="BC518" s="19">
        <v>3355</v>
      </c>
      <c r="BD518" s="19">
        <v>4790</v>
      </c>
      <c r="BE518" s="23">
        <v>18813.831999999999</v>
      </c>
      <c r="BF518" s="23">
        <v>151879.34099999999</v>
      </c>
      <c r="BG518" s="23"/>
      <c r="BH518" s="23"/>
      <c r="BI518" s="67">
        <v>37.19</v>
      </c>
      <c r="BJ518" s="67">
        <v>1.18</v>
      </c>
      <c r="BK518" s="67">
        <v>1.23</v>
      </c>
      <c r="BL518" s="67">
        <v>1.36</v>
      </c>
      <c r="BM518" s="62"/>
      <c r="BN518" s="62"/>
      <c r="BO518" s="62"/>
      <c r="BP518" s="62"/>
      <c r="BQ518" s="62"/>
      <c r="BR518" s="62"/>
      <c r="BS518" s="62"/>
      <c r="BT518" s="62"/>
      <c r="BU518" s="62"/>
      <c r="BV518" s="62"/>
      <c r="BW518" s="62"/>
      <c r="BX518" s="62"/>
      <c r="BY518" s="62"/>
      <c r="BZ518" s="62"/>
      <c r="CA518" s="62"/>
      <c r="CB518" s="62"/>
      <c r="CC518" s="62"/>
      <c r="CD518" s="62"/>
      <c r="CE518" s="62"/>
      <c r="CF518" s="62"/>
      <c r="CG518" s="62"/>
      <c r="CH518" s="62"/>
      <c r="CI518" s="62"/>
      <c r="CJ518" s="62"/>
      <c r="CK518" s="62"/>
      <c r="CL518" s="62"/>
      <c r="CM518" s="62"/>
      <c r="CN518" s="62"/>
      <c r="CO518" s="62"/>
      <c r="CP518" s="62"/>
      <c r="CQ518" s="62"/>
      <c r="CR518" s="62"/>
      <c r="CS518" s="62"/>
      <c r="CT518" s="62"/>
      <c r="CU518" s="62"/>
      <c r="CV518" s="62"/>
      <c r="CW518" s="62"/>
      <c r="CX518" s="62"/>
      <c r="CY518" s="62"/>
      <c r="CZ518" s="62"/>
      <c r="DA518" s="62"/>
      <c r="DB518" s="62"/>
      <c r="DC518" s="62"/>
      <c r="DD518" s="62"/>
      <c r="DE518" s="62"/>
      <c r="DF518" s="62"/>
      <c r="DG518" s="62"/>
      <c r="DH518" s="62"/>
      <c r="DI518" s="62"/>
      <c r="DJ518" s="62"/>
      <c r="DK518" s="62"/>
      <c r="DL518" s="62"/>
    </row>
    <row r="519" spans="1:116" x14ac:dyDescent="0.2">
      <c r="A519" s="57">
        <v>42370</v>
      </c>
      <c r="B519" s="58">
        <v>2016</v>
      </c>
      <c r="C519" s="66">
        <v>13.528</v>
      </c>
      <c r="D519" s="62">
        <v>0.184</v>
      </c>
      <c r="E519" s="62">
        <v>2489.9110000000001</v>
      </c>
      <c r="F519" s="62">
        <v>104.57599999999999</v>
      </c>
      <c r="G519" s="62">
        <v>13.343</v>
      </c>
      <c r="H519" s="62">
        <v>248</v>
      </c>
      <c r="I519" s="62">
        <v>42.423999999999999</v>
      </c>
      <c r="J519" s="62">
        <v>205.57599999999999</v>
      </c>
      <c r="K519" s="62">
        <v>4222.3620000000001</v>
      </c>
      <c r="L519" s="62">
        <v>279.06299999999999</v>
      </c>
      <c r="M519" s="62">
        <v>2416.424</v>
      </c>
      <c r="N519" s="62">
        <v>101.49</v>
      </c>
      <c r="O519" s="66">
        <v>12.95</v>
      </c>
      <c r="P519" s="61">
        <v>279.95600000000002</v>
      </c>
      <c r="Q519" s="62">
        <v>11.757999999999999</v>
      </c>
      <c r="R519" s="62">
        <v>1.538</v>
      </c>
      <c r="S519" s="62">
        <v>258</v>
      </c>
      <c r="T519" s="62"/>
      <c r="U519" s="62">
        <v>793</v>
      </c>
      <c r="V519" s="62">
        <v>159</v>
      </c>
      <c r="W519" s="62">
        <v>378.95600000000002</v>
      </c>
      <c r="X519" s="62">
        <v>15.916</v>
      </c>
      <c r="Y519" s="61">
        <v>2.0819999999999999</v>
      </c>
      <c r="Z519" s="63">
        <v>2.0819999999999999</v>
      </c>
      <c r="AA519" s="64" t="s">
        <v>116</v>
      </c>
      <c r="AB519" s="62" t="s">
        <v>116</v>
      </c>
      <c r="AC519" s="62">
        <v>30.009</v>
      </c>
      <c r="AD519" s="62">
        <v>1.26</v>
      </c>
      <c r="AE519" s="62">
        <v>0.161</v>
      </c>
      <c r="AF519" s="62" t="s">
        <v>140</v>
      </c>
      <c r="AG519" s="62">
        <v>8</v>
      </c>
      <c r="AH519" s="62">
        <v>4</v>
      </c>
      <c r="AI519" s="62">
        <v>26.009</v>
      </c>
      <c r="AJ519" s="62">
        <v>1.0920000000000001</v>
      </c>
      <c r="AK519" s="64">
        <v>0.13900000000000001</v>
      </c>
      <c r="AL519" s="19">
        <v>140438</v>
      </c>
      <c r="AM519" s="19">
        <v>119358</v>
      </c>
      <c r="AN519" s="23">
        <v>5317</v>
      </c>
      <c r="AO519" s="19">
        <v>160595</v>
      </c>
      <c r="AP519" s="19">
        <v>28479</v>
      </c>
      <c r="AQ519" s="19">
        <v>128764</v>
      </c>
      <c r="AR519" s="63"/>
      <c r="AS519" s="63"/>
      <c r="AT519" s="65">
        <f t="shared" si="42"/>
        <v>6744.99</v>
      </c>
      <c r="AU519" s="65">
        <f t="shared" si="43"/>
        <v>223.31399999999999</v>
      </c>
      <c r="AV519" s="65">
        <f t="shared" si="44"/>
        <v>1196.1179999999999</v>
      </c>
      <c r="AW519" s="65">
        <f t="shared" ref="AW519:AX582" si="45">AL519*42/1000</f>
        <v>5898.3959999999997</v>
      </c>
      <c r="AX519" s="65">
        <f t="shared" si="45"/>
        <v>5013.0360000000001</v>
      </c>
      <c r="AY519" s="65">
        <f t="shared" si="41"/>
        <v>5408.0879999999997</v>
      </c>
      <c r="AZ519" s="19">
        <v>49024</v>
      </c>
      <c r="BA519" s="19">
        <v>44928</v>
      </c>
      <c r="BB519" s="19">
        <v>42901</v>
      </c>
      <c r="BC519" s="19">
        <v>4784</v>
      </c>
      <c r="BD519" s="19">
        <v>6369</v>
      </c>
      <c r="BE519" s="23">
        <v>5979.4129999999996</v>
      </c>
      <c r="BF519" s="23">
        <v>29546.828000000001</v>
      </c>
      <c r="BG519" s="23"/>
      <c r="BH519" s="23"/>
      <c r="BI519" s="67">
        <v>31.68</v>
      </c>
      <c r="BJ519" s="67">
        <v>1.01</v>
      </c>
      <c r="BK519" s="67">
        <v>1.04</v>
      </c>
      <c r="BL519" s="67">
        <v>1.19</v>
      </c>
      <c r="BM519" s="62"/>
      <c r="BN519" s="62"/>
      <c r="BO519" s="62"/>
      <c r="BP519" s="62"/>
      <c r="BQ519" s="62"/>
      <c r="BR519" s="62"/>
      <c r="BS519" s="62"/>
      <c r="BT519" s="62"/>
      <c r="BU519" s="62"/>
      <c r="BV519" s="62"/>
      <c r="BW519" s="62"/>
      <c r="BX519" s="62"/>
      <c r="BY519" s="62"/>
      <c r="BZ519" s="62"/>
      <c r="CA519" s="62"/>
      <c r="CB519" s="62"/>
      <c r="CC519" s="62"/>
      <c r="CD519" s="62"/>
      <c r="CE519" s="62"/>
      <c r="CF519" s="62"/>
      <c r="CG519" s="62"/>
      <c r="CH519" s="62"/>
      <c r="CI519" s="62"/>
      <c r="CJ519" s="62"/>
      <c r="CK519" s="62"/>
      <c r="CL519" s="62"/>
      <c r="CM519" s="62"/>
      <c r="CN519" s="62"/>
      <c r="CO519" s="62"/>
      <c r="CP519" s="62"/>
      <c r="CQ519" s="62"/>
      <c r="CR519" s="62"/>
      <c r="CS519" s="62"/>
      <c r="CT519" s="62"/>
      <c r="CU519" s="62"/>
      <c r="CV519" s="62"/>
      <c r="CW519" s="62"/>
      <c r="CX519" s="62"/>
      <c r="CY519" s="62"/>
      <c r="CZ519" s="62"/>
      <c r="DA519" s="62"/>
      <c r="DB519" s="62"/>
      <c r="DC519" s="62"/>
      <c r="DD519" s="62"/>
      <c r="DE519" s="62"/>
      <c r="DF519" s="62"/>
      <c r="DG519" s="62"/>
      <c r="DH519" s="62"/>
      <c r="DI519" s="62"/>
      <c r="DJ519" s="62"/>
      <c r="DK519" s="62"/>
      <c r="DL519" s="62"/>
    </row>
    <row r="520" spans="1:116" x14ac:dyDescent="0.2">
      <c r="A520" s="57">
        <v>42401</v>
      </c>
      <c r="B520" s="58">
        <v>2016</v>
      </c>
      <c r="C520" s="66">
        <v>13.602</v>
      </c>
      <c r="D520" s="62">
        <v>0.185</v>
      </c>
      <c r="E520" s="62">
        <v>2503.6579999999999</v>
      </c>
      <c r="F520" s="62">
        <v>105.154</v>
      </c>
      <c r="G520" s="62">
        <v>13.417</v>
      </c>
      <c r="H520" s="62">
        <v>287</v>
      </c>
      <c r="I520" s="62">
        <v>49.066000000000003</v>
      </c>
      <c r="J520" s="62">
        <v>237.934</v>
      </c>
      <c r="K520" s="62">
        <v>4133.0330000000004</v>
      </c>
      <c r="L520" s="62">
        <v>-89.33</v>
      </c>
      <c r="M520" s="62">
        <v>2830.922</v>
      </c>
      <c r="N520" s="62">
        <v>118.899</v>
      </c>
      <c r="O520" s="66">
        <v>15.170999999999999</v>
      </c>
      <c r="P520" s="61">
        <v>175.11799999999999</v>
      </c>
      <c r="Q520" s="62">
        <v>7.3550000000000004</v>
      </c>
      <c r="R520" s="62">
        <v>0.96199999999999997</v>
      </c>
      <c r="S520" s="62">
        <v>345</v>
      </c>
      <c r="T520" s="62"/>
      <c r="U520" s="62">
        <v>755</v>
      </c>
      <c r="V520" s="62">
        <v>-38</v>
      </c>
      <c r="W520" s="62">
        <v>558.11800000000005</v>
      </c>
      <c r="X520" s="62">
        <v>23.440999999999999</v>
      </c>
      <c r="Y520" s="61">
        <v>3.0659999999999998</v>
      </c>
      <c r="Z520" s="63">
        <v>3.0659999999999998</v>
      </c>
      <c r="AA520" s="64" t="s">
        <v>116</v>
      </c>
      <c r="AB520" s="62" t="s">
        <v>116</v>
      </c>
      <c r="AC520" s="62">
        <v>18.141999999999999</v>
      </c>
      <c r="AD520" s="62">
        <v>0.76200000000000001</v>
      </c>
      <c r="AE520" s="62">
        <v>9.7000000000000003E-2</v>
      </c>
      <c r="AF520" s="62" t="s">
        <v>140</v>
      </c>
      <c r="AG520" s="62">
        <v>10</v>
      </c>
      <c r="AH520" s="62">
        <v>2</v>
      </c>
      <c r="AI520" s="62">
        <v>16.141999999999999</v>
      </c>
      <c r="AJ520" s="62">
        <v>0.67800000000000005</v>
      </c>
      <c r="AK520" s="64">
        <v>8.6999999999999994E-2</v>
      </c>
      <c r="AL520" s="19">
        <v>135366</v>
      </c>
      <c r="AM520" s="19">
        <v>115887</v>
      </c>
      <c r="AN520" s="23">
        <v>6690</v>
      </c>
      <c r="AO520" s="19">
        <v>162496</v>
      </c>
      <c r="AP520" s="19">
        <v>25982</v>
      </c>
      <c r="AQ520" s="19">
        <v>124165</v>
      </c>
      <c r="AR520" s="63"/>
      <c r="AS520" s="63"/>
      <c r="AT520" s="65">
        <f t="shared" si="42"/>
        <v>6824.8320000000003</v>
      </c>
      <c r="AU520" s="65">
        <f t="shared" si="43"/>
        <v>280.98</v>
      </c>
      <c r="AV520" s="65">
        <f t="shared" si="44"/>
        <v>1091.2439999999999</v>
      </c>
      <c r="AW520" s="65">
        <f t="shared" si="45"/>
        <v>5685.3720000000003</v>
      </c>
      <c r="AX520" s="65">
        <f t="shared" si="45"/>
        <v>4867.2539999999999</v>
      </c>
      <c r="AY520" s="65">
        <f t="shared" si="41"/>
        <v>5214.93</v>
      </c>
      <c r="AZ520" s="19">
        <v>45759</v>
      </c>
      <c r="BA520" s="19">
        <v>44497</v>
      </c>
      <c r="BB520" s="19">
        <v>42592</v>
      </c>
      <c r="BC520" s="19">
        <v>3384</v>
      </c>
      <c r="BD520" s="19">
        <v>4955</v>
      </c>
      <c r="BE520" s="23">
        <v>6916.8649999999998</v>
      </c>
      <c r="BF520" s="23">
        <v>30515.167000000001</v>
      </c>
      <c r="BG520" s="23"/>
      <c r="BH520" s="23"/>
      <c r="BI520" s="67">
        <v>30.32</v>
      </c>
      <c r="BJ520" s="67">
        <v>1.04</v>
      </c>
      <c r="BK520" s="67">
        <v>1.03</v>
      </c>
      <c r="BL520" s="67">
        <v>1.05</v>
      </c>
      <c r="BM520" s="62"/>
      <c r="BN520" s="62"/>
      <c r="BO520" s="62"/>
      <c r="BP520" s="62"/>
      <c r="BQ520" s="62"/>
      <c r="BR520" s="62"/>
      <c r="BS520" s="62"/>
      <c r="BT520" s="62"/>
      <c r="BU520" s="62"/>
      <c r="BV520" s="62"/>
      <c r="BW520" s="62"/>
      <c r="BX520" s="62"/>
      <c r="BY520" s="62"/>
      <c r="BZ520" s="62"/>
      <c r="CA520" s="62"/>
      <c r="CB520" s="62"/>
      <c r="CC520" s="62"/>
      <c r="CD520" s="62"/>
      <c r="CE520" s="62"/>
      <c r="CF520" s="62"/>
      <c r="CG520" s="62"/>
      <c r="CH520" s="62"/>
      <c r="CI520" s="62"/>
      <c r="CJ520" s="62"/>
      <c r="CK520" s="62"/>
      <c r="CL520" s="62"/>
      <c r="CM520" s="62"/>
      <c r="CN520" s="62"/>
      <c r="CO520" s="62"/>
      <c r="CP520" s="62"/>
      <c r="CQ520" s="62"/>
      <c r="CR520" s="62"/>
      <c r="CS520" s="62"/>
      <c r="CT520" s="62"/>
      <c r="CU520" s="62"/>
      <c r="CV520" s="62"/>
      <c r="CW520" s="62"/>
      <c r="CX520" s="62"/>
      <c r="CY520" s="62"/>
      <c r="CZ520" s="62"/>
      <c r="DA520" s="62"/>
      <c r="DB520" s="62"/>
      <c r="DC520" s="62"/>
      <c r="DD520" s="62"/>
      <c r="DE520" s="62"/>
      <c r="DF520" s="62"/>
      <c r="DG520" s="62"/>
      <c r="DH520" s="62"/>
      <c r="DI520" s="62"/>
      <c r="DJ520" s="62"/>
      <c r="DK520" s="62"/>
      <c r="DL520" s="62"/>
    </row>
    <row r="521" spans="1:116" x14ac:dyDescent="0.2">
      <c r="A521" s="57">
        <v>42430</v>
      </c>
      <c r="B521" s="58">
        <v>2016</v>
      </c>
      <c r="C521" s="66">
        <v>15.542999999999999</v>
      </c>
      <c r="D521" s="62">
        <v>0.21199999999999999</v>
      </c>
      <c r="E521" s="62">
        <v>2860.9259999999999</v>
      </c>
      <c r="F521" s="62">
        <v>120.15900000000001</v>
      </c>
      <c r="G521" s="62">
        <v>15.332000000000001</v>
      </c>
      <c r="H521" s="62">
        <v>565</v>
      </c>
      <c r="I521" s="62">
        <v>233.62200000000001</v>
      </c>
      <c r="J521" s="62">
        <v>331.37799999999999</v>
      </c>
      <c r="K521" s="62">
        <v>4166.5590000000002</v>
      </c>
      <c r="L521" s="62">
        <v>33.526000000000003</v>
      </c>
      <c r="M521" s="62">
        <v>3158.7779999999998</v>
      </c>
      <c r="N521" s="62">
        <v>132.66900000000001</v>
      </c>
      <c r="O521" s="66">
        <v>16.928000000000001</v>
      </c>
      <c r="P521" s="61">
        <v>426.78800000000001</v>
      </c>
      <c r="Q521" s="62">
        <v>17.925000000000001</v>
      </c>
      <c r="R521" s="62">
        <v>2.3450000000000002</v>
      </c>
      <c r="S521" s="62">
        <v>413</v>
      </c>
      <c r="T521" s="62"/>
      <c r="U521" s="62">
        <v>662</v>
      </c>
      <c r="V521" s="62">
        <v>-93</v>
      </c>
      <c r="W521" s="62">
        <v>932.78800000000001</v>
      </c>
      <c r="X521" s="62">
        <v>39.177</v>
      </c>
      <c r="Y521" s="61">
        <v>5.125</v>
      </c>
      <c r="Z521" s="63">
        <v>5.125</v>
      </c>
      <c r="AA521" s="64" t="s">
        <v>116</v>
      </c>
      <c r="AB521" s="62" t="s">
        <v>116</v>
      </c>
      <c r="AC521" s="62">
        <v>36.061999999999998</v>
      </c>
      <c r="AD521" s="62">
        <v>1.5149999999999999</v>
      </c>
      <c r="AE521" s="62">
        <v>0.193</v>
      </c>
      <c r="AF521" s="62" t="s">
        <v>140</v>
      </c>
      <c r="AG521" s="62">
        <v>11</v>
      </c>
      <c r="AH521" s="62">
        <v>1</v>
      </c>
      <c r="AI521" s="62">
        <v>35.061999999999998</v>
      </c>
      <c r="AJ521" s="62">
        <v>1.4730000000000001</v>
      </c>
      <c r="AK521" s="64">
        <v>0.188</v>
      </c>
      <c r="AL521" s="19">
        <v>150297</v>
      </c>
      <c r="AM521" s="19">
        <v>122357</v>
      </c>
      <c r="AN521" s="23">
        <v>4659</v>
      </c>
      <c r="AO521" s="19">
        <v>160073</v>
      </c>
      <c r="AP521" s="19">
        <v>36891</v>
      </c>
      <c r="AQ521" s="19">
        <v>140351</v>
      </c>
      <c r="AR521" s="63"/>
      <c r="AS521" s="63"/>
      <c r="AT521" s="65">
        <f t="shared" si="42"/>
        <v>6723.0659999999998</v>
      </c>
      <c r="AU521" s="65">
        <f t="shared" si="43"/>
        <v>195.678</v>
      </c>
      <c r="AV521" s="65">
        <f t="shared" si="44"/>
        <v>1549.422</v>
      </c>
      <c r="AW521" s="65">
        <f t="shared" si="45"/>
        <v>6312.4740000000002</v>
      </c>
      <c r="AX521" s="65">
        <f t="shared" si="45"/>
        <v>5138.9939999999997</v>
      </c>
      <c r="AY521" s="65">
        <f t="shared" si="41"/>
        <v>5894.7420000000002</v>
      </c>
      <c r="AZ521" s="19">
        <v>48813</v>
      </c>
      <c r="BA521" s="19">
        <v>47945</v>
      </c>
      <c r="BB521" s="19">
        <v>44344</v>
      </c>
      <c r="BC521" s="19">
        <v>4792</v>
      </c>
      <c r="BD521" s="19">
        <v>3908</v>
      </c>
      <c r="BE521" s="23">
        <v>32927.474000000002</v>
      </c>
      <c r="BF521" s="23">
        <v>91345.486999999994</v>
      </c>
      <c r="BG521" s="23"/>
      <c r="BH521" s="23"/>
      <c r="BI521" s="67">
        <v>37.549999999999997</v>
      </c>
      <c r="BJ521" s="67">
        <v>1.19</v>
      </c>
      <c r="BK521" s="67">
        <v>1.1299999999999999</v>
      </c>
      <c r="BL521" s="67">
        <v>1.33</v>
      </c>
      <c r="BM521" s="62"/>
      <c r="BN521" s="62"/>
      <c r="BO521" s="62"/>
      <c r="BP521" s="62"/>
      <c r="BQ521" s="62"/>
      <c r="BR521" s="62"/>
      <c r="BS521" s="62"/>
      <c r="BT521" s="62"/>
      <c r="BU521" s="62"/>
      <c r="BV521" s="62"/>
      <c r="BW521" s="62"/>
      <c r="BX521" s="62"/>
      <c r="BY521" s="62"/>
      <c r="BZ521" s="62"/>
      <c r="CA521" s="62"/>
      <c r="CB521" s="62"/>
      <c r="CC521" s="62"/>
      <c r="CD521" s="62"/>
      <c r="CE521" s="62"/>
      <c r="CF521" s="62"/>
      <c r="CG521" s="62"/>
      <c r="CH521" s="62"/>
      <c r="CI521" s="62"/>
      <c r="CJ521" s="62"/>
      <c r="CK521" s="62"/>
      <c r="CL521" s="62"/>
      <c r="CM521" s="62"/>
      <c r="CN521" s="62"/>
      <c r="CO521" s="62"/>
      <c r="CP521" s="62"/>
      <c r="CQ521" s="62"/>
      <c r="CR521" s="62"/>
      <c r="CS521" s="62"/>
      <c r="CT521" s="62"/>
      <c r="CU521" s="62"/>
      <c r="CV521" s="62"/>
      <c r="CW521" s="62"/>
      <c r="CX521" s="62"/>
      <c r="CY521" s="62"/>
      <c r="CZ521" s="62"/>
      <c r="DA521" s="62"/>
      <c r="DB521" s="62"/>
      <c r="DC521" s="62"/>
      <c r="DD521" s="62"/>
      <c r="DE521" s="62"/>
      <c r="DF521" s="62"/>
      <c r="DG521" s="62"/>
      <c r="DH521" s="62"/>
      <c r="DI521" s="62"/>
      <c r="DJ521" s="62"/>
      <c r="DK521" s="62"/>
      <c r="DL521" s="62"/>
    </row>
    <row r="522" spans="1:116" x14ac:dyDescent="0.2">
      <c r="A522" s="57">
        <v>42461</v>
      </c>
      <c r="B522" s="58">
        <v>2016</v>
      </c>
      <c r="C522" s="66">
        <v>15.516</v>
      </c>
      <c r="D522" s="62">
        <v>0.21099999999999999</v>
      </c>
      <c r="E522" s="62">
        <v>2855.9679999999998</v>
      </c>
      <c r="F522" s="62">
        <v>119.95099999999999</v>
      </c>
      <c r="G522" s="62">
        <v>15.305</v>
      </c>
      <c r="H522" s="62">
        <v>969</v>
      </c>
      <c r="I522" s="62">
        <v>245.58500000000001</v>
      </c>
      <c r="J522" s="62">
        <v>723.41499999999996</v>
      </c>
      <c r="K522" s="62">
        <v>4358.4030000000002</v>
      </c>
      <c r="L522" s="62">
        <v>191.84399999999999</v>
      </c>
      <c r="M522" s="62">
        <v>3387.5390000000002</v>
      </c>
      <c r="N522" s="62">
        <v>142.27699999999999</v>
      </c>
      <c r="O522" s="66">
        <v>18.154</v>
      </c>
      <c r="P522" s="61">
        <v>506.02600000000001</v>
      </c>
      <c r="Q522" s="62">
        <v>21.253</v>
      </c>
      <c r="R522" s="62">
        <v>2.78</v>
      </c>
      <c r="S522" s="62">
        <v>420</v>
      </c>
      <c r="T522" s="62"/>
      <c r="U522" s="62">
        <v>927</v>
      </c>
      <c r="V522" s="62">
        <v>265</v>
      </c>
      <c r="W522" s="62">
        <v>661.02599999999995</v>
      </c>
      <c r="X522" s="62">
        <v>27.763000000000002</v>
      </c>
      <c r="Y522" s="61">
        <v>3.6320000000000001</v>
      </c>
      <c r="Z522" s="63">
        <v>3.6320000000000001</v>
      </c>
      <c r="AA522" s="64" t="s">
        <v>116</v>
      </c>
      <c r="AB522" s="62" t="s">
        <v>116</v>
      </c>
      <c r="AC522" s="62">
        <v>27.757000000000001</v>
      </c>
      <c r="AD522" s="62">
        <v>1.1659999999999999</v>
      </c>
      <c r="AE522" s="62">
        <v>0.14899999999999999</v>
      </c>
      <c r="AF522" s="62" t="s">
        <v>140</v>
      </c>
      <c r="AG522" s="62">
        <v>11</v>
      </c>
      <c r="AH522" s="62">
        <v>0</v>
      </c>
      <c r="AI522" s="62">
        <v>27.757000000000001</v>
      </c>
      <c r="AJ522" s="62">
        <v>1.1659999999999999</v>
      </c>
      <c r="AK522" s="64">
        <v>0.14899999999999999</v>
      </c>
      <c r="AL522" s="19">
        <v>139764</v>
      </c>
      <c r="AM522" s="19">
        <v>113966</v>
      </c>
      <c r="AN522" s="23">
        <v>5296</v>
      </c>
      <c r="AO522" s="19">
        <v>154741</v>
      </c>
      <c r="AP522" s="19">
        <v>38476</v>
      </c>
      <c r="AQ522" s="19">
        <v>130772</v>
      </c>
      <c r="AR522" s="63"/>
      <c r="AS522" s="63"/>
      <c r="AT522" s="65">
        <f t="shared" si="42"/>
        <v>6499.1220000000003</v>
      </c>
      <c r="AU522" s="65">
        <f t="shared" si="43"/>
        <v>222.43199999999999</v>
      </c>
      <c r="AV522" s="65">
        <f t="shared" si="44"/>
        <v>1615.992</v>
      </c>
      <c r="AW522" s="65">
        <f t="shared" si="45"/>
        <v>5870.0879999999997</v>
      </c>
      <c r="AX522" s="65">
        <f t="shared" si="45"/>
        <v>4786.5720000000001</v>
      </c>
      <c r="AY522" s="65">
        <f t="shared" si="41"/>
        <v>5492.424</v>
      </c>
      <c r="AZ522" s="19">
        <v>47773</v>
      </c>
      <c r="BA522" s="19">
        <v>46985</v>
      </c>
      <c r="BB522" s="19">
        <v>43858</v>
      </c>
      <c r="BC522" s="19">
        <v>3647</v>
      </c>
      <c r="BD522" s="19">
        <v>4921</v>
      </c>
      <c r="BE522" s="23">
        <v>34619.908000000003</v>
      </c>
      <c r="BF522" s="23">
        <v>153378.057</v>
      </c>
      <c r="BG522" s="23"/>
      <c r="BH522" s="23"/>
      <c r="BI522" s="67">
        <v>40.75</v>
      </c>
      <c r="BJ522" s="67">
        <v>1.25</v>
      </c>
      <c r="BK522" s="67">
        <v>1.19</v>
      </c>
      <c r="BL522" s="67">
        <v>1.48</v>
      </c>
      <c r="BM522" s="62"/>
      <c r="BN522" s="62"/>
      <c r="BO522" s="62"/>
      <c r="BP522" s="62"/>
      <c r="BQ522" s="62"/>
      <c r="BR522" s="62"/>
      <c r="BS522" s="62"/>
      <c r="BT522" s="62"/>
      <c r="BU522" s="62"/>
      <c r="BV522" s="62"/>
      <c r="BW522" s="62"/>
      <c r="BX522" s="62"/>
      <c r="BY522" s="62"/>
      <c r="BZ522" s="62"/>
      <c r="CA522" s="62"/>
      <c r="CB522" s="62"/>
      <c r="CC522" s="62"/>
      <c r="CD522" s="62"/>
      <c r="CE522" s="62"/>
      <c r="CF522" s="62"/>
      <c r="CG522" s="62"/>
      <c r="CH522" s="62"/>
      <c r="CI522" s="62"/>
      <c r="CJ522" s="62"/>
      <c r="CK522" s="62"/>
      <c r="CL522" s="62"/>
      <c r="CM522" s="62"/>
      <c r="CN522" s="62"/>
      <c r="CO522" s="62"/>
      <c r="CP522" s="62"/>
      <c r="CQ522" s="62"/>
      <c r="CR522" s="62"/>
      <c r="CS522" s="62"/>
      <c r="CT522" s="62"/>
      <c r="CU522" s="62"/>
      <c r="CV522" s="62"/>
      <c r="CW522" s="62"/>
      <c r="CX522" s="62"/>
      <c r="CY522" s="62"/>
      <c r="CZ522" s="62"/>
      <c r="DA522" s="62"/>
      <c r="DB522" s="62"/>
      <c r="DC522" s="62"/>
      <c r="DD522" s="62"/>
      <c r="DE522" s="62"/>
      <c r="DF522" s="62"/>
      <c r="DG522" s="62"/>
      <c r="DH522" s="62"/>
      <c r="DI522" s="62"/>
      <c r="DJ522" s="62"/>
      <c r="DK522" s="62"/>
      <c r="DL522" s="62"/>
    </row>
    <row r="523" spans="1:116" x14ac:dyDescent="0.2">
      <c r="A523" s="57">
        <v>42491</v>
      </c>
      <c r="B523" s="58">
        <v>2016</v>
      </c>
      <c r="C523" s="66">
        <v>17.507999999999999</v>
      </c>
      <c r="D523" s="62">
        <v>0.23799999999999999</v>
      </c>
      <c r="E523" s="62">
        <v>3222.4780000000001</v>
      </c>
      <c r="F523" s="62">
        <v>135.34399999999999</v>
      </c>
      <c r="G523" s="62">
        <v>17.268999999999998</v>
      </c>
      <c r="H523" s="62">
        <v>1117</v>
      </c>
      <c r="I523" s="62">
        <v>335.29599999999999</v>
      </c>
      <c r="J523" s="62">
        <v>781.70399999999995</v>
      </c>
      <c r="K523" s="62">
        <v>4090.7020000000002</v>
      </c>
      <c r="L523" s="62">
        <v>-267.702</v>
      </c>
      <c r="M523" s="62">
        <v>4271.884</v>
      </c>
      <c r="N523" s="62">
        <v>179.41900000000001</v>
      </c>
      <c r="O523" s="66">
        <v>22.893000000000001</v>
      </c>
      <c r="P523" s="61">
        <v>522.226</v>
      </c>
      <c r="Q523" s="62">
        <v>21.933</v>
      </c>
      <c r="R523" s="62">
        <v>2.8690000000000002</v>
      </c>
      <c r="S523" s="62">
        <v>275</v>
      </c>
      <c r="T523" s="62"/>
      <c r="U523" s="62">
        <v>774</v>
      </c>
      <c r="V523" s="62">
        <v>-153</v>
      </c>
      <c r="W523" s="62">
        <v>950.226</v>
      </c>
      <c r="X523" s="62">
        <v>39.908999999999999</v>
      </c>
      <c r="Y523" s="61">
        <v>5.2210000000000001</v>
      </c>
      <c r="Z523" s="63">
        <v>5.2210000000000001</v>
      </c>
      <c r="AA523" s="64" t="s">
        <v>116</v>
      </c>
      <c r="AB523" s="62" t="s">
        <v>116</v>
      </c>
      <c r="AC523" s="62">
        <v>43.530999999999999</v>
      </c>
      <c r="AD523" s="62">
        <v>1.8280000000000001</v>
      </c>
      <c r="AE523" s="62">
        <v>0.23300000000000001</v>
      </c>
      <c r="AF523" s="62" t="s">
        <v>140</v>
      </c>
      <c r="AG523" s="62">
        <v>11</v>
      </c>
      <c r="AH523" s="62">
        <v>0</v>
      </c>
      <c r="AI523" s="62">
        <v>43.530999999999999</v>
      </c>
      <c r="AJ523" s="62">
        <v>1.8280000000000001</v>
      </c>
      <c r="AK523" s="64">
        <v>0.23300000000000001</v>
      </c>
      <c r="AL523" s="19">
        <v>147573</v>
      </c>
      <c r="AM523" s="19">
        <v>115691</v>
      </c>
      <c r="AN523" s="23">
        <v>3817</v>
      </c>
      <c r="AO523" s="19">
        <v>154947</v>
      </c>
      <c r="AP523" s="19">
        <v>38286</v>
      </c>
      <c r="AQ523" s="19">
        <v>136888</v>
      </c>
      <c r="AR523" s="63"/>
      <c r="AS523" s="63"/>
      <c r="AT523" s="65">
        <f t="shared" si="42"/>
        <v>6507.7740000000003</v>
      </c>
      <c r="AU523" s="65">
        <f t="shared" si="43"/>
        <v>160.31399999999999</v>
      </c>
      <c r="AV523" s="65">
        <f t="shared" si="44"/>
        <v>1608.0119999999999</v>
      </c>
      <c r="AW523" s="65">
        <f t="shared" si="45"/>
        <v>6198.0659999999998</v>
      </c>
      <c r="AX523" s="65">
        <f t="shared" si="45"/>
        <v>4859.0219999999999</v>
      </c>
      <c r="AY523" s="65">
        <f t="shared" si="41"/>
        <v>5749.2960000000003</v>
      </c>
      <c r="AZ523" s="19">
        <v>49799</v>
      </c>
      <c r="BA523" s="19">
        <v>48914</v>
      </c>
      <c r="BB523" s="19">
        <v>44661</v>
      </c>
      <c r="BC523" s="19">
        <v>5629</v>
      </c>
      <c r="BD523" s="19">
        <v>5711</v>
      </c>
      <c r="BE523" s="23">
        <v>47262.074999999997</v>
      </c>
      <c r="BF523" s="23">
        <v>167149.03599999999</v>
      </c>
      <c r="BG523" s="23"/>
      <c r="BH523" s="23"/>
      <c r="BI523" s="67">
        <v>46.71</v>
      </c>
      <c r="BJ523" s="67">
        <v>1.43</v>
      </c>
      <c r="BK523" s="67">
        <v>1.34</v>
      </c>
      <c r="BL523" s="67">
        <v>1.61</v>
      </c>
      <c r="BM523" s="62"/>
      <c r="BN523" s="62"/>
      <c r="BO523" s="62"/>
      <c r="BP523" s="62"/>
      <c r="BQ523" s="62"/>
      <c r="BR523" s="62"/>
      <c r="BS523" s="62"/>
      <c r="BT523" s="62"/>
      <c r="BU523" s="62"/>
      <c r="BV523" s="62"/>
      <c r="BW523" s="62"/>
      <c r="BX523" s="62"/>
      <c r="BY523" s="62"/>
      <c r="BZ523" s="62"/>
      <c r="CA523" s="62"/>
      <c r="CB523" s="62"/>
      <c r="CC523" s="62"/>
      <c r="CD523" s="62"/>
      <c r="CE523" s="62"/>
      <c r="CF523" s="62"/>
      <c r="CG523" s="62"/>
      <c r="CH523" s="62"/>
      <c r="CI523" s="62"/>
      <c r="CJ523" s="62"/>
      <c r="CK523" s="62"/>
      <c r="CL523" s="62"/>
      <c r="CM523" s="62"/>
      <c r="CN523" s="62"/>
      <c r="CO523" s="62"/>
      <c r="CP523" s="62"/>
      <c r="CQ523" s="62"/>
      <c r="CR523" s="62"/>
      <c r="CS523" s="62"/>
      <c r="CT523" s="62"/>
      <c r="CU523" s="62"/>
      <c r="CV523" s="62"/>
      <c r="CW523" s="62"/>
      <c r="CX523" s="62"/>
      <c r="CY523" s="62"/>
      <c r="CZ523" s="62"/>
      <c r="DA523" s="62"/>
      <c r="DB523" s="62"/>
      <c r="DC523" s="62"/>
      <c r="DD523" s="62"/>
      <c r="DE523" s="62"/>
      <c r="DF523" s="62"/>
      <c r="DG523" s="62"/>
      <c r="DH523" s="62"/>
      <c r="DI523" s="62"/>
      <c r="DJ523" s="62"/>
      <c r="DK523" s="62"/>
      <c r="DL523" s="62"/>
    </row>
    <row r="524" spans="1:116" x14ac:dyDescent="0.2">
      <c r="A524" s="57">
        <v>42522</v>
      </c>
      <c r="B524" s="58">
        <v>2016</v>
      </c>
      <c r="C524" s="66">
        <v>17.414000000000001</v>
      </c>
      <c r="D524" s="62">
        <v>0.23699999999999999</v>
      </c>
      <c r="E524" s="62">
        <v>3205.2460000000001</v>
      </c>
      <c r="F524" s="62">
        <v>134.62</v>
      </c>
      <c r="G524" s="62">
        <v>17.177</v>
      </c>
      <c r="H524" s="62">
        <v>1630</v>
      </c>
      <c r="I524" s="62">
        <v>220.33600000000001</v>
      </c>
      <c r="J524" s="62">
        <v>1409.664</v>
      </c>
      <c r="K524" s="62">
        <v>4726.0039999999999</v>
      </c>
      <c r="L524" s="62">
        <v>635.30200000000002</v>
      </c>
      <c r="M524" s="62">
        <v>3979.6080000000002</v>
      </c>
      <c r="N524" s="62">
        <v>167.14400000000001</v>
      </c>
      <c r="O524" s="66">
        <v>21.327000000000002</v>
      </c>
      <c r="P524" s="61">
        <v>537.36500000000001</v>
      </c>
      <c r="Q524" s="62">
        <v>22.568999999999999</v>
      </c>
      <c r="R524" s="62">
        <v>2.952</v>
      </c>
      <c r="S524" s="62">
        <v>586</v>
      </c>
      <c r="T524" s="62"/>
      <c r="U524" s="62">
        <v>790</v>
      </c>
      <c r="V524" s="62">
        <v>16</v>
      </c>
      <c r="W524" s="62">
        <v>1107.365</v>
      </c>
      <c r="X524" s="62">
        <v>46.509</v>
      </c>
      <c r="Y524" s="61">
        <v>6.0839999999999996</v>
      </c>
      <c r="Z524" s="63">
        <v>6.0839999999999996</v>
      </c>
      <c r="AA524" s="64" t="s">
        <v>116</v>
      </c>
      <c r="AB524" s="62" t="s">
        <v>116</v>
      </c>
      <c r="AC524" s="62">
        <v>42.042000000000002</v>
      </c>
      <c r="AD524" s="62">
        <v>1.766</v>
      </c>
      <c r="AE524" s="62">
        <v>0.22500000000000001</v>
      </c>
      <c r="AF524" s="62" t="s">
        <v>140</v>
      </c>
      <c r="AG524" s="62">
        <v>36</v>
      </c>
      <c r="AH524" s="62">
        <v>25</v>
      </c>
      <c r="AI524" s="62">
        <v>17.042000000000002</v>
      </c>
      <c r="AJ524" s="62">
        <v>0.71599999999999997</v>
      </c>
      <c r="AK524" s="64">
        <v>9.0999999999999998E-2</v>
      </c>
      <c r="AL524" s="19">
        <v>148608</v>
      </c>
      <c r="AM524" s="19">
        <v>115582</v>
      </c>
      <c r="AN524" s="23">
        <v>2651</v>
      </c>
      <c r="AO524" s="19">
        <v>149767</v>
      </c>
      <c r="AP524" s="19">
        <v>43295</v>
      </c>
      <c r="AQ524" s="19">
        <v>138815</v>
      </c>
      <c r="AR524" s="63"/>
      <c r="AS524" s="63"/>
      <c r="AT524" s="65">
        <f t="shared" si="42"/>
        <v>6290.2139999999999</v>
      </c>
      <c r="AU524" s="65">
        <f t="shared" si="43"/>
        <v>111.342</v>
      </c>
      <c r="AV524" s="65">
        <f t="shared" si="44"/>
        <v>1818.39</v>
      </c>
      <c r="AW524" s="65">
        <f t="shared" si="45"/>
        <v>6241.5360000000001</v>
      </c>
      <c r="AX524" s="65">
        <f t="shared" si="45"/>
        <v>4854.4440000000004</v>
      </c>
      <c r="AY524" s="65">
        <f t="shared" si="41"/>
        <v>5830.23</v>
      </c>
      <c r="AZ524" s="19">
        <v>49855</v>
      </c>
      <c r="BA524" s="19">
        <v>51680</v>
      </c>
      <c r="BB524" s="19">
        <v>40660</v>
      </c>
      <c r="BC524" s="19">
        <v>3974</v>
      </c>
      <c r="BD524" s="19">
        <v>6150</v>
      </c>
      <c r="BE524" s="23">
        <v>31054.972000000002</v>
      </c>
      <c r="BF524" s="23">
        <v>216712.21</v>
      </c>
      <c r="BG524" s="23"/>
      <c r="BH524" s="23"/>
      <c r="BI524" s="67">
        <v>48.76</v>
      </c>
      <c r="BJ524" s="67">
        <v>1.53</v>
      </c>
      <c r="BK524" s="67">
        <v>1.46</v>
      </c>
      <c r="BL524" s="67">
        <v>1.64</v>
      </c>
      <c r="BM524" s="62"/>
      <c r="BN524" s="62"/>
      <c r="BO524" s="62"/>
      <c r="BP524" s="62"/>
      <c r="BQ524" s="62"/>
      <c r="BR524" s="62"/>
      <c r="BS524" s="62"/>
      <c r="BT524" s="62"/>
      <c r="BU524" s="62"/>
      <c r="BV524" s="62"/>
      <c r="BW524" s="62"/>
      <c r="BX524" s="62"/>
      <c r="BY524" s="62"/>
      <c r="BZ524" s="62"/>
      <c r="CA524" s="62"/>
      <c r="CB524" s="62"/>
      <c r="CC524" s="62"/>
      <c r="CD524" s="62"/>
      <c r="CE524" s="62"/>
      <c r="CF524" s="62"/>
      <c r="CG524" s="62"/>
      <c r="CH524" s="62"/>
      <c r="CI524" s="62"/>
      <c r="CJ524" s="62"/>
      <c r="CK524" s="62"/>
      <c r="CL524" s="62"/>
      <c r="CM524" s="62"/>
      <c r="CN524" s="62"/>
      <c r="CO524" s="62"/>
      <c r="CP524" s="62"/>
      <c r="CQ524" s="62"/>
      <c r="CR524" s="62"/>
      <c r="CS524" s="62"/>
      <c r="CT524" s="62"/>
      <c r="CU524" s="62"/>
      <c r="CV524" s="62"/>
      <c r="CW524" s="62"/>
      <c r="CX524" s="62"/>
      <c r="CY524" s="62"/>
      <c r="CZ524" s="62"/>
      <c r="DA524" s="62"/>
      <c r="DB524" s="62"/>
      <c r="DC524" s="62"/>
      <c r="DD524" s="62"/>
      <c r="DE524" s="62"/>
      <c r="DF524" s="62"/>
      <c r="DG524" s="62"/>
      <c r="DH524" s="62"/>
      <c r="DI524" s="62"/>
      <c r="DJ524" s="62"/>
      <c r="DK524" s="62"/>
      <c r="DL524" s="62"/>
    </row>
    <row r="525" spans="1:116" x14ac:dyDescent="0.2">
      <c r="A525" s="57">
        <v>42552</v>
      </c>
      <c r="B525" s="58">
        <v>2016</v>
      </c>
      <c r="C525" s="66">
        <v>18.094999999999999</v>
      </c>
      <c r="D525" s="62">
        <v>0.246</v>
      </c>
      <c r="E525" s="62">
        <v>3330.636</v>
      </c>
      <c r="F525" s="62">
        <v>139.887</v>
      </c>
      <c r="G525" s="62">
        <v>17.849</v>
      </c>
      <c r="H525" s="62">
        <v>1681</v>
      </c>
      <c r="I525" s="62">
        <v>249.68</v>
      </c>
      <c r="J525" s="62">
        <v>1431.32</v>
      </c>
      <c r="K525" s="62">
        <v>4442.527</v>
      </c>
      <c r="L525" s="62">
        <v>-283.476</v>
      </c>
      <c r="M525" s="62">
        <v>5045.4319999999998</v>
      </c>
      <c r="N525" s="62">
        <v>211.90799999999999</v>
      </c>
      <c r="O525" s="66">
        <v>27.038</v>
      </c>
      <c r="P525" s="61">
        <v>464.762</v>
      </c>
      <c r="Q525" s="62">
        <v>19.52</v>
      </c>
      <c r="R525" s="62">
        <v>2.5529999999999999</v>
      </c>
      <c r="S525" s="62">
        <v>419</v>
      </c>
      <c r="T525" s="62"/>
      <c r="U525" s="62">
        <v>931</v>
      </c>
      <c r="V525" s="62">
        <v>141</v>
      </c>
      <c r="W525" s="62">
        <v>742.76199999999994</v>
      </c>
      <c r="X525" s="62">
        <v>31.196000000000002</v>
      </c>
      <c r="Y525" s="61">
        <v>4.0810000000000004</v>
      </c>
      <c r="Z525" s="63">
        <v>4.0810000000000004</v>
      </c>
      <c r="AA525" s="64" t="s">
        <v>116</v>
      </c>
      <c r="AB525" s="62" t="s">
        <v>116</v>
      </c>
      <c r="AC525" s="62">
        <v>39.112000000000002</v>
      </c>
      <c r="AD525" s="62">
        <v>1.643</v>
      </c>
      <c r="AE525" s="62">
        <v>0.21</v>
      </c>
      <c r="AF525" s="62" t="s">
        <v>140</v>
      </c>
      <c r="AG525" s="62">
        <v>32</v>
      </c>
      <c r="AH525" s="62">
        <v>-4</v>
      </c>
      <c r="AI525" s="62">
        <v>43.112000000000002</v>
      </c>
      <c r="AJ525" s="62">
        <v>1.8109999999999999</v>
      </c>
      <c r="AK525" s="64">
        <v>0.23100000000000001</v>
      </c>
      <c r="AL525" s="19">
        <v>152936</v>
      </c>
      <c r="AM525" s="19">
        <v>111519</v>
      </c>
      <c r="AN525" s="23">
        <v>3803</v>
      </c>
      <c r="AO525" s="19">
        <v>156507</v>
      </c>
      <c r="AP525" s="19">
        <v>41950</v>
      </c>
      <c r="AQ525" s="19">
        <v>143637</v>
      </c>
      <c r="AR525" s="63"/>
      <c r="AS525" s="63"/>
      <c r="AT525" s="65">
        <f t="shared" si="42"/>
        <v>6573.2939999999999</v>
      </c>
      <c r="AU525" s="65">
        <f t="shared" si="43"/>
        <v>159.726</v>
      </c>
      <c r="AV525" s="65">
        <f t="shared" si="44"/>
        <v>1761.9</v>
      </c>
      <c r="AW525" s="65">
        <f t="shared" si="45"/>
        <v>6423.3119999999999</v>
      </c>
      <c r="AX525" s="65">
        <f t="shared" si="45"/>
        <v>4683.7979999999998</v>
      </c>
      <c r="AY525" s="65">
        <f t="shared" si="41"/>
        <v>6032.7539999999999</v>
      </c>
      <c r="AZ525" s="19">
        <v>53833</v>
      </c>
      <c r="BA525" s="19">
        <v>53320</v>
      </c>
      <c r="BB525" s="19">
        <v>42113</v>
      </c>
      <c r="BC525" s="19">
        <v>5388</v>
      </c>
      <c r="BD525" s="19">
        <v>4448</v>
      </c>
      <c r="BE525" s="23">
        <v>36231.224999999999</v>
      </c>
      <c r="BF525" s="23">
        <v>237318.56700000001</v>
      </c>
      <c r="BG525" s="23"/>
      <c r="BH525" s="23"/>
      <c r="BI525" s="67">
        <v>44.65</v>
      </c>
      <c r="BJ525" s="67">
        <v>1.43</v>
      </c>
      <c r="BK525" s="67">
        <v>1.39</v>
      </c>
      <c r="BL525" s="67">
        <v>1.49</v>
      </c>
      <c r="BM525" s="62"/>
      <c r="BN525" s="62"/>
      <c r="BO525" s="62"/>
      <c r="BP525" s="62"/>
      <c r="BQ525" s="62"/>
      <c r="BR525" s="62"/>
      <c r="BS525" s="62"/>
      <c r="BT525" s="62"/>
      <c r="BU525" s="62"/>
      <c r="BV525" s="62"/>
      <c r="BW525" s="62"/>
      <c r="BX525" s="62"/>
      <c r="BY525" s="62"/>
      <c r="BZ525" s="62"/>
      <c r="CA525" s="62"/>
      <c r="CB525" s="62"/>
      <c r="CC525" s="62"/>
      <c r="CD525" s="62"/>
      <c r="CE525" s="62"/>
      <c r="CF525" s="62"/>
      <c r="CG525" s="62"/>
      <c r="CH525" s="62"/>
      <c r="CI525" s="62"/>
      <c r="CJ525" s="62"/>
      <c r="CK525" s="62"/>
      <c r="CL525" s="62"/>
      <c r="CM525" s="62"/>
      <c r="CN525" s="62"/>
      <c r="CO525" s="62"/>
      <c r="CP525" s="62"/>
      <c r="CQ525" s="62"/>
      <c r="CR525" s="62"/>
      <c r="CS525" s="62"/>
      <c r="CT525" s="62"/>
      <c r="CU525" s="62"/>
      <c r="CV525" s="62"/>
      <c r="CW525" s="62"/>
      <c r="CX525" s="62"/>
      <c r="CY525" s="62"/>
      <c r="CZ525" s="62"/>
      <c r="DA525" s="62"/>
      <c r="DB525" s="62"/>
      <c r="DC525" s="62"/>
      <c r="DD525" s="62"/>
      <c r="DE525" s="62"/>
      <c r="DF525" s="62"/>
      <c r="DG525" s="62"/>
      <c r="DH525" s="62"/>
      <c r="DI525" s="62"/>
      <c r="DJ525" s="62"/>
      <c r="DK525" s="62"/>
      <c r="DL525" s="62"/>
    </row>
    <row r="526" spans="1:116" x14ac:dyDescent="0.2">
      <c r="A526" s="57">
        <v>42583</v>
      </c>
      <c r="B526" s="58">
        <v>2016</v>
      </c>
      <c r="C526" s="66">
        <v>18.391999999999999</v>
      </c>
      <c r="D526" s="62">
        <v>0.251</v>
      </c>
      <c r="E526" s="62">
        <v>3385.1640000000002</v>
      </c>
      <c r="F526" s="62">
        <v>142.17699999999999</v>
      </c>
      <c r="G526" s="62">
        <v>18.140999999999998</v>
      </c>
      <c r="H526" s="62">
        <v>1873</v>
      </c>
      <c r="I526" s="62">
        <v>234.697</v>
      </c>
      <c r="J526" s="62">
        <v>1638.3030000000001</v>
      </c>
      <c r="K526" s="62">
        <v>4265.1729999999998</v>
      </c>
      <c r="L526" s="62">
        <v>-177.35400000000001</v>
      </c>
      <c r="M526" s="62">
        <v>5200.8209999999999</v>
      </c>
      <c r="N526" s="62">
        <v>218.434</v>
      </c>
      <c r="O526" s="66">
        <v>27.870999999999999</v>
      </c>
      <c r="P526" s="61">
        <v>590.47500000000002</v>
      </c>
      <c r="Q526" s="62">
        <v>24.8</v>
      </c>
      <c r="R526" s="62">
        <v>3.2440000000000002</v>
      </c>
      <c r="S526" s="62">
        <v>555</v>
      </c>
      <c r="T526" s="62"/>
      <c r="U526" s="62">
        <v>1129</v>
      </c>
      <c r="V526" s="62">
        <v>198</v>
      </c>
      <c r="W526" s="62">
        <v>947.47500000000002</v>
      </c>
      <c r="X526" s="62">
        <v>39.793999999999997</v>
      </c>
      <c r="Y526" s="61">
        <v>5.2050000000000001</v>
      </c>
      <c r="Z526" s="63">
        <v>5.2050000000000001</v>
      </c>
      <c r="AA526" s="64" t="s">
        <v>116</v>
      </c>
      <c r="AB526" s="62" t="s">
        <v>116</v>
      </c>
      <c r="AC526" s="62">
        <v>50.502000000000002</v>
      </c>
      <c r="AD526" s="62">
        <v>2.121</v>
      </c>
      <c r="AE526" s="62">
        <v>0.27100000000000002</v>
      </c>
      <c r="AF526" s="62" t="s">
        <v>140</v>
      </c>
      <c r="AG526" s="62">
        <v>38</v>
      </c>
      <c r="AH526" s="62">
        <v>6</v>
      </c>
      <c r="AI526" s="62">
        <v>44.502000000000002</v>
      </c>
      <c r="AJ526" s="62">
        <v>1.869</v>
      </c>
      <c r="AK526" s="64">
        <v>0.23799999999999999</v>
      </c>
      <c r="AL526" s="19">
        <v>153115</v>
      </c>
      <c r="AM526" s="19">
        <v>120291</v>
      </c>
      <c r="AN526" s="23">
        <v>5072</v>
      </c>
      <c r="AO526" s="19">
        <v>160338</v>
      </c>
      <c r="AP526" s="19">
        <v>37557</v>
      </c>
      <c r="AQ526" s="19">
        <v>143590</v>
      </c>
      <c r="AR526" s="63"/>
      <c r="AS526" s="63"/>
      <c r="AT526" s="65">
        <f t="shared" si="42"/>
        <v>6734.1959999999999</v>
      </c>
      <c r="AU526" s="65">
        <f t="shared" si="43"/>
        <v>213.024</v>
      </c>
      <c r="AV526" s="65">
        <f t="shared" si="44"/>
        <v>1577.394</v>
      </c>
      <c r="AW526" s="65">
        <f t="shared" si="45"/>
        <v>6430.83</v>
      </c>
      <c r="AX526" s="65">
        <f t="shared" si="45"/>
        <v>5052.2219999999998</v>
      </c>
      <c r="AY526" s="65">
        <f t="shared" si="41"/>
        <v>6030.78</v>
      </c>
      <c r="AZ526" s="19">
        <v>55670</v>
      </c>
      <c r="BA526" s="19">
        <v>53373</v>
      </c>
      <c r="BB526" s="19">
        <v>42769</v>
      </c>
      <c r="BC526" s="19">
        <v>4545</v>
      </c>
      <c r="BD526" s="19">
        <v>6186</v>
      </c>
      <c r="BE526" s="23">
        <v>34940.226000000002</v>
      </c>
      <c r="BF526" s="23">
        <v>258289.14199999999</v>
      </c>
      <c r="BG526" s="23"/>
      <c r="BH526" s="23"/>
      <c r="BI526" s="67">
        <v>44.72</v>
      </c>
      <c r="BJ526" s="67">
        <v>1.44</v>
      </c>
      <c r="BK526" s="67">
        <v>1.33</v>
      </c>
      <c r="BL526" s="67">
        <v>1.51</v>
      </c>
      <c r="BM526" s="62"/>
      <c r="BN526" s="62"/>
      <c r="BO526" s="62"/>
      <c r="BP526" s="62"/>
      <c r="BQ526" s="62"/>
      <c r="BR526" s="62"/>
      <c r="BS526" s="62"/>
      <c r="BT526" s="62"/>
      <c r="BU526" s="62"/>
      <c r="BV526" s="62"/>
      <c r="BW526" s="62"/>
      <c r="BX526" s="62"/>
      <c r="BY526" s="62"/>
      <c r="BZ526" s="62"/>
      <c r="CA526" s="62"/>
      <c r="CB526" s="62"/>
      <c r="CC526" s="62"/>
      <c r="CD526" s="62"/>
      <c r="CE526" s="62"/>
      <c r="CF526" s="62"/>
      <c r="CG526" s="62"/>
      <c r="CH526" s="62"/>
      <c r="CI526" s="62"/>
      <c r="CJ526" s="62"/>
      <c r="CK526" s="62"/>
      <c r="CL526" s="62"/>
      <c r="CM526" s="62"/>
      <c r="CN526" s="62"/>
      <c r="CO526" s="62"/>
      <c r="CP526" s="62"/>
      <c r="CQ526" s="62"/>
      <c r="CR526" s="62"/>
      <c r="CS526" s="62"/>
      <c r="CT526" s="62"/>
      <c r="CU526" s="62"/>
      <c r="CV526" s="62"/>
      <c r="CW526" s="62"/>
      <c r="CX526" s="62"/>
      <c r="CY526" s="62"/>
      <c r="CZ526" s="62"/>
      <c r="DA526" s="62"/>
      <c r="DB526" s="62"/>
      <c r="DC526" s="62"/>
      <c r="DD526" s="62"/>
      <c r="DE526" s="62"/>
      <c r="DF526" s="62"/>
      <c r="DG526" s="62"/>
      <c r="DH526" s="62"/>
      <c r="DI526" s="62"/>
      <c r="DJ526" s="62"/>
      <c r="DK526" s="62"/>
      <c r="DL526" s="62"/>
    </row>
    <row r="527" spans="1:116" x14ac:dyDescent="0.2">
      <c r="A527" s="57">
        <v>42614</v>
      </c>
      <c r="B527" s="58">
        <v>2016</v>
      </c>
      <c r="C527" s="66">
        <v>17.420000000000002</v>
      </c>
      <c r="D527" s="62">
        <v>0.23699999999999999</v>
      </c>
      <c r="E527" s="62">
        <v>3206.364</v>
      </c>
      <c r="F527" s="62">
        <v>134.667</v>
      </c>
      <c r="G527" s="62">
        <v>17.183</v>
      </c>
      <c r="H527" s="62">
        <v>1835</v>
      </c>
      <c r="I527" s="62">
        <v>150.148</v>
      </c>
      <c r="J527" s="62">
        <v>1684.8520000000001</v>
      </c>
      <c r="K527" s="62">
        <v>4226.9129999999996</v>
      </c>
      <c r="L527" s="62">
        <v>-38.261000000000003</v>
      </c>
      <c r="M527" s="62">
        <v>4929.4769999999999</v>
      </c>
      <c r="N527" s="62">
        <v>207.03800000000001</v>
      </c>
      <c r="O527" s="66">
        <v>26.417000000000002</v>
      </c>
      <c r="P527" s="61">
        <v>457.51</v>
      </c>
      <c r="Q527" s="62">
        <v>19.215</v>
      </c>
      <c r="R527" s="62">
        <v>2.5139999999999998</v>
      </c>
      <c r="S527" s="62">
        <v>411</v>
      </c>
      <c r="T527" s="62"/>
      <c r="U527" s="62">
        <v>888</v>
      </c>
      <c r="V527" s="62">
        <v>-241</v>
      </c>
      <c r="W527" s="62">
        <v>1109.51</v>
      </c>
      <c r="X527" s="62">
        <v>46.598999999999997</v>
      </c>
      <c r="Y527" s="61">
        <v>6.0960000000000001</v>
      </c>
      <c r="Z527" s="63">
        <v>6.0960000000000001</v>
      </c>
      <c r="AA527" s="64" t="s">
        <v>116</v>
      </c>
      <c r="AB527" s="62" t="s">
        <v>116</v>
      </c>
      <c r="AC527" s="62">
        <v>45.273000000000003</v>
      </c>
      <c r="AD527" s="62">
        <v>1.901</v>
      </c>
      <c r="AE527" s="62">
        <v>0.24299999999999999</v>
      </c>
      <c r="AF527" s="62" t="s">
        <v>140</v>
      </c>
      <c r="AG527" s="62">
        <v>50</v>
      </c>
      <c r="AH527" s="62">
        <v>12</v>
      </c>
      <c r="AI527" s="62">
        <v>33.273000000000003</v>
      </c>
      <c r="AJ527" s="62">
        <v>1.397</v>
      </c>
      <c r="AK527" s="64">
        <v>0.17799999999999999</v>
      </c>
      <c r="AL527" s="19">
        <v>146644</v>
      </c>
      <c r="AM527" s="19">
        <v>117361</v>
      </c>
      <c r="AN527" s="23">
        <v>4504</v>
      </c>
      <c r="AO527" s="19">
        <v>161051</v>
      </c>
      <c r="AP527" s="19">
        <v>36340</v>
      </c>
      <c r="AQ527" s="19">
        <v>136426</v>
      </c>
      <c r="AR527" s="63"/>
      <c r="AS527" s="63"/>
      <c r="AT527" s="65">
        <f t="shared" si="42"/>
        <v>6764.1419999999998</v>
      </c>
      <c r="AU527" s="65">
        <f t="shared" si="43"/>
        <v>189.16800000000001</v>
      </c>
      <c r="AV527" s="65">
        <f t="shared" si="44"/>
        <v>1526.28</v>
      </c>
      <c r="AW527" s="65">
        <f t="shared" si="45"/>
        <v>6159.0479999999998</v>
      </c>
      <c r="AX527" s="65">
        <f t="shared" si="45"/>
        <v>4929.1620000000003</v>
      </c>
      <c r="AY527" s="65">
        <f t="shared" si="41"/>
        <v>5729.8919999999998</v>
      </c>
      <c r="AZ527" s="19">
        <v>52138</v>
      </c>
      <c r="BA527" s="19">
        <v>49057</v>
      </c>
      <c r="BB527" s="19">
        <v>44891</v>
      </c>
      <c r="BC527" s="19">
        <v>4159</v>
      </c>
      <c r="BD527" s="19">
        <v>5118</v>
      </c>
      <c r="BE527" s="23">
        <v>21168.18</v>
      </c>
      <c r="BF527" s="23">
        <v>249446.36799999999</v>
      </c>
      <c r="BG527" s="23"/>
      <c r="BH527" s="23"/>
      <c r="BI527" s="67">
        <v>45.18</v>
      </c>
      <c r="BJ527" s="67">
        <v>1.47</v>
      </c>
      <c r="BK527" s="67">
        <v>1.39</v>
      </c>
      <c r="BL527" s="67">
        <v>1.51</v>
      </c>
      <c r="BM527" s="62"/>
      <c r="BN527" s="62"/>
      <c r="BO527" s="62"/>
      <c r="BP527" s="62"/>
      <c r="BQ527" s="62"/>
      <c r="BR527" s="62"/>
      <c r="BS527" s="62"/>
      <c r="BT527" s="62"/>
      <c r="BU527" s="62"/>
      <c r="BV527" s="62"/>
      <c r="BW527" s="62"/>
      <c r="BX527" s="62"/>
      <c r="BY527" s="62"/>
      <c r="BZ527" s="62"/>
      <c r="CA527" s="62"/>
      <c r="CB527" s="62"/>
      <c r="CC527" s="62"/>
      <c r="CD527" s="62"/>
      <c r="CE527" s="62"/>
      <c r="CF527" s="62"/>
      <c r="CG527" s="62"/>
      <c r="CH527" s="62"/>
      <c r="CI527" s="62"/>
      <c r="CJ527" s="62"/>
      <c r="CK527" s="62"/>
      <c r="CL527" s="62"/>
      <c r="CM527" s="62"/>
      <c r="CN527" s="62"/>
      <c r="CO527" s="62"/>
      <c r="CP527" s="62"/>
      <c r="CQ527" s="62"/>
      <c r="CR527" s="62"/>
      <c r="CS527" s="62"/>
      <c r="CT527" s="62"/>
      <c r="CU527" s="62"/>
      <c r="CV527" s="62"/>
      <c r="CW527" s="62"/>
      <c r="CX527" s="62"/>
      <c r="CY527" s="62"/>
      <c r="CZ527" s="62"/>
      <c r="DA527" s="62"/>
      <c r="DB527" s="62"/>
      <c r="DC527" s="62"/>
      <c r="DD527" s="62"/>
      <c r="DE527" s="62"/>
      <c r="DF527" s="62"/>
      <c r="DG527" s="62"/>
      <c r="DH527" s="62"/>
      <c r="DI527" s="62"/>
      <c r="DJ527" s="62"/>
      <c r="DK527" s="62"/>
      <c r="DL527" s="62"/>
    </row>
    <row r="528" spans="1:116" x14ac:dyDescent="0.2">
      <c r="A528" s="57">
        <v>42644</v>
      </c>
      <c r="B528" s="58">
        <v>2016</v>
      </c>
      <c r="C528" s="66">
        <v>18.652000000000001</v>
      </c>
      <c r="D528" s="62">
        <v>0.254</v>
      </c>
      <c r="E528" s="62">
        <v>3433.134</v>
      </c>
      <c r="F528" s="62">
        <v>144.19200000000001</v>
      </c>
      <c r="G528" s="62">
        <v>18.398</v>
      </c>
      <c r="H528" s="62">
        <v>1822</v>
      </c>
      <c r="I528" s="62">
        <v>113.901</v>
      </c>
      <c r="J528" s="62">
        <v>1708.0989999999999</v>
      </c>
      <c r="K528" s="62">
        <v>4689.8720000000003</v>
      </c>
      <c r="L528" s="62">
        <v>462.959</v>
      </c>
      <c r="M528" s="62">
        <v>4678.2740000000003</v>
      </c>
      <c r="N528" s="62">
        <v>196.488</v>
      </c>
      <c r="O528" s="66">
        <v>25.071000000000002</v>
      </c>
      <c r="P528" s="61">
        <v>491.423</v>
      </c>
      <c r="Q528" s="62">
        <v>20.64</v>
      </c>
      <c r="R528" s="62">
        <v>2.7</v>
      </c>
      <c r="S528" s="62">
        <v>554</v>
      </c>
      <c r="T528" s="62"/>
      <c r="U528" s="62">
        <v>1013</v>
      </c>
      <c r="V528" s="62">
        <v>125</v>
      </c>
      <c r="W528" s="62">
        <v>920.423</v>
      </c>
      <c r="X528" s="62">
        <v>38.658000000000001</v>
      </c>
      <c r="Y528" s="61">
        <v>5.0570000000000004</v>
      </c>
      <c r="Z528" s="63">
        <v>5.0570000000000004</v>
      </c>
      <c r="AA528" s="64" t="s">
        <v>116</v>
      </c>
      <c r="AB528" s="62" t="s">
        <v>116</v>
      </c>
      <c r="AC528" s="62">
        <v>45.518000000000001</v>
      </c>
      <c r="AD528" s="62">
        <v>1.9119999999999999</v>
      </c>
      <c r="AE528" s="62">
        <v>0.24399999999999999</v>
      </c>
      <c r="AF528" s="62" t="s">
        <v>140</v>
      </c>
      <c r="AG528" s="62">
        <v>36</v>
      </c>
      <c r="AH528" s="62">
        <v>-14</v>
      </c>
      <c r="AI528" s="62">
        <v>59.518000000000001</v>
      </c>
      <c r="AJ528" s="62">
        <v>2.5</v>
      </c>
      <c r="AK528" s="64">
        <v>0.31900000000000001</v>
      </c>
      <c r="AL528" s="19">
        <v>143038</v>
      </c>
      <c r="AM528" s="19">
        <v>123576</v>
      </c>
      <c r="AN528" s="23">
        <v>2319</v>
      </c>
      <c r="AO528" s="19">
        <v>154715</v>
      </c>
      <c r="AP528" s="19">
        <v>31139</v>
      </c>
      <c r="AQ528" s="19">
        <v>130701</v>
      </c>
      <c r="AR528" s="63"/>
      <c r="AS528" s="63"/>
      <c r="AT528" s="65">
        <f t="shared" si="42"/>
        <v>6498.03</v>
      </c>
      <c r="AU528" s="65">
        <f t="shared" si="43"/>
        <v>97.397999999999996</v>
      </c>
      <c r="AV528" s="65">
        <f t="shared" si="44"/>
        <v>1307.838</v>
      </c>
      <c r="AW528" s="65">
        <f t="shared" si="45"/>
        <v>6007.5959999999995</v>
      </c>
      <c r="AX528" s="65">
        <f t="shared" si="45"/>
        <v>5190.192</v>
      </c>
      <c r="AY528" s="65">
        <f t="shared" si="41"/>
        <v>5489.442</v>
      </c>
      <c r="AZ528" s="19">
        <v>49326</v>
      </c>
      <c r="BA528" s="19">
        <v>49896</v>
      </c>
      <c r="BB528" s="19">
        <v>44860</v>
      </c>
      <c r="BC528" s="19">
        <v>4788</v>
      </c>
      <c r="BD528" s="19">
        <v>4249</v>
      </c>
      <c r="BE528" s="23">
        <v>15982.347</v>
      </c>
      <c r="BF528" s="23">
        <v>254298.74</v>
      </c>
      <c r="BG528" s="23"/>
      <c r="BH528" s="23"/>
      <c r="BI528" s="67">
        <v>49.77</v>
      </c>
      <c r="BJ528" s="67">
        <v>1.59</v>
      </c>
      <c r="BK528" s="67">
        <v>1.51</v>
      </c>
      <c r="BL528" s="67">
        <v>1.57</v>
      </c>
      <c r="BM528" s="62"/>
      <c r="BN528" s="62"/>
      <c r="BO528" s="62"/>
      <c r="BP528" s="62"/>
      <c r="BQ528" s="62"/>
      <c r="BR528" s="62"/>
      <c r="BS528" s="62"/>
      <c r="BT528" s="62"/>
      <c r="BU528" s="62"/>
      <c r="BV528" s="62"/>
      <c r="BW528" s="62"/>
      <c r="BX528" s="62"/>
      <c r="BY528" s="62"/>
      <c r="BZ528" s="62"/>
      <c r="CA528" s="62"/>
      <c r="CB528" s="62"/>
      <c r="CC528" s="62"/>
      <c r="CD528" s="62"/>
      <c r="CE528" s="62"/>
      <c r="CF528" s="62"/>
      <c r="CG528" s="62"/>
      <c r="CH528" s="62"/>
      <c r="CI528" s="62"/>
      <c r="CJ528" s="62"/>
      <c r="CK528" s="62"/>
      <c r="CL528" s="62"/>
      <c r="CM528" s="62"/>
      <c r="CN528" s="62"/>
      <c r="CO528" s="62"/>
      <c r="CP528" s="62"/>
      <c r="CQ528" s="62"/>
      <c r="CR528" s="62"/>
      <c r="CS528" s="62"/>
      <c r="CT528" s="62"/>
      <c r="CU528" s="62"/>
      <c r="CV528" s="62"/>
      <c r="CW528" s="62"/>
      <c r="CX528" s="62"/>
      <c r="CY528" s="62"/>
      <c r="CZ528" s="62"/>
      <c r="DA528" s="62"/>
      <c r="DB528" s="62"/>
      <c r="DC528" s="62"/>
      <c r="DD528" s="62"/>
      <c r="DE528" s="62"/>
      <c r="DF528" s="62"/>
      <c r="DG528" s="62"/>
      <c r="DH528" s="62"/>
      <c r="DI528" s="62"/>
      <c r="DJ528" s="62"/>
      <c r="DK528" s="62"/>
      <c r="DL528" s="62"/>
    </row>
    <row r="529" spans="1:116" x14ac:dyDescent="0.2">
      <c r="A529" s="57">
        <v>42675</v>
      </c>
      <c r="B529" s="58">
        <v>2016</v>
      </c>
      <c r="C529" s="66">
        <v>18.518000000000001</v>
      </c>
      <c r="D529" s="62">
        <v>0.252</v>
      </c>
      <c r="E529" s="62">
        <v>3408.3780000000002</v>
      </c>
      <c r="F529" s="62">
        <v>143.15199999999999</v>
      </c>
      <c r="G529" s="62">
        <v>18.265000000000001</v>
      </c>
      <c r="H529" s="62">
        <v>2184</v>
      </c>
      <c r="I529" s="62">
        <v>143.053</v>
      </c>
      <c r="J529" s="62">
        <v>2040.9469999999999</v>
      </c>
      <c r="K529" s="62">
        <v>5314.2420000000002</v>
      </c>
      <c r="L529" s="62">
        <v>624.37</v>
      </c>
      <c r="M529" s="62">
        <v>4824.9549999999999</v>
      </c>
      <c r="N529" s="62">
        <v>202.648</v>
      </c>
      <c r="O529" s="66">
        <v>25.856999999999999</v>
      </c>
      <c r="P529" s="61">
        <v>651.45799999999997</v>
      </c>
      <c r="Q529" s="62">
        <v>27.361000000000001</v>
      </c>
      <c r="R529" s="62">
        <v>3.5790000000000002</v>
      </c>
      <c r="S529" s="62">
        <v>511</v>
      </c>
      <c r="T529" s="62"/>
      <c r="U529" s="62">
        <v>914</v>
      </c>
      <c r="V529" s="62">
        <v>-99</v>
      </c>
      <c r="W529" s="62">
        <v>1261.4580000000001</v>
      </c>
      <c r="X529" s="62">
        <v>52.981000000000002</v>
      </c>
      <c r="Y529" s="61">
        <v>6.93</v>
      </c>
      <c r="Z529" s="63">
        <v>6.93</v>
      </c>
      <c r="AA529" s="64" t="s">
        <v>116</v>
      </c>
      <c r="AB529" s="62" t="s">
        <v>116</v>
      </c>
      <c r="AC529" s="62">
        <v>50.917000000000002</v>
      </c>
      <c r="AD529" s="62">
        <v>2.1389999999999998</v>
      </c>
      <c r="AE529" s="62">
        <v>0.27300000000000002</v>
      </c>
      <c r="AF529" s="62" t="s">
        <v>140</v>
      </c>
      <c r="AG529" s="62">
        <v>34</v>
      </c>
      <c r="AH529" s="62">
        <v>-2</v>
      </c>
      <c r="AI529" s="62">
        <v>52.917000000000002</v>
      </c>
      <c r="AJ529" s="62">
        <v>2.2229999999999999</v>
      </c>
      <c r="AK529" s="64">
        <v>0.28399999999999997</v>
      </c>
      <c r="AL529" s="19">
        <v>151979</v>
      </c>
      <c r="AM529" s="19">
        <v>118152</v>
      </c>
      <c r="AN529" s="23">
        <v>4336</v>
      </c>
      <c r="AO529" s="19">
        <v>161278</v>
      </c>
      <c r="AP529" s="19">
        <v>34937</v>
      </c>
      <c r="AQ529" s="19">
        <v>140930</v>
      </c>
      <c r="AR529" s="63"/>
      <c r="AS529" s="63"/>
      <c r="AT529" s="65">
        <f t="shared" si="42"/>
        <v>6773.6760000000004</v>
      </c>
      <c r="AU529" s="65">
        <f t="shared" si="43"/>
        <v>182.11199999999999</v>
      </c>
      <c r="AV529" s="65">
        <f t="shared" si="44"/>
        <v>1467.354</v>
      </c>
      <c r="AW529" s="65">
        <f t="shared" si="45"/>
        <v>6383.1180000000004</v>
      </c>
      <c r="AX529" s="65">
        <f t="shared" si="45"/>
        <v>4962.384</v>
      </c>
      <c r="AY529" s="65">
        <f t="shared" si="41"/>
        <v>5919.06</v>
      </c>
      <c r="AZ529" s="19">
        <v>50412</v>
      </c>
      <c r="BA529" s="19">
        <v>48971</v>
      </c>
      <c r="BB529" s="19">
        <v>44969</v>
      </c>
      <c r="BC529" s="19">
        <v>4587</v>
      </c>
      <c r="BD529" s="19">
        <v>5919</v>
      </c>
      <c r="BE529" s="23">
        <v>19707.282999999999</v>
      </c>
      <c r="BF529" s="23">
        <v>307606.97899999999</v>
      </c>
      <c r="BG529" s="23"/>
      <c r="BH529" s="23"/>
      <c r="BI529" s="67">
        <v>45.66</v>
      </c>
      <c r="BJ529" s="67">
        <v>1.47</v>
      </c>
      <c r="BK529" s="67">
        <v>1.43</v>
      </c>
      <c r="BL529" s="67">
        <v>1.43</v>
      </c>
      <c r="BM529" s="62"/>
      <c r="BN529" s="62"/>
      <c r="BO529" s="62"/>
      <c r="BP529" s="62"/>
      <c r="BQ529" s="62"/>
      <c r="BR529" s="62"/>
      <c r="BS529" s="62"/>
      <c r="BT529" s="62"/>
      <c r="BU529" s="62"/>
      <c r="BV529" s="62"/>
      <c r="BW529" s="62"/>
      <c r="BX529" s="62"/>
      <c r="BY529" s="62"/>
      <c r="BZ529" s="62"/>
      <c r="CA529" s="62"/>
      <c r="CB529" s="62"/>
      <c r="CC529" s="62"/>
      <c r="CD529" s="62"/>
      <c r="CE529" s="62"/>
      <c r="CF529" s="62"/>
      <c r="CG529" s="62"/>
      <c r="CH529" s="62"/>
      <c r="CI529" s="62"/>
      <c r="CJ529" s="62"/>
      <c r="CK529" s="62"/>
      <c r="CL529" s="62"/>
      <c r="CM529" s="62"/>
      <c r="CN529" s="62"/>
      <c r="CO529" s="62"/>
      <c r="CP529" s="62"/>
      <c r="CQ529" s="62"/>
      <c r="CR529" s="62"/>
      <c r="CS529" s="62"/>
      <c r="CT529" s="62"/>
      <c r="CU529" s="62"/>
      <c r="CV529" s="62"/>
      <c r="CW529" s="62"/>
      <c r="CX529" s="62"/>
      <c r="CY529" s="62"/>
      <c r="CZ529" s="62"/>
      <c r="DA529" s="62"/>
      <c r="DB529" s="62"/>
      <c r="DC529" s="62"/>
      <c r="DD529" s="62"/>
      <c r="DE529" s="62"/>
      <c r="DF529" s="62"/>
      <c r="DG529" s="62"/>
      <c r="DH529" s="62"/>
      <c r="DI529" s="62"/>
      <c r="DJ529" s="62"/>
      <c r="DK529" s="62"/>
      <c r="DL529" s="62"/>
    </row>
    <row r="530" spans="1:116" x14ac:dyDescent="0.2">
      <c r="A530" s="57">
        <v>42705</v>
      </c>
      <c r="B530" s="58">
        <v>2016</v>
      </c>
      <c r="C530" s="66">
        <v>18.608000000000001</v>
      </c>
      <c r="D530" s="62">
        <v>0.253</v>
      </c>
      <c r="E530" s="62">
        <v>3425.0309999999999</v>
      </c>
      <c r="F530" s="62">
        <v>143.851</v>
      </c>
      <c r="G530" s="62">
        <v>18.355</v>
      </c>
      <c r="H530" s="62">
        <v>2668</v>
      </c>
      <c r="I530" s="62">
        <v>80.379000000000005</v>
      </c>
      <c r="J530" s="62">
        <v>2587.6210000000001</v>
      </c>
      <c r="K530" s="62">
        <v>6397.74</v>
      </c>
      <c r="L530" s="62">
        <v>1083.499</v>
      </c>
      <c r="M530" s="62">
        <v>4929.1530000000002</v>
      </c>
      <c r="N530" s="62">
        <v>207.024</v>
      </c>
      <c r="O530" s="66">
        <v>26.414999999999999</v>
      </c>
      <c r="P530" s="61">
        <v>646.59500000000003</v>
      </c>
      <c r="Q530" s="62">
        <v>27.157</v>
      </c>
      <c r="R530" s="62">
        <v>3.552</v>
      </c>
      <c r="S530" s="62">
        <v>557</v>
      </c>
      <c r="T530" s="62"/>
      <c r="U530" s="62">
        <v>1315</v>
      </c>
      <c r="V530" s="62">
        <v>401</v>
      </c>
      <c r="W530" s="62">
        <v>802.59500000000003</v>
      </c>
      <c r="X530" s="62">
        <v>33.709000000000003</v>
      </c>
      <c r="Y530" s="61">
        <v>4.4089999999999998</v>
      </c>
      <c r="Z530" s="63">
        <v>4.4089999999999998</v>
      </c>
      <c r="AA530" s="64" t="s">
        <v>116</v>
      </c>
      <c r="AB530" s="62" t="s">
        <v>116</v>
      </c>
      <c r="AC530" s="62">
        <v>74.603999999999999</v>
      </c>
      <c r="AD530" s="62">
        <v>3.133</v>
      </c>
      <c r="AE530" s="62">
        <v>0.4</v>
      </c>
      <c r="AF530" s="62" t="s">
        <v>140</v>
      </c>
      <c r="AG530" s="62">
        <v>43</v>
      </c>
      <c r="AH530" s="62">
        <v>9</v>
      </c>
      <c r="AI530" s="62">
        <v>65.603999999999999</v>
      </c>
      <c r="AJ530" s="62">
        <v>2.7549999999999999</v>
      </c>
      <c r="AK530" s="64">
        <v>0.35199999999999998</v>
      </c>
      <c r="AL530" s="19">
        <v>159577</v>
      </c>
      <c r="AM530" s="19">
        <v>125335</v>
      </c>
      <c r="AN530" s="23">
        <v>5178</v>
      </c>
      <c r="AO530" s="19">
        <v>166095</v>
      </c>
      <c r="AP530" s="19">
        <v>38142</v>
      </c>
      <c r="AQ530" s="19">
        <v>146976</v>
      </c>
      <c r="AR530" s="63"/>
      <c r="AS530" s="63"/>
      <c r="AT530" s="65">
        <f t="shared" si="42"/>
        <v>6975.99</v>
      </c>
      <c r="AU530" s="65">
        <f t="shared" si="43"/>
        <v>217.476</v>
      </c>
      <c r="AV530" s="65">
        <f t="shared" si="44"/>
        <v>1601.9639999999999</v>
      </c>
      <c r="AW530" s="65">
        <f t="shared" si="45"/>
        <v>6702.2340000000004</v>
      </c>
      <c r="AX530" s="65">
        <f t="shared" si="45"/>
        <v>5264.07</v>
      </c>
      <c r="AY530" s="65">
        <f t="shared" si="41"/>
        <v>6172.9920000000002</v>
      </c>
      <c r="AZ530" s="19">
        <v>51497</v>
      </c>
      <c r="BA530" s="19">
        <v>51241</v>
      </c>
      <c r="BB530" s="19">
        <v>43010</v>
      </c>
      <c r="BC530" s="19">
        <v>4000</v>
      </c>
      <c r="BD530" s="19">
        <v>6215</v>
      </c>
      <c r="BE530" s="23">
        <v>14323.013000000001</v>
      </c>
      <c r="BF530" s="23">
        <v>371368.59499999997</v>
      </c>
      <c r="BG530" s="23"/>
      <c r="BH530" s="23"/>
      <c r="BI530" s="67">
        <v>51.97</v>
      </c>
      <c r="BJ530" s="67">
        <v>1.61</v>
      </c>
      <c r="BK530" s="67">
        <v>1.54</v>
      </c>
      <c r="BL530" s="67">
        <v>1.58</v>
      </c>
      <c r="BM530" s="62"/>
      <c r="BN530" s="62"/>
      <c r="BO530" s="62"/>
      <c r="BP530" s="62"/>
      <c r="BQ530" s="62"/>
      <c r="BR530" s="62"/>
      <c r="BS530" s="62"/>
      <c r="BT530" s="62"/>
      <c r="BU530" s="62"/>
      <c r="BV530" s="62"/>
      <c r="BW530" s="62"/>
      <c r="BX530" s="62"/>
      <c r="BY530" s="62"/>
      <c r="BZ530" s="62"/>
      <c r="CA530" s="62"/>
      <c r="CB530" s="62"/>
      <c r="CC530" s="62"/>
      <c r="CD530" s="62"/>
      <c r="CE530" s="62"/>
      <c r="CF530" s="62"/>
      <c r="CG530" s="62"/>
      <c r="CH530" s="62"/>
      <c r="CI530" s="62"/>
      <c r="CJ530" s="62"/>
      <c r="CK530" s="62"/>
      <c r="CL530" s="62"/>
      <c r="CM530" s="62"/>
      <c r="CN530" s="62"/>
      <c r="CO530" s="62"/>
      <c r="CP530" s="62"/>
      <c r="CQ530" s="62"/>
      <c r="CR530" s="62"/>
      <c r="CS530" s="62"/>
      <c r="CT530" s="62"/>
      <c r="CU530" s="62"/>
      <c r="CV530" s="62"/>
      <c r="CW530" s="62"/>
      <c r="CX530" s="62"/>
      <c r="CY530" s="62"/>
      <c r="CZ530" s="62"/>
      <c r="DA530" s="62"/>
      <c r="DB530" s="62"/>
      <c r="DC530" s="62"/>
      <c r="DD530" s="62"/>
      <c r="DE530" s="62"/>
      <c r="DF530" s="62"/>
      <c r="DG530" s="62"/>
      <c r="DH530" s="62"/>
      <c r="DI530" s="62"/>
      <c r="DJ530" s="62"/>
      <c r="DK530" s="62"/>
      <c r="DL530" s="62"/>
    </row>
    <row r="531" spans="1:116" x14ac:dyDescent="0.2">
      <c r="A531" s="57">
        <v>42736</v>
      </c>
      <c r="B531" s="58">
        <v>2017</v>
      </c>
      <c r="C531" s="66">
        <v>11.999000000000001</v>
      </c>
      <c r="D531" s="62">
        <v>0.16300000000000001</v>
      </c>
      <c r="E531" s="62">
        <v>2208.4929999999999</v>
      </c>
      <c r="F531" s="62">
        <v>92.757000000000005</v>
      </c>
      <c r="G531" s="62">
        <v>11.835000000000001</v>
      </c>
      <c r="H531" s="62">
        <v>241</v>
      </c>
      <c r="I531" s="62">
        <v>42.497999999999998</v>
      </c>
      <c r="J531" s="62">
        <v>198.50200000000001</v>
      </c>
      <c r="K531" s="62">
        <v>6397.2979999999998</v>
      </c>
      <c r="L531" s="62">
        <v>-0.442</v>
      </c>
      <c r="M531" s="62">
        <v>2407.4369999999999</v>
      </c>
      <c r="N531" s="62">
        <v>101.11199999999999</v>
      </c>
      <c r="O531" s="66">
        <v>12.901</v>
      </c>
      <c r="P531" s="61">
        <v>441.91800000000001</v>
      </c>
      <c r="Q531" s="62">
        <v>18.561</v>
      </c>
      <c r="R531" s="62">
        <v>2.4279999999999999</v>
      </c>
      <c r="S531" s="62">
        <v>273</v>
      </c>
      <c r="T531" s="62"/>
      <c r="U531" s="62">
        <v>1023</v>
      </c>
      <c r="V531" s="62">
        <v>-292</v>
      </c>
      <c r="W531" s="62">
        <v>1006.918</v>
      </c>
      <c r="X531" s="62">
        <v>42.290999999999997</v>
      </c>
      <c r="Y531" s="61">
        <v>5.532</v>
      </c>
      <c r="Z531" s="63">
        <v>5.532</v>
      </c>
      <c r="AA531" s="64" t="s">
        <v>116</v>
      </c>
      <c r="AB531" s="62" t="s">
        <v>116</v>
      </c>
      <c r="AC531" s="62">
        <v>50.369</v>
      </c>
      <c r="AD531" s="62">
        <v>2.1150000000000002</v>
      </c>
      <c r="AE531" s="62">
        <v>0.27</v>
      </c>
      <c r="AF531" s="62" t="s">
        <v>140</v>
      </c>
      <c r="AG531" s="62">
        <v>46</v>
      </c>
      <c r="AH531" s="62">
        <v>3</v>
      </c>
      <c r="AI531" s="62">
        <v>47.369</v>
      </c>
      <c r="AJ531" s="62">
        <v>1.9890000000000001</v>
      </c>
      <c r="AK531" s="64">
        <v>0.254</v>
      </c>
      <c r="AL531" s="19">
        <v>148349</v>
      </c>
      <c r="AM531" s="19">
        <v>115803</v>
      </c>
      <c r="AN531" s="23">
        <v>6328</v>
      </c>
      <c r="AO531" s="19">
        <v>170247</v>
      </c>
      <c r="AP531" s="19">
        <v>35827</v>
      </c>
      <c r="AQ531" s="19">
        <v>137136</v>
      </c>
      <c r="AR531" s="63"/>
      <c r="AS531" s="63"/>
      <c r="AT531" s="65">
        <f t="shared" si="42"/>
        <v>7150.3739999999998</v>
      </c>
      <c r="AU531" s="65">
        <f t="shared" si="43"/>
        <v>265.77600000000001</v>
      </c>
      <c r="AV531" s="65">
        <f t="shared" si="44"/>
        <v>1504.7339999999999</v>
      </c>
      <c r="AW531" s="65">
        <f t="shared" si="45"/>
        <v>6230.6580000000004</v>
      </c>
      <c r="AX531" s="65">
        <f t="shared" si="45"/>
        <v>4863.7259999999997</v>
      </c>
      <c r="AY531" s="65">
        <f t="shared" si="41"/>
        <v>5759.7120000000004</v>
      </c>
      <c r="AZ531" s="19">
        <v>50041</v>
      </c>
      <c r="BA531" s="19">
        <v>49239</v>
      </c>
      <c r="BB531" s="19">
        <v>42504</v>
      </c>
      <c r="BC531" s="19">
        <v>4089</v>
      </c>
      <c r="BD531" s="19">
        <v>5397</v>
      </c>
      <c r="BE531" s="23">
        <v>5990.6469999999999</v>
      </c>
      <c r="BF531" s="23">
        <v>13999.804</v>
      </c>
      <c r="BG531" s="23"/>
      <c r="BH531" s="23"/>
      <c r="BI531" s="67">
        <v>52.5</v>
      </c>
      <c r="BJ531" s="67">
        <v>1.64</v>
      </c>
      <c r="BK531" s="67">
        <v>1.58</v>
      </c>
      <c r="BL531" s="67">
        <v>1.63</v>
      </c>
      <c r="BM531" s="62"/>
      <c r="BN531" s="62"/>
      <c r="BO531" s="62"/>
      <c r="BP531" s="62"/>
      <c r="BQ531" s="62"/>
      <c r="BR531" s="62"/>
      <c r="BS531" s="62"/>
      <c r="BT531" s="62"/>
      <c r="BU531" s="62"/>
      <c r="BV531" s="62"/>
      <c r="BW531" s="62"/>
      <c r="BX531" s="62"/>
      <c r="BY531" s="62"/>
      <c r="BZ531" s="62"/>
      <c r="CA531" s="62"/>
      <c r="CB531" s="62"/>
      <c r="CC531" s="62"/>
      <c r="CD531" s="62"/>
      <c r="CE531" s="62"/>
      <c r="CF531" s="62"/>
      <c r="CG531" s="62"/>
      <c r="CH531" s="62"/>
      <c r="CI531" s="62"/>
      <c r="CJ531" s="62"/>
      <c r="CK531" s="62"/>
      <c r="CL531" s="62"/>
      <c r="CM531" s="62"/>
      <c r="CN531" s="62"/>
      <c r="CO531" s="62"/>
      <c r="CP531" s="62"/>
      <c r="CQ531" s="62"/>
      <c r="CR531" s="62"/>
      <c r="CS531" s="62"/>
      <c r="CT531" s="62"/>
      <c r="CU531" s="62"/>
      <c r="CV531" s="62"/>
      <c r="CW531" s="62"/>
      <c r="CX531" s="62"/>
      <c r="CY531" s="62"/>
      <c r="CZ531" s="62"/>
      <c r="DA531" s="62"/>
      <c r="DB531" s="62"/>
      <c r="DC531" s="62"/>
      <c r="DD531" s="62"/>
      <c r="DE531" s="62"/>
      <c r="DF531" s="62"/>
      <c r="DG531" s="62"/>
      <c r="DH531" s="62"/>
      <c r="DI531" s="62"/>
      <c r="DJ531" s="62"/>
      <c r="DK531" s="62"/>
      <c r="DL531" s="62"/>
    </row>
    <row r="532" spans="1:116" x14ac:dyDescent="0.2">
      <c r="A532" s="57">
        <v>42767</v>
      </c>
      <c r="B532" s="58">
        <v>2017</v>
      </c>
      <c r="C532" s="66">
        <v>12.157</v>
      </c>
      <c r="D532" s="62">
        <v>0.16600000000000001</v>
      </c>
      <c r="E532" s="62">
        <v>2237.6799999999998</v>
      </c>
      <c r="F532" s="62">
        <v>93.983000000000004</v>
      </c>
      <c r="G532" s="62">
        <v>11.992000000000001</v>
      </c>
      <c r="H532" s="62">
        <v>549</v>
      </c>
      <c r="I532" s="62">
        <v>58.7</v>
      </c>
      <c r="J532" s="62">
        <v>490.3</v>
      </c>
      <c r="K532" s="62">
        <v>6475.1949999999997</v>
      </c>
      <c r="L532" s="62">
        <v>77.897000000000006</v>
      </c>
      <c r="M532" s="62">
        <v>2650.0830000000001</v>
      </c>
      <c r="N532" s="62">
        <v>111.303</v>
      </c>
      <c r="O532" s="66">
        <v>14.202</v>
      </c>
      <c r="P532" s="61">
        <v>501.01499999999999</v>
      </c>
      <c r="Q532" s="62">
        <v>21.042999999999999</v>
      </c>
      <c r="R532" s="62">
        <v>2.7530000000000001</v>
      </c>
      <c r="S532" s="62">
        <v>247</v>
      </c>
      <c r="T532" s="62"/>
      <c r="U532" s="62">
        <v>1012</v>
      </c>
      <c r="V532" s="62">
        <v>-11</v>
      </c>
      <c r="W532" s="62">
        <v>759.01499999999999</v>
      </c>
      <c r="X532" s="62">
        <v>31.879000000000001</v>
      </c>
      <c r="Y532" s="61">
        <v>4.17</v>
      </c>
      <c r="Z532" s="63">
        <v>4.17</v>
      </c>
      <c r="AA532" s="64" t="s">
        <v>116</v>
      </c>
      <c r="AB532" s="62" t="s">
        <v>116</v>
      </c>
      <c r="AC532" s="62">
        <v>46.621000000000002</v>
      </c>
      <c r="AD532" s="62">
        <v>1.958</v>
      </c>
      <c r="AE532" s="62">
        <v>0.25</v>
      </c>
      <c r="AF532" s="62" t="s">
        <v>140</v>
      </c>
      <c r="AG532" s="62">
        <v>43</v>
      </c>
      <c r="AH532" s="62">
        <v>-3</v>
      </c>
      <c r="AI532" s="62">
        <v>49.621000000000002</v>
      </c>
      <c r="AJ532" s="62">
        <v>2.0840000000000001</v>
      </c>
      <c r="AK532" s="64">
        <v>0.26600000000000001</v>
      </c>
      <c r="AL532" s="19">
        <v>130386</v>
      </c>
      <c r="AM532" s="19">
        <v>110175</v>
      </c>
      <c r="AN532" s="23">
        <v>5655</v>
      </c>
      <c r="AO532" s="19">
        <v>162832</v>
      </c>
      <c r="AP532" s="19">
        <v>34628</v>
      </c>
      <c r="AQ532" s="19">
        <v>120341</v>
      </c>
      <c r="AR532" s="63"/>
      <c r="AS532" s="63"/>
      <c r="AT532" s="65">
        <f t="shared" si="42"/>
        <v>6838.9440000000004</v>
      </c>
      <c r="AU532" s="65">
        <f t="shared" si="43"/>
        <v>237.51</v>
      </c>
      <c r="AV532" s="65">
        <f t="shared" si="44"/>
        <v>1454.376</v>
      </c>
      <c r="AW532" s="65">
        <f t="shared" si="45"/>
        <v>5476.2120000000004</v>
      </c>
      <c r="AX532" s="65">
        <f t="shared" si="45"/>
        <v>4627.3500000000004</v>
      </c>
      <c r="AY532" s="65">
        <f t="shared" si="41"/>
        <v>5054.3220000000001</v>
      </c>
      <c r="AZ532" s="19">
        <v>44876</v>
      </c>
      <c r="BA532" s="19">
        <v>42478</v>
      </c>
      <c r="BB532" s="19">
        <v>44057</v>
      </c>
      <c r="BC532" s="19">
        <v>4129</v>
      </c>
      <c r="BD532" s="19">
        <v>4974</v>
      </c>
      <c r="BE532" s="23">
        <v>8277.1409999999996</v>
      </c>
      <c r="BF532" s="23">
        <v>79392.856</v>
      </c>
      <c r="BG532" s="23"/>
      <c r="BH532" s="23"/>
      <c r="BI532" s="67">
        <v>53.47</v>
      </c>
      <c r="BJ532" s="67">
        <v>1.64</v>
      </c>
      <c r="BK532" s="67">
        <v>1.61</v>
      </c>
      <c r="BL532" s="67">
        <v>1.63</v>
      </c>
      <c r="BM532" s="62"/>
      <c r="BN532" s="62"/>
      <c r="BO532" s="62"/>
      <c r="BP532" s="62"/>
      <c r="BQ532" s="62"/>
      <c r="BR532" s="62"/>
      <c r="BS532" s="62"/>
      <c r="BT532" s="62"/>
      <c r="BU532" s="62"/>
      <c r="BV532" s="62"/>
      <c r="BW532" s="62"/>
      <c r="BX532" s="62"/>
      <c r="BY532" s="62"/>
      <c r="BZ532" s="62"/>
      <c r="CA532" s="62"/>
      <c r="CB532" s="62"/>
      <c r="CC532" s="62"/>
      <c r="CD532" s="62"/>
      <c r="CE532" s="62"/>
      <c r="CF532" s="62"/>
      <c r="CG532" s="62"/>
      <c r="CH532" s="62"/>
      <c r="CI532" s="62"/>
      <c r="CJ532" s="62"/>
      <c r="CK532" s="62"/>
      <c r="CL532" s="62"/>
      <c r="CM532" s="62"/>
      <c r="CN532" s="62"/>
      <c r="CO532" s="62"/>
      <c r="CP532" s="62"/>
      <c r="CQ532" s="62"/>
      <c r="CR532" s="62"/>
      <c r="CS532" s="62"/>
      <c r="CT532" s="62"/>
      <c r="CU532" s="62"/>
      <c r="CV532" s="62"/>
      <c r="CW532" s="62"/>
      <c r="CX532" s="62"/>
      <c r="CY532" s="62"/>
      <c r="CZ532" s="62"/>
      <c r="DA532" s="62"/>
      <c r="DB532" s="62"/>
      <c r="DC532" s="62"/>
      <c r="DD532" s="62"/>
      <c r="DE532" s="62"/>
      <c r="DF532" s="62"/>
      <c r="DG532" s="62"/>
      <c r="DH532" s="62"/>
      <c r="DI532" s="62"/>
      <c r="DJ532" s="62"/>
      <c r="DK532" s="62"/>
      <c r="DL532" s="62"/>
    </row>
    <row r="533" spans="1:116" x14ac:dyDescent="0.2">
      <c r="A533" s="57">
        <v>42795</v>
      </c>
      <c r="B533" s="58">
        <v>2017</v>
      </c>
      <c r="C533" s="66">
        <v>15.002000000000001</v>
      </c>
      <c r="D533" s="62">
        <v>0.20399999999999999</v>
      </c>
      <c r="E533" s="62">
        <v>2761.25</v>
      </c>
      <c r="F533" s="62">
        <v>115.973</v>
      </c>
      <c r="G533" s="62">
        <v>14.798</v>
      </c>
      <c r="H533" s="62">
        <v>650</v>
      </c>
      <c r="I533" s="62">
        <v>136.46899999999999</v>
      </c>
      <c r="J533" s="62">
        <v>513.53099999999995</v>
      </c>
      <c r="K533" s="62">
        <v>6189.44</v>
      </c>
      <c r="L533" s="62">
        <v>-285.755</v>
      </c>
      <c r="M533" s="62">
        <v>3560.5360000000001</v>
      </c>
      <c r="N533" s="62">
        <v>149.54300000000001</v>
      </c>
      <c r="O533" s="66">
        <v>19.081</v>
      </c>
      <c r="P533" s="61">
        <v>377.53800000000001</v>
      </c>
      <c r="Q533" s="62">
        <v>15.856999999999999</v>
      </c>
      <c r="R533" s="62">
        <v>2.0739999999999998</v>
      </c>
      <c r="S533" s="62">
        <v>456</v>
      </c>
      <c r="T533" s="62"/>
      <c r="U533" s="62">
        <v>920</v>
      </c>
      <c r="V533" s="62">
        <v>-92</v>
      </c>
      <c r="W533" s="62">
        <v>925.53800000000001</v>
      </c>
      <c r="X533" s="62">
        <v>38.872999999999998</v>
      </c>
      <c r="Y533" s="61">
        <v>5.085</v>
      </c>
      <c r="Z533" s="63">
        <v>5.085</v>
      </c>
      <c r="AA533" s="64" t="s">
        <v>116</v>
      </c>
      <c r="AB533" s="62" t="s">
        <v>116</v>
      </c>
      <c r="AC533" s="62">
        <v>29.481000000000002</v>
      </c>
      <c r="AD533" s="62">
        <v>1.238</v>
      </c>
      <c r="AE533" s="62">
        <v>0.158</v>
      </c>
      <c r="AF533" s="62" t="s">
        <v>140</v>
      </c>
      <c r="AG533" s="62">
        <v>33</v>
      </c>
      <c r="AH533" s="62">
        <v>-10</v>
      </c>
      <c r="AI533" s="62">
        <v>39.481000000000002</v>
      </c>
      <c r="AJ533" s="62">
        <v>1.6579999999999999</v>
      </c>
      <c r="AK533" s="64">
        <v>0.21199999999999999</v>
      </c>
      <c r="AL533" s="19">
        <v>148568</v>
      </c>
      <c r="AM533" s="19">
        <v>127926</v>
      </c>
      <c r="AN533" s="23">
        <v>3449</v>
      </c>
      <c r="AO533" s="19">
        <v>152029</v>
      </c>
      <c r="AP533" s="19">
        <v>36966</v>
      </c>
      <c r="AQ533" s="19">
        <v>136390</v>
      </c>
      <c r="AR533" s="63"/>
      <c r="AS533" s="63"/>
      <c r="AT533" s="65">
        <f t="shared" si="42"/>
        <v>6385.2179999999998</v>
      </c>
      <c r="AU533" s="65">
        <f t="shared" si="43"/>
        <v>144.858</v>
      </c>
      <c r="AV533" s="65">
        <f t="shared" si="44"/>
        <v>1552.5719999999999</v>
      </c>
      <c r="AW533" s="65">
        <f t="shared" si="45"/>
        <v>6239.8559999999998</v>
      </c>
      <c r="AX533" s="65">
        <f t="shared" si="45"/>
        <v>5372.8919999999998</v>
      </c>
      <c r="AY533" s="65">
        <f t="shared" si="41"/>
        <v>5728.38</v>
      </c>
      <c r="AZ533" s="19">
        <v>51908</v>
      </c>
      <c r="BA533" s="19">
        <v>51952</v>
      </c>
      <c r="BB533" s="19">
        <v>42395</v>
      </c>
      <c r="BC533" s="19">
        <v>3819</v>
      </c>
      <c r="BD533" s="19">
        <v>5437</v>
      </c>
      <c r="BE533" s="23">
        <v>19238.562000000002</v>
      </c>
      <c r="BF533" s="23">
        <v>108947.79399999999</v>
      </c>
      <c r="BG533" s="23"/>
      <c r="BH533" s="23"/>
      <c r="BI533" s="67">
        <v>49.33</v>
      </c>
      <c r="BJ533" s="67">
        <v>1.58</v>
      </c>
      <c r="BK533" s="67">
        <v>1.55</v>
      </c>
      <c r="BL533" s="67">
        <v>1.63</v>
      </c>
      <c r="BM533" s="62"/>
      <c r="BN533" s="62"/>
      <c r="BO533" s="62"/>
      <c r="BP533" s="62"/>
      <c r="BQ533" s="62"/>
      <c r="BR533" s="62"/>
      <c r="BS533" s="62"/>
      <c r="BT533" s="62"/>
      <c r="BU533" s="62"/>
      <c r="BV533" s="62"/>
      <c r="BW533" s="62"/>
      <c r="BX533" s="62"/>
      <c r="BY533" s="62"/>
      <c r="BZ533" s="62"/>
      <c r="CA533" s="62"/>
      <c r="CB533" s="62"/>
      <c r="CC533" s="62"/>
      <c r="CD533" s="62"/>
      <c r="CE533" s="62"/>
      <c r="CF533" s="62"/>
      <c r="CG533" s="62"/>
      <c r="CH533" s="62"/>
      <c r="CI533" s="62"/>
      <c r="CJ533" s="62"/>
      <c r="CK533" s="62"/>
      <c r="CL533" s="62"/>
      <c r="CM533" s="62"/>
      <c r="CN533" s="62"/>
      <c r="CO533" s="62"/>
      <c r="CP533" s="62"/>
      <c r="CQ533" s="62"/>
      <c r="CR533" s="62"/>
      <c r="CS533" s="62"/>
      <c r="CT533" s="62"/>
      <c r="CU533" s="62"/>
      <c r="CV533" s="62"/>
      <c r="CW533" s="62"/>
      <c r="CX533" s="62"/>
      <c r="CY533" s="62"/>
      <c r="CZ533" s="62"/>
      <c r="DA533" s="62"/>
      <c r="DB533" s="62"/>
      <c r="DC533" s="62"/>
      <c r="DD533" s="62"/>
      <c r="DE533" s="62"/>
      <c r="DF533" s="62"/>
      <c r="DG533" s="62"/>
      <c r="DH533" s="62"/>
      <c r="DI533" s="62"/>
      <c r="DJ533" s="62"/>
      <c r="DK533" s="62"/>
      <c r="DL533" s="62"/>
    </row>
    <row r="534" spans="1:116" x14ac:dyDescent="0.2">
      <c r="A534" s="57">
        <v>42826</v>
      </c>
      <c r="B534" s="58">
        <v>2017</v>
      </c>
      <c r="C534" s="66">
        <v>16.405000000000001</v>
      </c>
      <c r="D534" s="62">
        <v>0.223</v>
      </c>
      <c r="E534" s="62">
        <v>3019.5410000000002</v>
      </c>
      <c r="F534" s="62">
        <v>126.821</v>
      </c>
      <c r="G534" s="62">
        <v>16.181999999999999</v>
      </c>
      <c r="H534" s="62">
        <v>681</v>
      </c>
      <c r="I534" s="62">
        <v>283.41000000000003</v>
      </c>
      <c r="J534" s="62">
        <v>397.59</v>
      </c>
      <c r="K534" s="62">
        <v>5705.5439999999999</v>
      </c>
      <c r="L534" s="62">
        <v>-483.89699999999999</v>
      </c>
      <c r="M534" s="62">
        <v>3901.0279999999998</v>
      </c>
      <c r="N534" s="62">
        <v>163.84299999999999</v>
      </c>
      <c r="O534" s="66">
        <v>20.905999999999999</v>
      </c>
      <c r="P534" s="61">
        <v>485.791</v>
      </c>
      <c r="Q534" s="62">
        <v>20.402999999999999</v>
      </c>
      <c r="R534" s="62">
        <v>2.669</v>
      </c>
      <c r="S534" s="62">
        <v>381</v>
      </c>
      <c r="T534" s="62"/>
      <c r="U534" s="62">
        <v>926</v>
      </c>
      <c r="V534" s="62">
        <v>6</v>
      </c>
      <c r="W534" s="62">
        <v>860.79100000000005</v>
      </c>
      <c r="X534" s="62">
        <v>36.152999999999999</v>
      </c>
      <c r="Y534" s="61">
        <v>4.7290000000000001</v>
      </c>
      <c r="Z534" s="63">
        <v>4.7290000000000001</v>
      </c>
      <c r="AA534" s="64" t="s">
        <v>116</v>
      </c>
      <c r="AB534" s="62" t="s">
        <v>116</v>
      </c>
      <c r="AC534" s="62">
        <v>74.402000000000001</v>
      </c>
      <c r="AD534" s="62">
        <v>3.125</v>
      </c>
      <c r="AE534" s="62">
        <v>0.39900000000000002</v>
      </c>
      <c r="AF534" s="62" t="s">
        <v>140</v>
      </c>
      <c r="AG534" s="62">
        <v>33</v>
      </c>
      <c r="AH534" s="62">
        <v>0</v>
      </c>
      <c r="AI534" s="62">
        <v>74.402000000000001</v>
      </c>
      <c r="AJ534" s="62">
        <v>3.125</v>
      </c>
      <c r="AK534" s="64">
        <v>0.39900000000000002</v>
      </c>
      <c r="AL534" s="19">
        <v>150566</v>
      </c>
      <c r="AM534" s="19">
        <v>112885</v>
      </c>
      <c r="AN534" s="23">
        <v>3530</v>
      </c>
      <c r="AO534" s="19">
        <v>154957</v>
      </c>
      <c r="AP534" s="19">
        <v>40653</v>
      </c>
      <c r="AQ534" s="19">
        <v>139811</v>
      </c>
      <c r="AR534" s="63"/>
      <c r="AS534" s="63"/>
      <c r="AT534" s="65">
        <f t="shared" si="42"/>
        <v>6508.1940000000004</v>
      </c>
      <c r="AU534" s="65">
        <f t="shared" si="43"/>
        <v>148.26</v>
      </c>
      <c r="AV534" s="65">
        <f t="shared" si="44"/>
        <v>1707.4259999999999</v>
      </c>
      <c r="AW534" s="65">
        <f t="shared" si="45"/>
        <v>6323.7719999999999</v>
      </c>
      <c r="AX534" s="65">
        <f t="shared" si="45"/>
        <v>4741.17</v>
      </c>
      <c r="AY534" s="65">
        <f t="shared" si="41"/>
        <v>5872.0619999999999</v>
      </c>
      <c r="AZ534" s="19">
        <v>52052</v>
      </c>
      <c r="BA534" s="19">
        <v>49306</v>
      </c>
      <c r="BB534" s="19">
        <v>44549</v>
      </c>
      <c r="BC534" s="19">
        <v>5487</v>
      </c>
      <c r="BD534" s="19">
        <v>6079</v>
      </c>
      <c r="BE534" s="23">
        <v>39948.267</v>
      </c>
      <c r="BF534" s="23">
        <v>97426.35</v>
      </c>
      <c r="BG534" s="23"/>
      <c r="BH534" s="23"/>
      <c r="BI534" s="67">
        <v>51.06</v>
      </c>
      <c r="BJ534" s="67">
        <v>1.63</v>
      </c>
      <c r="BK534" s="67">
        <v>1.59</v>
      </c>
      <c r="BL534" s="67">
        <v>1.72</v>
      </c>
      <c r="BM534" s="62"/>
      <c r="BN534" s="62"/>
      <c r="BO534" s="62"/>
      <c r="BP534" s="62"/>
      <c r="BQ534" s="62"/>
      <c r="BR534" s="62"/>
      <c r="BS534" s="62"/>
      <c r="BT534" s="62"/>
      <c r="BU534" s="62"/>
      <c r="BV534" s="62"/>
      <c r="BW534" s="62"/>
      <c r="BX534" s="62"/>
      <c r="BY534" s="62"/>
      <c r="BZ534" s="62"/>
      <c r="CA534" s="62"/>
      <c r="CB534" s="62"/>
      <c r="CC534" s="62"/>
      <c r="CD534" s="62"/>
      <c r="CE534" s="62"/>
      <c r="CF534" s="62"/>
      <c r="CG534" s="62"/>
      <c r="CH534" s="62"/>
      <c r="CI534" s="62"/>
      <c r="CJ534" s="62"/>
      <c r="CK534" s="62"/>
      <c r="CL534" s="62"/>
      <c r="CM534" s="62"/>
      <c r="CN534" s="62"/>
      <c r="CO534" s="62"/>
      <c r="CP534" s="62"/>
      <c r="CQ534" s="62"/>
      <c r="CR534" s="62"/>
      <c r="CS534" s="62"/>
      <c r="CT534" s="62"/>
      <c r="CU534" s="62"/>
      <c r="CV534" s="62"/>
      <c r="CW534" s="62"/>
      <c r="CX534" s="62"/>
      <c r="CY534" s="62"/>
      <c r="CZ534" s="62"/>
      <c r="DA534" s="62"/>
      <c r="DB534" s="62"/>
      <c r="DC534" s="62"/>
      <c r="DD534" s="62"/>
      <c r="DE534" s="62"/>
      <c r="DF534" s="62"/>
      <c r="DG534" s="62"/>
      <c r="DH534" s="62"/>
      <c r="DI534" s="62"/>
      <c r="DJ534" s="62"/>
      <c r="DK534" s="62"/>
      <c r="DL534" s="62"/>
    </row>
    <row r="535" spans="1:116" x14ac:dyDescent="0.2">
      <c r="A535" s="57">
        <v>42856</v>
      </c>
      <c r="B535" s="58">
        <v>2017</v>
      </c>
      <c r="C535" s="66">
        <v>17.616</v>
      </c>
      <c r="D535" s="62">
        <v>0.24</v>
      </c>
      <c r="E535" s="62">
        <v>3242.4050000000002</v>
      </c>
      <c r="F535" s="62">
        <v>136.18100000000001</v>
      </c>
      <c r="G535" s="62">
        <v>17.376000000000001</v>
      </c>
      <c r="H535" s="62">
        <v>948</v>
      </c>
      <c r="I535" s="62">
        <v>239.29300000000001</v>
      </c>
      <c r="J535" s="62">
        <v>708.70699999999999</v>
      </c>
      <c r="K535" s="62">
        <v>4908.6279999999997</v>
      </c>
      <c r="L535" s="62">
        <v>-796.91600000000005</v>
      </c>
      <c r="M535" s="62">
        <v>4748.0280000000002</v>
      </c>
      <c r="N535" s="62">
        <v>199.417</v>
      </c>
      <c r="O535" s="66">
        <v>25.445</v>
      </c>
      <c r="P535" s="61">
        <v>580.78</v>
      </c>
      <c r="Q535" s="62">
        <v>24.393000000000001</v>
      </c>
      <c r="R535" s="62">
        <v>3.1909999999999998</v>
      </c>
      <c r="S535" s="62">
        <v>478</v>
      </c>
      <c r="T535" s="62"/>
      <c r="U535" s="62">
        <v>861</v>
      </c>
      <c r="V535" s="62">
        <v>-65</v>
      </c>
      <c r="W535" s="62">
        <v>1123.78</v>
      </c>
      <c r="X535" s="62">
        <v>47.198999999999998</v>
      </c>
      <c r="Y535" s="61">
        <v>6.1740000000000004</v>
      </c>
      <c r="Z535" s="63">
        <v>6.1740000000000004</v>
      </c>
      <c r="AA535" s="64" t="s">
        <v>116</v>
      </c>
      <c r="AB535" s="62" t="s">
        <v>116</v>
      </c>
      <c r="AC535" s="62">
        <v>35.496000000000002</v>
      </c>
      <c r="AD535" s="62">
        <v>1.4910000000000001</v>
      </c>
      <c r="AE535" s="62">
        <v>0.19</v>
      </c>
      <c r="AF535" s="62" t="s">
        <v>140</v>
      </c>
      <c r="AG535" s="62">
        <v>39</v>
      </c>
      <c r="AH535" s="62">
        <v>6</v>
      </c>
      <c r="AI535" s="62">
        <v>29.495999999999999</v>
      </c>
      <c r="AJ535" s="62">
        <v>1.2390000000000001</v>
      </c>
      <c r="AK535" s="64">
        <v>0.158</v>
      </c>
      <c r="AL535" s="19">
        <v>161681</v>
      </c>
      <c r="AM535" s="19">
        <v>122607</v>
      </c>
      <c r="AN535" s="23">
        <v>3865</v>
      </c>
      <c r="AO535" s="19">
        <v>154247</v>
      </c>
      <c r="AP535" s="19">
        <v>46813</v>
      </c>
      <c r="AQ535" s="19">
        <v>151471</v>
      </c>
      <c r="AR535" s="63"/>
      <c r="AS535" s="63"/>
      <c r="AT535" s="65">
        <f t="shared" si="42"/>
        <v>6478.3739999999998</v>
      </c>
      <c r="AU535" s="65">
        <f t="shared" si="43"/>
        <v>162.33000000000001</v>
      </c>
      <c r="AV535" s="65">
        <f t="shared" si="44"/>
        <v>1966.146</v>
      </c>
      <c r="AW535" s="65">
        <f t="shared" si="45"/>
        <v>6790.6019999999999</v>
      </c>
      <c r="AX535" s="65">
        <f t="shared" si="45"/>
        <v>5149.4939999999997</v>
      </c>
      <c r="AY535" s="65">
        <f t="shared" si="41"/>
        <v>6361.7820000000002</v>
      </c>
      <c r="AZ535" s="19">
        <v>53108</v>
      </c>
      <c r="BA535" s="19">
        <v>51736</v>
      </c>
      <c r="BB535" s="19">
        <v>44483</v>
      </c>
      <c r="BC535" s="19">
        <v>3902</v>
      </c>
      <c r="BD535" s="19">
        <v>5340</v>
      </c>
      <c r="BE535" s="23">
        <v>33731.944000000003</v>
      </c>
      <c r="BF535" s="23">
        <v>134156.01800000001</v>
      </c>
      <c r="BG535" s="23"/>
      <c r="BH535" s="23"/>
      <c r="BI535" s="67">
        <v>48.48</v>
      </c>
      <c r="BJ535" s="67">
        <v>1.55</v>
      </c>
      <c r="BK535" s="67">
        <v>1.49</v>
      </c>
      <c r="BL535" s="67">
        <v>1.67</v>
      </c>
      <c r="BM535" s="62"/>
      <c r="BN535" s="62"/>
      <c r="BO535" s="62"/>
      <c r="BP535" s="62"/>
      <c r="BQ535" s="62"/>
      <c r="BR535" s="62"/>
      <c r="BS535" s="62"/>
      <c r="BT535" s="62"/>
      <c r="BU535" s="62"/>
      <c r="BV535" s="62"/>
      <c r="BW535" s="62"/>
      <c r="BX535" s="62"/>
      <c r="BY535" s="62"/>
      <c r="BZ535" s="62"/>
      <c r="CA535" s="62"/>
      <c r="CB535" s="62"/>
      <c r="CC535" s="62"/>
      <c r="CD535" s="62"/>
      <c r="CE535" s="62"/>
      <c r="CF535" s="62"/>
      <c r="CG535" s="62"/>
      <c r="CH535" s="62"/>
      <c r="CI535" s="62"/>
      <c r="CJ535" s="62"/>
      <c r="CK535" s="62"/>
      <c r="CL535" s="62"/>
      <c r="CM535" s="62"/>
      <c r="CN535" s="62"/>
      <c r="CO535" s="62"/>
      <c r="CP535" s="62"/>
      <c r="CQ535" s="62"/>
      <c r="CR535" s="62"/>
      <c r="CS535" s="62"/>
      <c r="CT535" s="62"/>
      <c r="CU535" s="62"/>
      <c r="CV535" s="62"/>
      <c r="CW535" s="62"/>
      <c r="CX535" s="62"/>
      <c r="CY535" s="62"/>
      <c r="CZ535" s="62"/>
      <c r="DA535" s="62"/>
      <c r="DB535" s="62"/>
      <c r="DC535" s="62"/>
      <c r="DD535" s="62"/>
      <c r="DE535" s="62"/>
      <c r="DF535" s="62"/>
      <c r="DG535" s="62"/>
      <c r="DH535" s="62"/>
      <c r="DI535" s="62"/>
      <c r="DJ535" s="62"/>
      <c r="DK535" s="62"/>
      <c r="DL535" s="62"/>
    </row>
    <row r="536" spans="1:116" x14ac:dyDescent="0.2">
      <c r="A536" s="57">
        <v>42887</v>
      </c>
      <c r="B536" s="58">
        <v>2017</v>
      </c>
      <c r="C536" s="66">
        <v>18.169</v>
      </c>
      <c r="D536" s="62">
        <v>0.247</v>
      </c>
      <c r="E536" s="62">
        <v>3344.2629999999999</v>
      </c>
      <c r="F536" s="62">
        <v>140.459</v>
      </c>
      <c r="G536" s="62">
        <v>17.922000000000001</v>
      </c>
      <c r="H536" s="62">
        <v>1736</v>
      </c>
      <c r="I536" s="62">
        <v>225.999</v>
      </c>
      <c r="J536" s="62">
        <v>1510.001</v>
      </c>
      <c r="K536" s="62">
        <v>5052.2529999999997</v>
      </c>
      <c r="L536" s="62">
        <v>143.624</v>
      </c>
      <c r="M536" s="62">
        <v>4710.6400000000003</v>
      </c>
      <c r="N536" s="62">
        <v>197.84700000000001</v>
      </c>
      <c r="O536" s="66">
        <v>25.244</v>
      </c>
      <c r="P536" s="61">
        <v>422.553</v>
      </c>
      <c r="Q536" s="62">
        <v>17.747</v>
      </c>
      <c r="R536" s="62">
        <v>2.3220000000000001</v>
      </c>
      <c r="S536" s="62">
        <v>462</v>
      </c>
      <c r="T536" s="62"/>
      <c r="U536" s="62">
        <v>786</v>
      </c>
      <c r="V536" s="62">
        <v>-75</v>
      </c>
      <c r="W536" s="62">
        <v>959.553</v>
      </c>
      <c r="X536" s="62">
        <v>40.301000000000002</v>
      </c>
      <c r="Y536" s="61">
        <v>5.2720000000000002</v>
      </c>
      <c r="Z536" s="63">
        <v>5.2720000000000002</v>
      </c>
      <c r="AA536" s="64" t="s">
        <v>116</v>
      </c>
      <c r="AB536" s="62" t="s">
        <v>116</v>
      </c>
      <c r="AC536" s="62">
        <v>37.017000000000003</v>
      </c>
      <c r="AD536" s="62">
        <v>1.5549999999999999</v>
      </c>
      <c r="AE536" s="62">
        <v>0.19800000000000001</v>
      </c>
      <c r="AF536" s="62" t="s">
        <v>140</v>
      </c>
      <c r="AG536" s="62">
        <v>31</v>
      </c>
      <c r="AH536" s="62">
        <v>-8</v>
      </c>
      <c r="AI536" s="62">
        <v>45.017000000000003</v>
      </c>
      <c r="AJ536" s="62">
        <v>1.891</v>
      </c>
      <c r="AK536" s="64">
        <v>0.24099999999999999</v>
      </c>
      <c r="AL536" s="19">
        <v>158513</v>
      </c>
      <c r="AM536" s="19">
        <v>118907</v>
      </c>
      <c r="AN536" s="23">
        <v>3152</v>
      </c>
      <c r="AO536" s="19">
        <v>152060</v>
      </c>
      <c r="AP536" s="19">
        <v>48131</v>
      </c>
      <c r="AQ536" s="19">
        <v>147542</v>
      </c>
      <c r="AR536" s="63"/>
      <c r="AS536" s="63"/>
      <c r="AT536" s="65">
        <f t="shared" si="42"/>
        <v>6386.52</v>
      </c>
      <c r="AU536" s="65">
        <f t="shared" si="43"/>
        <v>132.38399999999999</v>
      </c>
      <c r="AV536" s="65">
        <f t="shared" si="44"/>
        <v>2021.502</v>
      </c>
      <c r="AW536" s="65">
        <f t="shared" si="45"/>
        <v>6657.5460000000003</v>
      </c>
      <c r="AX536" s="65">
        <f t="shared" si="45"/>
        <v>4994.0940000000001</v>
      </c>
      <c r="AY536" s="65">
        <f t="shared" si="41"/>
        <v>6196.7640000000001</v>
      </c>
      <c r="AZ536" s="19">
        <v>52906</v>
      </c>
      <c r="BA536" s="19">
        <v>52853</v>
      </c>
      <c r="BB536" s="19">
        <v>41047</v>
      </c>
      <c r="BC536" s="19">
        <v>3576</v>
      </c>
      <c r="BD536" s="19">
        <v>7065</v>
      </c>
      <c r="BE536" s="23">
        <v>31854.933000000001</v>
      </c>
      <c r="BF536" s="23">
        <v>247268.03200000001</v>
      </c>
      <c r="BG536" s="23"/>
      <c r="BH536" s="23"/>
      <c r="BI536" s="67">
        <v>45.18</v>
      </c>
      <c r="BJ536" s="67">
        <v>1.47</v>
      </c>
      <c r="BK536" s="67">
        <v>1.43</v>
      </c>
      <c r="BL536" s="67">
        <v>1.57</v>
      </c>
      <c r="BM536" s="62"/>
      <c r="BN536" s="62"/>
      <c r="BO536" s="62"/>
      <c r="BP536" s="62"/>
      <c r="BQ536" s="62"/>
      <c r="BR536" s="62"/>
      <c r="BS536" s="62"/>
      <c r="BT536" s="62"/>
      <c r="BU536" s="62"/>
      <c r="BV536" s="62"/>
      <c r="BW536" s="62"/>
      <c r="BX536" s="62"/>
      <c r="BY536" s="62"/>
      <c r="BZ536" s="62"/>
      <c r="CA536" s="62"/>
      <c r="CB536" s="62"/>
      <c r="CC536" s="62"/>
      <c r="CD536" s="62"/>
      <c r="CE536" s="62"/>
      <c r="CF536" s="62"/>
      <c r="CG536" s="62"/>
      <c r="CH536" s="62"/>
      <c r="CI536" s="62"/>
      <c r="CJ536" s="62"/>
      <c r="CK536" s="62"/>
      <c r="CL536" s="62"/>
      <c r="CM536" s="62"/>
      <c r="CN536" s="62"/>
      <c r="CO536" s="62"/>
      <c r="CP536" s="62"/>
      <c r="CQ536" s="62"/>
      <c r="CR536" s="62"/>
      <c r="CS536" s="62"/>
      <c r="CT536" s="62"/>
      <c r="CU536" s="62"/>
      <c r="CV536" s="62"/>
      <c r="CW536" s="62"/>
      <c r="CX536" s="62"/>
      <c r="CY536" s="62"/>
      <c r="CZ536" s="62"/>
      <c r="DA536" s="62"/>
      <c r="DB536" s="62"/>
      <c r="DC536" s="62"/>
      <c r="DD536" s="62"/>
      <c r="DE536" s="62"/>
      <c r="DF536" s="62"/>
      <c r="DG536" s="62"/>
      <c r="DH536" s="62"/>
      <c r="DI536" s="62"/>
      <c r="DJ536" s="62"/>
      <c r="DK536" s="62"/>
      <c r="DL536" s="62"/>
    </row>
    <row r="537" spans="1:116" x14ac:dyDescent="0.2">
      <c r="A537" s="57">
        <v>42917</v>
      </c>
      <c r="B537" s="58">
        <v>2017</v>
      </c>
      <c r="C537" s="66">
        <v>19.341000000000001</v>
      </c>
      <c r="D537" s="62">
        <v>0.26300000000000001</v>
      </c>
      <c r="E537" s="62">
        <v>3559.8389999999999</v>
      </c>
      <c r="F537" s="62">
        <v>149.51300000000001</v>
      </c>
      <c r="G537" s="62">
        <v>19.077000000000002</v>
      </c>
      <c r="H537" s="62">
        <v>1670</v>
      </c>
      <c r="I537" s="62">
        <v>452.95299999999997</v>
      </c>
      <c r="J537" s="62">
        <v>1217.047</v>
      </c>
      <c r="K537" s="62">
        <v>5404.8959999999997</v>
      </c>
      <c r="L537" s="62">
        <v>352.64400000000001</v>
      </c>
      <c r="M537" s="62">
        <v>4424.2420000000002</v>
      </c>
      <c r="N537" s="62">
        <v>185.81800000000001</v>
      </c>
      <c r="O537" s="66">
        <v>23.71</v>
      </c>
      <c r="P537" s="61">
        <v>467.9</v>
      </c>
      <c r="Q537" s="62">
        <v>19.652000000000001</v>
      </c>
      <c r="R537" s="62">
        <v>2.5710000000000002</v>
      </c>
      <c r="S537" s="62">
        <v>396</v>
      </c>
      <c r="T537" s="62"/>
      <c r="U537" s="62">
        <v>708</v>
      </c>
      <c r="V537" s="62">
        <v>-78</v>
      </c>
      <c r="W537" s="62">
        <v>941.9</v>
      </c>
      <c r="X537" s="62">
        <v>39.56</v>
      </c>
      <c r="Y537" s="61">
        <v>5.1749999999999998</v>
      </c>
      <c r="Z537" s="63">
        <v>5.1749999999999998</v>
      </c>
      <c r="AA537" s="64" t="s">
        <v>116</v>
      </c>
      <c r="AB537" s="62" t="s">
        <v>116</v>
      </c>
      <c r="AC537" s="62">
        <v>37.970999999999997</v>
      </c>
      <c r="AD537" s="62">
        <v>1.595</v>
      </c>
      <c r="AE537" s="62">
        <v>0.20300000000000001</v>
      </c>
      <c r="AF537" s="62" t="s">
        <v>140</v>
      </c>
      <c r="AG537" s="62">
        <v>26</v>
      </c>
      <c r="AH537" s="62">
        <v>-5</v>
      </c>
      <c r="AI537" s="62">
        <v>42.970999999999997</v>
      </c>
      <c r="AJ537" s="62">
        <v>1.8049999999999999</v>
      </c>
      <c r="AK537" s="64">
        <v>0.23</v>
      </c>
      <c r="AL537" s="19">
        <v>160018</v>
      </c>
      <c r="AM537" s="19">
        <v>112896</v>
      </c>
      <c r="AN537" s="23">
        <v>3542</v>
      </c>
      <c r="AO537" s="19">
        <v>151494</v>
      </c>
      <c r="AP537" s="19">
        <v>54263</v>
      </c>
      <c r="AQ537" s="19">
        <v>147662</v>
      </c>
      <c r="AR537" s="63"/>
      <c r="AS537" s="63"/>
      <c r="AT537" s="65">
        <f t="shared" si="42"/>
        <v>6362.7479999999996</v>
      </c>
      <c r="AU537" s="65">
        <f t="shared" si="43"/>
        <v>148.76400000000001</v>
      </c>
      <c r="AV537" s="65">
        <f t="shared" si="44"/>
        <v>2279.0459999999998</v>
      </c>
      <c r="AW537" s="65">
        <f t="shared" si="45"/>
        <v>6720.7560000000003</v>
      </c>
      <c r="AX537" s="65">
        <f t="shared" si="45"/>
        <v>4741.6319999999996</v>
      </c>
      <c r="AY537" s="65">
        <f t="shared" si="41"/>
        <v>6201.8040000000001</v>
      </c>
      <c r="AZ537" s="19">
        <v>56312</v>
      </c>
      <c r="BA537" s="19">
        <v>53743</v>
      </c>
      <c r="BB537" s="19">
        <v>41122</v>
      </c>
      <c r="BC537" s="19">
        <v>4327</v>
      </c>
      <c r="BD537" s="19">
        <v>6821</v>
      </c>
      <c r="BE537" s="23">
        <v>63868.207999999999</v>
      </c>
      <c r="BF537" s="23">
        <v>238276.587</v>
      </c>
      <c r="BG537" s="23"/>
      <c r="BH537" s="23"/>
      <c r="BI537" s="67">
        <v>46.63</v>
      </c>
      <c r="BJ537" s="67">
        <v>1.53</v>
      </c>
      <c r="BK537" s="67">
        <v>1.48</v>
      </c>
      <c r="BL537" s="67">
        <v>1.62</v>
      </c>
      <c r="BM537" s="62"/>
      <c r="BN537" s="62"/>
      <c r="BO537" s="62"/>
      <c r="BP537" s="62"/>
      <c r="BQ537" s="62"/>
      <c r="BR537" s="62"/>
      <c r="BS537" s="62"/>
      <c r="BT537" s="62"/>
      <c r="BU537" s="62"/>
      <c r="BV537" s="62"/>
      <c r="BW537" s="62"/>
      <c r="BX537" s="62"/>
      <c r="BY537" s="62"/>
      <c r="BZ537" s="62"/>
      <c r="CA537" s="62"/>
      <c r="CB537" s="62"/>
      <c r="CC537" s="62"/>
      <c r="CD537" s="62"/>
      <c r="CE537" s="62"/>
      <c r="CF537" s="62"/>
      <c r="CG537" s="62"/>
      <c r="CH537" s="62"/>
      <c r="CI537" s="62"/>
      <c r="CJ537" s="62"/>
      <c r="CK537" s="62"/>
      <c r="CL537" s="62"/>
      <c r="CM537" s="62"/>
      <c r="CN537" s="62"/>
      <c r="CO537" s="62"/>
      <c r="CP537" s="62"/>
      <c r="CQ537" s="62"/>
      <c r="CR537" s="62"/>
      <c r="CS537" s="62"/>
      <c r="CT537" s="62"/>
      <c r="CU537" s="62"/>
      <c r="CV537" s="62"/>
      <c r="CW537" s="62"/>
      <c r="CX537" s="62"/>
      <c r="CY537" s="62"/>
      <c r="CZ537" s="62"/>
      <c r="DA537" s="62"/>
      <c r="DB537" s="62"/>
      <c r="DC537" s="62"/>
      <c r="DD537" s="62"/>
      <c r="DE537" s="62"/>
      <c r="DF537" s="62"/>
      <c r="DG537" s="62"/>
      <c r="DH537" s="62"/>
      <c r="DI537" s="62"/>
      <c r="DJ537" s="62"/>
      <c r="DK537" s="62"/>
      <c r="DL537" s="62"/>
    </row>
    <row r="538" spans="1:116" x14ac:dyDescent="0.2">
      <c r="A538" s="57">
        <v>42948</v>
      </c>
      <c r="B538" s="58">
        <v>2017</v>
      </c>
      <c r="C538" s="66">
        <v>19.337</v>
      </c>
      <c r="D538" s="62">
        <v>0.26300000000000001</v>
      </c>
      <c r="E538" s="62">
        <v>3559.1950000000002</v>
      </c>
      <c r="F538" s="62">
        <v>149.48599999999999</v>
      </c>
      <c r="G538" s="62">
        <v>19.074000000000002</v>
      </c>
      <c r="H538" s="62">
        <v>1582</v>
      </c>
      <c r="I538" s="62">
        <v>387.36200000000002</v>
      </c>
      <c r="J538" s="62">
        <v>1194.6379999999999</v>
      </c>
      <c r="K538" s="62">
        <v>5355.5169999999998</v>
      </c>
      <c r="L538" s="62">
        <v>-49.38</v>
      </c>
      <c r="M538" s="62">
        <v>4803.2129999999997</v>
      </c>
      <c r="N538" s="62">
        <v>201.73500000000001</v>
      </c>
      <c r="O538" s="66">
        <v>25.74</v>
      </c>
      <c r="P538" s="61">
        <v>587.43799999999999</v>
      </c>
      <c r="Q538" s="62">
        <v>24.672000000000001</v>
      </c>
      <c r="R538" s="62">
        <v>3.2269999999999999</v>
      </c>
      <c r="S538" s="62">
        <v>371</v>
      </c>
      <c r="T538" s="62"/>
      <c r="U538" s="62">
        <v>678</v>
      </c>
      <c r="V538" s="62">
        <v>-30</v>
      </c>
      <c r="W538" s="62">
        <v>988.43799999999999</v>
      </c>
      <c r="X538" s="62">
        <v>41.514000000000003</v>
      </c>
      <c r="Y538" s="61">
        <v>5.43</v>
      </c>
      <c r="Z538" s="63">
        <v>5.43</v>
      </c>
      <c r="AA538" s="64" t="s">
        <v>116</v>
      </c>
      <c r="AB538" s="62" t="s">
        <v>116</v>
      </c>
      <c r="AC538" s="62">
        <v>47.942999999999998</v>
      </c>
      <c r="AD538" s="62">
        <v>2.0139999999999998</v>
      </c>
      <c r="AE538" s="62">
        <v>0.25700000000000001</v>
      </c>
      <c r="AF538" s="62" t="s">
        <v>140</v>
      </c>
      <c r="AG538" s="62">
        <v>24</v>
      </c>
      <c r="AH538" s="62">
        <v>-2</v>
      </c>
      <c r="AI538" s="62">
        <v>49.942999999999998</v>
      </c>
      <c r="AJ538" s="62">
        <v>2.0979999999999999</v>
      </c>
      <c r="AK538" s="64">
        <v>0.26800000000000002</v>
      </c>
      <c r="AL538" s="19">
        <v>156366</v>
      </c>
      <c r="AM538" s="19">
        <v>124109</v>
      </c>
      <c r="AN538" s="23">
        <v>3571</v>
      </c>
      <c r="AO538" s="19">
        <v>147806</v>
      </c>
      <c r="AP538" s="19">
        <v>42795</v>
      </c>
      <c r="AQ538" s="19">
        <v>145391</v>
      </c>
      <c r="AR538" s="63"/>
      <c r="AS538" s="63"/>
      <c r="AT538" s="65">
        <f t="shared" si="42"/>
        <v>6207.8519999999999</v>
      </c>
      <c r="AU538" s="65">
        <f t="shared" si="43"/>
        <v>149.982</v>
      </c>
      <c r="AV538" s="65">
        <f t="shared" si="44"/>
        <v>1797.39</v>
      </c>
      <c r="AW538" s="65">
        <f t="shared" si="45"/>
        <v>6567.3720000000003</v>
      </c>
      <c r="AX538" s="65">
        <f t="shared" si="45"/>
        <v>5212.5780000000004</v>
      </c>
      <c r="AY538" s="65">
        <f t="shared" si="41"/>
        <v>6106.4219999999996</v>
      </c>
      <c r="AZ538" s="19">
        <v>54671</v>
      </c>
      <c r="BA538" s="19">
        <v>54618</v>
      </c>
      <c r="BB538" s="19">
        <v>40396</v>
      </c>
      <c r="BC538" s="19">
        <v>5354</v>
      </c>
      <c r="BD538" s="19">
        <v>6133</v>
      </c>
      <c r="BE538" s="23">
        <v>54729.832999999999</v>
      </c>
      <c r="BF538" s="23">
        <v>219229.19399999999</v>
      </c>
      <c r="BG538" s="23"/>
      <c r="BH538" s="23"/>
      <c r="BI538" s="67">
        <v>48.04</v>
      </c>
      <c r="BJ538" s="67">
        <v>1.68</v>
      </c>
      <c r="BK538" s="67">
        <v>1.61</v>
      </c>
      <c r="BL538" s="67">
        <v>1.71</v>
      </c>
      <c r="BM538" s="62"/>
      <c r="BN538" s="62"/>
      <c r="BO538" s="62"/>
      <c r="BP538" s="62"/>
      <c r="BQ538" s="62"/>
      <c r="BR538" s="62"/>
      <c r="BS538" s="62"/>
      <c r="BT538" s="62"/>
      <c r="BU538" s="62"/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/>
      <c r="CP538" s="62"/>
      <c r="CQ538" s="62"/>
      <c r="CR538" s="62"/>
      <c r="CS538" s="62"/>
      <c r="CT538" s="62"/>
      <c r="CU538" s="62"/>
      <c r="CV538" s="62"/>
      <c r="CW538" s="62"/>
      <c r="CX538" s="62"/>
      <c r="CY538" s="62"/>
      <c r="CZ538" s="62"/>
      <c r="DA538" s="62"/>
      <c r="DB538" s="62"/>
      <c r="DC538" s="62"/>
      <c r="DD538" s="62"/>
      <c r="DE538" s="62"/>
      <c r="DF538" s="62"/>
      <c r="DG538" s="62"/>
      <c r="DH538" s="62"/>
      <c r="DI538" s="62"/>
      <c r="DJ538" s="62"/>
      <c r="DK538" s="62"/>
      <c r="DL538" s="62"/>
    </row>
    <row r="539" spans="1:116" x14ac:dyDescent="0.2">
      <c r="A539" s="57">
        <v>42979</v>
      </c>
      <c r="B539" s="58">
        <v>2017</v>
      </c>
      <c r="C539" s="66">
        <v>19.053000000000001</v>
      </c>
      <c r="D539" s="62">
        <v>0.26</v>
      </c>
      <c r="E539" s="62">
        <v>3506.9839999999999</v>
      </c>
      <c r="F539" s="62">
        <v>147.29300000000001</v>
      </c>
      <c r="G539" s="62">
        <v>18.794</v>
      </c>
      <c r="H539" s="62">
        <v>205</v>
      </c>
      <c r="I539" s="62">
        <v>99.694999999999993</v>
      </c>
      <c r="J539" s="62">
        <v>105.30500000000001</v>
      </c>
      <c r="K539" s="62">
        <v>4848.5529999999999</v>
      </c>
      <c r="L539" s="62">
        <v>-506.96300000000002</v>
      </c>
      <c r="M539" s="62">
        <v>4119.2520000000004</v>
      </c>
      <c r="N539" s="62">
        <v>173.00899999999999</v>
      </c>
      <c r="O539" s="66">
        <v>22.074999999999999</v>
      </c>
      <c r="P539" s="61">
        <v>523.02499999999998</v>
      </c>
      <c r="Q539" s="62">
        <v>21.966999999999999</v>
      </c>
      <c r="R539" s="62">
        <v>2.8730000000000002</v>
      </c>
      <c r="S539" s="62">
        <v>414</v>
      </c>
      <c r="T539" s="62"/>
      <c r="U539" s="62">
        <v>731</v>
      </c>
      <c r="V539" s="62">
        <v>53</v>
      </c>
      <c r="W539" s="62">
        <v>884.02499999999998</v>
      </c>
      <c r="X539" s="62">
        <v>37.128999999999998</v>
      </c>
      <c r="Y539" s="61">
        <v>4.8570000000000002</v>
      </c>
      <c r="Z539" s="63">
        <v>4.8570000000000002</v>
      </c>
      <c r="AA539" s="64" t="s">
        <v>116</v>
      </c>
      <c r="AB539" s="62" t="s">
        <v>116</v>
      </c>
      <c r="AC539" s="62">
        <v>49.13</v>
      </c>
      <c r="AD539" s="62">
        <v>2.0630000000000002</v>
      </c>
      <c r="AE539" s="62">
        <v>0.26300000000000001</v>
      </c>
      <c r="AF539" s="62" t="s">
        <v>140</v>
      </c>
      <c r="AG539" s="62">
        <v>32</v>
      </c>
      <c r="AH539" s="62">
        <v>8</v>
      </c>
      <c r="AI539" s="62">
        <v>41.13</v>
      </c>
      <c r="AJ539" s="62">
        <v>1.7270000000000001</v>
      </c>
      <c r="AK539" s="64">
        <v>0.22</v>
      </c>
      <c r="AL539" s="19">
        <v>136792</v>
      </c>
      <c r="AM539" s="19">
        <v>117636</v>
      </c>
      <c r="AN539" s="23">
        <v>3596</v>
      </c>
      <c r="AO539" s="19">
        <v>137331</v>
      </c>
      <c r="AP539" s="19">
        <v>35885</v>
      </c>
      <c r="AQ539" s="19">
        <v>126703</v>
      </c>
      <c r="AR539" s="63"/>
      <c r="AS539" s="63"/>
      <c r="AT539" s="65">
        <f t="shared" si="42"/>
        <v>5767.902</v>
      </c>
      <c r="AU539" s="65">
        <f t="shared" si="43"/>
        <v>151.03200000000001</v>
      </c>
      <c r="AV539" s="65">
        <f t="shared" si="44"/>
        <v>1507.17</v>
      </c>
      <c r="AW539" s="65">
        <f t="shared" si="45"/>
        <v>5745.2640000000001</v>
      </c>
      <c r="AX539" s="65">
        <f t="shared" si="45"/>
        <v>4940.7120000000004</v>
      </c>
      <c r="AY539" s="65">
        <f t="shared" si="41"/>
        <v>5321.5259999999998</v>
      </c>
      <c r="AZ539" s="19">
        <v>49938</v>
      </c>
      <c r="BA539" s="19">
        <v>48804</v>
      </c>
      <c r="BB539" s="19">
        <v>43638</v>
      </c>
      <c r="BC539" s="19">
        <v>5970</v>
      </c>
      <c r="BD539" s="19">
        <v>3862</v>
      </c>
      <c r="BE539" s="23">
        <v>14145.852999999999</v>
      </c>
      <c r="BF539" s="23">
        <v>32044.404999999999</v>
      </c>
      <c r="BG539" s="23"/>
      <c r="BH539" s="23"/>
      <c r="BI539" s="67">
        <v>49.82</v>
      </c>
      <c r="BJ539" s="67">
        <v>1.85</v>
      </c>
      <c r="BK539" s="67">
        <v>1.79</v>
      </c>
      <c r="BL539" s="67">
        <v>1.83</v>
      </c>
      <c r="BM539" s="62"/>
      <c r="BN539" s="62"/>
      <c r="BO539" s="62"/>
      <c r="BP539" s="62"/>
      <c r="BQ539" s="62"/>
      <c r="BR539" s="62"/>
      <c r="BS539" s="62"/>
      <c r="BT539" s="62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62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  <c r="DK539" s="62"/>
      <c r="DL539" s="62"/>
    </row>
    <row r="540" spans="1:116" x14ac:dyDescent="0.2">
      <c r="A540" s="57">
        <v>43009</v>
      </c>
      <c r="B540" s="58">
        <v>2017</v>
      </c>
      <c r="C540" s="66">
        <v>19.096</v>
      </c>
      <c r="D540" s="62">
        <v>0.26</v>
      </c>
      <c r="E540" s="62">
        <v>3514.8580000000002</v>
      </c>
      <c r="F540" s="62">
        <v>147.624</v>
      </c>
      <c r="G540" s="62">
        <v>18.835999999999999</v>
      </c>
      <c r="H540" s="62">
        <v>386</v>
      </c>
      <c r="I540" s="62">
        <v>217.33600000000001</v>
      </c>
      <c r="J540" s="62">
        <v>168.66399999999999</v>
      </c>
      <c r="K540" s="62">
        <v>4484.9409999999998</v>
      </c>
      <c r="L540" s="62">
        <v>-363.61200000000002</v>
      </c>
      <c r="M540" s="62">
        <v>4047.134</v>
      </c>
      <c r="N540" s="62">
        <v>169.98</v>
      </c>
      <c r="O540" s="66">
        <v>21.689</v>
      </c>
      <c r="P540" s="61">
        <v>603.49599999999998</v>
      </c>
      <c r="Q540" s="62">
        <v>25.347000000000001</v>
      </c>
      <c r="R540" s="62">
        <v>3.3159999999999998</v>
      </c>
      <c r="S540" s="62">
        <v>387</v>
      </c>
      <c r="T540" s="62"/>
      <c r="U540" s="62">
        <v>732</v>
      </c>
      <c r="V540" s="62">
        <v>1</v>
      </c>
      <c r="W540" s="62">
        <v>989.49599999999998</v>
      </c>
      <c r="X540" s="62">
        <v>41.558999999999997</v>
      </c>
      <c r="Y540" s="61">
        <v>5.4359999999999999</v>
      </c>
      <c r="Z540" s="63">
        <v>5.4359999999999999</v>
      </c>
      <c r="AA540" s="64" t="s">
        <v>116</v>
      </c>
      <c r="AB540" s="62" t="s">
        <v>116</v>
      </c>
      <c r="AC540" s="62">
        <v>48.314999999999998</v>
      </c>
      <c r="AD540" s="62">
        <v>2.0289999999999999</v>
      </c>
      <c r="AE540" s="62">
        <v>0.25900000000000001</v>
      </c>
      <c r="AF540" s="62" t="s">
        <v>140</v>
      </c>
      <c r="AG540" s="62">
        <v>33</v>
      </c>
      <c r="AH540" s="62">
        <v>1</v>
      </c>
      <c r="AI540" s="62">
        <v>47.314999999999998</v>
      </c>
      <c r="AJ540" s="62">
        <v>1.9870000000000001</v>
      </c>
      <c r="AK540" s="64">
        <v>0.254</v>
      </c>
      <c r="AL540" s="19">
        <v>154133</v>
      </c>
      <c r="AM540" s="19">
        <v>124348</v>
      </c>
      <c r="AN540" s="23">
        <v>4139</v>
      </c>
      <c r="AO540" s="19">
        <v>130053</v>
      </c>
      <c r="AP540" s="19">
        <v>43804</v>
      </c>
      <c r="AQ540" s="19">
        <v>143080</v>
      </c>
      <c r="AR540" s="63"/>
      <c r="AS540" s="63"/>
      <c r="AT540" s="65">
        <f t="shared" si="42"/>
        <v>5462.2259999999997</v>
      </c>
      <c r="AU540" s="65">
        <f t="shared" si="43"/>
        <v>173.83799999999999</v>
      </c>
      <c r="AV540" s="65">
        <f t="shared" si="44"/>
        <v>1839.768</v>
      </c>
      <c r="AW540" s="65">
        <f t="shared" si="45"/>
        <v>6473.5860000000002</v>
      </c>
      <c r="AX540" s="65">
        <f t="shared" si="45"/>
        <v>5222.616</v>
      </c>
      <c r="AY540" s="65">
        <f t="shared" si="41"/>
        <v>6009.36</v>
      </c>
      <c r="AZ540" s="19">
        <v>49926</v>
      </c>
      <c r="BA540" s="19">
        <v>54284</v>
      </c>
      <c r="BB540" s="19">
        <v>41825</v>
      </c>
      <c r="BC540" s="19">
        <v>7145</v>
      </c>
      <c r="BD540" s="19">
        <v>4600</v>
      </c>
      <c r="BE540" s="23">
        <v>30677.050999999999</v>
      </c>
      <c r="BF540" s="23">
        <v>49965.906000000003</v>
      </c>
      <c r="BG540" s="23"/>
      <c r="BH540" s="23"/>
      <c r="BI540" s="67">
        <v>51.58</v>
      </c>
      <c r="BJ540" s="67">
        <v>1.85</v>
      </c>
      <c r="BK540" s="67">
        <v>1.74</v>
      </c>
      <c r="BL540" s="67">
        <v>1.73</v>
      </c>
      <c r="BM540" s="62"/>
      <c r="BN540" s="62"/>
      <c r="BO540" s="62"/>
      <c r="BP540" s="62"/>
      <c r="BQ540" s="62"/>
      <c r="BR540" s="62"/>
      <c r="BS540" s="62"/>
      <c r="BT540" s="62"/>
      <c r="BU540" s="62"/>
      <c r="BV540" s="62"/>
      <c r="BW540" s="62"/>
      <c r="BX540" s="62"/>
      <c r="BY540" s="62"/>
      <c r="BZ540" s="62"/>
      <c r="CA540" s="62"/>
      <c r="CB540" s="62"/>
      <c r="CC540" s="62"/>
      <c r="CD540" s="62"/>
      <c r="CE540" s="62"/>
      <c r="CF540" s="62"/>
      <c r="CG540" s="62"/>
      <c r="CH540" s="62"/>
      <c r="CI540" s="62"/>
      <c r="CJ540" s="62"/>
      <c r="CK540" s="62"/>
      <c r="CL540" s="62"/>
      <c r="CM540" s="62"/>
      <c r="CN540" s="62"/>
      <c r="CO540" s="62"/>
      <c r="CP540" s="62"/>
      <c r="CQ540" s="62"/>
      <c r="CR540" s="62"/>
      <c r="CS540" s="62"/>
      <c r="CT540" s="62"/>
      <c r="CU540" s="62"/>
      <c r="CV540" s="62"/>
      <c r="CW540" s="62"/>
      <c r="CX540" s="62"/>
      <c r="CY540" s="62"/>
      <c r="CZ540" s="62"/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  <c r="DK540" s="62"/>
      <c r="DL540" s="62"/>
    </row>
    <row r="541" spans="1:116" x14ac:dyDescent="0.2">
      <c r="A541" s="57">
        <v>43040</v>
      </c>
      <c r="B541" s="58">
        <v>2017</v>
      </c>
      <c r="C541" s="66">
        <v>19.141999999999999</v>
      </c>
      <c r="D541" s="62">
        <v>0.26100000000000001</v>
      </c>
      <c r="E541" s="62">
        <v>3523.34</v>
      </c>
      <c r="F541" s="62">
        <v>147.97999999999999</v>
      </c>
      <c r="G541" s="62">
        <v>18.882000000000001</v>
      </c>
      <c r="H541" s="62">
        <v>222</v>
      </c>
      <c r="I541" s="62">
        <v>49.345999999999997</v>
      </c>
      <c r="J541" s="62">
        <v>172.654</v>
      </c>
      <c r="K541" s="62">
        <v>4233.2470000000003</v>
      </c>
      <c r="L541" s="62">
        <v>-251.69399999999999</v>
      </c>
      <c r="M541" s="62">
        <v>3947.6880000000001</v>
      </c>
      <c r="N541" s="62">
        <v>165.803</v>
      </c>
      <c r="O541" s="66">
        <v>21.155999999999999</v>
      </c>
      <c r="P541" s="61">
        <v>551.82799999999997</v>
      </c>
      <c r="Q541" s="62">
        <v>23.177</v>
      </c>
      <c r="R541" s="62">
        <v>3.032</v>
      </c>
      <c r="S541" s="62">
        <v>345</v>
      </c>
      <c r="T541" s="62"/>
      <c r="U541" s="62">
        <v>881</v>
      </c>
      <c r="V541" s="62">
        <v>149</v>
      </c>
      <c r="W541" s="62">
        <v>747.82799999999997</v>
      </c>
      <c r="X541" s="62">
        <v>31.408999999999999</v>
      </c>
      <c r="Y541" s="61">
        <v>4.109</v>
      </c>
      <c r="Z541" s="63">
        <v>4.109</v>
      </c>
      <c r="AA541" s="64" t="s">
        <v>116</v>
      </c>
      <c r="AB541" s="62" t="s">
        <v>116</v>
      </c>
      <c r="AC541" s="62">
        <v>49.112000000000002</v>
      </c>
      <c r="AD541" s="62">
        <v>2.0630000000000002</v>
      </c>
      <c r="AE541" s="62">
        <v>0.26300000000000001</v>
      </c>
      <c r="AF541" s="62" t="s">
        <v>140</v>
      </c>
      <c r="AG541" s="62">
        <v>25</v>
      </c>
      <c r="AH541" s="62">
        <v>-8</v>
      </c>
      <c r="AI541" s="62">
        <v>57.112000000000002</v>
      </c>
      <c r="AJ541" s="62">
        <v>2.399</v>
      </c>
      <c r="AK541" s="64">
        <v>0.30599999999999999</v>
      </c>
      <c r="AL541" s="19">
        <v>160863</v>
      </c>
      <c r="AM541" s="19">
        <v>124723</v>
      </c>
      <c r="AN541" s="23">
        <v>5400</v>
      </c>
      <c r="AO541" s="19">
        <v>133387</v>
      </c>
      <c r="AP541" s="19">
        <v>40742</v>
      </c>
      <c r="AQ541" s="19">
        <v>149839</v>
      </c>
      <c r="AR541" s="63"/>
      <c r="AS541" s="63"/>
      <c r="AT541" s="65">
        <f t="shared" si="42"/>
        <v>5602.2539999999999</v>
      </c>
      <c r="AU541" s="65">
        <f t="shared" si="43"/>
        <v>226.8</v>
      </c>
      <c r="AV541" s="65">
        <f t="shared" si="44"/>
        <v>1711.164</v>
      </c>
      <c r="AW541" s="65">
        <f t="shared" si="45"/>
        <v>6756.2460000000001</v>
      </c>
      <c r="AX541" s="65">
        <f t="shared" si="45"/>
        <v>5238.366</v>
      </c>
      <c r="AY541" s="65">
        <f t="shared" si="41"/>
        <v>6293.2380000000003</v>
      </c>
      <c r="AZ541" s="19">
        <v>50119</v>
      </c>
      <c r="BA541" s="19">
        <v>50560</v>
      </c>
      <c r="BB541" s="19">
        <v>41150</v>
      </c>
      <c r="BC541" s="19">
        <v>5807</v>
      </c>
      <c r="BD541" s="19">
        <v>6041</v>
      </c>
      <c r="BE541" s="23">
        <v>6962.4059999999999</v>
      </c>
      <c r="BF541" s="23">
        <v>31925.800999999999</v>
      </c>
      <c r="BG541" s="23"/>
      <c r="BH541" s="23"/>
      <c r="BI541" s="67">
        <v>56.64</v>
      </c>
      <c r="BJ541" s="67">
        <v>1.94</v>
      </c>
      <c r="BK541" s="67">
        <v>1.83</v>
      </c>
      <c r="BL541" s="67">
        <v>1.81</v>
      </c>
      <c r="BM541" s="62"/>
      <c r="BN541" s="62"/>
      <c r="BO541" s="62"/>
      <c r="BP541" s="62"/>
      <c r="BQ541" s="62"/>
      <c r="BR541" s="62"/>
      <c r="BS541" s="62"/>
      <c r="BT541" s="62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62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  <c r="DK541" s="62"/>
      <c r="DL541" s="62"/>
    </row>
    <row r="542" spans="1:116" x14ac:dyDescent="0.2">
      <c r="A542" s="57">
        <v>43070</v>
      </c>
      <c r="B542" s="58">
        <v>2017</v>
      </c>
      <c r="C542" s="66">
        <v>19.097999999999999</v>
      </c>
      <c r="D542" s="62">
        <v>0.26</v>
      </c>
      <c r="E542" s="62">
        <v>3515.2170000000001</v>
      </c>
      <c r="F542" s="62">
        <v>147.63900000000001</v>
      </c>
      <c r="G542" s="62">
        <v>18.838000000000001</v>
      </c>
      <c r="H542" s="62">
        <v>504</v>
      </c>
      <c r="I542" s="62">
        <v>35.188000000000002</v>
      </c>
      <c r="J542" s="62">
        <v>468.81200000000001</v>
      </c>
      <c r="K542" s="62">
        <v>4267.9489999999996</v>
      </c>
      <c r="L542" s="62">
        <v>34.701000000000001</v>
      </c>
      <c r="M542" s="62">
        <v>3949.328</v>
      </c>
      <c r="N542" s="62">
        <v>165.87200000000001</v>
      </c>
      <c r="O542" s="66">
        <v>21.164000000000001</v>
      </c>
      <c r="P542" s="61">
        <v>607.72299999999996</v>
      </c>
      <c r="Q542" s="62">
        <v>25.524000000000001</v>
      </c>
      <c r="R542" s="62">
        <v>3.339</v>
      </c>
      <c r="S542" s="62">
        <v>299</v>
      </c>
      <c r="T542" s="62"/>
      <c r="U542" s="62">
        <v>753</v>
      </c>
      <c r="V542" s="62">
        <v>-128</v>
      </c>
      <c r="W542" s="62">
        <v>1034.723</v>
      </c>
      <c r="X542" s="62">
        <v>43.457999999999998</v>
      </c>
      <c r="Y542" s="61">
        <v>5.6849999999999996</v>
      </c>
      <c r="Z542" s="63">
        <v>5.6849999999999996</v>
      </c>
      <c r="AA542" s="64" t="s">
        <v>116</v>
      </c>
      <c r="AB542" s="62" t="s">
        <v>116</v>
      </c>
      <c r="AC542" s="62">
        <v>64.468000000000004</v>
      </c>
      <c r="AD542" s="62">
        <v>2.7080000000000002</v>
      </c>
      <c r="AE542" s="62">
        <v>0.34499999999999997</v>
      </c>
      <c r="AF542" s="62" t="s">
        <v>140</v>
      </c>
      <c r="AG542" s="62">
        <v>28</v>
      </c>
      <c r="AH542" s="62">
        <v>3</v>
      </c>
      <c r="AI542" s="62">
        <v>61.468000000000004</v>
      </c>
      <c r="AJ542" s="62">
        <v>2.5819999999999999</v>
      </c>
      <c r="AK542" s="64">
        <v>0.32900000000000001</v>
      </c>
      <c r="AL542" s="19">
        <v>167644</v>
      </c>
      <c r="AM542" s="19">
        <v>123234</v>
      </c>
      <c r="AN542" s="23">
        <v>8748</v>
      </c>
      <c r="AO542" s="19">
        <v>145638</v>
      </c>
      <c r="AP542" s="19">
        <v>43648</v>
      </c>
      <c r="AQ542" s="19">
        <v>156140</v>
      </c>
      <c r="AR542" s="63"/>
      <c r="AS542" s="63"/>
      <c r="AT542" s="65">
        <f t="shared" si="42"/>
        <v>6116.7960000000003</v>
      </c>
      <c r="AU542" s="65">
        <f t="shared" si="43"/>
        <v>367.416</v>
      </c>
      <c r="AV542" s="65">
        <f t="shared" si="44"/>
        <v>1833.2159999999999</v>
      </c>
      <c r="AW542" s="65">
        <f t="shared" si="45"/>
        <v>7041.0479999999998</v>
      </c>
      <c r="AX542" s="65">
        <f t="shared" si="45"/>
        <v>5175.8280000000004</v>
      </c>
      <c r="AY542" s="65">
        <f t="shared" si="41"/>
        <v>6557.88</v>
      </c>
      <c r="AZ542" s="19">
        <v>55319</v>
      </c>
      <c r="BA542" s="19">
        <v>54421</v>
      </c>
      <c r="BB542" s="19">
        <v>41304</v>
      </c>
      <c r="BC542" s="19">
        <v>4668</v>
      </c>
      <c r="BD542" s="19">
        <v>5412</v>
      </c>
      <c r="BE542" s="23">
        <v>4961.2920000000004</v>
      </c>
      <c r="BF542" s="23">
        <v>71760.593999999997</v>
      </c>
      <c r="BG542" s="23"/>
      <c r="BH542" s="23"/>
      <c r="BI542" s="67">
        <v>57.88</v>
      </c>
      <c r="BJ542" s="67">
        <v>1.92</v>
      </c>
      <c r="BK542" s="67">
        <v>1.87</v>
      </c>
      <c r="BL542" s="67">
        <v>1.72</v>
      </c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62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  <c r="DK542" s="62"/>
      <c r="DL542" s="62"/>
    </row>
    <row r="543" spans="1:116" x14ac:dyDescent="0.2">
      <c r="A543" s="57">
        <v>43101</v>
      </c>
      <c r="B543" s="58">
        <v>2018</v>
      </c>
      <c r="C543" s="66">
        <v>16.238</v>
      </c>
      <c r="D543" s="62">
        <v>0.221</v>
      </c>
      <c r="E543" s="62">
        <v>2988.6819999999998</v>
      </c>
      <c r="F543" s="62">
        <v>125.52500000000001</v>
      </c>
      <c r="G543" s="62">
        <v>16.015999999999998</v>
      </c>
      <c r="H543" s="62">
        <v>246</v>
      </c>
      <c r="I543" s="62">
        <v>84.281000000000006</v>
      </c>
      <c r="J543" s="62">
        <v>161.71899999999999</v>
      </c>
      <c r="K543" s="62">
        <v>4565.1189999999997</v>
      </c>
      <c r="L543" s="62">
        <v>297.17099999999999</v>
      </c>
      <c r="M543" s="62">
        <v>2853.23</v>
      </c>
      <c r="N543" s="62">
        <v>119.836</v>
      </c>
      <c r="O543" s="66">
        <v>15.29</v>
      </c>
      <c r="P543" s="61">
        <v>325.73</v>
      </c>
      <c r="Q543" s="62">
        <v>13.680999999999999</v>
      </c>
      <c r="R543" s="62">
        <v>1.79</v>
      </c>
      <c r="S543" s="62">
        <v>506</v>
      </c>
      <c r="T543" s="62"/>
      <c r="U543" s="62">
        <v>1115</v>
      </c>
      <c r="V543" s="62">
        <v>362</v>
      </c>
      <c r="W543" s="62">
        <v>469.73</v>
      </c>
      <c r="X543" s="62">
        <v>19.728999999999999</v>
      </c>
      <c r="Y543" s="61">
        <v>2.581</v>
      </c>
      <c r="Z543" s="63">
        <v>2.581</v>
      </c>
      <c r="AA543" s="64" t="s">
        <v>116</v>
      </c>
      <c r="AB543" s="62" t="s">
        <v>116</v>
      </c>
      <c r="AC543" s="62">
        <v>51.387</v>
      </c>
      <c r="AD543" s="62">
        <v>2.1579999999999999</v>
      </c>
      <c r="AE543" s="62">
        <v>0.27500000000000002</v>
      </c>
      <c r="AF543" s="62" t="s">
        <v>140</v>
      </c>
      <c r="AG543" s="62">
        <v>31</v>
      </c>
      <c r="AH543" s="62">
        <v>3</v>
      </c>
      <c r="AI543" s="62">
        <v>48.387</v>
      </c>
      <c r="AJ543" s="62">
        <v>2.032</v>
      </c>
      <c r="AK543" s="64">
        <v>0.25900000000000001</v>
      </c>
      <c r="AL543" s="19">
        <v>155184</v>
      </c>
      <c r="AM543" s="19">
        <v>139222</v>
      </c>
      <c r="AN543" s="23">
        <v>9002</v>
      </c>
      <c r="AO543" s="19">
        <v>141340</v>
      </c>
      <c r="AP543" s="19">
        <v>30959</v>
      </c>
      <c r="AQ543" s="19">
        <v>141996</v>
      </c>
      <c r="AR543" s="68">
        <v>4687.2000000000007</v>
      </c>
      <c r="AS543" s="68">
        <v>6523.0199999999995</v>
      </c>
      <c r="AT543" s="65">
        <f t="shared" si="42"/>
        <v>5936.28</v>
      </c>
      <c r="AU543" s="65">
        <f t="shared" si="43"/>
        <v>378.084</v>
      </c>
      <c r="AV543" s="65">
        <f t="shared" si="44"/>
        <v>1300.278</v>
      </c>
      <c r="AW543" s="65">
        <f t="shared" si="45"/>
        <v>6517.7280000000001</v>
      </c>
      <c r="AX543" s="65">
        <f t="shared" si="45"/>
        <v>5847.3239999999996</v>
      </c>
      <c r="AY543" s="65">
        <f t="shared" si="41"/>
        <v>5963.8320000000003</v>
      </c>
      <c r="AZ543" s="19">
        <v>52295</v>
      </c>
      <c r="BA543" s="19">
        <v>48609</v>
      </c>
      <c r="BB543" s="19">
        <v>42641</v>
      </c>
      <c r="BC543" s="19">
        <v>3751</v>
      </c>
      <c r="BD543" s="19">
        <v>6100</v>
      </c>
      <c r="BE543" s="23">
        <v>11883.787</v>
      </c>
      <c r="BF543" s="23">
        <v>35959.538999999997</v>
      </c>
      <c r="BG543" s="23"/>
      <c r="BH543" s="23"/>
      <c r="BI543" s="67">
        <v>63.7</v>
      </c>
      <c r="BJ543" s="67">
        <v>2.04</v>
      </c>
      <c r="BK543" s="67">
        <v>2.0099999999999998</v>
      </c>
      <c r="BL543" s="67">
        <v>1.85</v>
      </c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62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  <c r="DK543" s="62"/>
      <c r="DL543" s="62"/>
    </row>
    <row r="544" spans="1:116" x14ac:dyDescent="0.2">
      <c r="A544" s="57">
        <v>43132</v>
      </c>
      <c r="B544" s="58">
        <v>2018</v>
      </c>
      <c r="C544" s="66">
        <v>16.550999999999998</v>
      </c>
      <c r="D544" s="62">
        <v>0.22500000000000001</v>
      </c>
      <c r="E544" s="62">
        <v>3046.3159999999998</v>
      </c>
      <c r="F544" s="62">
        <v>127.94499999999999</v>
      </c>
      <c r="G544" s="62">
        <v>16.324999999999999</v>
      </c>
      <c r="H544" s="62">
        <v>146</v>
      </c>
      <c r="I544" s="62">
        <v>103.30200000000001</v>
      </c>
      <c r="J544" s="62">
        <v>42.698</v>
      </c>
      <c r="K544" s="62">
        <v>4933.826</v>
      </c>
      <c r="L544" s="62">
        <v>368.70600000000002</v>
      </c>
      <c r="M544" s="62">
        <v>2720.308</v>
      </c>
      <c r="N544" s="62">
        <v>114.253</v>
      </c>
      <c r="O544" s="66">
        <v>14.577999999999999</v>
      </c>
      <c r="P544" s="61">
        <v>514.4</v>
      </c>
      <c r="Q544" s="62">
        <v>21.605</v>
      </c>
      <c r="R544" s="62">
        <v>2.8260000000000001</v>
      </c>
      <c r="S544" s="62">
        <v>337</v>
      </c>
      <c r="T544" s="62"/>
      <c r="U544" s="62">
        <v>1012</v>
      </c>
      <c r="V544" s="62">
        <v>-103</v>
      </c>
      <c r="W544" s="62">
        <v>954.4</v>
      </c>
      <c r="X544" s="62">
        <v>40.085000000000001</v>
      </c>
      <c r="Y544" s="61">
        <v>5.2430000000000003</v>
      </c>
      <c r="Z544" s="63">
        <v>5.2430000000000003</v>
      </c>
      <c r="AA544" s="64" t="s">
        <v>116</v>
      </c>
      <c r="AB544" s="62" t="s">
        <v>116</v>
      </c>
      <c r="AC544" s="62">
        <v>57.927</v>
      </c>
      <c r="AD544" s="62">
        <v>2.4329999999999998</v>
      </c>
      <c r="AE544" s="62">
        <v>0.31</v>
      </c>
      <c r="AF544" s="62" t="s">
        <v>140</v>
      </c>
      <c r="AG544" s="62">
        <v>36</v>
      </c>
      <c r="AH544" s="62">
        <v>5</v>
      </c>
      <c r="AI544" s="62">
        <v>52.927</v>
      </c>
      <c r="AJ544" s="62">
        <v>2.2229999999999999</v>
      </c>
      <c r="AK544" s="64">
        <v>0.28399999999999997</v>
      </c>
      <c r="AL544" s="19">
        <v>128356</v>
      </c>
      <c r="AM544" s="19">
        <v>111420</v>
      </c>
      <c r="AN544" s="23">
        <v>7954</v>
      </c>
      <c r="AO544" s="19">
        <v>138888</v>
      </c>
      <c r="AP544" s="19">
        <v>28954</v>
      </c>
      <c r="AQ544" s="19">
        <v>118329</v>
      </c>
      <c r="AR544" s="68">
        <v>4033.6800000000003</v>
      </c>
      <c r="AS544" s="68">
        <v>5386.08</v>
      </c>
      <c r="AT544" s="65">
        <f t="shared" si="42"/>
        <v>5833.2960000000003</v>
      </c>
      <c r="AU544" s="65">
        <f t="shared" si="43"/>
        <v>334.06799999999998</v>
      </c>
      <c r="AV544" s="65">
        <f t="shared" si="44"/>
        <v>1216.068</v>
      </c>
      <c r="AW544" s="65">
        <f t="shared" si="45"/>
        <v>5390.9520000000002</v>
      </c>
      <c r="AX544" s="65">
        <f t="shared" si="45"/>
        <v>4679.6400000000003</v>
      </c>
      <c r="AY544" s="65">
        <f t="shared" si="41"/>
        <v>4969.8180000000002</v>
      </c>
      <c r="AZ544" s="19">
        <v>47268</v>
      </c>
      <c r="BA544" s="19">
        <v>44512</v>
      </c>
      <c r="BB544" s="19">
        <v>43053</v>
      </c>
      <c r="BC544" s="19">
        <v>2595</v>
      </c>
      <c r="BD544" s="19">
        <v>4939</v>
      </c>
      <c r="BE544" s="23">
        <v>14559.634</v>
      </c>
      <c r="BF544" s="23">
        <v>36826.222000000002</v>
      </c>
      <c r="BG544" s="23"/>
      <c r="BH544" s="23"/>
      <c r="BI544" s="67">
        <v>62.23</v>
      </c>
      <c r="BJ544" s="67">
        <v>1.97</v>
      </c>
      <c r="BK544" s="67">
        <v>1.97</v>
      </c>
      <c r="BL544" s="67">
        <v>1.82</v>
      </c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62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  <c r="DK544" s="62"/>
      <c r="DL544" s="62"/>
    </row>
    <row r="545" spans="1:116" x14ac:dyDescent="0.2">
      <c r="A545" s="57">
        <v>43160</v>
      </c>
      <c r="B545" s="58">
        <v>2018</v>
      </c>
      <c r="C545" s="66">
        <v>19.291</v>
      </c>
      <c r="D545" s="62">
        <v>0.26300000000000001</v>
      </c>
      <c r="E545" s="62">
        <v>3550.6529999999998</v>
      </c>
      <c r="F545" s="62">
        <v>149.12700000000001</v>
      </c>
      <c r="G545" s="62">
        <v>19.027999999999999</v>
      </c>
      <c r="H545" s="62">
        <v>457</v>
      </c>
      <c r="I545" s="62">
        <v>257.08100000000002</v>
      </c>
      <c r="J545" s="62">
        <v>199.91900000000001</v>
      </c>
      <c r="K545" s="62">
        <v>4924.6450000000004</v>
      </c>
      <c r="L545" s="62">
        <v>-9.1820000000000004</v>
      </c>
      <c r="M545" s="62">
        <v>3759.7539999999999</v>
      </c>
      <c r="N545" s="62">
        <v>157.91</v>
      </c>
      <c r="O545" s="66">
        <v>20.149000000000001</v>
      </c>
      <c r="P545" s="61">
        <v>596.85699999999997</v>
      </c>
      <c r="Q545" s="62">
        <v>25.068000000000001</v>
      </c>
      <c r="R545" s="62">
        <v>3.2789999999999999</v>
      </c>
      <c r="S545" s="62">
        <v>275</v>
      </c>
      <c r="T545" s="62"/>
      <c r="U545" s="62">
        <v>1305</v>
      </c>
      <c r="V545" s="62">
        <v>293</v>
      </c>
      <c r="W545" s="62">
        <v>578.85699999999997</v>
      </c>
      <c r="X545" s="62">
        <v>24.312000000000001</v>
      </c>
      <c r="Y545" s="61">
        <v>3.18</v>
      </c>
      <c r="Z545" s="63">
        <v>3.18</v>
      </c>
      <c r="AA545" s="64" t="s">
        <v>116</v>
      </c>
      <c r="AB545" s="62" t="s">
        <v>116</v>
      </c>
      <c r="AC545" s="62">
        <v>65.016000000000005</v>
      </c>
      <c r="AD545" s="62">
        <v>2.7309999999999999</v>
      </c>
      <c r="AE545" s="62">
        <v>0.34799999999999998</v>
      </c>
      <c r="AF545" s="62" t="s">
        <v>140</v>
      </c>
      <c r="AG545" s="62">
        <v>46</v>
      </c>
      <c r="AH545" s="62">
        <v>10</v>
      </c>
      <c r="AI545" s="62">
        <v>55.015999999999998</v>
      </c>
      <c r="AJ545" s="62">
        <v>2.3109999999999999</v>
      </c>
      <c r="AK545" s="64">
        <v>0.29499999999999998</v>
      </c>
      <c r="AL545" s="19">
        <v>149498</v>
      </c>
      <c r="AM545" s="19">
        <v>130091</v>
      </c>
      <c r="AN545" s="23">
        <v>4867</v>
      </c>
      <c r="AO545" s="19">
        <v>130478</v>
      </c>
      <c r="AP545" s="19">
        <v>34968</v>
      </c>
      <c r="AQ545" s="19">
        <v>138738</v>
      </c>
      <c r="AR545" s="68">
        <v>4960.62</v>
      </c>
      <c r="AS545" s="68">
        <v>6275.64</v>
      </c>
      <c r="AT545" s="65">
        <f t="shared" si="42"/>
        <v>5480.076</v>
      </c>
      <c r="AU545" s="65">
        <f t="shared" si="43"/>
        <v>204.41399999999999</v>
      </c>
      <c r="AV545" s="65">
        <f t="shared" si="44"/>
        <v>1468.6559999999999</v>
      </c>
      <c r="AW545" s="65">
        <f t="shared" si="45"/>
        <v>6278.9160000000002</v>
      </c>
      <c r="AX545" s="65">
        <f t="shared" si="45"/>
        <v>5463.8220000000001</v>
      </c>
      <c r="AY545" s="65">
        <f t="shared" si="41"/>
        <v>5826.9960000000001</v>
      </c>
      <c r="AZ545" s="19">
        <v>55200</v>
      </c>
      <c r="BA545" s="19">
        <v>52884</v>
      </c>
      <c r="BB545" s="19">
        <v>40346</v>
      </c>
      <c r="BC545" s="19">
        <v>2647</v>
      </c>
      <c r="BD545" s="19">
        <v>7670</v>
      </c>
      <c r="BE545" s="23">
        <v>36233.953000000001</v>
      </c>
      <c r="BF545" s="23">
        <v>48659.711000000003</v>
      </c>
      <c r="BG545" s="23"/>
      <c r="BH545" s="23"/>
      <c r="BI545" s="67">
        <v>62.73</v>
      </c>
      <c r="BJ545" s="67">
        <v>1.95</v>
      </c>
      <c r="BK545" s="67">
        <v>1.92</v>
      </c>
      <c r="BL545" s="67">
        <v>1.89</v>
      </c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62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  <c r="DK545" s="62"/>
      <c r="DL545" s="62"/>
    </row>
    <row r="546" spans="1:116" x14ac:dyDescent="0.2">
      <c r="A546" s="57">
        <v>43191</v>
      </c>
      <c r="B546" s="58">
        <v>2018</v>
      </c>
      <c r="C546" s="66">
        <v>18.437000000000001</v>
      </c>
      <c r="D546" s="62">
        <v>0.251</v>
      </c>
      <c r="E546" s="62">
        <v>3393.4540000000002</v>
      </c>
      <c r="F546" s="62">
        <v>142.52500000000001</v>
      </c>
      <c r="G546" s="62">
        <v>18.186</v>
      </c>
      <c r="H546" s="62">
        <v>308</v>
      </c>
      <c r="I546" s="62">
        <v>217.471</v>
      </c>
      <c r="J546" s="62">
        <v>90.528999999999996</v>
      </c>
      <c r="K546" s="62">
        <v>4715.8040000000001</v>
      </c>
      <c r="L546" s="62">
        <v>-208.84100000000001</v>
      </c>
      <c r="M546" s="62">
        <v>3692.8240000000001</v>
      </c>
      <c r="N546" s="62">
        <v>155.09899999999999</v>
      </c>
      <c r="O546" s="66">
        <v>19.79</v>
      </c>
      <c r="P546" s="61">
        <v>613.11900000000003</v>
      </c>
      <c r="Q546" s="62">
        <v>25.751000000000001</v>
      </c>
      <c r="R546" s="62">
        <v>3.3679999999999999</v>
      </c>
      <c r="S546" s="62">
        <v>446</v>
      </c>
      <c r="T546" s="62"/>
      <c r="U546" s="62">
        <v>1559</v>
      </c>
      <c r="V546" s="62">
        <v>254</v>
      </c>
      <c r="W546" s="62">
        <v>805.11900000000003</v>
      </c>
      <c r="X546" s="62">
        <v>33.814999999999998</v>
      </c>
      <c r="Y546" s="61">
        <v>4.423</v>
      </c>
      <c r="Z546" s="63">
        <v>4.423</v>
      </c>
      <c r="AA546" s="64" t="s">
        <v>116</v>
      </c>
      <c r="AB546" s="62" t="s">
        <v>116</v>
      </c>
      <c r="AC546" s="62">
        <v>51.438000000000002</v>
      </c>
      <c r="AD546" s="62">
        <v>2.16</v>
      </c>
      <c r="AE546" s="62">
        <v>0.27600000000000002</v>
      </c>
      <c r="AF546" s="62" t="s">
        <v>140</v>
      </c>
      <c r="AG546" s="62">
        <v>44</v>
      </c>
      <c r="AH546" s="62">
        <v>-2</v>
      </c>
      <c r="AI546" s="62">
        <v>53.438000000000002</v>
      </c>
      <c r="AJ546" s="62">
        <v>2.2440000000000002</v>
      </c>
      <c r="AK546" s="64">
        <v>0.28599999999999998</v>
      </c>
      <c r="AL546" s="19">
        <v>153586</v>
      </c>
      <c r="AM546" s="19">
        <v>124171</v>
      </c>
      <c r="AN546" s="23">
        <v>2732</v>
      </c>
      <c r="AO546" s="19">
        <v>120928</v>
      </c>
      <c r="AP546" s="19">
        <v>43919</v>
      </c>
      <c r="AQ546" s="19">
        <v>144107</v>
      </c>
      <c r="AR546" s="68">
        <v>4851.0000000000009</v>
      </c>
      <c r="AS546" s="68">
        <v>6451.2</v>
      </c>
      <c r="AT546" s="65">
        <f t="shared" si="42"/>
        <v>5078.9759999999997</v>
      </c>
      <c r="AU546" s="65">
        <f t="shared" si="43"/>
        <v>114.744</v>
      </c>
      <c r="AV546" s="65">
        <f t="shared" si="44"/>
        <v>1844.598</v>
      </c>
      <c r="AW546" s="65">
        <f t="shared" si="45"/>
        <v>6450.6120000000001</v>
      </c>
      <c r="AX546" s="65">
        <f t="shared" si="45"/>
        <v>5215.1819999999998</v>
      </c>
      <c r="AY546" s="65">
        <f t="shared" si="41"/>
        <v>6052.4939999999997</v>
      </c>
      <c r="AZ546" s="19">
        <v>53864</v>
      </c>
      <c r="BA546" s="19">
        <v>48889</v>
      </c>
      <c r="BB546" s="19">
        <v>41190</v>
      </c>
      <c r="BC546" s="19">
        <v>2650</v>
      </c>
      <c r="BD546" s="19">
        <v>6781</v>
      </c>
      <c r="BE546" s="23">
        <v>30656.7</v>
      </c>
      <c r="BF546" s="23">
        <v>43318.86</v>
      </c>
      <c r="BG546" s="23"/>
      <c r="BH546" s="23"/>
      <c r="BI546" s="67">
        <v>66.25</v>
      </c>
      <c r="BJ546" s="67">
        <v>2.1</v>
      </c>
      <c r="BK546" s="67">
        <v>2.08</v>
      </c>
      <c r="BL546" s="67">
        <v>2.0499999999999998</v>
      </c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62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  <c r="DK546" s="62"/>
      <c r="DL546" s="62"/>
    </row>
    <row r="547" spans="1:116" x14ac:dyDescent="0.2">
      <c r="A547" s="57">
        <v>43221</v>
      </c>
      <c r="B547" s="58">
        <v>2018</v>
      </c>
      <c r="C547" s="66">
        <v>19.573</v>
      </c>
      <c r="D547" s="62">
        <v>0.26700000000000002</v>
      </c>
      <c r="E547" s="62">
        <v>3602.6729999999998</v>
      </c>
      <c r="F547" s="62">
        <v>151.31200000000001</v>
      </c>
      <c r="G547" s="62">
        <v>19.306999999999999</v>
      </c>
      <c r="H547" s="62">
        <v>325</v>
      </c>
      <c r="I547" s="62">
        <v>396.41</v>
      </c>
      <c r="J547" s="62">
        <v>-71.41</v>
      </c>
      <c r="K547" s="62">
        <v>4274.741</v>
      </c>
      <c r="L547" s="62">
        <v>-441.06299999999999</v>
      </c>
      <c r="M547" s="62">
        <v>3972.326</v>
      </c>
      <c r="N547" s="62">
        <v>166.83799999999999</v>
      </c>
      <c r="O547" s="66">
        <v>21.288</v>
      </c>
      <c r="P547" s="61">
        <v>512.101</v>
      </c>
      <c r="Q547" s="62">
        <v>21.507999999999999</v>
      </c>
      <c r="R547" s="62">
        <v>2.8130000000000002</v>
      </c>
      <c r="S547" s="62">
        <v>340</v>
      </c>
      <c r="T547" s="62"/>
      <c r="U547" s="62">
        <v>972</v>
      </c>
      <c r="V547" s="62">
        <v>-587</v>
      </c>
      <c r="W547" s="62">
        <v>1439.1010000000001</v>
      </c>
      <c r="X547" s="62">
        <v>60.442</v>
      </c>
      <c r="Y547" s="61">
        <v>7.9059999999999997</v>
      </c>
      <c r="Z547" s="63">
        <v>7.9059999999999997</v>
      </c>
      <c r="AA547" s="64" t="s">
        <v>116</v>
      </c>
      <c r="AB547" s="62" t="s">
        <v>116</v>
      </c>
      <c r="AC547" s="62">
        <v>48.314</v>
      </c>
      <c r="AD547" s="62">
        <v>2.0289999999999999</v>
      </c>
      <c r="AE547" s="62">
        <v>0.25900000000000001</v>
      </c>
      <c r="AF547" s="62" t="s">
        <v>140</v>
      </c>
      <c r="AG547" s="62">
        <v>43</v>
      </c>
      <c r="AH547" s="62">
        <v>-1</v>
      </c>
      <c r="AI547" s="62">
        <v>49.314</v>
      </c>
      <c r="AJ547" s="62">
        <v>2.0710000000000002</v>
      </c>
      <c r="AK547" s="64">
        <v>0.26400000000000001</v>
      </c>
      <c r="AL547" s="19">
        <v>161638</v>
      </c>
      <c r="AM547" s="19">
        <v>130472</v>
      </c>
      <c r="AN547" s="23">
        <v>3772</v>
      </c>
      <c r="AO547" s="19">
        <v>115580</v>
      </c>
      <c r="AP547" s="19">
        <v>42527</v>
      </c>
      <c r="AQ547" s="19">
        <v>152006</v>
      </c>
      <c r="AR547" s="68">
        <v>5286.119999999999</v>
      </c>
      <c r="AS547" s="68">
        <v>6783.42</v>
      </c>
      <c r="AT547" s="65">
        <f t="shared" si="42"/>
        <v>4854.3599999999997</v>
      </c>
      <c r="AU547" s="65">
        <f t="shared" si="43"/>
        <v>158.42400000000001</v>
      </c>
      <c r="AV547" s="65">
        <f t="shared" si="44"/>
        <v>1786.134</v>
      </c>
      <c r="AW547" s="65">
        <f t="shared" si="45"/>
        <v>6788.7960000000003</v>
      </c>
      <c r="AX547" s="65">
        <f t="shared" si="45"/>
        <v>5479.8239999999996</v>
      </c>
      <c r="AY547" s="65">
        <f t="shared" si="41"/>
        <v>6384.2520000000004</v>
      </c>
      <c r="AZ547" s="19">
        <v>55916</v>
      </c>
      <c r="BA547" s="19">
        <v>52221</v>
      </c>
      <c r="BB547" s="19">
        <v>41632</v>
      </c>
      <c r="BC547" s="19">
        <v>4339</v>
      </c>
      <c r="BD547" s="19">
        <v>7592</v>
      </c>
      <c r="BE547" s="23">
        <v>55427.650999999998</v>
      </c>
      <c r="BF547" s="23">
        <v>46228.982000000004</v>
      </c>
      <c r="BG547" s="23"/>
      <c r="BH547" s="23"/>
      <c r="BI547" s="67">
        <v>69.98</v>
      </c>
      <c r="BJ547" s="67">
        <v>2.2599999999999998</v>
      </c>
      <c r="BK547" s="67">
        <v>2.2200000000000002</v>
      </c>
      <c r="BL547" s="67">
        <v>2.21</v>
      </c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62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  <c r="DK547" s="62"/>
      <c r="DL547" s="62"/>
    </row>
    <row r="548" spans="1:116" x14ac:dyDescent="0.2">
      <c r="A548" s="57">
        <v>43252</v>
      </c>
      <c r="B548" s="58">
        <v>2018</v>
      </c>
      <c r="C548" s="66">
        <v>20.550999999999998</v>
      </c>
      <c r="D548" s="62">
        <v>0.28000000000000003</v>
      </c>
      <c r="E548" s="62">
        <v>3782.5479999999998</v>
      </c>
      <c r="F548" s="62">
        <v>158.86699999999999</v>
      </c>
      <c r="G548" s="62">
        <v>20.271000000000001</v>
      </c>
      <c r="H548" s="62">
        <v>296</v>
      </c>
      <c r="I548" s="62">
        <v>275.52499999999998</v>
      </c>
      <c r="J548" s="62">
        <v>20.475000000000001</v>
      </c>
      <c r="K548" s="62">
        <v>3849.9079999999999</v>
      </c>
      <c r="L548" s="62">
        <v>-424.834</v>
      </c>
      <c r="M548" s="62">
        <v>4227.857</v>
      </c>
      <c r="N548" s="62">
        <v>177.57</v>
      </c>
      <c r="O548" s="66">
        <v>22.657</v>
      </c>
      <c r="P548" s="61">
        <v>294.858</v>
      </c>
      <c r="Q548" s="62">
        <v>12.384</v>
      </c>
      <c r="R548" s="62">
        <v>1.62</v>
      </c>
      <c r="S548" s="62">
        <v>403</v>
      </c>
      <c r="T548" s="62"/>
      <c r="U548" s="62">
        <v>1130</v>
      </c>
      <c r="V548" s="62">
        <v>158</v>
      </c>
      <c r="W548" s="62">
        <v>539.85799999999995</v>
      </c>
      <c r="X548" s="62">
        <v>22.673999999999999</v>
      </c>
      <c r="Y548" s="61">
        <v>2.9660000000000002</v>
      </c>
      <c r="Z548" s="63">
        <v>2.9660000000000002</v>
      </c>
      <c r="AA548" s="64" t="s">
        <v>116</v>
      </c>
      <c r="AB548" s="62" t="s">
        <v>116</v>
      </c>
      <c r="AC548" s="62">
        <v>11.298999999999999</v>
      </c>
      <c r="AD548" s="62">
        <v>0.47499999999999998</v>
      </c>
      <c r="AE548" s="62">
        <v>6.0999999999999999E-2</v>
      </c>
      <c r="AF548" s="62" t="s">
        <v>140</v>
      </c>
      <c r="AG548" s="62">
        <v>47</v>
      </c>
      <c r="AH548" s="62">
        <v>4</v>
      </c>
      <c r="AI548" s="62">
        <v>7.2990000000000004</v>
      </c>
      <c r="AJ548" s="62">
        <v>0.307</v>
      </c>
      <c r="AK548" s="64">
        <v>3.9E-2</v>
      </c>
      <c r="AL548" s="19">
        <v>162311</v>
      </c>
      <c r="AM548" s="19">
        <v>118781</v>
      </c>
      <c r="AN548" s="23">
        <v>2701</v>
      </c>
      <c r="AO548" s="19">
        <v>120549</v>
      </c>
      <c r="AP548" s="19">
        <v>44016</v>
      </c>
      <c r="AQ548" s="19">
        <v>151768</v>
      </c>
      <c r="AR548" s="68">
        <v>4863.6000000000004</v>
      </c>
      <c r="AS548" s="68">
        <v>6816.6</v>
      </c>
      <c r="AT548" s="65">
        <f t="shared" si="42"/>
        <v>5063.058</v>
      </c>
      <c r="AU548" s="65">
        <f t="shared" si="43"/>
        <v>113.44199999999999</v>
      </c>
      <c r="AV548" s="65">
        <f t="shared" si="44"/>
        <v>1848.672</v>
      </c>
      <c r="AW548" s="65">
        <f t="shared" si="45"/>
        <v>6817.0619999999999</v>
      </c>
      <c r="AX548" s="65">
        <f t="shared" si="45"/>
        <v>4988.8019999999997</v>
      </c>
      <c r="AY548" s="65">
        <f t="shared" si="41"/>
        <v>6374.2560000000003</v>
      </c>
      <c r="AZ548" s="19">
        <v>56795</v>
      </c>
      <c r="BA548" s="19">
        <v>55708</v>
      </c>
      <c r="BB548" s="19">
        <v>40894</v>
      </c>
      <c r="BC548" s="19">
        <v>4623</v>
      </c>
      <c r="BD548" s="19">
        <v>6448</v>
      </c>
      <c r="BE548" s="23">
        <v>38358.43</v>
      </c>
      <c r="BF548" s="23">
        <v>39749.472999999998</v>
      </c>
      <c r="BG548" s="23"/>
      <c r="BH548" s="23"/>
      <c r="BI548" s="67">
        <v>67.87</v>
      </c>
      <c r="BJ548" s="67">
        <v>2.2000000000000002</v>
      </c>
      <c r="BK548" s="67">
        <v>2.2000000000000002</v>
      </c>
      <c r="BL548" s="67">
        <v>2.13</v>
      </c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62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  <c r="DK548" s="62"/>
      <c r="DL548" s="62"/>
    </row>
    <row r="549" spans="1:116" x14ac:dyDescent="0.2">
      <c r="A549" s="57">
        <v>43282</v>
      </c>
      <c r="B549" s="58">
        <v>2018</v>
      </c>
      <c r="C549" s="66">
        <v>21.515999999999998</v>
      </c>
      <c r="D549" s="62">
        <v>0.29299999999999998</v>
      </c>
      <c r="E549" s="62">
        <v>3960.2660000000001</v>
      </c>
      <c r="F549" s="62">
        <v>166.33099999999999</v>
      </c>
      <c r="G549" s="62">
        <v>21.222999999999999</v>
      </c>
      <c r="H549" s="62">
        <v>157</v>
      </c>
      <c r="I549" s="62">
        <v>259.00200000000001</v>
      </c>
      <c r="J549" s="62">
        <v>-102.002</v>
      </c>
      <c r="K549" s="62">
        <v>3742.491</v>
      </c>
      <c r="L549" s="62">
        <v>-107.416</v>
      </c>
      <c r="M549" s="62">
        <v>3965.68</v>
      </c>
      <c r="N549" s="62">
        <v>166.559</v>
      </c>
      <c r="O549" s="66">
        <v>21.251999999999999</v>
      </c>
      <c r="P549" s="61">
        <v>251.274</v>
      </c>
      <c r="Q549" s="62">
        <v>10.554</v>
      </c>
      <c r="R549" s="62">
        <v>1.381</v>
      </c>
      <c r="S549" s="62">
        <v>278</v>
      </c>
      <c r="T549" s="62"/>
      <c r="U549" s="62">
        <v>1027</v>
      </c>
      <c r="V549" s="62">
        <v>-103</v>
      </c>
      <c r="W549" s="62">
        <v>632.274</v>
      </c>
      <c r="X549" s="62">
        <v>26.556000000000001</v>
      </c>
      <c r="Y549" s="61">
        <v>3.4740000000000002</v>
      </c>
      <c r="Z549" s="63">
        <v>3.4740000000000002</v>
      </c>
      <c r="AA549" s="64" t="s">
        <v>116</v>
      </c>
      <c r="AB549" s="62" t="s">
        <v>116</v>
      </c>
      <c r="AC549" s="62">
        <v>3.43</v>
      </c>
      <c r="AD549" s="62">
        <v>0.14399999999999999</v>
      </c>
      <c r="AE549" s="62">
        <v>1.7999999999999999E-2</v>
      </c>
      <c r="AF549" s="62" t="s">
        <v>140</v>
      </c>
      <c r="AG549" s="62">
        <v>50</v>
      </c>
      <c r="AH549" s="62">
        <v>3</v>
      </c>
      <c r="AI549" s="62">
        <v>0.43</v>
      </c>
      <c r="AJ549" s="62">
        <v>1.7999999999999999E-2</v>
      </c>
      <c r="AK549" s="64">
        <v>2E-3</v>
      </c>
      <c r="AL549" s="19">
        <v>162969</v>
      </c>
      <c r="AM549" s="19">
        <v>122841</v>
      </c>
      <c r="AN549" s="23">
        <v>4462</v>
      </c>
      <c r="AO549" s="19">
        <v>127215</v>
      </c>
      <c r="AP549" s="19">
        <v>40376</v>
      </c>
      <c r="AQ549" s="19">
        <v>153260</v>
      </c>
      <c r="AR549" s="68">
        <v>5038.74</v>
      </c>
      <c r="AS549" s="68">
        <v>6848.5199999999995</v>
      </c>
      <c r="AT549" s="65">
        <f t="shared" si="42"/>
        <v>5343.03</v>
      </c>
      <c r="AU549" s="65">
        <f t="shared" si="43"/>
        <v>187.404</v>
      </c>
      <c r="AV549" s="65">
        <f t="shared" si="44"/>
        <v>1695.7919999999999</v>
      </c>
      <c r="AW549" s="65">
        <f t="shared" si="45"/>
        <v>6844.6980000000003</v>
      </c>
      <c r="AX549" s="65">
        <f t="shared" si="45"/>
        <v>5159.3220000000001</v>
      </c>
      <c r="AY549" s="65">
        <f t="shared" si="41"/>
        <v>6436.92</v>
      </c>
      <c r="AZ549" s="19">
        <v>58720</v>
      </c>
      <c r="BA549" s="19">
        <v>54967</v>
      </c>
      <c r="BB549" s="19">
        <v>40986</v>
      </c>
      <c r="BC549" s="19">
        <v>4669</v>
      </c>
      <c r="BD549" s="19">
        <v>8330</v>
      </c>
      <c r="BE549" s="23">
        <v>36255.946000000004</v>
      </c>
      <c r="BF549" s="23">
        <v>20079.655999999999</v>
      </c>
      <c r="BG549" s="23"/>
      <c r="BH549" s="23"/>
      <c r="BI549" s="67">
        <v>70.98</v>
      </c>
      <c r="BJ549" s="67">
        <v>2.19</v>
      </c>
      <c r="BK549" s="67">
        <v>2.1800000000000002</v>
      </c>
      <c r="BL549" s="67">
        <v>2.15</v>
      </c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62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  <c r="DK549" s="62"/>
      <c r="DL549" s="62"/>
    </row>
    <row r="550" spans="1:116" x14ac:dyDescent="0.2">
      <c r="A550" s="57">
        <v>43313</v>
      </c>
      <c r="B550" s="58">
        <v>2018</v>
      </c>
      <c r="C550" s="66">
        <v>22.286000000000001</v>
      </c>
      <c r="D550" s="62">
        <v>0.30399999999999999</v>
      </c>
      <c r="E550" s="62">
        <v>4101.9089999999997</v>
      </c>
      <c r="F550" s="62">
        <v>172.28</v>
      </c>
      <c r="G550" s="62">
        <v>21.981999999999999</v>
      </c>
      <c r="H550" s="62">
        <v>281</v>
      </c>
      <c r="I550" s="62">
        <v>263.27999999999997</v>
      </c>
      <c r="J550" s="62">
        <v>17.72</v>
      </c>
      <c r="K550" s="62">
        <v>3424.886</v>
      </c>
      <c r="L550" s="62">
        <v>-317.60599999999999</v>
      </c>
      <c r="M550" s="62">
        <v>4437.2349999999997</v>
      </c>
      <c r="N550" s="62">
        <v>186.364</v>
      </c>
      <c r="O550" s="66">
        <v>23.779</v>
      </c>
      <c r="P550" s="61">
        <v>381.53800000000001</v>
      </c>
      <c r="Q550" s="62">
        <v>16.024999999999999</v>
      </c>
      <c r="R550" s="62">
        <v>2.0960000000000001</v>
      </c>
      <c r="S550" s="62">
        <v>424</v>
      </c>
      <c r="T550" s="62"/>
      <c r="U550" s="62">
        <v>1134</v>
      </c>
      <c r="V550" s="62">
        <v>107</v>
      </c>
      <c r="W550" s="62">
        <v>698.53800000000001</v>
      </c>
      <c r="X550" s="62">
        <v>29.338999999999999</v>
      </c>
      <c r="Y550" s="61">
        <v>3.8380000000000001</v>
      </c>
      <c r="Z550" s="63">
        <v>3.8380000000000001</v>
      </c>
      <c r="AA550" s="64" t="s">
        <v>116</v>
      </c>
      <c r="AB550" s="62" t="s">
        <v>116</v>
      </c>
      <c r="AC550" s="62">
        <v>44.085999999999999</v>
      </c>
      <c r="AD550" s="62">
        <v>1.8520000000000001</v>
      </c>
      <c r="AE550" s="62">
        <v>0.23599999999999999</v>
      </c>
      <c r="AF550" s="62" t="s">
        <v>140</v>
      </c>
      <c r="AG550" s="62">
        <v>52</v>
      </c>
      <c r="AH550" s="62">
        <v>2</v>
      </c>
      <c r="AI550" s="62">
        <v>42.085999999999999</v>
      </c>
      <c r="AJ550" s="62">
        <v>1.768</v>
      </c>
      <c r="AK550" s="64">
        <v>0.22600000000000001</v>
      </c>
      <c r="AL550" s="19">
        <v>166454</v>
      </c>
      <c r="AM550" s="19">
        <v>130065</v>
      </c>
      <c r="AN550" s="23">
        <v>5457</v>
      </c>
      <c r="AO550" s="19">
        <v>132266</v>
      </c>
      <c r="AP550" s="19">
        <v>39605</v>
      </c>
      <c r="AQ550" s="19">
        <v>157008</v>
      </c>
      <c r="AR550" s="68">
        <v>5338.2</v>
      </c>
      <c r="AS550" s="68">
        <v>6991.74</v>
      </c>
      <c r="AT550" s="65">
        <f t="shared" si="42"/>
        <v>5555.1719999999996</v>
      </c>
      <c r="AU550" s="65">
        <f t="shared" si="43"/>
        <v>229.19399999999999</v>
      </c>
      <c r="AV550" s="65">
        <f t="shared" si="44"/>
        <v>1663.41</v>
      </c>
      <c r="AW550" s="65">
        <f t="shared" si="45"/>
        <v>6991.0680000000002</v>
      </c>
      <c r="AX550" s="65">
        <f t="shared" si="45"/>
        <v>5462.73</v>
      </c>
      <c r="AY550" s="65">
        <f t="shared" si="41"/>
        <v>6594.3360000000002</v>
      </c>
      <c r="AZ550" s="19">
        <v>60596</v>
      </c>
      <c r="BA550" s="19">
        <v>57589</v>
      </c>
      <c r="BB550" s="19">
        <v>41778</v>
      </c>
      <c r="BC550" s="19">
        <v>4700</v>
      </c>
      <c r="BD550" s="19">
        <v>6915</v>
      </c>
      <c r="BE550" s="23">
        <v>37131.374000000003</v>
      </c>
      <c r="BF550" s="23">
        <v>39910.610999999997</v>
      </c>
      <c r="BG550" s="23"/>
      <c r="BH550" s="23"/>
      <c r="BI550" s="67">
        <v>68.06</v>
      </c>
      <c r="BJ550" s="67">
        <v>2.2000000000000002</v>
      </c>
      <c r="BK550" s="67">
        <v>2.1800000000000002</v>
      </c>
      <c r="BL550" s="67">
        <v>2.12</v>
      </c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62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  <c r="DK550" s="62"/>
      <c r="DL550" s="62"/>
    </row>
    <row r="551" spans="1:116" x14ac:dyDescent="0.2">
      <c r="A551" s="57">
        <v>43344</v>
      </c>
      <c r="B551" s="58">
        <v>2018</v>
      </c>
      <c r="C551" s="66">
        <v>21.265999999999998</v>
      </c>
      <c r="D551" s="62">
        <v>0.28999999999999998</v>
      </c>
      <c r="E551" s="62">
        <v>3914.201</v>
      </c>
      <c r="F551" s="62">
        <v>164.39599999999999</v>
      </c>
      <c r="G551" s="62">
        <v>20.975999999999999</v>
      </c>
      <c r="H551" s="62">
        <v>277</v>
      </c>
      <c r="I551" s="62">
        <v>190.85</v>
      </c>
      <c r="J551" s="62">
        <v>86.15</v>
      </c>
      <c r="K551" s="62">
        <v>3371.3539999999998</v>
      </c>
      <c r="L551" s="62">
        <v>-53.531999999999996</v>
      </c>
      <c r="M551" s="62">
        <v>4053.8829999999998</v>
      </c>
      <c r="N551" s="62">
        <v>170.26300000000001</v>
      </c>
      <c r="O551" s="66">
        <v>21.725000000000001</v>
      </c>
      <c r="P551" s="61">
        <v>767.82</v>
      </c>
      <c r="Q551" s="62">
        <v>32.247999999999998</v>
      </c>
      <c r="R551" s="62">
        <v>4.218</v>
      </c>
      <c r="S551" s="62">
        <v>324</v>
      </c>
      <c r="T551" s="62"/>
      <c r="U551" s="62">
        <v>1099</v>
      </c>
      <c r="V551" s="62">
        <v>-35</v>
      </c>
      <c r="W551" s="62">
        <v>1126.82</v>
      </c>
      <c r="X551" s="62">
        <v>47.326000000000001</v>
      </c>
      <c r="Y551" s="61">
        <v>6.1909999999999998</v>
      </c>
      <c r="Z551" s="63">
        <v>6.1909999999999998</v>
      </c>
      <c r="AA551" s="64" t="s">
        <v>116</v>
      </c>
      <c r="AB551" s="62" t="s">
        <v>116</v>
      </c>
      <c r="AC551" s="62">
        <v>70.992999999999995</v>
      </c>
      <c r="AD551" s="62">
        <v>2.9820000000000002</v>
      </c>
      <c r="AE551" s="62">
        <v>0.38</v>
      </c>
      <c r="AF551" s="62" t="s">
        <v>140</v>
      </c>
      <c r="AG551" s="62">
        <v>43</v>
      </c>
      <c r="AH551" s="62">
        <v>-9</v>
      </c>
      <c r="AI551" s="62">
        <v>79.992999999999995</v>
      </c>
      <c r="AJ551" s="62">
        <v>3.36</v>
      </c>
      <c r="AK551" s="64">
        <v>0.42899999999999999</v>
      </c>
      <c r="AL551" s="19">
        <v>156900</v>
      </c>
      <c r="AM551" s="19">
        <v>120665</v>
      </c>
      <c r="AN551" s="23">
        <v>5147</v>
      </c>
      <c r="AO551" s="19">
        <v>137249</v>
      </c>
      <c r="AP551" s="19">
        <v>38945</v>
      </c>
      <c r="AQ551" s="19">
        <v>146672</v>
      </c>
      <c r="AR551" s="68">
        <v>4876.2</v>
      </c>
      <c r="AS551" s="68">
        <v>6589.8000000000011</v>
      </c>
      <c r="AT551" s="65">
        <f t="shared" si="42"/>
        <v>5764.4579999999996</v>
      </c>
      <c r="AU551" s="65">
        <f t="shared" si="43"/>
        <v>216.17400000000001</v>
      </c>
      <c r="AV551" s="65">
        <f t="shared" si="44"/>
        <v>1635.69</v>
      </c>
      <c r="AW551" s="65">
        <f t="shared" si="45"/>
        <v>6589.8</v>
      </c>
      <c r="AX551" s="65">
        <f t="shared" si="45"/>
        <v>5067.93</v>
      </c>
      <c r="AY551" s="65">
        <f t="shared" si="41"/>
        <v>6160.2240000000002</v>
      </c>
      <c r="AZ551" s="19">
        <v>55675</v>
      </c>
      <c r="BA551" s="19">
        <v>51107</v>
      </c>
      <c r="BB551" s="19">
        <v>46787</v>
      </c>
      <c r="BC551" s="19">
        <v>5435</v>
      </c>
      <c r="BD551" s="19">
        <v>4994</v>
      </c>
      <c r="BE551" s="23">
        <v>26902.116999999998</v>
      </c>
      <c r="BF551" s="23">
        <v>38522.32</v>
      </c>
      <c r="BG551" s="23"/>
      <c r="BH551" s="23"/>
      <c r="BI551" s="67">
        <v>70.23</v>
      </c>
      <c r="BJ551" s="67">
        <v>2.2799999999999998</v>
      </c>
      <c r="BK551" s="67">
        <v>2.2599999999999998</v>
      </c>
      <c r="BL551" s="67">
        <v>2.14</v>
      </c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62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  <c r="DK551" s="62"/>
      <c r="DL551" s="62"/>
    </row>
    <row r="552" spans="1:116" x14ac:dyDescent="0.2">
      <c r="A552" s="57">
        <v>43374</v>
      </c>
      <c r="B552" s="58">
        <v>2018</v>
      </c>
      <c r="C552" s="66">
        <v>22.114000000000001</v>
      </c>
      <c r="D552" s="62">
        <v>0.30099999999999999</v>
      </c>
      <c r="E552" s="62">
        <v>4070.2739999999999</v>
      </c>
      <c r="F552" s="62">
        <v>170.952</v>
      </c>
      <c r="G552" s="62">
        <v>21.812999999999999</v>
      </c>
      <c r="H552" s="62">
        <v>467</v>
      </c>
      <c r="I552" s="62">
        <v>203.63800000000001</v>
      </c>
      <c r="J552" s="62">
        <v>263.36200000000002</v>
      </c>
      <c r="K552" s="62">
        <v>3647.0349999999999</v>
      </c>
      <c r="L552" s="62">
        <v>275.68200000000002</v>
      </c>
      <c r="M552" s="62">
        <v>4057.9540000000002</v>
      </c>
      <c r="N552" s="62">
        <v>170.434</v>
      </c>
      <c r="O552" s="66">
        <v>21.747</v>
      </c>
      <c r="P552" s="61">
        <v>928.69899999999996</v>
      </c>
      <c r="Q552" s="62">
        <v>39.005000000000003</v>
      </c>
      <c r="R552" s="62">
        <v>5.1020000000000003</v>
      </c>
      <c r="S552" s="62">
        <v>341</v>
      </c>
      <c r="T552" s="62"/>
      <c r="U552" s="62">
        <v>1258</v>
      </c>
      <c r="V552" s="62">
        <v>159</v>
      </c>
      <c r="W552" s="62">
        <v>1110.6990000000001</v>
      </c>
      <c r="X552" s="62">
        <v>46.649000000000001</v>
      </c>
      <c r="Y552" s="61">
        <v>6.1020000000000003</v>
      </c>
      <c r="Z552" s="63">
        <v>6.1020000000000003</v>
      </c>
      <c r="AA552" s="64" t="s">
        <v>116</v>
      </c>
      <c r="AB552" s="62" t="s">
        <v>116</v>
      </c>
      <c r="AC552" s="62">
        <v>60.572000000000003</v>
      </c>
      <c r="AD552" s="62">
        <v>2.544</v>
      </c>
      <c r="AE552" s="62">
        <v>0.32500000000000001</v>
      </c>
      <c r="AF552" s="62" t="s">
        <v>140</v>
      </c>
      <c r="AG552" s="62">
        <v>47</v>
      </c>
      <c r="AH552" s="62">
        <v>4</v>
      </c>
      <c r="AI552" s="62">
        <v>56.572000000000003</v>
      </c>
      <c r="AJ552" s="62">
        <v>2.3759999999999999</v>
      </c>
      <c r="AK552" s="64">
        <v>0.30299999999999999</v>
      </c>
      <c r="AL552" s="19">
        <v>156097</v>
      </c>
      <c r="AM552" s="19">
        <v>134782</v>
      </c>
      <c r="AN552" s="23">
        <v>5001</v>
      </c>
      <c r="AO552" s="19">
        <v>124773</v>
      </c>
      <c r="AP552" s="19">
        <v>41365</v>
      </c>
      <c r="AQ552" s="19">
        <v>145390</v>
      </c>
      <c r="AR552" s="68">
        <v>5312.1600000000008</v>
      </c>
      <c r="AS552" s="68">
        <v>6562.08</v>
      </c>
      <c r="AT552" s="65">
        <f t="shared" si="42"/>
        <v>5240.4660000000003</v>
      </c>
      <c r="AU552" s="65">
        <f t="shared" si="43"/>
        <v>210.042</v>
      </c>
      <c r="AV552" s="65">
        <f t="shared" si="44"/>
        <v>1737.33</v>
      </c>
      <c r="AW552" s="65">
        <f t="shared" si="45"/>
        <v>6556.0739999999996</v>
      </c>
      <c r="AX552" s="65">
        <f t="shared" si="45"/>
        <v>5660.8440000000001</v>
      </c>
      <c r="AY552" s="65">
        <f t="shared" si="41"/>
        <v>6106.38</v>
      </c>
      <c r="AZ552" s="19">
        <v>52417</v>
      </c>
      <c r="BA552" s="19">
        <v>51923</v>
      </c>
      <c r="BB552" s="19">
        <v>42290</v>
      </c>
      <c r="BC552" s="19">
        <v>3591</v>
      </c>
      <c r="BD552" s="19">
        <v>8582</v>
      </c>
      <c r="BE552" s="23">
        <v>26625.526000000002</v>
      </c>
      <c r="BF552" s="23">
        <v>65261.017</v>
      </c>
      <c r="BG552" s="23"/>
      <c r="BH552" s="23"/>
      <c r="BI552" s="67">
        <v>70.75</v>
      </c>
      <c r="BJ552" s="67">
        <v>2.38</v>
      </c>
      <c r="BK552" s="67">
        <v>2.35</v>
      </c>
      <c r="BL552" s="67">
        <v>2.09</v>
      </c>
      <c r="BM552" s="62"/>
      <c r="BN552" s="62"/>
      <c r="BO552" s="62"/>
      <c r="BP552" s="62"/>
      <c r="BQ552" s="62"/>
      <c r="BR552" s="62"/>
      <c r="BS552" s="62"/>
      <c r="BT552" s="62"/>
      <c r="BU552" s="62"/>
      <c r="BV552" s="62"/>
      <c r="BW552" s="62"/>
      <c r="BX552" s="62"/>
      <c r="BY552" s="62"/>
      <c r="BZ552" s="62"/>
      <c r="CA552" s="62"/>
      <c r="CB552" s="62"/>
      <c r="CC552" s="62"/>
      <c r="CD552" s="62"/>
      <c r="CE552" s="62"/>
      <c r="CF552" s="62"/>
      <c r="CG552" s="62"/>
      <c r="CH552" s="62"/>
      <c r="CI552" s="62"/>
      <c r="CJ552" s="62"/>
      <c r="CK552" s="62"/>
      <c r="CL552" s="62"/>
      <c r="CM552" s="62"/>
      <c r="CN552" s="62"/>
      <c r="CO552" s="62"/>
      <c r="CP552" s="62"/>
      <c r="CQ552" s="62"/>
      <c r="CR552" s="62"/>
      <c r="CS552" s="62"/>
      <c r="CT552" s="62"/>
      <c r="CU552" s="62"/>
      <c r="CV552" s="62"/>
      <c r="CW552" s="62"/>
      <c r="CX552" s="62"/>
      <c r="CY552" s="62"/>
      <c r="CZ552" s="62"/>
      <c r="DA552" s="62"/>
      <c r="DB552" s="62"/>
      <c r="DC552" s="62"/>
      <c r="DD552" s="62"/>
      <c r="DE552" s="62"/>
      <c r="DF552" s="62"/>
      <c r="DG552" s="62"/>
      <c r="DH552" s="62"/>
      <c r="DI552" s="62"/>
      <c r="DJ552" s="62"/>
      <c r="DK552" s="62"/>
      <c r="DL552" s="62"/>
    </row>
    <row r="553" spans="1:116" x14ac:dyDescent="0.2">
      <c r="A553" s="57">
        <v>43405</v>
      </c>
      <c r="B553" s="58">
        <v>2018</v>
      </c>
      <c r="C553" s="66">
        <v>20.731999999999999</v>
      </c>
      <c r="D553" s="62">
        <v>0.28199999999999997</v>
      </c>
      <c r="E553" s="62">
        <v>3816.0239999999999</v>
      </c>
      <c r="F553" s="62">
        <v>160.273</v>
      </c>
      <c r="G553" s="62">
        <v>20.45</v>
      </c>
      <c r="H553" s="62">
        <v>473</v>
      </c>
      <c r="I553" s="62">
        <v>142.524</v>
      </c>
      <c r="J553" s="62">
        <v>330.476</v>
      </c>
      <c r="K553" s="62">
        <v>4039.3249999999998</v>
      </c>
      <c r="L553" s="62">
        <v>392.28899999999999</v>
      </c>
      <c r="M553" s="62">
        <v>3754.2109999999998</v>
      </c>
      <c r="N553" s="62">
        <v>157.67699999999999</v>
      </c>
      <c r="O553" s="66">
        <v>20.119</v>
      </c>
      <c r="P553" s="61">
        <v>960.12900000000002</v>
      </c>
      <c r="Q553" s="62">
        <v>40.325000000000003</v>
      </c>
      <c r="R553" s="62">
        <v>5.2750000000000004</v>
      </c>
      <c r="S553" s="62">
        <v>344</v>
      </c>
      <c r="T553" s="62"/>
      <c r="U553" s="62">
        <v>1435</v>
      </c>
      <c r="V553" s="62">
        <v>177</v>
      </c>
      <c r="W553" s="62">
        <v>1127.1289999999999</v>
      </c>
      <c r="X553" s="62">
        <v>47.338999999999999</v>
      </c>
      <c r="Y553" s="61">
        <v>6.1920000000000002</v>
      </c>
      <c r="Z553" s="63">
        <v>6.1920000000000002</v>
      </c>
      <c r="AA553" s="64" t="s">
        <v>116</v>
      </c>
      <c r="AB553" s="62" t="s">
        <v>116</v>
      </c>
      <c r="AC553" s="62">
        <v>64.751999999999995</v>
      </c>
      <c r="AD553" s="62">
        <v>2.72</v>
      </c>
      <c r="AE553" s="62">
        <v>0.34699999999999998</v>
      </c>
      <c r="AF553" s="62" t="s">
        <v>140</v>
      </c>
      <c r="AG553" s="62">
        <v>53</v>
      </c>
      <c r="AH553" s="62">
        <v>6</v>
      </c>
      <c r="AI553" s="62">
        <v>58.752000000000002</v>
      </c>
      <c r="AJ553" s="62">
        <v>2.468</v>
      </c>
      <c r="AK553" s="64">
        <v>0.315</v>
      </c>
      <c r="AL553" s="19">
        <v>160503</v>
      </c>
      <c r="AM553" s="19">
        <v>126115</v>
      </c>
      <c r="AN553" s="23">
        <v>6799</v>
      </c>
      <c r="AO553" s="19">
        <v>126543</v>
      </c>
      <c r="AP553" s="19">
        <v>41751</v>
      </c>
      <c r="AQ553" s="19">
        <v>149526</v>
      </c>
      <c r="AR553" s="68">
        <v>4737.5999999999995</v>
      </c>
      <c r="AS553" s="68">
        <v>6741</v>
      </c>
      <c r="AT553" s="65">
        <f t="shared" si="42"/>
        <v>5314.8059999999996</v>
      </c>
      <c r="AU553" s="65">
        <f t="shared" si="43"/>
        <v>285.55799999999999</v>
      </c>
      <c r="AV553" s="65">
        <f t="shared" si="44"/>
        <v>1753.5419999999999</v>
      </c>
      <c r="AW553" s="65">
        <f t="shared" si="45"/>
        <v>6741.1260000000002</v>
      </c>
      <c r="AX553" s="65">
        <f t="shared" si="45"/>
        <v>5296.83</v>
      </c>
      <c r="AY553" s="65">
        <f t="shared" si="41"/>
        <v>6280.0919999999996</v>
      </c>
      <c r="AZ553" s="19">
        <v>53060</v>
      </c>
      <c r="BA553" s="19">
        <v>52682</v>
      </c>
      <c r="BB553" s="19">
        <v>39315</v>
      </c>
      <c r="BC553" s="19">
        <v>3096</v>
      </c>
      <c r="BD553" s="19">
        <v>6449</v>
      </c>
      <c r="BE553" s="23">
        <v>20059.429</v>
      </c>
      <c r="BF553" s="23">
        <v>66760.744000000006</v>
      </c>
      <c r="BG553" s="23"/>
      <c r="BH553" s="23"/>
      <c r="BI553" s="67">
        <v>56.96</v>
      </c>
      <c r="BJ553" s="67">
        <v>2.13</v>
      </c>
      <c r="BK553" s="67">
        <v>2.16</v>
      </c>
      <c r="BL553" s="67">
        <v>1.73</v>
      </c>
      <c r="BM553" s="62"/>
      <c r="BN553" s="62"/>
      <c r="BO553" s="62"/>
      <c r="BP553" s="62"/>
      <c r="BQ553" s="62"/>
      <c r="BR553" s="62"/>
      <c r="BS553" s="62"/>
      <c r="BT553" s="62"/>
      <c r="BU553" s="62"/>
      <c r="BV553" s="62"/>
      <c r="BW553" s="62"/>
      <c r="BX553" s="62"/>
      <c r="BY553" s="62"/>
      <c r="BZ553" s="62"/>
      <c r="CA553" s="62"/>
      <c r="CB553" s="62"/>
      <c r="CC553" s="62"/>
      <c r="CD553" s="62"/>
      <c r="CE553" s="62"/>
      <c r="CF553" s="62"/>
      <c r="CG553" s="62"/>
      <c r="CH553" s="62"/>
      <c r="CI553" s="62"/>
      <c r="CJ553" s="62"/>
      <c r="CK553" s="62"/>
      <c r="CL553" s="62"/>
      <c r="CM553" s="62"/>
      <c r="CN553" s="62"/>
      <c r="CO553" s="62"/>
      <c r="CP553" s="62"/>
      <c r="CQ553" s="62"/>
      <c r="CR553" s="62"/>
      <c r="CS553" s="62"/>
      <c r="CT553" s="62"/>
      <c r="CU553" s="62"/>
      <c r="CV553" s="62"/>
      <c r="CW553" s="62"/>
      <c r="CX553" s="62"/>
      <c r="CY553" s="62"/>
      <c r="CZ553" s="62"/>
      <c r="DA553" s="62"/>
      <c r="DB553" s="62"/>
      <c r="DC553" s="62"/>
      <c r="DD553" s="62"/>
      <c r="DE553" s="62"/>
      <c r="DF553" s="62"/>
      <c r="DG553" s="62"/>
      <c r="DH553" s="62"/>
      <c r="DI553" s="62"/>
      <c r="DJ553" s="62"/>
      <c r="DK553" s="62"/>
      <c r="DL553" s="62"/>
    </row>
    <row r="554" spans="1:116" x14ac:dyDescent="0.2">
      <c r="A554" s="57">
        <v>43435</v>
      </c>
      <c r="B554" s="58">
        <v>2018</v>
      </c>
      <c r="C554" s="66">
        <v>21.704000000000001</v>
      </c>
      <c r="D554" s="62">
        <v>0.29599999999999999</v>
      </c>
      <c r="E554" s="62">
        <v>3994.87</v>
      </c>
      <c r="F554" s="62">
        <v>167.785</v>
      </c>
      <c r="G554" s="62">
        <v>21.408999999999999</v>
      </c>
      <c r="H554" s="62">
        <v>536</v>
      </c>
      <c r="I554" s="62">
        <v>76.930999999999997</v>
      </c>
      <c r="J554" s="62">
        <v>459.06900000000002</v>
      </c>
      <c r="K554" s="62">
        <v>4662.2169999999996</v>
      </c>
      <c r="L554" s="62">
        <v>622.89200000000005</v>
      </c>
      <c r="M554" s="62">
        <v>3831.047</v>
      </c>
      <c r="N554" s="62">
        <v>160.904</v>
      </c>
      <c r="O554" s="66">
        <v>20.530999999999999</v>
      </c>
      <c r="P554" s="61">
        <v>1126.915</v>
      </c>
      <c r="Q554" s="62">
        <v>47.33</v>
      </c>
      <c r="R554" s="62">
        <v>6.1909999999999998</v>
      </c>
      <c r="S554" s="62">
        <v>106</v>
      </c>
      <c r="T554" s="62"/>
      <c r="U554" s="62">
        <v>1727</v>
      </c>
      <c r="V554" s="62">
        <v>292</v>
      </c>
      <c r="W554" s="62">
        <v>940.91499999999996</v>
      </c>
      <c r="X554" s="62">
        <v>39.518000000000001</v>
      </c>
      <c r="Y554" s="61">
        <v>5.1689999999999996</v>
      </c>
      <c r="Z554" s="63">
        <v>5.1689999999999996</v>
      </c>
      <c r="AA554" s="64" t="s">
        <v>116</v>
      </c>
      <c r="AB554" s="62" t="s">
        <v>116</v>
      </c>
      <c r="AC554" s="62">
        <v>81.742999999999995</v>
      </c>
      <c r="AD554" s="62">
        <v>3.4329999999999998</v>
      </c>
      <c r="AE554" s="62">
        <v>0.438</v>
      </c>
      <c r="AF554" s="62" t="s">
        <v>140</v>
      </c>
      <c r="AG554" s="62">
        <v>54</v>
      </c>
      <c r="AH554" s="62">
        <v>1</v>
      </c>
      <c r="AI554" s="62">
        <v>80.742999999999995</v>
      </c>
      <c r="AJ554" s="62">
        <v>3.391</v>
      </c>
      <c r="AK554" s="64">
        <v>0.433</v>
      </c>
      <c r="AL554" s="19">
        <v>172845</v>
      </c>
      <c r="AM554" s="19">
        <v>124602</v>
      </c>
      <c r="AN554" s="23">
        <v>5875</v>
      </c>
      <c r="AO554" s="19">
        <v>140162</v>
      </c>
      <c r="AP554" s="19">
        <v>42948</v>
      </c>
      <c r="AQ554" s="19">
        <v>160086</v>
      </c>
      <c r="AR554" s="68">
        <v>4543.9800000000005</v>
      </c>
      <c r="AS554" s="68">
        <v>7265.1600000000008</v>
      </c>
      <c r="AT554" s="65">
        <f t="shared" si="42"/>
        <v>5886.8040000000001</v>
      </c>
      <c r="AU554" s="65">
        <f t="shared" si="43"/>
        <v>246.75</v>
      </c>
      <c r="AV554" s="65">
        <f t="shared" si="44"/>
        <v>1803.816</v>
      </c>
      <c r="AW554" s="65">
        <f t="shared" si="45"/>
        <v>7259.49</v>
      </c>
      <c r="AX554" s="65">
        <f t="shared" si="45"/>
        <v>5233.2839999999997</v>
      </c>
      <c r="AY554" s="65">
        <f t="shared" si="41"/>
        <v>6723.6120000000001</v>
      </c>
      <c r="AZ554" s="19">
        <v>57527</v>
      </c>
      <c r="BA554" s="19">
        <v>51971</v>
      </c>
      <c r="BB554" s="19">
        <v>41585</v>
      </c>
      <c r="BC554" s="19">
        <v>3256</v>
      </c>
      <c r="BD554" s="19">
        <v>6542</v>
      </c>
      <c r="BE554" s="23">
        <v>10858.807000000001</v>
      </c>
      <c r="BF554" s="23">
        <v>82367.445999999996</v>
      </c>
      <c r="BG554" s="23"/>
      <c r="BH554" s="23"/>
      <c r="BI554" s="67">
        <v>49.52</v>
      </c>
      <c r="BJ554" s="67">
        <v>1.79</v>
      </c>
      <c r="BK554" s="67">
        <v>1.85</v>
      </c>
      <c r="BL554" s="67">
        <v>1.51</v>
      </c>
      <c r="BM554" s="62"/>
      <c r="BN554" s="62"/>
      <c r="BO554" s="62"/>
      <c r="BP554" s="62"/>
      <c r="BQ554" s="62"/>
      <c r="BR554" s="62"/>
      <c r="BS554" s="62"/>
      <c r="BT554" s="62"/>
      <c r="BU554" s="62"/>
      <c r="BV554" s="62"/>
      <c r="BW554" s="62"/>
      <c r="BX554" s="62"/>
      <c r="BY554" s="62"/>
      <c r="BZ554" s="62"/>
      <c r="CA554" s="62"/>
      <c r="CB554" s="62"/>
      <c r="CC554" s="62"/>
      <c r="CD554" s="62"/>
      <c r="CE554" s="62"/>
      <c r="CF554" s="62"/>
      <c r="CG554" s="62"/>
      <c r="CH554" s="62"/>
      <c r="CI554" s="62"/>
      <c r="CJ554" s="62"/>
      <c r="CK554" s="62"/>
      <c r="CL554" s="62"/>
      <c r="CM554" s="62"/>
      <c r="CN554" s="62"/>
      <c r="CO554" s="62"/>
      <c r="CP554" s="62"/>
      <c r="CQ554" s="62"/>
      <c r="CR554" s="62"/>
      <c r="CS554" s="62"/>
      <c r="CT554" s="62"/>
      <c r="CU554" s="62"/>
      <c r="CV554" s="62"/>
      <c r="CW554" s="62"/>
      <c r="CX554" s="62"/>
      <c r="CY554" s="62"/>
      <c r="CZ554" s="62"/>
      <c r="DA554" s="62"/>
      <c r="DB554" s="62"/>
      <c r="DC554" s="62"/>
      <c r="DD554" s="62"/>
      <c r="DE554" s="62"/>
      <c r="DF554" s="62"/>
      <c r="DG554" s="62"/>
      <c r="DH554" s="62"/>
      <c r="DI554" s="62"/>
      <c r="DJ554" s="62"/>
      <c r="DK554" s="62"/>
      <c r="DL554" s="62"/>
    </row>
    <row r="555" spans="1:116" x14ac:dyDescent="0.2">
      <c r="A555" s="57">
        <v>43466</v>
      </c>
      <c r="B555" s="58">
        <v>2019</v>
      </c>
      <c r="C555" s="66">
        <v>18.617000000000001</v>
      </c>
      <c r="D555" s="62">
        <v>0.254</v>
      </c>
      <c r="E555" s="62">
        <v>3426.6030000000001</v>
      </c>
      <c r="F555" s="62">
        <v>143.917</v>
      </c>
      <c r="G555" s="62">
        <v>18.363</v>
      </c>
      <c r="H555" s="62">
        <v>308</v>
      </c>
      <c r="I555" s="62">
        <v>85.331000000000003</v>
      </c>
      <c r="J555" s="62">
        <v>222.66900000000001</v>
      </c>
      <c r="K555" s="62">
        <v>5354.3530000000001</v>
      </c>
      <c r="L555" s="62">
        <v>692.13599999999997</v>
      </c>
      <c r="M555" s="62">
        <v>2957.136</v>
      </c>
      <c r="N555" s="62">
        <v>124.2</v>
      </c>
      <c r="O555" s="66">
        <v>15.847</v>
      </c>
      <c r="P555" s="61">
        <v>868.73900000000003</v>
      </c>
      <c r="Q555" s="62">
        <v>36.487000000000002</v>
      </c>
      <c r="R555" s="62">
        <v>4.7729999999999997</v>
      </c>
      <c r="S555" s="62">
        <v>543</v>
      </c>
      <c r="T555" s="62"/>
      <c r="U555" s="62">
        <v>1965</v>
      </c>
      <c r="V555" s="62">
        <v>238</v>
      </c>
      <c r="W555" s="62">
        <v>1173.739</v>
      </c>
      <c r="X555" s="62">
        <v>49.296999999999997</v>
      </c>
      <c r="Y555" s="61">
        <v>6.4489999999999998</v>
      </c>
      <c r="Z555" s="63">
        <v>6.4489999999999998</v>
      </c>
      <c r="AA555" s="64" t="s">
        <v>116</v>
      </c>
      <c r="AB555" s="62" t="s">
        <v>116</v>
      </c>
      <c r="AC555" s="62">
        <v>59.387</v>
      </c>
      <c r="AD555" s="62">
        <v>2.4940000000000002</v>
      </c>
      <c r="AE555" s="62">
        <v>0.318</v>
      </c>
      <c r="AF555" s="62" t="s">
        <v>140</v>
      </c>
      <c r="AG555" s="62">
        <v>56</v>
      </c>
      <c r="AH555" s="62">
        <v>2</v>
      </c>
      <c r="AI555" s="62">
        <v>57.387</v>
      </c>
      <c r="AJ555" s="62">
        <v>2.41</v>
      </c>
      <c r="AK555" s="64">
        <v>0.308</v>
      </c>
      <c r="AL555" s="19">
        <v>162735</v>
      </c>
      <c r="AM555" s="19">
        <v>134151</v>
      </c>
      <c r="AN555" s="23">
        <v>9503</v>
      </c>
      <c r="AO555" s="19">
        <v>140129</v>
      </c>
      <c r="AP555" s="19">
        <v>39667</v>
      </c>
      <c r="AQ555" s="19">
        <v>149490</v>
      </c>
      <c r="AR555" s="68">
        <v>4817.4000000000005</v>
      </c>
      <c r="AS555" s="68">
        <v>6835.5</v>
      </c>
      <c r="AT555" s="65">
        <f t="shared" si="42"/>
        <v>5885.4179999999997</v>
      </c>
      <c r="AU555" s="65">
        <f t="shared" si="43"/>
        <v>399.12599999999998</v>
      </c>
      <c r="AV555" s="65">
        <f t="shared" si="44"/>
        <v>1666.0139999999999</v>
      </c>
      <c r="AW555" s="65">
        <f t="shared" si="45"/>
        <v>6834.87</v>
      </c>
      <c r="AX555" s="65">
        <f t="shared" si="45"/>
        <v>5634.3419999999996</v>
      </c>
      <c r="AY555" s="65">
        <f t="shared" si="41"/>
        <v>6278.58</v>
      </c>
      <c r="AZ555" s="19">
        <v>54902</v>
      </c>
      <c r="BA555" s="19">
        <v>50252</v>
      </c>
      <c r="BB555" s="19">
        <v>41158</v>
      </c>
      <c r="BC555" s="19">
        <v>3106</v>
      </c>
      <c r="BD555" s="19">
        <v>8183</v>
      </c>
      <c r="BE555" s="23">
        <v>12049.87</v>
      </c>
      <c r="BF555" s="23">
        <v>42508.023000000001</v>
      </c>
      <c r="BG555" s="23"/>
      <c r="BH555" s="23"/>
      <c r="BI555" s="67">
        <v>51.38</v>
      </c>
      <c r="BJ555" s="67">
        <v>1.79</v>
      </c>
      <c r="BK555" s="67">
        <v>1.83</v>
      </c>
      <c r="BL555" s="67">
        <v>1.48</v>
      </c>
      <c r="BM555" s="62"/>
      <c r="BN555" s="62"/>
      <c r="BO555" s="62"/>
      <c r="BP555" s="62"/>
      <c r="BQ555" s="62"/>
      <c r="BR555" s="62"/>
      <c r="BS555" s="62"/>
      <c r="BT555" s="62"/>
      <c r="BU555" s="62"/>
      <c r="BV555" s="62"/>
      <c r="BW555" s="62"/>
      <c r="BX555" s="62"/>
      <c r="BY555" s="62"/>
      <c r="BZ555" s="62"/>
      <c r="CA555" s="62"/>
      <c r="CB555" s="62"/>
      <c r="CC555" s="62"/>
      <c r="CD555" s="62"/>
      <c r="CE555" s="62"/>
      <c r="CF555" s="62"/>
      <c r="CG555" s="62"/>
      <c r="CH555" s="62"/>
      <c r="CI555" s="62"/>
      <c r="CJ555" s="62"/>
      <c r="CK555" s="62"/>
      <c r="CL555" s="62"/>
      <c r="CM555" s="62"/>
      <c r="CN555" s="62"/>
      <c r="CO555" s="62"/>
      <c r="CP555" s="62"/>
      <c r="CQ555" s="62"/>
      <c r="CR555" s="62"/>
      <c r="CS555" s="62"/>
      <c r="CT555" s="62"/>
      <c r="CU555" s="62"/>
      <c r="CV555" s="62"/>
      <c r="CW555" s="62"/>
      <c r="CX555" s="62"/>
      <c r="CY555" s="62"/>
      <c r="CZ555" s="62"/>
      <c r="DA555" s="62"/>
      <c r="DB555" s="62"/>
      <c r="DC555" s="62"/>
      <c r="DD555" s="62"/>
      <c r="DE555" s="62"/>
      <c r="DF555" s="62"/>
      <c r="DG555" s="62"/>
      <c r="DH555" s="62"/>
      <c r="DI555" s="62"/>
      <c r="DJ555" s="62"/>
      <c r="DK555" s="62"/>
      <c r="DL555" s="62"/>
    </row>
    <row r="556" spans="1:116" x14ac:dyDescent="0.2">
      <c r="A556" s="57">
        <v>43497</v>
      </c>
      <c r="B556" s="58">
        <v>2019</v>
      </c>
      <c r="C556" s="66">
        <v>16.885000000000002</v>
      </c>
      <c r="D556" s="62">
        <v>0.23</v>
      </c>
      <c r="E556" s="62">
        <v>3107.8429999999998</v>
      </c>
      <c r="F556" s="62">
        <v>130.529</v>
      </c>
      <c r="G556" s="62">
        <v>16.655000000000001</v>
      </c>
      <c r="H556" s="62">
        <v>233</v>
      </c>
      <c r="I556" s="62">
        <v>91.441000000000003</v>
      </c>
      <c r="J556" s="62">
        <v>141.559</v>
      </c>
      <c r="K556" s="62">
        <v>5502.4790000000003</v>
      </c>
      <c r="L556" s="62">
        <v>148.126</v>
      </c>
      <c r="M556" s="62">
        <v>3101.2759999999998</v>
      </c>
      <c r="N556" s="62">
        <v>130.25399999999999</v>
      </c>
      <c r="O556" s="66">
        <v>16.62</v>
      </c>
      <c r="P556" s="61">
        <v>956.51700000000005</v>
      </c>
      <c r="Q556" s="62">
        <v>40.173999999999999</v>
      </c>
      <c r="R556" s="62">
        <v>5.2549999999999999</v>
      </c>
      <c r="S556" s="62">
        <v>304</v>
      </c>
      <c r="T556" s="62"/>
      <c r="U556" s="62">
        <v>2097</v>
      </c>
      <c r="V556" s="62">
        <v>132</v>
      </c>
      <c r="W556" s="62">
        <v>1128.5170000000001</v>
      </c>
      <c r="X556" s="62">
        <v>47.398000000000003</v>
      </c>
      <c r="Y556" s="61">
        <v>6.2</v>
      </c>
      <c r="Z556" s="63">
        <v>6.2</v>
      </c>
      <c r="AA556" s="64" t="s">
        <v>116</v>
      </c>
      <c r="AB556" s="62" t="s">
        <v>116</v>
      </c>
      <c r="AC556" s="62">
        <v>66.084999999999994</v>
      </c>
      <c r="AD556" s="62">
        <v>2.7759999999999998</v>
      </c>
      <c r="AE556" s="62">
        <v>0.35399999999999998</v>
      </c>
      <c r="AF556" s="62" t="s">
        <v>140</v>
      </c>
      <c r="AG556" s="62">
        <v>58</v>
      </c>
      <c r="AH556" s="62">
        <v>2</v>
      </c>
      <c r="AI556" s="62">
        <v>64.084999999999994</v>
      </c>
      <c r="AJ556" s="62">
        <v>2.6920000000000002</v>
      </c>
      <c r="AK556" s="64">
        <v>0.34300000000000003</v>
      </c>
      <c r="AL556" s="19">
        <v>137331</v>
      </c>
      <c r="AM556" s="19">
        <v>120605</v>
      </c>
      <c r="AN556" s="23">
        <v>10097</v>
      </c>
      <c r="AO556" s="19">
        <v>136323</v>
      </c>
      <c r="AP556" s="19">
        <v>32484</v>
      </c>
      <c r="AQ556" s="19">
        <v>126431</v>
      </c>
      <c r="AR556" s="68">
        <v>4398.2400000000007</v>
      </c>
      <c r="AS556" s="68">
        <v>5762.4000000000005</v>
      </c>
      <c r="AT556" s="65">
        <f t="shared" si="42"/>
        <v>5725.5659999999998</v>
      </c>
      <c r="AU556" s="65">
        <f t="shared" si="43"/>
        <v>424.07400000000001</v>
      </c>
      <c r="AV556" s="65">
        <f t="shared" si="44"/>
        <v>1364.328</v>
      </c>
      <c r="AW556" s="65">
        <f t="shared" si="45"/>
        <v>5767.902</v>
      </c>
      <c r="AX556" s="65">
        <f t="shared" si="45"/>
        <v>5065.41</v>
      </c>
      <c r="AY556" s="65">
        <f t="shared" si="41"/>
        <v>5310.1019999999999</v>
      </c>
      <c r="AZ556" s="19">
        <v>47303</v>
      </c>
      <c r="BA556" s="19">
        <v>44987</v>
      </c>
      <c r="BB556" s="19">
        <v>42019</v>
      </c>
      <c r="BC556" s="19">
        <v>3911</v>
      </c>
      <c r="BD556" s="19">
        <v>5366</v>
      </c>
      <c r="BE556" s="23">
        <v>12893.422</v>
      </c>
      <c r="BF556" s="23">
        <v>33449.606</v>
      </c>
      <c r="BG556" s="23"/>
      <c r="BH556" s="23"/>
      <c r="BI556" s="67">
        <v>54.95</v>
      </c>
      <c r="BJ556" s="67">
        <v>1.95</v>
      </c>
      <c r="BK556" s="67">
        <v>1.96</v>
      </c>
      <c r="BL556" s="67">
        <v>1.62</v>
      </c>
      <c r="BM556" s="62"/>
      <c r="BN556" s="62"/>
      <c r="BO556" s="62"/>
      <c r="BP556" s="62"/>
      <c r="BQ556" s="62"/>
      <c r="BR556" s="62"/>
      <c r="BS556" s="62"/>
      <c r="BT556" s="62"/>
      <c r="BU556" s="62"/>
      <c r="BV556" s="62"/>
      <c r="BW556" s="62"/>
      <c r="BX556" s="62"/>
      <c r="BY556" s="62"/>
      <c r="BZ556" s="62"/>
      <c r="CA556" s="62"/>
      <c r="CB556" s="62"/>
      <c r="CC556" s="62"/>
      <c r="CD556" s="62"/>
      <c r="CE556" s="62"/>
      <c r="CF556" s="62"/>
      <c r="CG556" s="62"/>
      <c r="CH556" s="62"/>
      <c r="CI556" s="62"/>
      <c r="CJ556" s="62"/>
      <c r="CK556" s="62"/>
      <c r="CL556" s="62"/>
      <c r="CM556" s="62"/>
      <c r="CN556" s="62"/>
      <c r="CO556" s="62"/>
      <c r="CP556" s="62"/>
      <c r="CQ556" s="62"/>
      <c r="CR556" s="62"/>
      <c r="CS556" s="62"/>
      <c r="CT556" s="62"/>
      <c r="CU556" s="62"/>
      <c r="CV556" s="62"/>
      <c r="CW556" s="62"/>
      <c r="CX556" s="62"/>
      <c r="CY556" s="62"/>
      <c r="CZ556" s="62"/>
      <c r="DA556" s="62"/>
      <c r="DB556" s="62"/>
      <c r="DC556" s="62"/>
      <c r="DD556" s="62"/>
      <c r="DE556" s="62"/>
      <c r="DF556" s="62"/>
      <c r="DG556" s="62"/>
      <c r="DH556" s="62"/>
      <c r="DI556" s="62"/>
      <c r="DJ556" s="62"/>
      <c r="DK556" s="62"/>
      <c r="DL556" s="62"/>
    </row>
    <row r="557" spans="1:116" x14ac:dyDescent="0.2">
      <c r="A557" s="57">
        <v>43525</v>
      </c>
      <c r="B557" s="58">
        <v>2019</v>
      </c>
      <c r="C557" s="66">
        <v>18.216999999999999</v>
      </c>
      <c r="D557" s="62">
        <v>0.248</v>
      </c>
      <c r="E557" s="62">
        <v>3352.9659999999999</v>
      </c>
      <c r="F557" s="62">
        <v>140.82499999999999</v>
      </c>
      <c r="G557" s="62">
        <v>17.969000000000001</v>
      </c>
      <c r="H557" s="62">
        <v>543</v>
      </c>
      <c r="I557" s="62">
        <v>226.03700000000001</v>
      </c>
      <c r="J557" s="62">
        <v>316.96300000000002</v>
      </c>
      <c r="K557" s="62">
        <v>5389.02</v>
      </c>
      <c r="L557" s="62">
        <v>-113.458</v>
      </c>
      <c r="M557" s="62">
        <v>3783.3870000000002</v>
      </c>
      <c r="N557" s="62">
        <v>158.90199999999999</v>
      </c>
      <c r="O557" s="66">
        <v>20.274999999999999</v>
      </c>
      <c r="P557" s="61">
        <v>850.95899999999995</v>
      </c>
      <c r="Q557" s="62">
        <v>35.74</v>
      </c>
      <c r="R557" s="62">
        <v>4.6749999999999998</v>
      </c>
      <c r="S557" s="62">
        <v>459</v>
      </c>
      <c r="T557" s="62"/>
      <c r="U557" s="62">
        <v>2049</v>
      </c>
      <c r="V557" s="62">
        <v>-48</v>
      </c>
      <c r="W557" s="62">
        <v>1357.9590000000001</v>
      </c>
      <c r="X557" s="62">
        <v>57.033999999999999</v>
      </c>
      <c r="Y557" s="61">
        <v>7.4610000000000003</v>
      </c>
      <c r="Z557" s="63">
        <v>7.4610000000000003</v>
      </c>
      <c r="AA557" s="64" t="s">
        <v>116</v>
      </c>
      <c r="AB557" s="62" t="s">
        <v>116</v>
      </c>
      <c r="AC557" s="62">
        <v>80.430999999999997</v>
      </c>
      <c r="AD557" s="62">
        <v>3.3780000000000001</v>
      </c>
      <c r="AE557" s="62">
        <v>0.43099999999999999</v>
      </c>
      <c r="AF557" s="62" t="s">
        <v>140</v>
      </c>
      <c r="AG557" s="62">
        <v>61</v>
      </c>
      <c r="AH557" s="62">
        <v>3</v>
      </c>
      <c r="AI557" s="62">
        <v>77.430999999999997</v>
      </c>
      <c r="AJ557" s="62">
        <v>3.2519999999999998</v>
      </c>
      <c r="AK557" s="64">
        <v>0.41499999999999998</v>
      </c>
      <c r="AL557" s="19">
        <v>154021</v>
      </c>
      <c r="AM557" s="19">
        <v>129708</v>
      </c>
      <c r="AN557" s="23">
        <v>5567</v>
      </c>
      <c r="AO557" s="19">
        <v>132172</v>
      </c>
      <c r="AP557" s="19">
        <v>36354</v>
      </c>
      <c r="AQ557" s="19">
        <v>141745</v>
      </c>
      <c r="AR557" s="68">
        <v>4908.54</v>
      </c>
      <c r="AS557" s="68">
        <v>6470.94</v>
      </c>
      <c r="AT557" s="65">
        <f t="shared" si="42"/>
        <v>5551.2240000000002</v>
      </c>
      <c r="AU557" s="65">
        <f t="shared" si="43"/>
        <v>233.81399999999999</v>
      </c>
      <c r="AV557" s="65">
        <f t="shared" si="44"/>
        <v>1526.8679999999999</v>
      </c>
      <c r="AW557" s="65">
        <f t="shared" si="45"/>
        <v>6468.8819999999996</v>
      </c>
      <c r="AX557" s="65">
        <f t="shared" si="45"/>
        <v>5447.7359999999999</v>
      </c>
      <c r="AY557" s="65">
        <f t="shared" si="41"/>
        <v>5953.29</v>
      </c>
      <c r="AZ557" s="19">
        <v>53567</v>
      </c>
      <c r="BA557" s="19">
        <v>53051</v>
      </c>
      <c r="BB557" s="19">
        <v>41646</v>
      </c>
      <c r="BC557" s="19">
        <v>4476</v>
      </c>
      <c r="BD557" s="19">
        <v>5365</v>
      </c>
      <c r="BE557" s="23">
        <v>31860.774000000001</v>
      </c>
      <c r="BF557" s="23">
        <v>79393.728000000003</v>
      </c>
      <c r="BG557" s="23"/>
      <c r="BH557" s="23"/>
      <c r="BI557" s="67">
        <v>58.15</v>
      </c>
      <c r="BJ557" s="67">
        <v>2.02</v>
      </c>
      <c r="BK557" s="67">
        <v>2</v>
      </c>
      <c r="BL557" s="67">
        <v>1.88</v>
      </c>
      <c r="BM557" s="62"/>
      <c r="BN557" s="62"/>
      <c r="BO557" s="62"/>
      <c r="BP557" s="62"/>
      <c r="BQ557" s="62"/>
      <c r="BR557" s="62"/>
      <c r="BS557" s="62"/>
      <c r="BT557" s="62"/>
      <c r="BU557" s="62"/>
      <c r="BV557" s="62"/>
      <c r="BW557" s="62"/>
      <c r="BX557" s="62"/>
      <c r="BY557" s="62"/>
      <c r="BZ557" s="62"/>
      <c r="CA557" s="62"/>
      <c r="CB557" s="62"/>
      <c r="CC557" s="62"/>
      <c r="CD557" s="62"/>
      <c r="CE557" s="62"/>
      <c r="CF557" s="62"/>
      <c r="CG557" s="62"/>
      <c r="CH557" s="62"/>
      <c r="CI557" s="62"/>
      <c r="CJ557" s="62"/>
      <c r="CK557" s="62"/>
      <c r="CL557" s="62"/>
      <c r="CM557" s="62"/>
      <c r="CN557" s="62"/>
      <c r="CO557" s="62"/>
      <c r="CP557" s="62"/>
      <c r="CQ557" s="62"/>
      <c r="CR557" s="62"/>
      <c r="CS557" s="62"/>
      <c r="CT557" s="62"/>
      <c r="CU557" s="62"/>
      <c r="CV557" s="62"/>
      <c r="CW557" s="62"/>
      <c r="CX557" s="62"/>
      <c r="CY557" s="62"/>
      <c r="CZ557" s="62"/>
      <c r="DA557" s="62"/>
      <c r="DB557" s="62"/>
      <c r="DC557" s="62"/>
      <c r="DD557" s="62"/>
      <c r="DE557" s="62"/>
      <c r="DF557" s="62"/>
      <c r="DG557" s="62"/>
      <c r="DH557" s="62"/>
      <c r="DI557" s="62"/>
      <c r="DJ557" s="62"/>
      <c r="DK557" s="62"/>
      <c r="DL557" s="62"/>
    </row>
    <row r="558" spans="1:116" x14ac:dyDescent="0.2">
      <c r="A558" s="57">
        <v>43556</v>
      </c>
      <c r="B558" s="58">
        <v>2019</v>
      </c>
      <c r="C558" s="66">
        <v>19.681999999999999</v>
      </c>
      <c r="D558" s="62">
        <v>0.26800000000000002</v>
      </c>
      <c r="E558" s="62">
        <v>3622.5880000000002</v>
      </c>
      <c r="F558" s="62">
        <v>152.149</v>
      </c>
      <c r="G558" s="62">
        <v>19.413</v>
      </c>
      <c r="H558" s="62">
        <v>410</v>
      </c>
      <c r="I558" s="62">
        <v>369.99099999999999</v>
      </c>
      <c r="J558" s="62">
        <v>40.009</v>
      </c>
      <c r="K558" s="62">
        <v>5330.2979999999998</v>
      </c>
      <c r="L558" s="62">
        <v>-58.722000000000001</v>
      </c>
      <c r="M558" s="62">
        <v>3721.319</v>
      </c>
      <c r="N558" s="62">
        <v>156.29499999999999</v>
      </c>
      <c r="O558" s="66">
        <v>19.943000000000001</v>
      </c>
      <c r="P558" s="61">
        <v>918.03399999999999</v>
      </c>
      <c r="Q558" s="62">
        <v>38.557000000000002</v>
      </c>
      <c r="R558" s="62">
        <v>5.0439999999999996</v>
      </c>
      <c r="S558" s="62">
        <v>407</v>
      </c>
      <c r="T558" s="62"/>
      <c r="U558" s="62">
        <v>1984</v>
      </c>
      <c r="V558" s="62">
        <v>-65</v>
      </c>
      <c r="W558" s="62">
        <v>1390.0340000000001</v>
      </c>
      <c r="X558" s="62">
        <v>58.381</v>
      </c>
      <c r="Y558" s="61">
        <v>7.6369999999999996</v>
      </c>
      <c r="Z558" s="63">
        <v>7.6369999999999996</v>
      </c>
      <c r="AA558" s="64" t="s">
        <v>116</v>
      </c>
      <c r="AB558" s="62" t="s">
        <v>116</v>
      </c>
      <c r="AC558" s="62">
        <v>66.224000000000004</v>
      </c>
      <c r="AD558" s="62">
        <v>2.7810000000000001</v>
      </c>
      <c r="AE558" s="62">
        <v>0.35499999999999998</v>
      </c>
      <c r="AF558" s="62" t="s">
        <v>140</v>
      </c>
      <c r="AG558" s="62">
        <v>44</v>
      </c>
      <c r="AH558" s="62">
        <v>-17</v>
      </c>
      <c r="AI558" s="62">
        <v>83.224000000000004</v>
      </c>
      <c r="AJ558" s="62">
        <v>3.4950000000000001</v>
      </c>
      <c r="AK558" s="64">
        <v>0.44600000000000001</v>
      </c>
      <c r="AL558" s="19">
        <v>151776</v>
      </c>
      <c r="AM558" s="19">
        <v>123588</v>
      </c>
      <c r="AN558" s="23">
        <v>3644</v>
      </c>
      <c r="AO558" s="19">
        <v>128274</v>
      </c>
      <c r="AP558" s="19">
        <v>37838</v>
      </c>
      <c r="AQ558" s="19">
        <v>140565</v>
      </c>
      <c r="AR558" s="68">
        <v>4913.9999999999991</v>
      </c>
      <c r="AS558" s="68">
        <v>6375.5999999999995</v>
      </c>
      <c r="AT558" s="65">
        <f t="shared" si="42"/>
        <v>5387.5079999999998</v>
      </c>
      <c r="AU558" s="65">
        <f t="shared" si="43"/>
        <v>153.048</v>
      </c>
      <c r="AV558" s="65">
        <f t="shared" si="44"/>
        <v>1589.1959999999999</v>
      </c>
      <c r="AW558" s="65">
        <f t="shared" si="45"/>
        <v>6374.5919999999996</v>
      </c>
      <c r="AX558" s="65">
        <f t="shared" si="45"/>
        <v>5190.6959999999999</v>
      </c>
      <c r="AY558" s="65">
        <f t="shared" si="41"/>
        <v>5903.73</v>
      </c>
      <c r="AZ558" s="19">
        <v>51828</v>
      </c>
      <c r="BA558" s="19">
        <v>52670</v>
      </c>
      <c r="BB558" s="19">
        <v>40871</v>
      </c>
      <c r="BC558" s="19">
        <v>5910</v>
      </c>
      <c r="BD558" s="19">
        <v>5843</v>
      </c>
      <c r="BE558" s="23">
        <v>52154.425999999999</v>
      </c>
      <c r="BF558" s="23">
        <v>62519.896000000001</v>
      </c>
      <c r="BG558" s="23"/>
      <c r="BH558" s="23"/>
      <c r="BI558" s="67">
        <v>63.86</v>
      </c>
      <c r="BJ558" s="67">
        <v>2.1</v>
      </c>
      <c r="BK558" s="67">
        <v>2.06</v>
      </c>
      <c r="BL558" s="67">
        <v>2.14</v>
      </c>
      <c r="BM558" s="62"/>
      <c r="BN558" s="62"/>
      <c r="BO558" s="62"/>
      <c r="BP558" s="62"/>
      <c r="BQ558" s="62"/>
      <c r="BR558" s="62"/>
      <c r="BS558" s="62"/>
      <c r="BT558" s="62"/>
      <c r="BU558" s="62"/>
      <c r="BV558" s="62"/>
      <c r="BW558" s="62"/>
      <c r="BX558" s="62"/>
      <c r="BY558" s="62"/>
      <c r="BZ558" s="62"/>
      <c r="CA558" s="62"/>
      <c r="CB558" s="62"/>
      <c r="CC558" s="62"/>
      <c r="CD558" s="62"/>
      <c r="CE558" s="62"/>
      <c r="CF558" s="62"/>
      <c r="CG558" s="62"/>
      <c r="CH558" s="62"/>
      <c r="CI558" s="62"/>
      <c r="CJ558" s="62"/>
      <c r="CK558" s="62"/>
      <c r="CL558" s="62"/>
      <c r="CM558" s="62"/>
      <c r="CN558" s="62"/>
      <c r="CO558" s="62"/>
      <c r="CP558" s="62"/>
      <c r="CQ558" s="62"/>
      <c r="CR558" s="62"/>
      <c r="CS558" s="62"/>
      <c r="CT558" s="62"/>
      <c r="CU558" s="62"/>
      <c r="CV558" s="62"/>
      <c r="CW558" s="62"/>
      <c r="CX558" s="62"/>
      <c r="CY558" s="62"/>
      <c r="CZ558" s="62"/>
      <c r="DA558" s="62"/>
      <c r="DB558" s="62"/>
      <c r="DC558" s="62"/>
      <c r="DD558" s="62"/>
      <c r="DE558" s="62"/>
      <c r="DF558" s="62"/>
      <c r="DG558" s="62"/>
      <c r="DH558" s="62"/>
      <c r="DI558" s="62"/>
      <c r="DJ558" s="62"/>
      <c r="DK558" s="62"/>
      <c r="DL558" s="62"/>
    </row>
    <row r="559" spans="1:116" x14ac:dyDescent="0.2">
      <c r="A559" s="57">
        <v>43586</v>
      </c>
      <c r="B559" s="58">
        <v>2019</v>
      </c>
      <c r="C559" s="66">
        <v>19.997</v>
      </c>
      <c r="D559" s="62">
        <v>0.27200000000000002</v>
      </c>
      <c r="E559" s="62">
        <v>3680.7220000000002</v>
      </c>
      <c r="F559" s="62">
        <v>154.59</v>
      </c>
      <c r="G559" s="62">
        <v>19.725000000000001</v>
      </c>
      <c r="H559" s="62">
        <v>281</v>
      </c>
      <c r="I559" s="62">
        <v>440.28800000000001</v>
      </c>
      <c r="J559" s="62">
        <v>-159.28800000000001</v>
      </c>
      <c r="K559" s="62">
        <v>4814.9769999999999</v>
      </c>
      <c r="L559" s="62">
        <v>-515.32100000000003</v>
      </c>
      <c r="M559" s="62">
        <v>4036.7550000000001</v>
      </c>
      <c r="N559" s="62">
        <v>169.54400000000001</v>
      </c>
      <c r="O559" s="66">
        <v>21.632999999999999</v>
      </c>
      <c r="P559" s="61">
        <v>961.49699999999996</v>
      </c>
      <c r="Q559" s="62">
        <v>40.383000000000003</v>
      </c>
      <c r="R559" s="62">
        <v>5.282</v>
      </c>
      <c r="S559" s="62">
        <v>646</v>
      </c>
      <c r="T559" s="62"/>
      <c r="U559" s="62">
        <v>1853</v>
      </c>
      <c r="V559" s="62">
        <v>-131</v>
      </c>
      <c r="W559" s="62">
        <v>1738.4970000000001</v>
      </c>
      <c r="X559" s="62">
        <v>73.016999999999996</v>
      </c>
      <c r="Y559" s="61">
        <v>9.5510000000000002</v>
      </c>
      <c r="Z559" s="63">
        <v>9.5510000000000002</v>
      </c>
      <c r="AA559" s="64" t="s">
        <v>116</v>
      </c>
      <c r="AB559" s="62" t="s">
        <v>116</v>
      </c>
      <c r="AC559" s="62">
        <v>80.688999999999993</v>
      </c>
      <c r="AD559" s="62">
        <v>3.3889999999999998</v>
      </c>
      <c r="AE559" s="62">
        <v>0.432</v>
      </c>
      <c r="AF559" s="62" t="s">
        <v>140</v>
      </c>
      <c r="AG559" s="62">
        <v>43</v>
      </c>
      <c r="AH559" s="62">
        <v>-1</v>
      </c>
      <c r="AI559" s="62">
        <v>81.688999999999993</v>
      </c>
      <c r="AJ559" s="62">
        <v>3.431</v>
      </c>
      <c r="AK559" s="64">
        <v>0.438</v>
      </c>
      <c r="AL559" s="19">
        <v>161563</v>
      </c>
      <c r="AM559" s="19">
        <v>127399</v>
      </c>
      <c r="AN559" s="23">
        <v>4966</v>
      </c>
      <c r="AO559" s="19">
        <v>129865</v>
      </c>
      <c r="AP559" s="19">
        <v>39907</v>
      </c>
      <c r="AQ559" s="19">
        <v>150351</v>
      </c>
      <c r="AR559" s="68">
        <v>5142.9000000000005</v>
      </c>
      <c r="AS559" s="68">
        <v>6783.42</v>
      </c>
      <c r="AT559" s="65">
        <f t="shared" si="42"/>
        <v>5454.33</v>
      </c>
      <c r="AU559" s="65">
        <f t="shared" si="43"/>
        <v>208.572</v>
      </c>
      <c r="AV559" s="65">
        <f t="shared" si="44"/>
        <v>1676.0940000000001</v>
      </c>
      <c r="AW559" s="65">
        <f t="shared" si="45"/>
        <v>6785.6459999999997</v>
      </c>
      <c r="AX559" s="65">
        <f t="shared" si="45"/>
        <v>5350.7579999999998</v>
      </c>
      <c r="AY559" s="65">
        <f t="shared" si="41"/>
        <v>6314.7420000000002</v>
      </c>
      <c r="AZ559" s="19">
        <v>53586</v>
      </c>
      <c r="BA559" s="19">
        <v>54965</v>
      </c>
      <c r="BB559" s="19">
        <v>39293</v>
      </c>
      <c r="BC559" s="19">
        <v>5815</v>
      </c>
      <c r="BD559" s="19">
        <v>6014</v>
      </c>
      <c r="BE559" s="23">
        <v>62062.03</v>
      </c>
      <c r="BF559" s="23">
        <v>42613.739000000001</v>
      </c>
      <c r="BG559" s="23"/>
      <c r="BH559" s="23"/>
      <c r="BI559" s="67">
        <v>60.83</v>
      </c>
      <c r="BJ559" s="67">
        <v>2.11</v>
      </c>
      <c r="BK559" s="67">
        <v>2.14</v>
      </c>
      <c r="BL559" s="67">
        <v>2.11</v>
      </c>
      <c r="BM559" s="62"/>
      <c r="BN559" s="62"/>
      <c r="BO559" s="62"/>
      <c r="BP559" s="62"/>
      <c r="BQ559" s="62"/>
      <c r="BR559" s="62"/>
      <c r="BS559" s="62"/>
      <c r="BT559" s="62"/>
      <c r="BU559" s="62"/>
      <c r="BV559" s="62"/>
      <c r="BW559" s="62"/>
      <c r="BX559" s="62"/>
      <c r="BY559" s="62"/>
      <c r="BZ559" s="62"/>
      <c r="CA559" s="62"/>
      <c r="CB559" s="62"/>
      <c r="CC559" s="62"/>
      <c r="CD559" s="62"/>
      <c r="CE559" s="62"/>
      <c r="CF559" s="62"/>
      <c r="CG559" s="62"/>
      <c r="CH559" s="62"/>
      <c r="CI559" s="62"/>
      <c r="CJ559" s="62"/>
      <c r="CK559" s="62"/>
      <c r="CL559" s="62"/>
      <c r="CM559" s="62"/>
      <c r="CN559" s="62"/>
      <c r="CO559" s="62"/>
      <c r="CP559" s="62"/>
      <c r="CQ559" s="62"/>
      <c r="CR559" s="62"/>
      <c r="CS559" s="62"/>
      <c r="CT559" s="62"/>
      <c r="CU559" s="62"/>
      <c r="CV559" s="62"/>
      <c r="CW559" s="62"/>
      <c r="CX559" s="62"/>
      <c r="CY559" s="62"/>
      <c r="CZ559" s="62"/>
      <c r="DA559" s="62"/>
      <c r="DB559" s="62"/>
      <c r="DC559" s="62"/>
      <c r="DD559" s="62"/>
      <c r="DE559" s="62"/>
      <c r="DF559" s="62"/>
      <c r="DG559" s="62"/>
      <c r="DH559" s="62"/>
      <c r="DI559" s="62"/>
      <c r="DJ559" s="62"/>
      <c r="DK559" s="62"/>
      <c r="DL559" s="62"/>
    </row>
    <row r="560" spans="1:116" x14ac:dyDescent="0.2">
      <c r="A560" s="57">
        <v>43617</v>
      </c>
      <c r="B560" s="58">
        <v>2019</v>
      </c>
      <c r="C560" s="66">
        <v>18.311</v>
      </c>
      <c r="D560" s="62">
        <v>0.249</v>
      </c>
      <c r="E560" s="62">
        <v>3370.3209999999999</v>
      </c>
      <c r="F560" s="62">
        <v>141.553</v>
      </c>
      <c r="G560" s="62">
        <v>18.062000000000001</v>
      </c>
      <c r="H560" s="62">
        <v>310</v>
      </c>
      <c r="I560" s="62">
        <v>300.16699999999997</v>
      </c>
      <c r="J560" s="62">
        <v>9.8330000000000002</v>
      </c>
      <c r="K560" s="62">
        <v>4408.4989999999998</v>
      </c>
      <c r="L560" s="62">
        <v>-406.47899999999998</v>
      </c>
      <c r="M560" s="62">
        <v>3786.6329999999998</v>
      </c>
      <c r="N560" s="62">
        <v>159.03899999999999</v>
      </c>
      <c r="O560" s="66">
        <v>20.292999999999999</v>
      </c>
      <c r="P560" s="61">
        <v>946.68200000000002</v>
      </c>
      <c r="Q560" s="62">
        <v>39.761000000000003</v>
      </c>
      <c r="R560" s="62">
        <v>5.2009999999999996</v>
      </c>
      <c r="S560" s="62">
        <v>600</v>
      </c>
      <c r="T560" s="62"/>
      <c r="U560" s="62">
        <v>2055</v>
      </c>
      <c r="V560" s="62">
        <v>202</v>
      </c>
      <c r="W560" s="62">
        <v>1344.682</v>
      </c>
      <c r="X560" s="62">
        <v>56.476999999999997</v>
      </c>
      <c r="Y560" s="61">
        <v>7.3879999999999999</v>
      </c>
      <c r="Z560" s="63">
        <v>7.3879999999999999</v>
      </c>
      <c r="AA560" s="64" t="s">
        <v>116</v>
      </c>
      <c r="AB560" s="62" t="s">
        <v>116</v>
      </c>
      <c r="AC560" s="62">
        <v>48.170999999999999</v>
      </c>
      <c r="AD560" s="62">
        <v>2.0230000000000001</v>
      </c>
      <c r="AE560" s="62">
        <v>0.25800000000000001</v>
      </c>
      <c r="AF560" s="62" t="s">
        <v>140</v>
      </c>
      <c r="AG560" s="62">
        <v>42</v>
      </c>
      <c r="AH560" s="62">
        <v>-1</v>
      </c>
      <c r="AI560" s="62">
        <v>49.170999999999999</v>
      </c>
      <c r="AJ560" s="62">
        <v>2.0649999999999999</v>
      </c>
      <c r="AK560" s="64">
        <v>0.26400000000000001</v>
      </c>
      <c r="AL560" s="19">
        <v>160521</v>
      </c>
      <c r="AM560" s="19">
        <v>119796</v>
      </c>
      <c r="AN560" s="23">
        <v>3775</v>
      </c>
      <c r="AO560" s="19">
        <v>131094</v>
      </c>
      <c r="AP560" s="19">
        <v>45476</v>
      </c>
      <c r="AQ560" s="19">
        <v>149603</v>
      </c>
      <c r="AR560" s="68">
        <v>4901.3999999999996</v>
      </c>
      <c r="AS560" s="68">
        <v>6741</v>
      </c>
      <c r="AT560" s="65">
        <f t="shared" si="42"/>
        <v>5505.9480000000003</v>
      </c>
      <c r="AU560" s="65">
        <f t="shared" si="43"/>
        <v>158.55000000000001</v>
      </c>
      <c r="AV560" s="65">
        <f t="shared" si="44"/>
        <v>1909.992</v>
      </c>
      <c r="AW560" s="65">
        <f t="shared" si="45"/>
        <v>6741.8819999999996</v>
      </c>
      <c r="AX560" s="65">
        <f t="shared" si="45"/>
        <v>5031.4319999999998</v>
      </c>
      <c r="AY560" s="65">
        <f t="shared" si="41"/>
        <v>6283.326</v>
      </c>
      <c r="AZ560" s="19">
        <v>56477</v>
      </c>
      <c r="BA560" s="19">
        <v>54051</v>
      </c>
      <c r="BB560" s="19">
        <v>40547</v>
      </c>
      <c r="BC560" s="19">
        <v>5227</v>
      </c>
      <c r="BD560" s="19">
        <v>6399</v>
      </c>
      <c r="BE560" s="23">
        <v>42295.214</v>
      </c>
      <c r="BF560" s="23">
        <v>41971.822999999997</v>
      </c>
      <c r="BG560" s="23"/>
      <c r="BH560" s="23"/>
      <c r="BI560" s="67">
        <v>54.66</v>
      </c>
      <c r="BJ560" s="67">
        <v>1.87</v>
      </c>
      <c r="BK560" s="67">
        <v>1.91</v>
      </c>
      <c r="BL560" s="67">
        <v>1.91</v>
      </c>
      <c r="BM560" s="62"/>
      <c r="BN560" s="62"/>
      <c r="BO560" s="62"/>
      <c r="BP560" s="62"/>
      <c r="BQ560" s="62"/>
      <c r="BR560" s="62"/>
      <c r="BS560" s="62"/>
      <c r="BT560" s="62"/>
      <c r="BU560" s="62"/>
      <c r="BV560" s="62"/>
      <c r="BW560" s="62"/>
      <c r="BX560" s="62"/>
      <c r="BY560" s="62"/>
      <c r="BZ560" s="62"/>
      <c r="CA560" s="62"/>
      <c r="CB560" s="62"/>
      <c r="CC560" s="62"/>
      <c r="CD560" s="62"/>
      <c r="CE560" s="62"/>
      <c r="CF560" s="62"/>
      <c r="CG560" s="62"/>
      <c r="CH560" s="62"/>
      <c r="CI560" s="62"/>
      <c r="CJ560" s="62"/>
      <c r="CK560" s="62"/>
      <c r="CL560" s="62"/>
      <c r="CM560" s="62"/>
      <c r="CN560" s="62"/>
      <c r="CO560" s="62"/>
      <c r="CP560" s="62"/>
      <c r="CQ560" s="62"/>
      <c r="CR560" s="62"/>
      <c r="CS560" s="62"/>
      <c r="CT560" s="62"/>
      <c r="CU560" s="62"/>
      <c r="CV560" s="62"/>
      <c r="CW560" s="62"/>
      <c r="CX560" s="62"/>
      <c r="CY560" s="62"/>
      <c r="CZ560" s="62"/>
      <c r="DA560" s="62"/>
      <c r="DB560" s="62"/>
      <c r="DC560" s="62"/>
      <c r="DD560" s="62"/>
      <c r="DE560" s="62"/>
      <c r="DF560" s="62"/>
      <c r="DG560" s="62"/>
      <c r="DH560" s="62"/>
      <c r="DI560" s="62"/>
      <c r="DJ560" s="62"/>
      <c r="DK560" s="62"/>
      <c r="DL560" s="62"/>
    </row>
    <row r="561" spans="1:116" x14ac:dyDescent="0.2">
      <c r="A561" s="57">
        <v>43647</v>
      </c>
      <c r="B561" s="58">
        <v>2019</v>
      </c>
      <c r="C561" s="66">
        <v>20.516999999999999</v>
      </c>
      <c r="D561" s="62">
        <v>0.27900000000000003</v>
      </c>
      <c r="E561" s="62">
        <v>3776.4389999999999</v>
      </c>
      <c r="F561" s="62">
        <v>158.61000000000001</v>
      </c>
      <c r="G561" s="62">
        <v>20.238</v>
      </c>
      <c r="H561" s="62">
        <v>333</v>
      </c>
      <c r="I561" s="62">
        <v>391.762</v>
      </c>
      <c r="J561" s="62">
        <v>-58.762</v>
      </c>
      <c r="K561" s="62">
        <v>4087.6129999999998</v>
      </c>
      <c r="L561" s="62">
        <v>-320.88499999999999</v>
      </c>
      <c r="M561" s="62">
        <v>4038.5619999999999</v>
      </c>
      <c r="N561" s="62">
        <v>169.62</v>
      </c>
      <c r="O561" s="66">
        <v>21.643000000000001</v>
      </c>
      <c r="P561" s="61">
        <v>1101.9590000000001</v>
      </c>
      <c r="Q561" s="62">
        <v>46.281999999999996</v>
      </c>
      <c r="R561" s="62">
        <v>6.0540000000000003</v>
      </c>
      <c r="S561" s="62">
        <v>546</v>
      </c>
      <c r="T561" s="62"/>
      <c r="U561" s="62">
        <v>2048</v>
      </c>
      <c r="V561" s="62">
        <v>-7</v>
      </c>
      <c r="W561" s="62">
        <v>1654.9590000000001</v>
      </c>
      <c r="X561" s="62">
        <v>69.507999999999996</v>
      </c>
      <c r="Y561" s="61">
        <v>9.0920000000000005</v>
      </c>
      <c r="Z561" s="63">
        <v>9.0920000000000005</v>
      </c>
      <c r="AA561" s="64" t="s">
        <v>116</v>
      </c>
      <c r="AB561" s="62" t="s">
        <v>116</v>
      </c>
      <c r="AC561" s="62">
        <v>58.176000000000002</v>
      </c>
      <c r="AD561" s="62">
        <v>2.4430000000000001</v>
      </c>
      <c r="AE561" s="62">
        <v>0.312</v>
      </c>
      <c r="AF561" s="62" t="s">
        <v>140</v>
      </c>
      <c r="AG561" s="62">
        <v>44</v>
      </c>
      <c r="AH561" s="62">
        <v>2</v>
      </c>
      <c r="AI561" s="62">
        <v>56.176000000000002</v>
      </c>
      <c r="AJ561" s="62">
        <v>2.359</v>
      </c>
      <c r="AK561" s="64">
        <v>0.30099999999999999</v>
      </c>
      <c r="AL561" s="19">
        <v>162620</v>
      </c>
      <c r="AM561" s="19">
        <v>121247</v>
      </c>
      <c r="AN561" s="23">
        <v>5390</v>
      </c>
      <c r="AO561" s="19">
        <v>137674</v>
      </c>
      <c r="AP561" s="19">
        <v>42592</v>
      </c>
      <c r="AQ561" s="19">
        <v>153166</v>
      </c>
      <c r="AR561" s="68">
        <v>4973.6400000000003</v>
      </c>
      <c r="AS561" s="68">
        <v>6835.5</v>
      </c>
      <c r="AT561" s="65">
        <f t="shared" si="42"/>
        <v>5782.308</v>
      </c>
      <c r="AU561" s="65">
        <f t="shared" si="43"/>
        <v>226.38</v>
      </c>
      <c r="AV561" s="65">
        <f t="shared" si="44"/>
        <v>1788.864</v>
      </c>
      <c r="AW561" s="65">
        <f t="shared" si="45"/>
        <v>6830.04</v>
      </c>
      <c r="AX561" s="65">
        <f t="shared" si="45"/>
        <v>5092.3739999999998</v>
      </c>
      <c r="AY561" s="65">
        <f t="shared" si="41"/>
        <v>6432.9719999999998</v>
      </c>
      <c r="AZ561" s="19">
        <v>59592</v>
      </c>
      <c r="BA561" s="19">
        <v>57256</v>
      </c>
      <c r="BB561" s="19">
        <v>43029</v>
      </c>
      <c r="BC561" s="19">
        <v>6624</v>
      </c>
      <c r="BD561" s="19">
        <v>6478</v>
      </c>
      <c r="BE561" s="23">
        <v>55221.720999999998</v>
      </c>
      <c r="BF561" s="23">
        <v>53247.669000000002</v>
      </c>
      <c r="BG561" s="23"/>
      <c r="BH561" s="23"/>
      <c r="BI561" s="67">
        <v>57.35</v>
      </c>
      <c r="BJ561" s="67">
        <v>1.94</v>
      </c>
      <c r="BK561" s="67">
        <v>1.97</v>
      </c>
      <c r="BL561" s="67">
        <v>1.98</v>
      </c>
      <c r="BM561" s="62"/>
      <c r="BN561" s="62"/>
      <c r="BO561" s="62"/>
      <c r="BP561" s="62"/>
      <c r="BQ561" s="62"/>
      <c r="BR561" s="62"/>
      <c r="BS561" s="62"/>
      <c r="BT561" s="62"/>
      <c r="BU561" s="62"/>
      <c r="BV561" s="62"/>
      <c r="BW561" s="62"/>
      <c r="BX561" s="62"/>
      <c r="BY561" s="62"/>
      <c r="BZ561" s="62"/>
      <c r="CA561" s="62"/>
      <c r="CB561" s="62"/>
      <c r="CC561" s="62"/>
      <c r="CD561" s="62"/>
      <c r="CE561" s="62"/>
      <c r="CF561" s="62"/>
      <c r="CG561" s="62"/>
      <c r="CH561" s="62"/>
      <c r="CI561" s="62"/>
      <c r="CJ561" s="62"/>
      <c r="CK561" s="62"/>
      <c r="CL561" s="62"/>
      <c r="CM561" s="62"/>
      <c r="CN561" s="62"/>
      <c r="CO561" s="62"/>
      <c r="CP561" s="62"/>
      <c r="CQ561" s="62"/>
      <c r="CR561" s="62"/>
      <c r="CS561" s="62"/>
      <c r="CT561" s="62"/>
      <c r="CU561" s="62"/>
      <c r="CV561" s="62"/>
      <c r="CW561" s="62"/>
      <c r="CX561" s="62"/>
      <c r="CY561" s="62"/>
      <c r="CZ561" s="62"/>
      <c r="DA561" s="62"/>
      <c r="DB561" s="62"/>
      <c r="DC561" s="62"/>
      <c r="DD561" s="62"/>
      <c r="DE561" s="62"/>
      <c r="DF561" s="62"/>
      <c r="DG561" s="62"/>
      <c r="DH561" s="62"/>
      <c r="DI561" s="62"/>
      <c r="DJ561" s="62"/>
      <c r="DK561" s="62"/>
      <c r="DL561" s="62"/>
    </row>
    <row r="562" spans="1:116" x14ac:dyDescent="0.2">
      <c r="A562" s="57">
        <v>43678</v>
      </c>
      <c r="B562" s="58">
        <v>2019</v>
      </c>
      <c r="C562" s="66">
        <v>20.167000000000002</v>
      </c>
      <c r="D562" s="62">
        <v>0.27500000000000002</v>
      </c>
      <c r="E562" s="62">
        <v>3711.8690000000001</v>
      </c>
      <c r="F562" s="62">
        <v>155.898</v>
      </c>
      <c r="G562" s="62">
        <v>19.891999999999999</v>
      </c>
      <c r="H562" s="62">
        <v>216</v>
      </c>
      <c r="I562" s="62">
        <v>291.05900000000003</v>
      </c>
      <c r="J562" s="62">
        <v>-75.058999999999997</v>
      </c>
      <c r="K562" s="62">
        <v>3859.616</v>
      </c>
      <c r="L562" s="62">
        <v>-227.99700000000001</v>
      </c>
      <c r="M562" s="62">
        <v>3864.8069999999998</v>
      </c>
      <c r="N562" s="62">
        <v>162.322</v>
      </c>
      <c r="O562" s="66">
        <v>20.712</v>
      </c>
      <c r="P562" s="61">
        <v>718.57500000000005</v>
      </c>
      <c r="Q562" s="62">
        <v>30.18</v>
      </c>
      <c r="R562" s="62">
        <v>3.948</v>
      </c>
      <c r="S562" s="62">
        <v>433</v>
      </c>
      <c r="T562" s="62"/>
      <c r="U562" s="62">
        <v>1707</v>
      </c>
      <c r="V562" s="62">
        <v>-341</v>
      </c>
      <c r="W562" s="62">
        <v>1492.575</v>
      </c>
      <c r="X562" s="62">
        <v>62.688000000000002</v>
      </c>
      <c r="Y562" s="61">
        <v>8.1999999999999993</v>
      </c>
      <c r="Z562" s="63">
        <v>8.1999999999999993</v>
      </c>
      <c r="AA562" s="64" t="s">
        <v>116</v>
      </c>
      <c r="AB562" s="62" t="s">
        <v>116</v>
      </c>
      <c r="AC562" s="62">
        <v>34.363</v>
      </c>
      <c r="AD562" s="62">
        <v>1.4430000000000001</v>
      </c>
      <c r="AE562" s="62">
        <v>0.184</v>
      </c>
      <c r="AF562" s="62" t="s">
        <v>140</v>
      </c>
      <c r="AG562" s="62">
        <v>49</v>
      </c>
      <c r="AH562" s="62">
        <v>5</v>
      </c>
      <c r="AI562" s="62">
        <v>29.363</v>
      </c>
      <c r="AJ562" s="62">
        <v>1.2330000000000001</v>
      </c>
      <c r="AK562" s="64">
        <v>0.157</v>
      </c>
      <c r="AL562" s="19">
        <v>163261</v>
      </c>
      <c r="AM562" s="19">
        <v>124914</v>
      </c>
      <c r="AN562" s="23">
        <v>4767</v>
      </c>
      <c r="AO562" s="19">
        <v>135636</v>
      </c>
      <c r="AP562" s="19">
        <v>47430</v>
      </c>
      <c r="AQ562" s="19">
        <v>152288</v>
      </c>
      <c r="AR562" s="68">
        <v>5116.8599999999997</v>
      </c>
      <c r="AS562" s="68">
        <v>6861.5399999999991</v>
      </c>
      <c r="AT562" s="65">
        <f t="shared" si="42"/>
        <v>5696.7120000000004</v>
      </c>
      <c r="AU562" s="65">
        <f t="shared" si="43"/>
        <v>200.214</v>
      </c>
      <c r="AV562" s="65">
        <f t="shared" si="44"/>
        <v>1992.06</v>
      </c>
      <c r="AW562" s="65">
        <f t="shared" si="45"/>
        <v>6856.9620000000004</v>
      </c>
      <c r="AX562" s="65">
        <f t="shared" si="45"/>
        <v>5246.3879999999999</v>
      </c>
      <c r="AY562" s="65">
        <f t="shared" si="41"/>
        <v>6396.0959999999995</v>
      </c>
      <c r="AZ562" s="19">
        <v>59652</v>
      </c>
      <c r="BA562" s="19">
        <v>57085</v>
      </c>
      <c r="BB562" s="19">
        <v>43150</v>
      </c>
      <c r="BC562" s="19">
        <v>5439</v>
      </c>
      <c r="BD562" s="19">
        <v>7885</v>
      </c>
      <c r="BE562" s="23">
        <v>41019.692000000003</v>
      </c>
      <c r="BF562" s="23">
        <v>32018.986000000001</v>
      </c>
      <c r="BG562" s="23"/>
      <c r="BH562" s="23"/>
      <c r="BI562" s="67">
        <v>54.8</v>
      </c>
      <c r="BJ562" s="67">
        <v>1.86</v>
      </c>
      <c r="BK562" s="67">
        <v>1.9</v>
      </c>
      <c r="BL562" s="67">
        <v>1.82</v>
      </c>
      <c r="BM562" s="62"/>
      <c r="BN562" s="62"/>
      <c r="BO562" s="62"/>
      <c r="BP562" s="62"/>
      <c r="BQ562" s="62"/>
      <c r="BR562" s="62"/>
      <c r="BS562" s="62"/>
      <c r="BT562" s="62"/>
      <c r="BU562" s="62"/>
      <c r="BV562" s="62"/>
      <c r="BW562" s="62"/>
      <c r="BX562" s="62"/>
      <c r="BY562" s="62"/>
      <c r="BZ562" s="62"/>
      <c r="CA562" s="62"/>
      <c r="CB562" s="62"/>
      <c r="CC562" s="62"/>
      <c r="CD562" s="62"/>
      <c r="CE562" s="62"/>
      <c r="CF562" s="62"/>
      <c r="CG562" s="62"/>
      <c r="CH562" s="62"/>
      <c r="CI562" s="62"/>
      <c r="CJ562" s="62"/>
      <c r="CK562" s="62"/>
      <c r="CL562" s="62"/>
      <c r="CM562" s="62"/>
      <c r="CN562" s="62"/>
      <c r="CO562" s="62"/>
      <c r="CP562" s="62"/>
      <c r="CQ562" s="62"/>
      <c r="CR562" s="62"/>
      <c r="CS562" s="62"/>
      <c r="CT562" s="62"/>
      <c r="CU562" s="62"/>
      <c r="CV562" s="62"/>
      <c r="CW562" s="62"/>
      <c r="CX562" s="62"/>
      <c r="CY562" s="62"/>
      <c r="CZ562" s="62"/>
      <c r="DA562" s="62"/>
      <c r="DB562" s="62"/>
      <c r="DC562" s="62"/>
      <c r="DD562" s="62"/>
      <c r="DE562" s="62"/>
      <c r="DF562" s="62"/>
      <c r="DG562" s="62"/>
      <c r="DH562" s="62"/>
      <c r="DI562" s="62"/>
      <c r="DJ562" s="62"/>
      <c r="DK562" s="62"/>
      <c r="DL562" s="62"/>
    </row>
    <row r="563" spans="1:116" x14ac:dyDescent="0.2">
      <c r="A563" s="57">
        <v>43709</v>
      </c>
      <c r="B563" s="58">
        <v>2019</v>
      </c>
      <c r="C563" s="66">
        <v>18.349</v>
      </c>
      <c r="D563" s="62">
        <v>0.25</v>
      </c>
      <c r="E563" s="62">
        <v>3377.2930000000001</v>
      </c>
      <c r="F563" s="62">
        <v>141.846</v>
      </c>
      <c r="G563" s="62">
        <v>18.099</v>
      </c>
      <c r="H563" s="62">
        <v>280</v>
      </c>
      <c r="I563" s="62">
        <v>237.60499999999999</v>
      </c>
      <c r="J563" s="62">
        <v>42.395000000000003</v>
      </c>
      <c r="K563" s="62">
        <v>3705.7779999999998</v>
      </c>
      <c r="L563" s="62">
        <v>-153.83799999999999</v>
      </c>
      <c r="M563" s="62">
        <v>3573.5259999999998</v>
      </c>
      <c r="N563" s="62">
        <v>150.08799999999999</v>
      </c>
      <c r="O563" s="66">
        <v>19.151</v>
      </c>
      <c r="P563" s="61">
        <v>968.86599999999999</v>
      </c>
      <c r="Q563" s="62">
        <v>40.692</v>
      </c>
      <c r="R563" s="62">
        <v>5.3230000000000004</v>
      </c>
      <c r="S563" s="62">
        <v>325</v>
      </c>
      <c r="T563" s="62"/>
      <c r="U563" s="62">
        <v>1554</v>
      </c>
      <c r="V563" s="62">
        <v>-153</v>
      </c>
      <c r="W563" s="62">
        <v>1446.866</v>
      </c>
      <c r="X563" s="62">
        <v>60.768000000000001</v>
      </c>
      <c r="Y563" s="61">
        <v>7.9489999999999998</v>
      </c>
      <c r="Z563" s="63">
        <v>7.9489999999999998</v>
      </c>
      <c r="AA563" s="64" t="s">
        <v>116</v>
      </c>
      <c r="AB563" s="62" t="s">
        <v>116</v>
      </c>
      <c r="AC563" s="62">
        <v>69.403999999999996</v>
      </c>
      <c r="AD563" s="62">
        <v>2.915</v>
      </c>
      <c r="AE563" s="62">
        <v>0.372</v>
      </c>
      <c r="AF563" s="62" t="s">
        <v>140</v>
      </c>
      <c r="AG563" s="62">
        <v>49</v>
      </c>
      <c r="AH563" s="62">
        <v>0</v>
      </c>
      <c r="AI563" s="62">
        <v>69.403999999999996</v>
      </c>
      <c r="AJ563" s="62">
        <v>2.915</v>
      </c>
      <c r="AK563" s="64">
        <v>0.372</v>
      </c>
      <c r="AL563" s="19">
        <v>151050</v>
      </c>
      <c r="AM563" s="19">
        <v>117617</v>
      </c>
      <c r="AN563" s="23">
        <v>3536</v>
      </c>
      <c r="AO563" s="19">
        <v>131838</v>
      </c>
      <c r="AP563" s="19">
        <v>42811</v>
      </c>
      <c r="AQ563" s="19">
        <v>141165</v>
      </c>
      <c r="AR563" s="68">
        <v>4737.5999999999995</v>
      </c>
      <c r="AS563" s="68">
        <v>6350.4000000000005</v>
      </c>
      <c r="AT563" s="65">
        <f t="shared" si="42"/>
        <v>5537.1959999999999</v>
      </c>
      <c r="AU563" s="65">
        <f t="shared" si="43"/>
        <v>148.512</v>
      </c>
      <c r="AV563" s="65">
        <f t="shared" si="44"/>
        <v>1798.0619999999999</v>
      </c>
      <c r="AW563" s="65">
        <f t="shared" si="45"/>
        <v>6344.1</v>
      </c>
      <c r="AX563" s="65">
        <f t="shared" si="45"/>
        <v>4939.9139999999998</v>
      </c>
      <c r="AY563" s="65">
        <f t="shared" si="41"/>
        <v>5928.93</v>
      </c>
      <c r="AZ563" s="19">
        <v>53961</v>
      </c>
      <c r="BA563" s="19">
        <v>51074</v>
      </c>
      <c r="BB563" s="19">
        <v>44331</v>
      </c>
      <c r="BC563" s="19">
        <v>5573</v>
      </c>
      <c r="BD563" s="19">
        <v>7279</v>
      </c>
      <c r="BE563" s="23">
        <v>33509.555999999997</v>
      </c>
      <c r="BF563" s="23">
        <v>41567.605000000003</v>
      </c>
      <c r="BG563" s="23"/>
      <c r="BH563" s="23"/>
      <c r="BI563" s="67">
        <v>56.95</v>
      </c>
      <c r="BJ563" s="67">
        <v>1.96</v>
      </c>
      <c r="BK563" s="67">
        <v>1.94</v>
      </c>
      <c r="BL563" s="67">
        <v>1.85</v>
      </c>
      <c r="BM563" s="62"/>
      <c r="BN563" s="62"/>
      <c r="BO563" s="62"/>
      <c r="BP563" s="62"/>
      <c r="BQ563" s="62"/>
      <c r="BR563" s="62"/>
      <c r="BS563" s="62"/>
      <c r="BT563" s="62"/>
      <c r="BU563" s="62"/>
      <c r="BV563" s="62"/>
      <c r="BW563" s="62"/>
      <c r="BX563" s="62"/>
      <c r="BY563" s="62"/>
      <c r="BZ563" s="62"/>
      <c r="CA563" s="62"/>
      <c r="CB563" s="62"/>
      <c r="CC563" s="62"/>
      <c r="CD563" s="62"/>
      <c r="CE563" s="62"/>
      <c r="CF563" s="62"/>
      <c r="CG563" s="62"/>
      <c r="CH563" s="62"/>
      <c r="CI563" s="62"/>
      <c r="CJ563" s="62"/>
      <c r="CK563" s="62"/>
      <c r="CL563" s="62"/>
      <c r="CM563" s="62"/>
      <c r="CN563" s="62"/>
      <c r="CO563" s="62"/>
      <c r="CP563" s="62"/>
      <c r="CQ563" s="62"/>
      <c r="CR563" s="62"/>
      <c r="CS563" s="62"/>
      <c r="CT563" s="62"/>
      <c r="CU563" s="62"/>
      <c r="CV563" s="62"/>
      <c r="CW563" s="62"/>
      <c r="CX563" s="62"/>
      <c r="CY563" s="62"/>
      <c r="CZ563" s="62"/>
      <c r="DA563" s="62"/>
      <c r="DB563" s="62"/>
      <c r="DC563" s="62"/>
      <c r="DD563" s="62"/>
      <c r="DE563" s="62"/>
      <c r="DF563" s="62"/>
      <c r="DG563" s="62"/>
      <c r="DH563" s="62"/>
      <c r="DI563" s="62"/>
      <c r="DJ563" s="62"/>
      <c r="DK563" s="62"/>
      <c r="DL563" s="62"/>
    </row>
    <row r="564" spans="1:116" x14ac:dyDescent="0.2">
      <c r="A564" s="57">
        <v>43739</v>
      </c>
      <c r="B564" s="58">
        <v>2019</v>
      </c>
      <c r="C564" s="66">
        <v>18.667999999999999</v>
      </c>
      <c r="D564" s="62">
        <v>0.254</v>
      </c>
      <c r="E564" s="62">
        <v>3436.0430000000001</v>
      </c>
      <c r="F564" s="62">
        <v>144.31399999999999</v>
      </c>
      <c r="G564" s="62">
        <v>18.414000000000001</v>
      </c>
      <c r="H564" s="62">
        <v>314</v>
      </c>
      <c r="I564" s="62">
        <v>157.905</v>
      </c>
      <c r="J564" s="62">
        <v>156.095</v>
      </c>
      <c r="K564" s="62">
        <v>3737.7429999999999</v>
      </c>
      <c r="L564" s="62">
        <v>31.963999999999999</v>
      </c>
      <c r="M564" s="62">
        <v>3560.174</v>
      </c>
      <c r="N564" s="62">
        <v>149.52699999999999</v>
      </c>
      <c r="O564" s="66">
        <v>19.079000000000001</v>
      </c>
      <c r="P564" s="61">
        <v>1156.4100000000001</v>
      </c>
      <c r="Q564" s="62">
        <v>48.569000000000003</v>
      </c>
      <c r="R564" s="62">
        <v>6.3529999999999998</v>
      </c>
      <c r="S564" s="62">
        <v>696</v>
      </c>
      <c r="T564" s="62"/>
      <c r="U564" s="62">
        <v>1821</v>
      </c>
      <c r="V564" s="62">
        <v>267</v>
      </c>
      <c r="W564" s="62">
        <v>1585.41</v>
      </c>
      <c r="X564" s="62">
        <v>66.587000000000003</v>
      </c>
      <c r="Y564" s="61">
        <v>8.7100000000000009</v>
      </c>
      <c r="Z564" s="63">
        <v>8.7100000000000009</v>
      </c>
      <c r="AA564" s="64" t="s">
        <v>116</v>
      </c>
      <c r="AB564" s="62" t="s">
        <v>116</v>
      </c>
      <c r="AC564" s="62">
        <v>55.930999999999997</v>
      </c>
      <c r="AD564" s="62">
        <v>2.3490000000000002</v>
      </c>
      <c r="AE564" s="62">
        <v>0.3</v>
      </c>
      <c r="AF564" s="62" t="s">
        <v>140</v>
      </c>
      <c r="AG564" s="62">
        <v>40</v>
      </c>
      <c r="AH564" s="62">
        <v>-9</v>
      </c>
      <c r="AI564" s="62">
        <v>64.930999999999997</v>
      </c>
      <c r="AJ564" s="62">
        <v>2.7269999999999999</v>
      </c>
      <c r="AK564" s="64">
        <v>0.34799999999999998</v>
      </c>
      <c r="AL564" s="19">
        <v>148612</v>
      </c>
      <c r="AM564" s="19">
        <v>130951</v>
      </c>
      <c r="AN564" s="23">
        <v>5756</v>
      </c>
      <c r="AO564" s="19">
        <v>120073</v>
      </c>
      <c r="AP564" s="19">
        <v>37352</v>
      </c>
      <c r="AQ564" s="19">
        <v>137247</v>
      </c>
      <c r="AR564" s="68">
        <v>5181.96</v>
      </c>
      <c r="AS564" s="68">
        <v>6236.58</v>
      </c>
      <c r="AT564" s="65">
        <f t="shared" si="42"/>
        <v>5043.0659999999998</v>
      </c>
      <c r="AU564" s="65">
        <f t="shared" si="43"/>
        <v>241.75200000000001</v>
      </c>
      <c r="AV564" s="65">
        <f t="shared" si="44"/>
        <v>1568.7840000000001</v>
      </c>
      <c r="AW564" s="65">
        <f t="shared" si="45"/>
        <v>6241.7039999999997</v>
      </c>
      <c r="AX564" s="65">
        <f t="shared" si="45"/>
        <v>5499.942</v>
      </c>
      <c r="AY564" s="65">
        <f t="shared" si="41"/>
        <v>5764.3739999999998</v>
      </c>
      <c r="AZ564" s="19">
        <v>51255</v>
      </c>
      <c r="BA564" s="19">
        <v>53531</v>
      </c>
      <c r="BB564" s="19">
        <v>39782</v>
      </c>
      <c r="BC564" s="19">
        <v>4594</v>
      </c>
      <c r="BD564" s="19">
        <v>6867</v>
      </c>
      <c r="BE564" s="23">
        <v>22270.046999999999</v>
      </c>
      <c r="BF564" s="23">
        <v>46057.745999999999</v>
      </c>
      <c r="BG564" s="23"/>
      <c r="BH564" s="23"/>
      <c r="BI564" s="67">
        <v>53.96</v>
      </c>
      <c r="BJ564" s="67">
        <v>1.98</v>
      </c>
      <c r="BK564" s="67">
        <v>1.97</v>
      </c>
      <c r="BL564" s="67">
        <v>1.87</v>
      </c>
      <c r="BM564" s="62"/>
      <c r="BN564" s="62"/>
      <c r="BO564" s="62"/>
      <c r="BP564" s="62"/>
      <c r="BQ564" s="62"/>
      <c r="BR564" s="62"/>
      <c r="BS564" s="62"/>
      <c r="BT564" s="62"/>
      <c r="BU564" s="62"/>
      <c r="BV564" s="62"/>
      <c r="BW564" s="62"/>
      <c r="BX564" s="62"/>
      <c r="BY564" s="62"/>
      <c r="BZ564" s="62"/>
      <c r="CA564" s="62"/>
      <c r="CB564" s="62"/>
      <c r="CC564" s="62"/>
      <c r="CD564" s="62"/>
      <c r="CE564" s="62"/>
      <c r="CF564" s="62"/>
      <c r="CG564" s="62"/>
      <c r="CH564" s="62"/>
      <c r="CI564" s="62"/>
      <c r="CJ564" s="62"/>
      <c r="CK564" s="62"/>
      <c r="CL564" s="62"/>
      <c r="CM564" s="62"/>
      <c r="CN564" s="62"/>
      <c r="CO564" s="62"/>
      <c r="CP564" s="62"/>
      <c r="CQ564" s="62"/>
      <c r="CR564" s="62"/>
      <c r="CS564" s="62"/>
      <c r="CT564" s="62"/>
      <c r="CU564" s="62"/>
      <c r="CV564" s="62"/>
      <c r="CW564" s="62"/>
      <c r="CX564" s="62"/>
      <c r="CY564" s="62"/>
      <c r="CZ564" s="62"/>
      <c r="DA564" s="62"/>
      <c r="DB564" s="62"/>
      <c r="DC564" s="62"/>
      <c r="DD564" s="62"/>
      <c r="DE564" s="62"/>
      <c r="DF564" s="62"/>
      <c r="DG564" s="62"/>
      <c r="DH564" s="62"/>
      <c r="DI564" s="62"/>
      <c r="DJ564" s="62"/>
      <c r="DK564" s="62"/>
      <c r="DL564" s="62"/>
    </row>
    <row r="565" spans="1:116" x14ac:dyDescent="0.2">
      <c r="A565" s="57">
        <v>43770</v>
      </c>
      <c r="B565" s="58">
        <v>2019</v>
      </c>
      <c r="C565" s="66">
        <v>16.483000000000001</v>
      </c>
      <c r="D565" s="62">
        <v>0.22500000000000001</v>
      </c>
      <c r="E565" s="62">
        <v>3033.8980000000001</v>
      </c>
      <c r="F565" s="62">
        <v>127.42400000000001</v>
      </c>
      <c r="G565" s="62">
        <v>16.259</v>
      </c>
      <c r="H565" s="62">
        <v>417</v>
      </c>
      <c r="I565" s="62">
        <v>55.902999999999999</v>
      </c>
      <c r="J565" s="62">
        <v>361.09699999999998</v>
      </c>
      <c r="K565" s="62">
        <v>3886.7339999999999</v>
      </c>
      <c r="L565" s="62">
        <v>148.99</v>
      </c>
      <c r="M565" s="62">
        <v>3246.0050000000001</v>
      </c>
      <c r="N565" s="62">
        <v>136.33199999999999</v>
      </c>
      <c r="O565" s="66">
        <v>17.395</v>
      </c>
      <c r="P565" s="61">
        <v>1009.271</v>
      </c>
      <c r="Q565" s="62">
        <v>42.389000000000003</v>
      </c>
      <c r="R565" s="62">
        <v>5.5449999999999999</v>
      </c>
      <c r="S565" s="62">
        <v>499</v>
      </c>
      <c r="T565" s="62"/>
      <c r="U565" s="62">
        <v>1771</v>
      </c>
      <c r="V565" s="62">
        <v>-50</v>
      </c>
      <c r="W565" s="62">
        <v>1558.271</v>
      </c>
      <c r="X565" s="62">
        <v>65.447000000000003</v>
      </c>
      <c r="Y565" s="61">
        <v>8.5609999999999999</v>
      </c>
      <c r="Z565" s="63">
        <v>8.5609999999999999</v>
      </c>
      <c r="AA565" s="64" t="s">
        <v>116</v>
      </c>
      <c r="AB565" s="62" t="s">
        <v>116</v>
      </c>
      <c r="AC565" s="62">
        <v>68.31</v>
      </c>
      <c r="AD565" s="62">
        <v>2.8690000000000002</v>
      </c>
      <c r="AE565" s="62">
        <v>0.36599999999999999</v>
      </c>
      <c r="AF565" s="62" t="s">
        <v>140</v>
      </c>
      <c r="AG565" s="62">
        <v>45</v>
      </c>
      <c r="AH565" s="62">
        <v>5</v>
      </c>
      <c r="AI565" s="62">
        <v>63.31</v>
      </c>
      <c r="AJ565" s="62">
        <v>2.6589999999999998</v>
      </c>
      <c r="AK565" s="64">
        <v>0.33900000000000002</v>
      </c>
      <c r="AL565" s="19">
        <v>156933</v>
      </c>
      <c r="AM565" s="19">
        <v>126044</v>
      </c>
      <c r="AN565" s="23">
        <v>7753</v>
      </c>
      <c r="AO565" s="19">
        <v>126221</v>
      </c>
      <c r="AP565" s="19">
        <v>34428</v>
      </c>
      <c r="AQ565" s="19">
        <v>144643</v>
      </c>
      <c r="AR565" s="68">
        <v>4788</v>
      </c>
      <c r="AS565" s="68">
        <v>6589.8000000000011</v>
      </c>
      <c r="AT565" s="65">
        <f t="shared" si="42"/>
        <v>5301.2820000000002</v>
      </c>
      <c r="AU565" s="65">
        <f t="shared" si="43"/>
        <v>325.62599999999998</v>
      </c>
      <c r="AV565" s="65">
        <f t="shared" si="44"/>
        <v>1445.9760000000001</v>
      </c>
      <c r="AW565" s="65">
        <f t="shared" si="45"/>
        <v>6591.1859999999997</v>
      </c>
      <c r="AX565" s="65">
        <f t="shared" si="45"/>
        <v>5293.848</v>
      </c>
      <c r="AY565" s="65">
        <f t="shared" si="41"/>
        <v>6075.0060000000003</v>
      </c>
      <c r="AZ565" s="19">
        <v>55004</v>
      </c>
      <c r="BA565" s="19">
        <v>51328</v>
      </c>
      <c r="BB565" s="19">
        <v>40622</v>
      </c>
      <c r="BC565" s="19">
        <v>3935</v>
      </c>
      <c r="BD565" s="19">
        <v>6771</v>
      </c>
      <c r="BE565" s="23">
        <v>7881.7070000000003</v>
      </c>
      <c r="BF565" s="23">
        <v>52818.281000000003</v>
      </c>
      <c r="BG565" s="23"/>
      <c r="BH565" s="23"/>
      <c r="BI565" s="67">
        <v>57.03</v>
      </c>
      <c r="BJ565" s="67">
        <v>1.97</v>
      </c>
      <c r="BK565" s="67">
        <v>1.98</v>
      </c>
      <c r="BL565" s="67">
        <v>1.82</v>
      </c>
      <c r="BM565" s="62"/>
      <c r="BN565" s="62"/>
      <c r="BO565" s="62"/>
      <c r="BP565" s="62"/>
      <c r="BQ565" s="62"/>
      <c r="BR565" s="62"/>
      <c r="BS565" s="62"/>
      <c r="BT565" s="62"/>
      <c r="BU565" s="62"/>
      <c r="BV565" s="62"/>
      <c r="BW565" s="62"/>
      <c r="BX565" s="62"/>
      <c r="BY565" s="62"/>
      <c r="BZ565" s="62"/>
      <c r="CA565" s="62"/>
      <c r="CB565" s="62"/>
      <c r="CC565" s="62"/>
      <c r="CD565" s="62"/>
      <c r="CE565" s="62"/>
      <c r="CF565" s="62"/>
      <c r="CG565" s="62"/>
      <c r="CH565" s="62"/>
      <c r="CI565" s="62"/>
      <c r="CJ565" s="62"/>
      <c r="CK565" s="62"/>
      <c r="CL565" s="62"/>
      <c r="CM565" s="62"/>
      <c r="CN565" s="62"/>
      <c r="CO565" s="62"/>
      <c r="CP565" s="62"/>
      <c r="CQ565" s="62"/>
      <c r="CR565" s="62"/>
      <c r="CS565" s="62"/>
      <c r="CT565" s="62"/>
      <c r="CU565" s="62"/>
      <c r="CV565" s="62"/>
      <c r="CW565" s="62"/>
      <c r="CX565" s="62"/>
      <c r="CY565" s="62"/>
      <c r="CZ565" s="62"/>
      <c r="DA565" s="62"/>
      <c r="DB565" s="62"/>
      <c r="DC565" s="62"/>
      <c r="DD565" s="62"/>
      <c r="DE565" s="62"/>
      <c r="DF565" s="62"/>
      <c r="DG565" s="62"/>
      <c r="DH565" s="62"/>
      <c r="DI565" s="62"/>
      <c r="DJ565" s="62"/>
      <c r="DK565" s="62"/>
      <c r="DL565" s="62"/>
    </row>
    <row r="566" spans="1:116" x14ac:dyDescent="0.2">
      <c r="A566" s="57">
        <v>43800</v>
      </c>
      <c r="B566" s="58">
        <v>2019</v>
      </c>
      <c r="C566" s="66">
        <v>17.184999999999999</v>
      </c>
      <c r="D566" s="62">
        <v>0.23400000000000001</v>
      </c>
      <c r="E566" s="62">
        <v>3163.0949999999998</v>
      </c>
      <c r="F566" s="62">
        <v>132.85</v>
      </c>
      <c r="G566" s="62">
        <v>16.951000000000001</v>
      </c>
      <c r="H566" s="62">
        <v>433</v>
      </c>
      <c r="I566" s="62">
        <v>82.867999999999995</v>
      </c>
      <c r="J566" s="62">
        <v>350.13200000000001</v>
      </c>
      <c r="K566" s="62">
        <v>3906.6210000000001</v>
      </c>
      <c r="L566" s="62">
        <v>19.888000000000002</v>
      </c>
      <c r="M566" s="62">
        <v>3493.3389999999999</v>
      </c>
      <c r="N566" s="62">
        <v>146.72</v>
      </c>
      <c r="O566" s="66">
        <v>18.721</v>
      </c>
      <c r="P566" s="61">
        <v>1257.0509999999999</v>
      </c>
      <c r="Q566" s="62">
        <v>52.795999999999999</v>
      </c>
      <c r="R566" s="62">
        <v>6.9059999999999997</v>
      </c>
      <c r="S566" s="62">
        <v>685</v>
      </c>
      <c r="T566" s="62"/>
      <c r="U566" s="62">
        <v>1491</v>
      </c>
      <c r="V566" s="62">
        <v>-280</v>
      </c>
      <c r="W566" s="62">
        <v>2222.0509999999999</v>
      </c>
      <c r="X566" s="62">
        <v>93.325999999999993</v>
      </c>
      <c r="Y566" s="61">
        <v>12.208</v>
      </c>
      <c r="Z566" s="63">
        <v>12.208</v>
      </c>
      <c r="AA566" s="64" t="s">
        <v>116</v>
      </c>
      <c r="AB566" s="62" t="s">
        <v>116</v>
      </c>
      <c r="AC566" s="62">
        <v>103.982</v>
      </c>
      <c r="AD566" s="62">
        <v>4.367</v>
      </c>
      <c r="AE566" s="62">
        <v>0.55700000000000005</v>
      </c>
      <c r="AF566" s="62" t="s">
        <v>140</v>
      </c>
      <c r="AG566" s="62">
        <v>50</v>
      </c>
      <c r="AH566" s="62">
        <v>5</v>
      </c>
      <c r="AI566" s="62">
        <v>98.981999999999999</v>
      </c>
      <c r="AJ566" s="62">
        <v>4.157</v>
      </c>
      <c r="AK566" s="64">
        <v>0.53</v>
      </c>
      <c r="AL566" s="19">
        <v>164592</v>
      </c>
      <c r="AM566" s="19">
        <v>121740</v>
      </c>
      <c r="AN566" s="23">
        <v>9132</v>
      </c>
      <c r="AO566" s="19">
        <v>140083</v>
      </c>
      <c r="AP566" s="19">
        <v>40316</v>
      </c>
      <c r="AQ566" s="19">
        <v>152318</v>
      </c>
      <c r="AR566" s="68">
        <v>4439.82</v>
      </c>
      <c r="AS566" s="68">
        <v>6913.619999999999</v>
      </c>
      <c r="AT566" s="65">
        <f t="shared" si="42"/>
        <v>5883.4859999999999</v>
      </c>
      <c r="AU566" s="65">
        <f t="shared" si="43"/>
        <v>383.54399999999998</v>
      </c>
      <c r="AV566" s="65">
        <f t="shared" si="44"/>
        <v>1693.2719999999999</v>
      </c>
      <c r="AW566" s="65">
        <f t="shared" si="45"/>
        <v>6912.8639999999996</v>
      </c>
      <c r="AX566" s="65">
        <f t="shared" si="45"/>
        <v>5113.08</v>
      </c>
      <c r="AY566" s="65">
        <f t="shared" si="41"/>
        <v>6397.3559999999998</v>
      </c>
      <c r="AZ566" s="19">
        <v>58591</v>
      </c>
      <c r="BA566" s="19">
        <v>56086</v>
      </c>
      <c r="BB566" s="19">
        <v>40467</v>
      </c>
      <c r="BC566" s="19">
        <v>5290</v>
      </c>
      <c r="BD566" s="19">
        <v>7950</v>
      </c>
      <c r="BE566" s="23">
        <v>11605.975</v>
      </c>
      <c r="BF566" s="23">
        <v>75486.664000000004</v>
      </c>
      <c r="BG566" s="23"/>
      <c r="BH566" s="23"/>
      <c r="BI566" s="67">
        <v>59.88</v>
      </c>
      <c r="BJ566" s="67">
        <v>1.94</v>
      </c>
      <c r="BK566" s="67">
        <v>1.98</v>
      </c>
      <c r="BL566" s="67">
        <v>1.76</v>
      </c>
      <c r="BM566" s="62"/>
      <c r="BN566" s="62"/>
      <c r="BO566" s="62"/>
      <c r="BP566" s="62"/>
      <c r="BQ566" s="62"/>
      <c r="BR566" s="62"/>
      <c r="BS566" s="62"/>
      <c r="BT566" s="62"/>
      <c r="BU566" s="62"/>
      <c r="BV566" s="62"/>
      <c r="BW566" s="62"/>
      <c r="BX566" s="62"/>
      <c r="BY566" s="62"/>
      <c r="BZ566" s="62"/>
      <c r="CA566" s="62"/>
      <c r="CB566" s="62"/>
      <c r="CC566" s="62"/>
      <c r="CD566" s="62"/>
      <c r="CE566" s="62"/>
      <c r="CF566" s="62"/>
      <c r="CG566" s="62"/>
      <c r="CH566" s="62"/>
      <c r="CI566" s="62"/>
      <c r="CJ566" s="62"/>
      <c r="CK566" s="62"/>
      <c r="CL566" s="62"/>
      <c r="CM566" s="62"/>
      <c r="CN566" s="62"/>
      <c r="CO566" s="62"/>
      <c r="CP566" s="62"/>
      <c r="CQ566" s="62"/>
      <c r="CR566" s="62"/>
      <c r="CS566" s="62"/>
      <c r="CT566" s="62"/>
      <c r="CU566" s="62"/>
      <c r="CV566" s="62"/>
      <c r="CW566" s="62"/>
      <c r="CX566" s="62"/>
      <c r="CY566" s="62"/>
      <c r="CZ566" s="62"/>
      <c r="DA566" s="62"/>
      <c r="DB566" s="62"/>
      <c r="DC566" s="62"/>
      <c r="DD566" s="62"/>
      <c r="DE566" s="62"/>
      <c r="DF566" s="62"/>
      <c r="DG566" s="62"/>
      <c r="DH566" s="62"/>
      <c r="DI566" s="62"/>
      <c r="DJ566" s="62"/>
      <c r="DK566" s="62"/>
      <c r="DL566" s="62"/>
    </row>
    <row r="567" spans="1:116" x14ac:dyDescent="0.2">
      <c r="A567" s="57">
        <v>43831</v>
      </c>
      <c r="B567" s="58">
        <v>2020</v>
      </c>
      <c r="C567" s="66">
        <v>17.364000000000001</v>
      </c>
      <c r="D567" s="62">
        <v>0.23699999999999999</v>
      </c>
      <c r="E567" s="62">
        <v>3196.0250000000001</v>
      </c>
      <c r="F567" s="62">
        <v>134.233</v>
      </c>
      <c r="G567" s="62">
        <v>17.126999999999999</v>
      </c>
      <c r="H567" s="62">
        <v>336</v>
      </c>
      <c r="I567" s="62">
        <v>31.484999999999999</v>
      </c>
      <c r="J567" s="62">
        <v>304.51499999999999</v>
      </c>
      <c r="K567" s="62">
        <v>4273.1850000000004</v>
      </c>
      <c r="L567" s="62">
        <v>366.56400000000002</v>
      </c>
      <c r="M567" s="62">
        <v>3133.9760000000001</v>
      </c>
      <c r="N567" s="62">
        <v>131.62700000000001</v>
      </c>
      <c r="O567" s="66">
        <v>16.795000000000002</v>
      </c>
      <c r="P567" s="61">
        <v>996.60699999999997</v>
      </c>
      <c r="Q567" s="62">
        <v>41.856999999999999</v>
      </c>
      <c r="R567" s="62">
        <v>5.4749999999999996</v>
      </c>
      <c r="S567" s="62">
        <v>605</v>
      </c>
      <c r="T567" s="62"/>
      <c r="U567" s="62">
        <v>1714</v>
      </c>
      <c r="V567" s="62">
        <v>223</v>
      </c>
      <c r="W567" s="62">
        <v>1378.607</v>
      </c>
      <c r="X567" s="62">
        <v>57.901000000000003</v>
      </c>
      <c r="Y567" s="61">
        <v>7.5739999999999998</v>
      </c>
      <c r="Z567" s="63">
        <v>7.5739999999999998</v>
      </c>
      <c r="AA567" s="64" t="s">
        <v>116</v>
      </c>
      <c r="AB567" s="62" t="s">
        <v>116</v>
      </c>
      <c r="AC567" s="62">
        <v>55.438000000000002</v>
      </c>
      <c r="AD567" s="62">
        <v>2.3279999999999998</v>
      </c>
      <c r="AE567" s="62">
        <v>0.29699999999999999</v>
      </c>
      <c r="AF567" s="62" t="s">
        <v>140</v>
      </c>
      <c r="AG567" s="62">
        <v>45</v>
      </c>
      <c r="AH567" s="62">
        <v>-5</v>
      </c>
      <c r="AI567" s="62">
        <v>60.438000000000002</v>
      </c>
      <c r="AJ567" s="62">
        <v>2.5379999999999998</v>
      </c>
      <c r="AK567" s="64">
        <v>0.32400000000000001</v>
      </c>
      <c r="AL567" s="19">
        <v>157683</v>
      </c>
      <c r="AM567" s="19">
        <v>124756</v>
      </c>
      <c r="AN567" s="23">
        <v>6805</v>
      </c>
      <c r="AO567" s="19">
        <v>143190</v>
      </c>
      <c r="AP567" s="19">
        <v>38332</v>
      </c>
      <c r="AQ567" s="19">
        <v>147276</v>
      </c>
      <c r="AR567" s="68">
        <v>4583.04</v>
      </c>
      <c r="AS567" s="68">
        <v>6627.18</v>
      </c>
      <c r="AT567" s="65">
        <f t="shared" si="42"/>
        <v>6013.98</v>
      </c>
      <c r="AU567" s="65">
        <f t="shared" si="43"/>
        <v>285.81</v>
      </c>
      <c r="AV567" s="65">
        <f t="shared" si="44"/>
        <v>1609.944</v>
      </c>
      <c r="AW567" s="65">
        <f t="shared" si="45"/>
        <v>6622.6859999999997</v>
      </c>
      <c r="AX567" s="65">
        <f t="shared" si="45"/>
        <v>5239.7520000000004</v>
      </c>
      <c r="AY567" s="65">
        <f t="shared" si="41"/>
        <v>6185.5919999999996</v>
      </c>
      <c r="AZ567" s="19">
        <v>57487</v>
      </c>
      <c r="BA567" s="19">
        <v>51854</v>
      </c>
      <c r="BB567" s="19">
        <v>43634</v>
      </c>
      <c r="BC567" s="19">
        <v>4573</v>
      </c>
      <c r="BD567" s="19">
        <v>7039</v>
      </c>
      <c r="BE567" s="23">
        <v>4455.5990000000002</v>
      </c>
      <c r="BF567" s="23">
        <v>40437.758000000002</v>
      </c>
      <c r="BG567" s="23"/>
      <c r="BH567" s="23"/>
      <c r="BI567" s="67">
        <v>57.52</v>
      </c>
      <c r="BJ567" s="67">
        <v>1.86</v>
      </c>
      <c r="BK567" s="67">
        <v>1.96</v>
      </c>
      <c r="BL567" s="67">
        <v>1.74</v>
      </c>
      <c r="BM567" s="62"/>
      <c r="BN567" s="62"/>
      <c r="BO567" s="62"/>
      <c r="BP567" s="62"/>
      <c r="BQ567" s="62"/>
      <c r="BR567" s="62"/>
      <c r="BS567" s="62"/>
      <c r="BT567" s="62"/>
      <c r="BU567" s="62"/>
      <c r="BV567" s="62"/>
      <c r="BW567" s="62"/>
      <c r="BX567" s="62"/>
      <c r="BY567" s="62"/>
      <c r="BZ567" s="62"/>
      <c r="CA567" s="62"/>
      <c r="CB567" s="62"/>
      <c r="CC567" s="62"/>
      <c r="CD567" s="62"/>
      <c r="CE567" s="62"/>
      <c r="CF567" s="62"/>
      <c r="CG567" s="62"/>
      <c r="CH567" s="62"/>
      <c r="CI567" s="62"/>
      <c r="CJ567" s="62"/>
      <c r="CK567" s="62"/>
      <c r="CL567" s="62"/>
      <c r="CM567" s="62"/>
      <c r="CN567" s="62"/>
      <c r="CO567" s="62"/>
      <c r="CP567" s="62"/>
      <c r="CQ567" s="62"/>
      <c r="CR567" s="62"/>
      <c r="CS567" s="62"/>
      <c r="CT567" s="62"/>
      <c r="CU567" s="62"/>
      <c r="CV567" s="62"/>
      <c r="CW567" s="62"/>
      <c r="CX567" s="62"/>
      <c r="CY567" s="62"/>
      <c r="CZ567" s="62"/>
      <c r="DA567" s="62"/>
      <c r="DB567" s="62"/>
      <c r="DC567" s="62"/>
      <c r="DD567" s="62"/>
      <c r="DE567" s="62"/>
      <c r="DF567" s="62"/>
      <c r="DG567" s="62"/>
      <c r="DH567" s="62"/>
      <c r="DI567" s="62"/>
      <c r="DJ567" s="62"/>
      <c r="DK567" s="62"/>
      <c r="DL567" s="62"/>
    </row>
    <row r="568" spans="1:116" x14ac:dyDescent="0.2">
      <c r="A568" s="57">
        <v>43862</v>
      </c>
      <c r="B568" s="58">
        <v>2020</v>
      </c>
      <c r="C568" s="66">
        <v>17.053000000000001</v>
      </c>
      <c r="D568" s="62">
        <v>0.23200000000000001</v>
      </c>
      <c r="E568" s="62">
        <v>3138.779</v>
      </c>
      <c r="F568" s="62">
        <v>131.82900000000001</v>
      </c>
      <c r="G568" s="62">
        <v>16.821000000000002</v>
      </c>
      <c r="H568" s="62">
        <v>302</v>
      </c>
      <c r="I568" s="62">
        <v>89.244</v>
      </c>
      <c r="J568" s="62">
        <v>212.756</v>
      </c>
      <c r="K568" s="62">
        <v>4219.6790000000001</v>
      </c>
      <c r="L568" s="62">
        <v>-53.506</v>
      </c>
      <c r="M568" s="62">
        <v>3405.0410000000002</v>
      </c>
      <c r="N568" s="62">
        <v>143.012</v>
      </c>
      <c r="O568" s="66">
        <v>18.248000000000001</v>
      </c>
      <c r="P568" s="61">
        <v>888.11099999999999</v>
      </c>
      <c r="Q568" s="62">
        <v>37.301000000000002</v>
      </c>
      <c r="R568" s="62">
        <v>4.8789999999999996</v>
      </c>
      <c r="S568" s="62">
        <v>411</v>
      </c>
      <c r="T568" s="62"/>
      <c r="U568" s="62">
        <v>1388</v>
      </c>
      <c r="V568" s="62">
        <v>-326</v>
      </c>
      <c r="W568" s="62">
        <v>1625.1110000000001</v>
      </c>
      <c r="X568" s="62">
        <v>68.254999999999995</v>
      </c>
      <c r="Y568" s="61">
        <v>8.9280000000000008</v>
      </c>
      <c r="Z568" s="63">
        <v>8.9280000000000008</v>
      </c>
      <c r="AA568" s="64" t="s">
        <v>116</v>
      </c>
      <c r="AB568" s="62" t="s">
        <v>116</v>
      </c>
      <c r="AC568" s="62">
        <v>54.917999999999999</v>
      </c>
      <c r="AD568" s="62">
        <v>2.3069999999999999</v>
      </c>
      <c r="AE568" s="62">
        <v>0.29399999999999998</v>
      </c>
      <c r="AF568" s="62" t="s">
        <v>140</v>
      </c>
      <c r="AG568" s="62">
        <v>43</v>
      </c>
      <c r="AH568" s="62">
        <v>-2</v>
      </c>
      <c r="AI568" s="62">
        <v>56.917999999999999</v>
      </c>
      <c r="AJ568" s="62">
        <v>2.391</v>
      </c>
      <c r="AK568" s="64">
        <v>0.30499999999999999</v>
      </c>
      <c r="AL568" s="19">
        <v>139573</v>
      </c>
      <c r="AM568" s="19">
        <v>118309</v>
      </c>
      <c r="AN568" s="23">
        <v>4560</v>
      </c>
      <c r="AO568" s="19">
        <v>132918</v>
      </c>
      <c r="AP568" s="19">
        <v>38134</v>
      </c>
      <c r="AQ568" s="19">
        <v>129828</v>
      </c>
      <c r="AR568" s="68">
        <v>4409.16</v>
      </c>
      <c r="AS568" s="68">
        <v>5858.58</v>
      </c>
      <c r="AT568" s="65">
        <f t="shared" si="42"/>
        <v>5582.5559999999996</v>
      </c>
      <c r="AU568" s="65">
        <f t="shared" si="43"/>
        <v>191.52</v>
      </c>
      <c r="AV568" s="65">
        <f t="shared" si="44"/>
        <v>1601.6279999999999</v>
      </c>
      <c r="AW568" s="65">
        <f t="shared" si="45"/>
        <v>5862.0659999999998</v>
      </c>
      <c r="AX568" s="65">
        <f t="shared" si="45"/>
        <v>4968.9780000000001</v>
      </c>
      <c r="AY568" s="65">
        <f t="shared" si="41"/>
        <v>5452.7759999999998</v>
      </c>
      <c r="AZ568" s="19">
        <v>48324</v>
      </c>
      <c r="BA568" s="19">
        <v>46951</v>
      </c>
      <c r="BB568" s="19">
        <v>42631</v>
      </c>
      <c r="BC568" s="19">
        <v>4773</v>
      </c>
      <c r="BD568" s="19">
        <v>7149</v>
      </c>
      <c r="BE568" s="23">
        <v>12577.187</v>
      </c>
      <c r="BF568" s="23">
        <v>53471.798999999999</v>
      </c>
      <c r="BG568" s="23"/>
      <c r="BH568" s="23"/>
      <c r="BI568" s="67">
        <v>50.54</v>
      </c>
      <c r="BJ568" s="67">
        <v>1.67</v>
      </c>
      <c r="BK568" s="67">
        <v>1.67</v>
      </c>
      <c r="BL568" s="67">
        <v>1.67</v>
      </c>
      <c r="BM568" s="62"/>
      <c r="BN568" s="62"/>
      <c r="BO568" s="62"/>
      <c r="BP568" s="62"/>
      <c r="BQ568" s="62"/>
      <c r="BR568" s="62"/>
      <c r="BS568" s="62"/>
      <c r="BT568" s="62"/>
      <c r="BU568" s="62"/>
      <c r="BV568" s="62"/>
      <c r="BW568" s="62"/>
      <c r="BX568" s="62"/>
      <c r="BY568" s="62"/>
      <c r="BZ568" s="62"/>
      <c r="CA568" s="62"/>
      <c r="CB568" s="62"/>
      <c r="CC568" s="62"/>
      <c r="CD568" s="62"/>
      <c r="CE568" s="62"/>
      <c r="CF568" s="62"/>
      <c r="CG568" s="62"/>
      <c r="CH568" s="62"/>
      <c r="CI568" s="62"/>
      <c r="CJ568" s="62"/>
      <c r="CK568" s="62"/>
      <c r="CL568" s="62"/>
      <c r="CM568" s="62"/>
      <c r="CN568" s="62"/>
      <c r="CO568" s="62"/>
      <c r="CP568" s="62"/>
      <c r="CQ568" s="62"/>
      <c r="CR568" s="62"/>
      <c r="CS568" s="62"/>
      <c r="CT568" s="62"/>
      <c r="CU568" s="62"/>
      <c r="CV568" s="62"/>
      <c r="CW568" s="62"/>
      <c r="CX568" s="62"/>
      <c r="CY568" s="62"/>
      <c r="CZ568" s="62"/>
      <c r="DA568" s="62"/>
      <c r="DB568" s="62"/>
      <c r="DC568" s="62"/>
      <c r="DD568" s="62"/>
      <c r="DE568" s="62"/>
      <c r="DF568" s="62"/>
      <c r="DG568" s="62"/>
      <c r="DH568" s="62"/>
      <c r="DI568" s="62"/>
      <c r="DJ568" s="62"/>
      <c r="DK568" s="62"/>
      <c r="DL568" s="62"/>
    </row>
    <row r="569" spans="1:116" x14ac:dyDescent="0.2">
      <c r="A569" s="57">
        <v>43891</v>
      </c>
      <c r="B569" s="58">
        <v>2020</v>
      </c>
      <c r="C569" s="66">
        <v>19.526</v>
      </c>
      <c r="D569" s="62">
        <v>0.26600000000000001</v>
      </c>
      <c r="E569" s="62">
        <v>3593.9340000000002</v>
      </c>
      <c r="F569" s="62">
        <v>150.94499999999999</v>
      </c>
      <c r="G569" s="62">
        <v>19.260000000000002</v>
      </c>
      <c r="H569" s="62">
        <v>333</v>
      </c>
      <c r="I569" s="62">
        <v>228.09899999999999</v>
      </c>
      <c r="J569" s="62">
        <v>104.901</v>
      </c>
      <c r="K569" s="62">
        <v>4429.009</v>
      </c>
      <c r="L569" s="62">
        <v>209.32900000000001</v>
      </c>
      <c r="M569" s="62">
        <v>3489.5059999999999</v>
      </c>
      <c r="N569" s="62">
        <v>146.559</v>
      </c>
      <c r="O569" s="66">
        <v>18.7</v>
      </c>
      <c r="P569" s="61">
        <v>1076.828</v>
      </c>
      <c r="Q569" s="62">
        <v>45.226999999999997</v>
      </c>
      <c r="R569" s="62">
        <v>5.9160000000000004</v>
      </c>
      <c r="S569" s="62">
        <v>452</v>
      </c>
      <c r="T569" s="62"/>
      <c r="U569" s="62">
        <v>1431</v>
      </c>
      <c r="V569" s="62">
        <v>43</v>
      </c>
      <c r="W569" s="62">
        <v>1485.828</v>
      </c>
      <c r="X569" s="62">
        <v>62.405000000000001</v>
      </c>
      <c r="Y569" s="61">
        <v>8.1630000000000003</v>
      </c>
      <c r="Z569" s="63">
        <v>8.1630000000000003</v>
      </c>
      <c r="AA569" s="64" t="s">
        <v>116</v>
      </c>
      <c r="AB569" s="62" t="s">
        <v>116</v>
      </c>
      <c r="AC569" s="62">
        <v>75.13</v>
      </c>
      <c r="AD569" s="62">
        <v>3.1549999999999998</v>
      </c>
      <c r="AE569" s="62">
        <v>0.40300000000000002</v>
      </c>
      <c r="AF569" s="62" t="s">
        <v>140</v>
      </c>
      <c r="AG569" s="62">
        <v>47</v>
      </c>
      <c r="AH569" s="62">
        <v>4</v>
      </c>
      <c r="AI569" s="62">
        <v>71.13</v>
      </c>
      <c r="AJ569" s="62">
        <v>2.9870000000000001</v>
      </c>
      <c r="AK569" s="64">
        <v>0.38100000000000001</v>
      </c>
      <c r="AL569" s="19">
        <v>153541</v>
      </c>
      <c r="AM569" s="19">
        <v>122789</v>
      </c>
      <c r="AN569" s="23">
        <v>5311</v>
      </c>
      <c r="AO569" s="19">
        <v>126782</v>
      </c>
      <c r="AP569" s="19">
        <v>44227</v>
      </c>
      <c r="AQ569" s="19">
        <v>143316</v>
      </c>
      <c r="AR569" s="68">
        <v>4687.2000000000007</v>
      </c>
      <c r="AS569" s="68">
        <v>6444.9000000000005</v>
      </c>
      <c r="AT569" s="65">
        <f t="shared" si="42"/>
        <v>5324.8440000000001</v>
      </c>
      <c r="AU569" s="65">
        <f t="shared" si="43"/>
        <v>223.06200000000001</v>
      </c>
      <c r="AV569" s="65">
        <f t="shared" si="44"/>
        <v>1857.5340000000001</v>
      </c>
      <c r="AW569" s="65">
        <f t="shared" si="45"/>
        <v>6448.7219999999998</v>
      </c>
      <c r="AX569" s="65">
        <f t="shared" si="45"/>
        <v>5157.1379999999999</v>
      </c>
      <c r="AY569" s="65">
        <f t="shared" si="41"/>
        <v>6019.2719999999999</v>
      </c>
      <c r="AZ569" s="19">
        <v>42137</v>
      </c>
      <c r="BA569" s="19">
        <v>43020</v>
      </c>
      <c r="BB569" s="19">
        <v>39873</v>
      </c>
      <c r="BC569" s="19">
        <v>4660</v>
      </c>
      <c r="BD569" s="19">
        <v>6535</v>
      </c>
      <c r="BE569" s="23">
        <v>31744.812000000002</v>
      </c>
      <c r="BF569" s="23">
        <v>48144.775000000001</v>
      </c>
      <c r="BG569" s="23"/>
      <c r="BH569" s="23"/>
      <c r="BI569" s="67">
        <v>29.21</v>
      </c>
      <c r="BJ569" s="67">
        <v>1.28</v>
      </c>
      <c r="BK569" s="67">
        <v>1.26</v>
      </c>
      <c r="BL569" s="67">
        <v>1.1299999999999999</v>
      </c>
      <c r="BM569" s="62"/>
      <c r="BN569" s="62"/>
      <c r="BO569" s="62"/>
      <c r="BP569" s="62"/>
      <c r="BQ569" s="62"/>
      <c r="BR569" s="62"/>
      <c r="BS569" s="62"/>
      <c r="BT569" s="62"/>
      <c r="BU569" s="62"/>
      <c r="BV569" s="62"/>
      <c r="BW569" s="62"/>
      <c r="BX569" s="62"/>
      <c r="BY569" s="62"/>
      <c r="BZ569" s="62"/>
      <c r="CA569" s="62"/>
      <c r="CB569" s="62"/>
      <c r="CC569" s="62"/>
      <c r="CD569" s="62"/>
      <c r="CE569" s="62"/>
      <c r="CF569" s="62"/>
      <c r="CG569" s="62"/>
      <c r="CH569" s="62"/>
      <c r="CI569" s="62"/>
      <c r="CJ569" s="62"/>
      <c r="CK569" s="62"/>
      <c r="CL569" s="62"/>
      <c r="CM569" s="62"/>
      <c r="CN569" s="62"/>
      <c r="CO569" s="62"/>
      <c r="CP569" s="62"/>
      <c r="CQ569" s="62"/>
      <c r="CR569" s="62"/>
      <c r="CS569" s="62"/>
      <c r="CT569" s="62"/>
      <c r="CU569" s="62"/>
      <c r="CV569" s="62"/>
      <c r="CW569" s="62"/>
      <c r="CX569" s="62"/>
      <c r="CY569" s="62"/>
      <c r="CZ569" s="62"/>
      <c r="DA569" s="62"/>
      <c r="DB569" s="62"/>
      <c r="DC569" s="62"/>
      <c r="DD569" s="62"/>
      <c r="DE569" s="62"/>
      <c r="DF569" s="62"/>
      <c r="DG569" s="62"/>
      <c r="DH569" s="62"/>
      <c r="DI569" s="62"/>
      <c r="DJ569" s="62"/>
      <c r="DK569" s="62"/>
      <c r="DL569" s="62"/>
    </row>
    <row r="570" spans="1:116" x14ac:dyDescent="0.2">
      <c r="A570" s="57">
        <v>43922</v>
      </c>
      <c r="B570" s="58">
        <v>2020</v>
      </c>
      <c r="C570" s="66">
        <v>18.591999999999999</v>
      </c>
      <c r="D570" s="62">
        <v>0.253</v>
      </c>
      <c r="E570" s="62">
        <v>3422.1239999999998</v>
      </c>
      <c r="F570" s="62">
        <v>143.72900000000001</v>
      </c>
      <c r="G570" s="62">
        <v>18.338999999999999</v>
      </c>
      <c r="H570" s="62">
        <v>611</v>
      </c>
      <c r="I570" s="62">
        <v>526.16</v>
      </c>
      <c r="J570" s="62">
        <v>84.84</v>
      </c>
      <c r="K570" s="62">
        <v>4411.3410000000003</v>
      </c>
      <c r="L570" s="62">
        <v>-17.667000000000002</v>
      </c>
      <c r="M570" s="62">
        <v>3524.6309999999999</v>
      </c>
      <c r="N570" s="62">
        <v>148.035</v>
      </c>
      <c r="O570" s="66">
        <v>18.888000000000002</v>
      </c>
      <c r="P570" s="61">
        <v>919.97299999999996</v>
      </c>
      <c r="Q570" s="62">
        <v>38.639000000000003</v>
      </c>
      <c r="R570" s="62">
        <v>5.0540000000000003</v>
      </c>
      <c r="S570" s="62">
        <v>664</v>
      </c>
      <c r="T570" s="62"/>
      <c r="U570" s="62">
        <v>1557</v>
      </c>
      <c r="V570" s="62">
        <v>126</v>
      </c>
      <c r="W570" s="62">
        <v>1457.973</v>
      </c>
      <c r="X570" s="62">
        <v>61.234999999999999</v>
      </c>
      <c r="Y570" s="61">
        <v>8.01</v>
      </c>
      <c r="Z570" s="63">
        <v>8.01</v>
      </c>
      <c r="AA570" s="64" t="s">
        <v>116</v>
      </c>
      <c r="AB570" s="62" t="s">
        <v>116</v>
      </c>
      <c r="AC570" s="62">
        <v>76.435000000000002</v>
      </c>
      <c r="AD570" s="62">
        <v>3.21</v>
      </c>
      <c r="AE570" s="62">
        <v>0.41</v>
      </c>
      <c r="AF570" s="62" t="s">
        <v>140</v>
      </c>
      <c r="AG570" s="62">
        <v>46</v>
      </c>
      <c r="AH570" s="62">
        <v>-1</v>
      </c>
      <c r="AI570" s="62">
        <v>77.435000000000002</v>
      </c>
      <c r="AJ570" s="62">
        <v>3.2519999999999998</v>
      </c>
      <c r="AK570" s="64">
        <v>0.41499999999999998</v>
      </c>
      <c r="AL570" s="19">
        <v>152364</v>
      </c>
      <c r="AM570" s="19">
        <v>105842</v>
      </c>
      <c r="AN570" s="23">
        <v>6924</v>
      </c>
      <c r="AO570" s="19">
        <v>150922</v>
      </c>
      <c r="AP570" s="19">
        <v>31333</v>
      </c>
      <c r="AQ570" s="19">
        <v>142925</v>
      </c>
      <c r="AR570" s="68">
        <v>4107.5999999999995</v>
      </c>
      <c r="AS570" s="68">
        <v>6400.8</v>
      </c>
      <c r="AT570" s="65">
        <f t="shared" si="42"/>
        <v>6338.7240000000002</v>
      </c>
      <c r="AU570" s="65">
        <f t="shared" si="43"/>
        <v>290.80799999999999</v>
      </c>
      <c r="AV570" s="65">
        <f t="shared" si="44"/>
        <v>1315.9860000000001</v>
      </c>
      <c r="AW570" s="65">
        <f t="shared" si="45"/>
        <v>6399.2879999999996</v>
      </c>
      <c r="AX570" s="65">
        <f t="shared" si="45"/>
        <v>4445.3639999999996</v>
      </c>
      <c r="AY570" s="65">
        <f t="shared" si="41"/>
        <v>6002.85</v>
      </c>
      <c r="AZ570" s="19">
        <v>18571</v>
      </c>
      <c r="BA570" s="19">
        <v>20340</v>
      </c>
      <c r="BB570" s="19">
        <v>39993</v>
      </c>
      <c r="BC570" s="19">
        <v>4280</v>
      </c>
      <c r="BD570" s="19">
        <v>2391</v>
      </c>
      <c r="BE570" s="23">
        <v>73406.178</v>
      </c>
      <c r="BF570" s="23">
        <v>83894.062999999995</v>
      </c>
      <c r="BG570" s="23"/>
      <c r="BH570" s="23"/>
      <c r="BI570" s="67">
        <v>16.55</v>
      </c>
      <c r="BJ570" s="67">
        <v>0.91</v>
      </c>
      <c r="BK570" s="67">
        <v>0.74</v>
      </c>
      <c r="BL570" s="67">
        <v>0.65</v>
      </c>
      <c r="BM570" s="62"/>
      <c r="BN570" s="62"/>
      <c r="BO570" s="62"/>
      <c r="BP570" s="62"/>
      <c r="BQ570" s="62"/>
      <c r="BR570" s="62"/>
      <c r="BS570" s="62"/>
      <c r="BT570" s="62"/>
      <c r="BU570" s="62"/>
      <c r="BV570" s="62"/>
      <c r="BW570" s="62"/>
      <c r="BX570" s="62"/>
      <c r="BY570" s="62"/>
      <c r="BZ570" s="62"/>
      <c r="CA570" s="62"/>
      <c r="CB570" s="62"/>
      <c r="CC570" s="62"/>
      <c r="CD570" s="62"/>
      <c r="CE570" s="62"/>
      <c r="CF570" s="62"/>
      <c r="CG570" s="62"/>
      <c r="CH570" s="62"/>
      <c r="CI570" s="62"/>
      <c r="CJ570" s="62"/>
      <c r="CK570" s="62"/>
      <c r="CL570" s="62"/>
      <c r="CM570" s="62"/>
      <c r="CN570" s="62"/>
      <c r="CO570" s="62"/>
      <c r="CP570" s="62"/>
      <c r="CQ570" s="62"/>
      <c r="CR570" s="62"/>
      <c r="CS570" s="62"/>
      <c r="CT570" s="62"/>
      <c r="CU570" s="62"/>
      <c r="CV570" s="62"/>
      <c r="CW570" s="62"/>
      <c r="CX570" s="62"/>
      <c r="CY570" s="62"/>
      <c r="CZ570" s="62"/>
      <c r="DA570" s="62"/>
      <c r="DB570" s="62"/>
      <c r="DC570" s="62"/>
      <c r="DD570" s="62"/>
      <c r="DE570" s="62"/>
      <c r="DF570" s="62"/>
      <c r="DG570" s="62"/>
      <c r="DH570" s="62"/>
      <c r="DI570" s="62"/>
      <c r="DJ570" s="62"/>
      <c r="DK570" s="62"/>
      <c r="DL570" s="62"/>
    </row>
    <row r="571" spans="1:116" x14ac:dyDescent="0.2">
      <c r="A571" s="57">
        <v>43952</v>
      </c>
      <c r="B571" s="58">
        <v>2020</v>
      </c>
      <c r="C571" s="66">
        <v>19.724</v>
      </c>
      <c r="D571" s="62">
        <v>0.26900000000000002</v>
      </c>
      <c r="E571" s="62">
        <v>3630.47</v>
      </c>
      <c r="F571" s="62">
        <v>152.47999999999999</v>
      </c>
      <c r="G571" s="62">
        <v>19.456</v>
      </c>
      <c r="H571" s="62">
        <v>475</v>
      </c>
      <c r="I571" s="62">
        <v>496.37900000000002</v>
      </c>
      <c r="J571" s="62">
        <v>-21.379000000000001</v>
      </c>
      <c r="K571" s="62">
        <v>4513.47</v>
      </c>
      <c r="L571" s="62">
        <v>102.128</v>
      </c>
      <c r="M571" s="62">
        <v>3506.9630000000002</v>
      </c>
      <c r="N571" s="62">
        <v>147.292</v>
      </c>
      <c r="O571" s="66">
        <v>18.794</v>
      </c>
      <c r="P571" s="61">
        <v>1105.2660000000001</v>
      </c>
      <c r="Q571" s="62">
        <v>46.420999999999999</v>
      </c>
      <c r="R571" s="62">
        <v>6.0720000000000001</v>
      </c>
      <c r="S571" s="62">
        <v>505</v>
      </c>
      <c r="T571" s="62"/>
      <c r="U571" s="62">
        <v>1741</v>
      </c>
      <c r="V571" s="62">
        <v>184</v>
      </c>
      <c r="W571" s="62">
        <v>1426.2660000000001</v>
      </c>
      <c r="X571" s="62">
        <v>59.902999999999999</v>
      </c>
      <c r="Y571" s="61">
        <v>7.8360000000000003</v>
      </c>
      <c r="Z571" s="63">
        <v>7.8360000000000003</v>
      </c>
      <c r="AA571" s="64" t="s">
        <v>116</v>
      </c>
      <c r="AB571" s="62" t="s">
        <v>116</v>
      </c>
      <c r="AC571" s="62">
        <v>56.313000000000002</v>
      </c>
      <c r="AD571" s="62">
        <v>2.3650000000000002</v>
      </c>
      <c r="AE571" s="62">
        <v>0.30199999999999999</v>
      </c>
      <c r="AF571" s="62" t="s">
        <v>140</v>
      </c>
      <c r="AG571" s="62">
        <v>48</v>
      </c>
      <c r="AH571" s="62">
        <v>2</v>
      </c>
      <c r="AI571" s="62">
        <v>54.313000000000002</v>
      </c>
      <c r="AJ571" s="62">
        <v>2.2810000000000001</v>
      </c>
      <c r="AK571" s="64">
        <v>0.29099999999999998</v>
      </c>
      <c r="AL571" s="19">
        <v>149363</v>
      </c>
      <c r="AM571" s="19">
        <v>106834</v>
      </c>
      <c r="AN571" s="23">
        <v>5884</v>
      </c>
      <c r="AO571" s="19">
        <v>176627</v>
      </c>
      <c r="AP571" s="19">
        <v>24772</v>
      </c>
      <c r="AQ571" s="19">
        <v>141609</v>
      </c>
      <c r="AR571" s="68">
        <v>4244.5199999999995</v>
      </c>
      <c r="AS571" s="68">
        <v>6275.64</v>
      </c>
      <c r="AT571" s="65">
        <f t="shared" si="42"/>
        <v>7418.3339999999998</v>
      </c>
      <c r="AU571" s="65">
        <f t="shared" si="43"/>
        <v>247.12799999999999</v>
      </c>
      <c r="AV571" s="65">
        <f t="shared" si="44"/>
        <v>1040.424</v>
      </c>
      <c r="AW571" s="65">
        <f t="shared" si="45"/>
        <v>6273.2460000000001</v>
      </c>
      <c r="AX571" s="65">
        <f t="shared" si="45"/>
        <v>4487.0280000000002</v>
      </c>
      <c r="AY571" s="65">
        <f t="shared" si="41"/>
        <v>5947.5780000000004</v>
      </c>
      <c r="AZ571" s="19">
        <v>15668</v>
      </c>
      <c r="BA571" s="19">
        <v>18509</v>
      </c>
      <c r="BB571" s="19">
        <v>40355</v>
      </c>
      <c r="BC571" s="19">
        <v>3876</v>
      </c>
      <c r="BD571" s="19">
        <v>673</v>
      </c>
      <c r="BE571" s="23">
        <v>69973.660999999993</v>
      </c>
      <c r="BF571" s="23">
        <v>65487.296000000002</v>
      </c>
      <c r="BG571" s="23"/>
      <c r="BH571" s="23"/>
      <c r="BI571" s="67">
        <v>28.56</v>
      </c>
      <c r="BJ571" s="67">
        <v>0.88</v>
      </c>
      <c r="BK571" s="67">
        <v>0.73</v>
      </c>
      <c r="BL571" s="67">
        <v>1.05</v>
      </c>
      <c r="BM571" s="62"/>
      <c r="BN571" s="62"/>
      <c r="BO571" s="62"/>
      <c r="BP571" s="62"/>
      <c r="BQ571" s="62"/>
      <c r="BR571" s="62"/>
      <c r="BS571" s="62"/>
      <c r="BT571" s="62"/>
      <c r="BU571" s="62"/>
      <c r="BV571" s="62"/>
      <c r="BW571" s="62"/>
      <c r="BX571" s="62"/>
      <c r="BY571" s="62"/>
      <c r="BZ571" s="62"/>
      <c r="CA571" s="62"/>
      <c r="CB571" s="62"/>
      <c r="CC571" s="62"/>
      <c r="CD571" s="62"/>
      <c r="CE571" s="62"/>
      <c r="CF571" s="62"/>
      <c r="CG571" s="62"/>
      <c r="CH571" s="62"/>
      <c r="CI571" s="62"/>
      <c r="CJ571" s="62"/>
      <c r="CK571" s="62"/>
      <c r="CL571" s="62"/>
      <c r="CM571" s="62"/>
      <c r="CN571" s="62"/>
      <c r="CO571" s="62"/>
      <c r="CP571" s="62"/>
      <c r="CQ571" s="62"/>
      <c r="CR571" s="62"/>
      <c r="CS571" s="62"/>
      <c r="CT571" s="62"/>
      <c r="CU571" s="62"/>
      <c r="CV571" s="62"/>
      <c r="CW571" s="62"/>
      <c r="CX571" s="62"/>
      <c r="CY571" s="62"/>
      <c r="CZ571" s="62"/>
      <c r="DA571" s="62"/>
      <c r="DB571" s="62"/>
      <c r="DC571" s="62"/>
      <c r="DD571" s="62"/>
      <c r="DE571" s="62"/>
      <c r="DF571" s="62"/>
      <c r="DG571" s="62"/>
      <c r="DH571" s="62"/>
      <c r="DI571" s="62"/>
      <c r="DJ571" s="62"/>
      <c r="DK571" s="62"/>
      <c r="DL571" s="62"/>
    </row>
    <row r="572" spans="1:116" x14ac:dyDescent="0.2">
      <c r="A572" s="57">
        <v>43983</v>
      </c>
      <c r="B572" s="58">
        <v>2020</v>
      </c>
      <c r="C572" s="66">
        <v>19.507000000000001</v>
      </c>
      <c r="D572" s="62">
        <v>0.26600000000000001</v>
      </c>
      <c r="E572" s="62">
        <v>3590.4839999999999</v>
      </c>
      <c r="F572" s="62">
        <v>150.80000000000001</v>
      </c>
      <c r="G572" s="62">
        <v>19.241</v>
      </c>
      <c r="H572" s="62">
        <v>446</v>
      </c>
      <c r="I572" s="62">
        <v>522.59100000000001</v>
      </c>
      <c r="J572" s="62">
        <v>-76.590999999999994</v>
      </c>
      <c r="K572" s="62">
        <v>4318.1369999999997</v>
      </c>
      <c r="L572" s="62">
        <v>-195.33099999999999</v>
      </c>
      <c r="M572" s="62">
        <v>3709.2240000000002</v>
      </c>
      <c r="N572" s="62">
        <v>155.78700000000001</v>
      </c>
      <c r="O572" s="66">
        <v>19.878</v>
      </c>
      <c r="P572" s="61">
        <v>1266.846</v>
      </c>
      <c r="Q572" s="62">
        <v>53.207999999999998</v>
      </c>
      <c r="R572" s="62">
        <v>6.96</v>
      </c>
      <c r="S572" s="62">
        <v>615</v>
      </c>
      <c r="T572" s="62"/>
      <c r="U572" s="62">
        <v>1536</v>
      </c>
      <c r="V572" s="62">
        <v>-205</v>
      </c>
      <c r="W572" s="62">
        <v>2086.846</v>
      </c>
      <c r="X572" s="62">
        <v>87.647999999999996</v>
      </c>
      <c r="Y572" s="61">
        <v>11.465</v>
      </c>
      <c r="Z572" s="63">
        <v>11.465</v>
      </c>
      <c r="AA572" s="64" t="s">
        <v>116</v>
      </c>
      <c r="AB572" s="62" t="s">
        <v>116</v>
      </c>
      <c r="AC572" s="62">
        <v>60.276000000000003</v>
      </c>
      <c r="AD572" s="62">
        <v>2.532</v>
      </c>
      <c r="AE572" s="62">
        <v>0.32300000000000001</v>
      </c>
      <c r="AF572" s="62" t="s">
        <v>140</v>
      </c>
      <c r="AG572" s="62">
        <v>46</v>
      </c>
      <c r="AH572" s="62">
        <v>-2</v>
      </c>
      <c r="AI572" s="62">
        <v>62.276000000000003</v>
      </c>
      <c r="AJ572" s="62">
        <v>2.6160000000000001</v>
      </c>
      <c r="AK572" s="64">
        <v>0.33400000000000002</v>
      </c>
      <c r="AL572" s="19">
        <v>137390</v>
      </c>
      <c r="AM572" s="19">
        <v>104838</v>
      </c>
      <c r="AN572" s="23">
        <v>4621</v>
      </c>
      <c r="AO572" s="19">
        <v>176947</v>
      </c>
      <c r="AP572" s="19">
        <v>39158</v>
      </c>
      <c r="AQ572" s="19">
        <v>130925</v>
      </c>
      <c r="AR572" s="68">
        <v>4258.8</v>
      </c>
      <c r="AS572" s="68">
        <v>5770.8</v>
      </c>
      <c r="AT572" s="65">
        <f t="shared" si="42"/>
        <v>7431.7740000000003</v>
      </c>
      <c r="AU572" s="65">
        <f t="shared" si="43"/>
        <v>194.08199999999999</v>
      </c>
      <c r="AV572" s="65">
        <f t="shared" si="44"/>
        <v>1644.636</v>
      </c>
      <c r="AW572" s="65">
        <f t="shared" si="45"/>
        <v>5770.38</v>
      </c>
      <c r="AX572" s="65">
        <f t="shared" si="45"/>
        <v>4403.1959999999999</v>
      </c>
      <c r="AY572" s="65">
        <f t="shared" si="41"/>
        <v>5498.85</v>
      </c>
      <c r="AZ572" s="19">
        <v>21994</v>
      </c>
      <c r="BA572" s="19">
        <v>23523</v>
      </c>
      <c r="BB572" s="19">
        <v>41611</v>
      </c>
      <c r="BC572" s="19">
        <v>4116</v>
      </c>
      <c r="BD572" s="19">
        <v>1331</v>
      </c>
      <c r="BE572" s="23">
        <v>73667.354000000007</v>
      </c>
      <c r="BF572" s="23">
        <v>60489.182000000001</v>
      </c>
      <c r="BG572" s="23"/>
      <c r="BH572" s="23"/>
      <c r="BI572" s="67">
        <v>38.31</v>
      </c>
      <c r="BJ572" s="67">
        <v>1.1399999999999999</v>
      </c>
      <c r="BK572" s="67">
        <v>1.05</v>
      </c>
      <c r="BL572" s="67">
        <v>1.31</v>
      </c>
      <c r="BM572" s="62"/>
      <c r="BN572" s="62"/>
      <c r="BO572" s="62"/>
      <c r="BP572" s="62"/>
      <c r="BQ572" s="62"/>
      <c r="BR572" s="62"/>
      <c r="BS572" s="62"/>
      <c r="BT572" s="62"/>
      <c r="BU572" s="62"/>
      <c r="BV572" s="62"/>
      <c r="BW572" s="62"/>
      <c r="BX572" s="62"/>
      <c r="BY572" s="62"/>
      <c r="BZ572" s="62"/>
      <c r="CA572" s="62"/>
      <c r="CB572" s="62"/>
      <c r="CC572" s="62"/>
      <c r="CD572" s="62"/>
      <c r="CE572" s="62"/>
      <c r="CF572" s="62"/>
      <c r="CG572" s="62"/>
      <c r="CH572" s="62"/>
      <c r="CI572" s="62"/>
      <c r="CJ572" s="62"/>
      <c r="CK572" s="62"/>
      <c r="CL572" s="62"/>
      <c r="CM572" s="62"/>
      <c r="CN572" s="62"/>
      <c r="CO572" s="62"/>
      <c r="CP572" s="62"/>
      <c r="CQ572" s="62"/>
      <c r="CR572" s="62"/>
      <c r="CS572" s="62"/>
      <c r="CT572" s="62"/>
      <c r="CU572" s="62"/>
      <c r="CV572" s="62"/>
      <c r="CW572" s="62"/>
      <c r="CX572" s="62"/>
      <c r="CY572" s="62"/>
      <c r="CZ572" s="62"/>
      <c r="DA572" s="62"/>
      <c r="DB572" s="62"/>
      <c r="DC572" s="62"/>
      <c r="DD572" s="62"/>
      <c r="DE572" s="62"/>
      <c r="DF572" s="62"/>
      <c r="DG572" s="62"/>
      <c r="DH572" s="62"/>
      <c r="DI572" s="62"/>
      <c r="DJ572" s="62"/>
      <c r="DK572" s="62"/>
      <c r="DL572" s="62"/>
    </row>
    <row r="573" spans="1:116" x14ac:dyDescent="0.2">
      <c r="A573" s="57">
        <v>44013</v>
      </c>
      <c r="B573" s="58">
        <v>2020</v>
      </c>
      <c r="C573" s="66">
        <v>20.913</v>
      </c>
      <c r="D573" s="62">
        <v>0.28499999999999998</v>
      </c>
      <c r="E573" s="62">
        <v>3849.252</v>
      </c>
      <c r="F573" s="62">
        <v>161.66900000000001</v>
      </c>
      <c r="G573" s="62">
        <v>20.628</v>
      </c>
      <c r="H573" s="62">
        <v>346</v>
      </c>
      <c r="I573" s="62">
        <v>376.00200000000001</v>
      </c>
      <c r="J573" s="62">
        <v>-30.001999999999999</v>
      </c>
      <c r="K573" s="62">
        <v>3878.9949999999999</v>
      </c>
      <c r="L573" s="62">
        <v>-439.142</v>
      </c>
      <c r="M573" s="62">
        <v>4258.3919999999998</v>
      </c>
      <c r="N573" s="62">
        <v>178.852</v>
      </c>
      <c r="O573" s="66">
        <v>22.821000000000002</v>
      </c>
      <c r="P573" s="61">
        <v>1111.5329999999999</v>
      </c>
      <c r="Q573" s="62">
        <v>46.683999999999997</v>
      </c>
      <c r="R573" s="62">
        <v>6.1070000000000002</v>
      </c>
      <c r="S573" s="62">
        <v>318</v>
      </c>
      <c r="T573" s="62"/>
      <c r="U573" s="62">
        <v>1508</v>
      </c>
      <c r="V573" s="62">
        <v>-28</v>
      </c>
      <c r="W573" s="62">
        <v>1457.5329999999999</v>
      </c>
      <c r="X573" s="62">
        <v>61.216000000000001</v>
      </c>
      <c r="Y573" s="61">
        <v>8.0079999999999991</v>
      </c>
      <c r="Z573" s="63">
        <v>8.0079999999999991</v>
      </c>
      <c r="AA573" s="64" t="s">
        <v>116</v>
      </c>
      <c r="AB573" s="62" t="s">
        <v>116</v>
      </c>
      <c r="AC573" s="62">
        <v>98.27</v>
      </c>
      <c r="AD573" s="62">
        <v>4.1269999999999998</v>
      </c>
      <c r="AE573" s="62">
        <v>0.52700000000000002</v>
      </c>
      <c r="AF573" s="62" t="s">
        <v>140</v>
      </c>
      <c r="AG573" s="62">
        <v>42</v>
      </c>
      <c r="AH573" s="62">
        <v>-4</v>
      </c>
      <c r="AI573" s="62">
        <v>102.27</v>
      </c>
      <c r="AJ573" s="62">
        <v>4.2949999999999999</v>
      </c>
      <c r="AK573" s="64">
        <v>0.54800000000000004</v>
      </c>
      <c r="AL573" s="19">
        <v>150125</v>
      </c>
      <c r="AM573" s="19">
        <v>112054</v>
      </c>
      <c r="AN573" s="23">
        <v>3583</v>
      </c>
      <c r="AO573" s="19">
        <v>178800</v>
      </c>
      <c r="AP573" s="19">
        <v>42520</v>
      </c>
      <c r="AQ573" s="19">
        <v>141664</v>
      </c>
      <c r="AR573" s="68">
        <v>4557</v>
      </c>
      <c r="AS573" s="68">
        <v>6301.68</v>
      </c>
      <c r="AT573" s="65">
        <f t="shared" si="42"/>
        <v>7509.6</v>
      </c>
      <c r="AU573" s="65">
        <f t="shared" si="43"/>
        <v>150.48599999999999</v>
      </c>
      <c r="AV573" s="65">
        <f t="shared" si="44"/>
        <v>1785.84</v>
      </c>
      <c r="AW573" s="65">
        <f t="shared" si="45"/>
        <v>6305.25</v>
      </c>
      <c r="AX573" s="65">
        <f t="shared" si="45"/>
        <v>4706.268</v>
      </c>
      <c r="AY573" s="65">
        <f t="shared" ref="AY573:AY626" si="46">AQ573*42/1000</f>
        <v>5949.8879999999999</v>
      </c>
      <c r="AZ573" s="19">
        <v>25907</v>
      </c>
      <c r="BA573" s="19">
        <v>29995</v>
      </c>
      <c r="BB573" s="19">
        <v>40993</v>
      </c>
      <c r="BC573" s="19">
        <v>5149</v>
      </c>
      <c r="BD573" s="19">
        <v>1679</v>
      </c>
      <c r="BE573" s="23">
        <v>52992.088000000003</v>
      </c>
      <c r="BF573" s="23">
        <v>49630.519</v>
      </c>
      <c r="BG573" s="23"/>
      <c r="BH573" s="23"/>
      <c r="BI573" s="67">
        <v>40.71</v>
      </c>
      <c r="BJ573" s="67">
        <v>1.25</v>
      </c>
      <c r="BK573" s="67">
        <v>1.18</v>
      </c>
      <c r="BL573" s="67">
        <v>1.38</v>
      </c>
      <c r="BM573" s="62"/>
      <c r="BN573" s="62"/>
      <c r="BO573" s="62"/>
      <c r="BP573" s="62"/>
      <c r="BQ573" s="62"/>
      <c r="BR573" s="62"/>
      <c r="BS573" s="62"/>
      <c r="BT573" s="62"/>
      <c r="BU573" s="62"/>
      <c r="BV573" s="62"/>
      <c r="BW573" s="62"/>
      <c r="BX573" s="62"/>
      <c r="BY573" s="62"/>
      <c r="BZ573" s="62"/>
      <c r="CA573" s="62"/>
      <c r="CB573" s="62"/>
      <c r="CC573" s="62"/>
      <c r="CD573" s="62"/>
      <c r="CE573" s="62"/>
      <c r="CF573" s="62"/>
      <c r="CG573" s="62"/>
      <c r="CH573" s="62"/>
      <c r="CI573" s="62"/>
      <c r="CJ573" s="62"/>
      <c r="CK573" s="62"/>
      <c r="CL573" s="62"/>
      <c r="CM573" s="62"/>
      <c r="CN573" s="62"/>
      <c r="CO573" s="62"/>
      <c r="CP573" s="62"/>
      <c r="CQ573" s="62"/>
      <c r="CR573" s="62"/>
      <c r="CS573" s="62"/>
      <c r="CT573" s="62"/>
      <c r="CU573" s="62"/>
      <c r="CV573" s="62"/>
      <c r="CW573" s="62"/>
      <c r="CX573" s="62"/>
      <c r="CY573" s="62"/>
      <c r="CZ573" s="62"/>
      <c r="DA573" s="62"/>
      <c r="DB573" s="62"/>
      <c r="DC573" s="62"/>
      <c r="DD573" s="62"/>
      <c r="DE573" s="62"/>
      <c r="DF573" s="62"/>
      <c r="DG573" s="62"/>
      <c r="DH573" s="62"/>
      <c r="DI573" s="62"/>
      <c r="DJ573" s="62"/>
      <c r="DK573" s="62"/>
      <c r="DL573" s="62"/>
    </row>
    <row r="574" spans="1:116" x14ac:dyDescent="0.2">
      <c r="A574" s="57">
        <v>44044</v>
      </c>
      <c r="B574" s="58">
        <v>2020</v>
      </c>
      <c r="C574" s="66">
        <v>21.035</v>
      </c>
      <c r="D574" s="62">
        <v>0.28699999999999998</v>
      </c>
      <c r="E574" s="62">
        <v>3871.652</v>
      </c>
      <c r="F574" s="62">
        <v>162.60900000000001</v>
      </c>
      <c r="G574" s="62">
        <v>20.748000000000001</v>
      </c>
      <c r="H574" s="62">
        <v>234</v>
      </c>
      <c r="I574" s="62">
        <v>512.09100000000001</v>
      </c>
      <c r="J574" s="62">
        <v>-278.09100000000001</v>
      </c>
      <c r="K574" s="62">
        <v>3563.0189999999998</v>
      </c>
      <c r="L574" s="62">
        <v>-315.976</v>
      </c>
      <c r="M574" s="62">
        <v>3909.5369999999998</v>
      </c>
      <c r="N574" s="62">
        <v>164.20099999999999</v>
      </c>
      <c r="O574" s="66">
        <v>20.951000000000001</v>
      </c>
      <c r="P574" s="61">
        <v>1046.492</v>
      </c>
      <c r="Q574" s="62">
        <v>43.953000000000003</v>
      </c>
      <c r="R574" s="62">
        <v>5.7489999999999997</v>
      </c>
      <c r="S574" s="62">
        <v>435</v>
      </c>
      <c r="T574" s="62"/>
      <c r="U574" s="62">
        <v>1379</v>
      </c>
      <c r="V574" s="62">
        <v>-129</v>
      </c>
      <c r="W574" s="62">
        <v>1610.492</v>
      </c>
      <c r="X574" s="62">
        <v>67.641000000000005</v>
      </c>
      <c r="Y574" s="61">
        <v>8.8480000000000008</v>
      </c>
      <c r="Z574" s="63">
        <v>8.8480000000000008</v>
      </c>
      <c r="AA574" s="64" t="s">
        <v>116</v>
      </c>
      <c r="AB574" s="62" t="s">
        <v>116</v>
      </c>
      <c r="AC574" s="62">
        <v>58.966000000000001</v>
      </c>
      <c r="AD574" s="62">
        <v>2.4769999999999999</v>
      </c>
      <c r="AE574" s="62">
        <v>0.316</v>
      </c>
      <c r="AF574" s="62" t="s">
        <v>140</v>
      </c>
      <c r="AG574" s="62">
        <v>41</v>
      </c>
      <c r="AH574" s="62">
        <v>-1</v>
      </c>
      <c r="AI574" s="62">
        <v>59.966000000000001</v>
      </c>
      <c r="AJ574" s="62">
        <v>2.5190000000000001</v>
      </c>
      <c r="AK574" s="64">
        <v>0.32100000000000001</v>
      </c>
      <c r="AL574" s="19">
        <v>149505</v>
      </c>
      <c r="AM574" s="19">
        <v>113700</v>
      </c>
      <c r="AN574" s="23">
        <v>4507</v>
      </c>
      <c r="AO574" s="19">
        <v>179763</v>
      </c>
      <c r="AP574" s="19">
        <v>41716</v>
      </c>
      <c r="AQ574" s="19">
        <v>142474</v>
      </c>
      <c r="AR574" s="68">
        <v>4661.1600000000008</v>
      </c>
      <c r="AS574" s="68">
        <v>6275.64</v>
      </c>
      <c r="AT574" s="65">
        <f t="shared" si="42"/>
        <v>7550.0460000000003</v>
      </c>
      <c r="AU574" s="65">
        <f t="shared" si="43"/>
        <v>189.29400000000001</v>
      </c>
      <c r="AV574" s="65">
        <f t="shared" si="44"/>
        <v>1752.0719999999999</v>
      </c>
      <c r="AW574" s="65">
        <f t="shared" si="45"/>
        <v>6279.21</v>
      </c>
      <c r="AX574" s="65">
        <f t="shared" si="45"/>
        <v>4775.3999999999996</v>
      </c>
      <c r="AY574" s="65">
        <f t="shared" si="46"/>
        <v>5983.9080000000004</v>
      </c>
      <c r="AZ574" s="19">
        <v>26381</v>
      </c>
      <c r="BA574" s="19">
        <v>31486</v>
      </c>
      <c r="BB574" s="19">
        <v>40090</v>
      </c>
      <c r="BC574" s="19">
        <v>5141</v>
      </c>
      <c r="BD574" s="19">
        <v>939</v>
      </c>
      <c r="BE574" s="23">
        <v>72186.216</v>
      </c>
      <c r="BF574" s="23">
        <v>37329.887999999999</v>
      </c>
      <c r="BG574" s="23"/>
      <c r="BH574" s="23"/>
      <c r="BI574" s="67">
        <v>42.34</v>
      </c>
      <c r="BJ574" s="67">
        <v>1.27</v>
      </c>
      <c r="BK574" s="67">
        <v>1.19</v>
      </c>
      <c r="BL574" s="67">
        <v>1.39</v>
      </c>
      <c r="BM574" s="62"/>
      <c r="BN574" s="62"/>
      <c r="BO574" s="62"/>
      <c r="BP574" s="62"/>
      <c r="BQ574" s="62"/>
      <c r="BR574" s="62"/>
      <c r="BS574" s="62"/>
      <c r="BT574" s="62"/>
      <c r="BU574" s="62"/>
      <c r="BV574" s="62"/>
      <c r="BW574" s="62"/>
      <c r="BX574" s="62"/>
      <c r="BY574" s="62"/>
      <c r="BZ574" s="62"/>
      <c r="CA574" s="62"/>
      <c r="CB574" s="62"/>
      <c r="CC574" s="62"/>
      <c r="CD574" s="62"/>
      <c r="CE574" s="62"/>
      <c r="CF574" s="62"/>
      <c r="CG574" s="62"/>
      <c r="CH574" s="62"/>
      <c r="CI574" s="62"/>
      <c r="CJ574" s="62"/>
      <c r="CK574" s="62"/>
      <c r="CL574" s="62"/>
      <c r="CM574" s="62"/>
      <c r="CN574" s="62"/>
      <c r="CO574" s="62"/>
      <c r="CP574" s="62"/>
      <c r="CQ574" s="62"/>
      <c r="CR574" s="62"/>
      <c r="CS574" s="62"/>
      <c r="CT574" s="62"/>
      <c r="CU574" s="62"/>
      <c r="CV574" s="62"/>
      <c r="CW574" s="62"/>
      <c r="CX574" s="62"/>
      <c r="CY574" s="62"/>
      <c r="CZ574" s="62"/>
      <c r="DA574" s="62"/>
      <c r="DB574" s="62"/>
      <c r="DC574" s="62"/>
      <c r="DD574" s="62"/>
      <c r="DE574" s="62"/>
      <c r="DF574" s="62"/>
      <c r="DG574" s="62"/>
      <c r="DH574" s="62"/>
      <c r="DI574" s="62"/>
      <c r="DJ574" s="62"/>
      <c r="DK574" s="62"/>
      <c r="DL574" s="62"/>
    </row>
    <row r="575" spans="1:116" x14ac:dyDescent="0.2">
      <c r="A575" s="57">
        <v>44075</v>
      </c>
      <c r="B575" s="58">
        <v>2020</v>
      </c>
      <c r="C575" s="66">
        <v>20.588999999999999</v>
      </c>
      <c r="D575" s="62">
        <v>0.28000000000000003</v>
      </c>
      <c r="E575" s="62">
        <v>3789.5360000000001</v>
      </c>
      <c r="F575" s="62">
        <v>159.161</v>
      </c>
      <c r="G575" s="62">
        <v>20.308</v>
      </c>
      <c r="H575" s="62">
        <v>360</v>
      </c>
      <c r="I575" s="62">
        <v>425.56200000000001</v>
      </c>
      <c r="J575" s="62">
        <v>-65.561999999999998</v>
      </c>
      <c r="K575" s="62">
        <v>3221.25</v>
      </c>
      <c r="L575" s="62">
        <v>-341.76799999999997</v>
      </c>
      <c r="M575" s="62">
        <v>4065.7420000000002</v>
      </c>
      <c r="N575" s="62">
        <v>170.761</v>
      </c>
      <c r="O575" s="66">
        <v>21.788</v>
      </c>
      <c r="P575" s="61">
        <v>1145.5419999999999</v>
      </c>
      <c r="Q575" s="62">
        <v>48.113</v>
      </c>
      <c r="R575" s="62">
        <v>6.2939999999999996</v>
      </c>
      <c r="S575" s="62">
        <v>517</v>
      </c>
      <c r="T575" s="62"/>
      <c r="U575" s="62">
        <v>1356</v>
      </c>
      <c r="V575" s="62">
        <v>-23</v>
      </c>
      <c r="W575" s="62">
        <v>1685.5419999999999</v>
      </c>
      <c r="X575" s="62">
        <v>70.793000000000006</v>
      </c>
      <c r="Y575" s="61">
        <v>9.26</v>
      </c>
      <c r="Z575" s="63">
        <v>9.26</v>
      </c>
      <c r="AA575" s="64" t="s">
        <v>116</v>
      </c>
      <c r="AB575" s="62" t="s">
        <v>116</v>
      </c>
      <c r="AC575" s="62">
        <v>72.981999999999999</v>
      </c>
      <c r="AD575" s="62">
        <v>3.0649999999999999</v>
      </c>
      <c r="AE575" s="62">
        <v>0.39100000000000001</v>
      </c>
      <c r="AF575" s="62" t="s">
        <v>140</v>
      </c>
      <c r="AG575" s="62">
        <v>33</v>
      </c>
      <c r="AH575" s="62">
        <v>-8</v>
      </c>
      <c r="AI575" s="62">
        <v>80.981999999999999</v>
      </c>
      <c r="AJ575" s="62">
        <v>3.4009999999999998</v>
      </c>
      <c r="AK575" s="64">
        <v>0.434</v>
      </c>
      <c r="AL575" s="19">
        <v>134805</v>
      </c>
      <c r="AM575" s="19">
        <v>114419</v>
      </c>
      <c r="AN575" s="23">
        <v>5394</v>
      </c>
      <c r="AO575" s="19">
        <v>172502</v>
      </c>
      <c r="AP575" s="19">
        <v>35512</v>
      </c>
      <c r="AQ575" s="19">
        <v>129946</v>
      </c>
      <c r="AR575" s="68">
        <v>4611.6000000000004</v>
      </c>
      <c r="AS575" s="68">
        <v>5657.4000000000005</v>
      </c>
      <c r="AT575" s="65">
        <f t="shared" si="42"/>
        <v>7245.0839999999998</v>
      </c>
      <c r="AU575" s="65">
        <f t="shared" si="43"/>
        <v>226.548</v>
      </c>
      <c r="AV575" s="65">
        <f t="shared" si="44"/>
        <v>1491.5039999999999</v>
      </c>
      <c r="AW575" s="65">
        <f t="shared" si="45"/>
        <v>5661.81</v>
      </c>
      <c r="AX575" s="65">
        <f t="shared" si="45"/>
        <v>4805.598</v>
      </c>
      <c r="AY575" s="65">
        <f t="shared" si="46"/>
        <v>5457.732</v>
      </c>
      <c r="AZ575" s="19">
        <v>23985</v>
      </c>
      <c r="BA575" s="19">
        <v>27633</v>
      </c>
      <c r="BB575" s="19">
        <v>40135</v>
      </c>
      <c r="BC575" s="19">
        <v>5060</v>
      </c>
      <c r="BD575" s="19">
        <v>1367</v>
      </c>
      <c r="BE575" s="23">
        <v>59990.663999999997</v>
      </c>
      <c r="BF575" s="23">
        <v>51552.307000000001</v>
      </c>
      <c r="BG575" s="23"/>
      <c r="BH575" s="23"/>
      <c r="BI575" s="67">
        <v>39.630000000000003</v>
      </c>
      <c r="BJ575" s="67">
        <v>1.2</v>
      </c>
      <c r="BK575" s="67">
        <v>1.1100000000000001</v>
      </c>
      <c r="BL575" s="67">
        <v>1.35</v>
      </c>
      <c r="BM575" s="62"/>
      <c r="BN575" s="62"/>
      <c r="BO575" s="62"/>
      <c r="BP575" s="62"/>
      <c r="BQ575" s="62"/>
      <c r="BR575" s="62"/>
      <c r="BS575" s="62"/>
      <c r="BT575" s="62"/>
      <c r="BU575" s="62"/>
      <c r="BV575" s="62"/>
      <c r="BW575" s="62"/>
      <c r="BX575" s="62"/>
      <c r="BY575" s="62"/>
      <c r="BZ575" s="62"/>
      <c r="CA575" s="62"/>
      <c r="CB575" s="62"/>
      <c r="CC575" s="62"/>
      <c r="CD575" s="62"/>
      <c r="CE575" s="62"/>
      <c r="CF575" s="62"/>
      <c r="CG575" s="62"/>
      <c r="CH575" s="62"/>
      <c r="CI575" s="62"/>
      <c r="CJ575" s="62"/>
      <c r="CK575" s="62"/>
      <c r="CL575" s="62"/>
      <c r="CM575" s="62"/>
      <c r="CN575" s="62"/>
      <c r="CO575" s="62"/>
      <c r="CP575" s="62"/>
      <c r="CQ575" s="62"/>
      <c r="CR575" s="62"/>
      <c r="CS575" s="62"/>
      <c r="CT575" s="62"/>
      <c r="CU575" s="62"/>
      <c r="CV575" s="62"/>
      <c r="CW575" s="62"/>
      <c r="CX575" s="62"/>
      <c r="CY575" s="62"/>
      <c r="CZ575" s="62"/>
      <c r="DA575" s="62"/>
      <c r="DB575" s="62"/>
      <c r="DC575" s="62"/>
      <c r="DD575" s="62"/>
      <c r="DE575" s="62"/>
      <c r="DF575" s="62"/>
      <c r="DG575" s="62"/>
      <c r="DH575" s="62"/>
      <c r="DI575" s="62"/>
      <c r="DJ575" s="62"/>
      <c r="DK575" s="62"/>
      <c r="DL575" s="62"/>
    </row>
    <row r="576" spans="1:116" x14ac:dyDescent="0.2">
      <c r="A576" s="57">
        <v>44105</v>
      </c>
      <c r="B576" s="58">
        <v>2020</v>
      </c>
      <c r="C576" s="66">
        <v>20.335000000000001</v>
      </c>
      <c r="D576" s="62">
        <v>0.27700000000000002</v>
      </c>
      <c r="E576" s="62">
        <v>3742.9360000000001</v>
      </c>
      <c r="F576" s="62">
        <v>157.203</v>
      </c>
      <c r="G576" s="62">
        <v>20.058</v>
      </c>
      <c r="H576" s="62">
        <v>420</v>
      </c>
      <c r="I576" s="62">
        <v>112.721</v>
      </c>
      <c r="J576" s="62">
        <v>307.279</v>
      </c>
      <c r="K576" s="62">
        <v>3418.0920000000001</v>
      </c>
      <c r="L576" s="62">
        <v>196.84100000000001</v>
      </c>
      <c r="M576" s="62">
        <v>3853.3739999999998</v>
      </c>
      <c r="N576" s="62">
        <v>161.84200000000001</v>
      </c>
      <c r="O576" s="66">
        <v>20.65</v>
      </c>
      <c r="P576" s="61">
        <v>600.71699999999998</v>
      </c>
      <c r="Q576" s="62">
        <v>25.23</v>
      </c>
      <c r="R576" s="62">
        <v>3.3</v>
      </c>
      <c r="S576" s="62">
        <v>617</v>
      </c>
      <c r="T576" s="62"/>
      <c r="U576" s="62">
        <v>1426</v>
      </c>
      <c r="V576" s="62">
        <v>70</v>
      </c>
      <c r="W576" s="62">
        <v>1147.7170000000001</v>
      </c>
      <c r="X576" s="62">
        <v>48.204000000000001</v>
      </c>
      <c r="Y576" s="61">
        <v>6.306</v>
      </c>
      <c r="Z576" s="63">
        <v>6.306</v>
      </c>
      <c r="AA576" s="64" t="s">
        <v>116</v>
      </c>
      <c r="AB576" s="62" t="s">
        <v>116</v>
      </c>
      <c r="AC576" s="62">
        <v>28.785</v>
      </c>
      <c r="AD576" s="62">
        <v>1.2090000000000001</v>
      </c>
      <c r="AE576" s="62">
        <v>0.154</v>
      </c>
      <c r="AF576" s="62" t="s">
        <v>140</v>
      </c>
      <c r="AG576" s="62">
        <v>30</v>
      </c>
      <c r="AH576" s="62">
        <v>-3</v>
      </c>
      <c r="AI576" s="62">
        <v>31.785</v>
      </c>
      <c r="AJ576" s="62">
        <v>1.335</v>
      </c>
      <c r="AK576" s="64">
        <v>0.17</v>
      </c>
      <c r="AL576" s="19">
        <v>130329</v>
      </c>
      <c r="AM576" s="19">
        <v>125131</v>
      </c>
      <c r="AN576" s="23">
        <v>8680</v>
      </c>
      <c r="AO576" s="19">
        <v>156235</v>
      </c>
      <c r="AP576" s="19">
        <v>32559</v>
      </c>
      <c r="AQ576" s="19">
        <v>126271</v>
      </c>
      <c r="AR576" s="68">
        <v>4986.6600000000008</v>
      </c>
      <c r="AS576" s="68">
        <v>5468.4000000000005</v>
      </c>
      <c r="AT576" s="65">
        <f t="shared" si="42"/>
        <v>6561.87</v>
      </c>
      <c r="AU576" s="65">
        <f t="shared" si="43"/>
        <v>364.56</v>
      </c>
      <c r="AV576" s="65">
        <f t="shared" si="44"/>
        <v>1367.4780000000001</v>
      </c>
      <c r="AW576" s="65">
        <f t="shared" si="45"/>
        <v>5473.8180000000002</v>
      </c>
      <c r="AX576" s="65">
        <f t="shared" si="45"/>
        <v>5255.5020000000004</v>
      </c>
      <c r="AY576" s="65">
        <f t="shared" si="46"/>
        <v>5303.3819999999996</v>
      </c>
      <c r="AZ576" s="19">
        <v>25459</v>
      </c>
      <c r="BA576" s="19">
        <v>31178</v>
      </c>
      <c r="BB576" s="19">
        <v>37636</v>
      </c>
      <c r="BC576" s="19">
        <v>4485</v>
      </c>
      <c r="BD576" s="19">
        <v>1265</v>
      </c>
      <c r="BE576" s="23">
        <v>15893.385</v>
      </c>
      <c r="BF576" s="23">
        <v>62685.644999999997</v>
      </c>
      <c r="BG576" s="23"/>
      <c r="BH576" s="23"/>
      <c r="BI576" s="67">
        <v>39.4</v>
      </c>
      <c r="BJ576" s="67">
        <v>1.22</v>
      </c>
      <c r="BK576" s="67">
        <v>1.1299999999999999</v>
      </c>
      <c r="BL576" s="67">
        <v>1.31</v>
      </c>
      <c r="BM576" s="62"/>
      <c r="BN576" s="62"/>
      <c r="BO576" s="62"/>
      <c r="BP576" s="62"/>
      <c r="BQ576" s="62"/>
      <c r="BR576" s="62"/>
      <c r="BS576" s="62"/>
      <c r="BT576" s="62"/>
      <c r="BU576" s="62"/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/>
      <c r="CP576" s="62"/>
      <c r="CQ576" s="62"/>
      <c r="CR576" s="62"/>
      <c r="CS576" s="62"/>
      <c r="CT576" s="62"/>
      <c r="CU576" s="62"/>
      <c r="CV576" s="62"/>
      <c r="CW576" s="62"/>
      <c r="CX576" s="62"/>
      <c r="CY576" s="62"/>
      <c r="CZ576" s="62"/>
      <c r="DA576" s="62"/>
      <c r="DB576" s="62"/>
      <c r="DC576" s="62"/>
      <c r="DD576" s="62"/>
      <c r="DE576" s="62"/>
      <c r="DF576" s="62"/>
      <c r="DG576" s="62"/>
      <c r="DH576" s="62"/>
      <c r="DI576" s="62"/>
      <c r="DJ576" s="62"/>
      <c r="DK576" s="62"/>
      <c r="DL576" s="62"/>
    </row>
    <row r="577" spans="1:116" x14ac:dyDescent="0.2">
      <c r="A577" s="57">
        <v>44136</v>
      </c>
      <c r="B577" s="58">
        <v>2020</v>
      </c>
      <c r="C577" s="66">
        <v>19.670999999999999</v>
      </c>
      <c r="D577" s="62">
        <v>0.26800000000000002</v>
      </c>
      <c r="E577" s="62">
        <v>3620.6309999999999</v>
      </c>
      <c r="F577" s="62">
        <v>152.06700000000001</v>
      </c>
      <c r="G577" s="62">
        <v>19.402999999999999</v>
      </c>
      <c r="H577" s="62">
        <v>448</v>
      </c>
      <c r="I577" s="62">
        <v>72.778999999999996</v>
      </c>
      <c r="J577" s="62">
        <v>375.221</v>
      </c>
      <c r="K577" s="62">
        <v>3741.078</v>
      </c>
      <c r="L577" s="62">
        <v>322.98599999999999</v>
      </c>
      <c r="M577" s="62">
        <v>3672.866</v>
      </c>
      <c r="N577" s="62">
        <v>154.26</v>
      </c>
      <c r="O577" s="66">
        <v>19.683</v>
      </c>
      <c r="P577" s="61">
        <v>1167.9559999999999</v>
      </c>
      <c r="Q577" s="62">
        <v>49.054000000000002</v>
      </c>
      <c r="R577" s="62">
        <v>6.4169999999999998</v>
      </c>
      <c r="S577" s="62">
        <v>645</v>
      </c>
      <c r="T577" s="62"/>
      <c r="U577" s="62">
        <v>1387</v>
      </c>
      <c r="V577" s="62">
        <v>-39</v>
      </c>
      <c r="W577" s="62">
        <v>1851.9559999999999</v>
      </c>
      <c r="X577" s="62">
        <v>77.781999999999996</v>
      </c>
      <c r="Y577" s="61">
        <v>10.175000000000001</v>
      </c>
      <c r="Z577" s="63">
        <v>10.175000000000001</v>
      </c>
      <c r="AA577" s="64" t="s">
        <v>116</v>
      </c>
      <c r="AB577" s="62" t="s">
        <v>116</v>
      </c>
      <c r="AC577" s="62">
        <v>61.978999999999999</v>
      </c>
      <c r="AD577" s="62">
        <v>2.6030000000000002</v>
      </c>
      <c r="AE577" s="62">
        <v>0.33200000000000002</v>
      </c>
      <c r="AF577" s="62" t="s">
        <v>140</v>
      </c>
      <c r="AG577" s="62">
        <v>27</v>
      </c>
      <c r="AH577" s="62">
        <v>-3</v>
      </c>
      <c r="AI577" s="62">
        <v>64.978999999999999</v>
      </c>
      <c r="AJ577" s="62">
        <v>2.7290000000000001</v>
      </c>
      <c r="AK577" s="64">
        <v>0.34799999999999998</v>
      </c>
      <c r="AL577" s="19">
        <v>135660</v>
      </c>
      <c r="AM577" s="19">
        <v>116384</v>
      </c>
      <c r="AN577" s="23">
        <v>9149</v>
      </c>
      <c r="AO577" s="19">
        <v>157205</v>
      </c>
      <c r="AP577" s="19">
        <v>29848</v>
      </c>
      <c r="AQ577" s="19">
        <v>131258</v>
      </c>
      <c r="AR577" s="68">
        <v>4498.2</v>
      </c>
      <c r="AS577" s="68">
        <v>5695.1999999999989</v>
      </c>
      <c r="AT577" s="65">
        <f t="shared" si="42"/>
        <v>6602.61</v>
      </c>
      <c r="AU577" s="65">
        <f t="shared" si="43"/>
        <v>384.25799999999998</v>
      </c>
      <c r="AV577" s="65">
        <f t="shared" si="44"/>
        <v>1253.616</v>
      </c>
      <c r="AW577" s="65">
        <f t="shared" si="45"/>
        <v>5697.72</v>
      </c>
      <c r="AX577" s="65">
        <f t="shared" si="45"/>
        <v>4888.1279999999997</v>
      </c>
      <c r="AY577" s="65">
        <f t="shared" si="46"/>
        <v>5512.8360000000002</v>
      </c>
      <c r="AZ577" s="19">
        <v>31851</v>
      </c>
      <c r="BA577" s="19">
        <v>33888</v>
      </c>
      <c r="BB577" s="19">
        <v>37663</v>
      </c>
      <c r="BC577" s="19">
        <v>4437</v>
      </c>
      <c r="BD577" s="19">
        <v>2373</v>
      </c>
      <c r="BE577" s="23">
        <v>10262.316999999999</v>
      </c>
      <c r="BF577" s="23">
        <v>80072.224000000002</v>
      </c>
      <c r="BG577" s="23"/>
      <c r="BH577" s="23"/>
      <c r="BI577" s="67">
        <v>40.94</v>
      </c>
      <c r="BJ577" s="67">
        <v>1.31</v>
      </c>
      <c r="BK577" s="67">
        <v>1.22</v>
      </c>
      <c r="BL577" s="67">
        <v>1.29</v>
      </c>
      <c r="BM577" s="62"/>
      <c r="BN577" s="62"/>
      <c r="BO577" s="62"/>
      <c r="BP577" s="62"/>
      <c r="BQ577" s="62"/>
      <c r="BR577" s="62"/>
      <c r="BS577" s="62"/>
      <c r="BT577" s="62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62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  <c r="DK577" s="62"/>
      <c r="DL577" s="62"/>
    </row>
    <row r="578" spans="1:116" x14ac:dyDescent="0.2">
      <c r="A578" s="57">
        <v>44166</v>
      </c>
      <c r="B578" s="58">
        <v>2020</v>
      </c>
      <c r="C578" s="66">
        <v>20.434999999999999</v>
      </c>
      <c r="D578" s="62">
        <v>0.27800000000000002</v>
      </c>
      <c r="E578" s="62">
        <v>3761.2739999999999</v>
      </c>
      <c r="F578" s="62">
        <v>157.97399999999999</v>
      </c>
      <c r="G578" s="62">
        <v>20.157</v>
      </c>
      <c r="H578" s="62">
        <v>373</v>
      </c>
      <c r="I578" s="62">
        <v>64.39</v>
      </c>
      <c r="J578" s="62">
        <v>308.61</v>
      </c>
      <c r="K578" s="62">
        <v>3665.3850000000002</v>
      </c>
      <c r="L578" s="62">
        <v>-75.692999999999998</v>
      </c>
      <c r="M578" s="62">
        <v>4145.5770000000002</v>
      </c>
      <c r="N578" s="62">
        <v>174.114</v>
      </c>
      <c r="O578" s="66">
        <v>22.216000000000001</v>
      </c>
      <c r="P578" s="61">
        <v>1376.3810000000001</v>
      </c>
      <c r="Q578" s="62">
        <v>57.808</v>
      </c>
      <c r="R578" s="62">
        <v>7.5620000000000003</v>
      </c>
      <c r="S578" s="62">
        <v>874</v>
      </c>
      <c r="T578" s="62"/>
      <c r="U578" s="62">
        <v>1287</v>
      </c>
      <c r="V578" s="62">
        <v>-100</v>
      </c>
      <c r="W578" s="62">
        <v>2350.3809999999999</v>
      </c>
      <c r="X578" s="62">
        <v>98.715999999999994</v>
      </c>
      <c r="Y578" s="61">
        <v>12.913</v>
      </c>
      <c r="Z578" s="63">
        <v>12.913</v>
      </c>
      <c r="AA578" s="64" t="s">
        <v>116</v>
      </c>
      <c r="AB578" s="62" t="s">
        <v>116</v>
      </c>
      <c r="AC578" s="62">
        <v>61.683999999999997</v>
      </c>
      <c r="AD578" s="62">
        <v>2.5910000000000002</v>
      </c>
      <c r="AE578" s="62">
        <v>0.33100000000000002</v>
      </c>
      <c r="AF578" s="62" t="s">
        <v>140</v>
      </c>
      <c r="AG578" s="62">
        <v>27</v>
      </c>
      <c r="AH578" s="62">
        <v>0</v>
      </c>
      <c r="AI578" s="62">
        <v>61.683999999999997</v>
      </c>
      <c r="AJ578" s="62">
        <v>2.5910000000000002</v>
      </c>
      <c r="AK578" s="64">
        <v>0.33100000000000002</v>
      </c>
      <c r="AL578" s="19">
        <v>143620</v>
      </c>
      <c r="AM578" s="19">
        <v>120534</v>
      </c>
      <c r="AN578" s="23">
        <v>14371</v>
      </c>
      <c r="AO578" s="19">
        <v>161188</v>
      </c>
      <c r="AP578" s="19">
        <v>36241</v>
      </c>
      <c r="AQ578" s="19">
        <v>138223</v>
      </c>
      <c r="AR578" s="68">
        <v>4439.82</v>
      </c>
      <c r="AS578" s="68">
        <v>6028.26</v>
      </c>
      <c r="AT578" s="65">
        <f t="shared" si="42"/>
        <v>6769.8959999999997</v>
      </c>
      <c r="AU578" s="65">
        <f t="shared" si="43"/>
        <v>603.58199999999999</v>
      </c>
      <c r="AV578" s="65">
        <f t="shared" si="44"/>
        <v>1522.1220000000001</v>
      </c>
      <c r="AW578" s="65">
        <f t="shared" si="45"/>
        <v>6032.04</v>
      </c>
      <c r="AX578" s="65">
        <f t="shared" si="45"/>
        <v>5062.4279999999999</v>
      </c>
      <c r="AY578" s="65">
        <f t="shared" si="46"/>
        <v>5805.366</v>
      </c>
      <c r="AZ578" s="19">
        <v>34881</v>
      </c>
      <c r="BA578" s="19">
        <v>35598</v>
      </c>
      <c r="BB578" s="19">
        <v>38627</v>
      </c>
      <c r="BC578" s="19">
        <v>4237</v>
      </c>
      <c r="BD578" s="19">
        <v>2556</v>
      </c>
      <c r="BE578" s="23">
        <v>9088.1319999999996</v>
      </c>
      <c r="BF578" s="23">
        <v>40950.758999999998</v>
      </c>
      <c r="BG578" s="23"/>
      <c r="BH578" s="23"/>
      <c r="BI578" s="67">
        <v>47.02</v>
      </c>
      <c r="BJ578" s="67">
        <v>1.48</v>
      </c>
      <c r="BK578" s="67">
        <v>1.4</v>
      </c>
      <c r="BL578" s="67">
        <v>1.39</v>
      </c>
      <c r="BM578" s="62"/>
      <c r="BN578" s="62"/>
      <c r="BO578" s="62"/>
      <c r="BP578" s="62"/>
      <c r="BQ578" s="62"/>
      <c r="BR578" s="62"/>
      <c r="BS578" s="62"/>
      <c r="BT578" s="62"/>
      <c r="BU578" s="62"/>
      <c r="BV578" s="62"/>
      <c r="BW578" s="62"/>
      <c r="BX578" s="62"/>
      <c r="BY578" s="62"/>
      <c r="BZ578" s="62"/>
      <c r="CA578" s="62"/>
      <c r="CB578" s="62"/>
      <c r="CC578" s="62"/>
      <c r="CD578" s="62"/>
      <c r="CE578" s="62"/>
      <c r="CF578" s="62"/>
      <c r="CG578" s="62"/>
      <c r="CH578" s="62"/>
      <c r="CI578" s="62"/>
      <c r="CJ578" s="62"/>
      <c r="CK578" s="62"/>
      <c r="CL578" s="62"/>
      <c r="CM578" s="62"/>
      <c r="CN578" s="62"/>
      <c r="CO578" s="62"/>
      <c r="CP578" s="62"/>
      <c r="CQ578" s="62"/>
      <c r="CR578" s="62"/>
      <c r="CS578" s="62"/>
      <c r="CT578" s="62"/>
      <c r="CU578" s="62"/>
      <c r="CV578" s="62"/>
      <c r="CW578" s="62"/>
      <c r="CX578" s="62"/>
      <c r="CY578" s="62"/>
      <c r="CZ578" s="62"/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  <c r="DK578" s="62"/>
      <c r="DL578" s="62"/>
    </row>
    <row r="579" spans="1:116" x14ac:dyDescent="0.2">
      <c r="A579" s="57">
        <v>44197</v>
      </c>
      <c r="B579" s="58">
        <v>2021</v>
      </c>
      <c r="C579" s="66">
        <v>18.213000000000001</v>
      </c>
      <c r="D579" s="62">
        <v>0.248</v>
      </c>
      <c r="E579" s="62">
        <v>3352.2269999999999</v>
      </c>
      <c r="F579" s="62">
        <v>140.79400000000001</v>
      </c>
      <c r="G579" s="62">
        <v>17.965</v>
      </c>
      <c r="H579" s="62">
        <v>228</v>
      </c>
      <c r="I579" s="62">
        <v>166.09800000000001</v>
      </c>
      <c r="J579" s="62">
        <v>61.902000000000001</v>
      </c>
      <c r="K579" s="62">
        <v>4580.3220000000001</v>
      </c>
      <c r="L579" s="62">
        <v>914.93700000000001</v>
      </c>
      <c r="M579" s="62">
        <v>2499.192</v>
      </c>
      <c r="N579" s="62">
        <v>104.96599999999999</v>
      </c>
      <c r="O579" s="66">
        <v>13.393000000000001</v>
      </c>
      <c r="P579" s="61">
        <v>1415.3589999999999</v>
      </c>
      <c r="Q579" s="62">
        <v>59.445</v>
      </c>
      <c r="R579" s="62">
        <v>7.7759999999999998</v>
      </c>
      <c r="S579" s="62">
        <v>771</v>
      </c>
      <c r="T579" s="62"/>
      <c r="U579" s="62">
        <v>1712.9749999999999</v>
      </c>
      <c r="V579" s="62">
        <v>425.97500000000002</v>
      </c>
      <c r="W579" s="62">
        <v>1760.384</v>
      </c>
      <c r="X579" s="62">
        <v>73.936000000000007</v>
      </c>
      <c r="Y579" s="61">
        <v>9.6720000000000006</v>
      </c>
      <c r="Z579" s="63">
        <v>9.6720000000000006</v>
      </c>
      <c r="AA579" s="64" t="s">
        <v>116</v>
      </c>
      <c r="AB579" s="62" t="s">
        <v>116</v>
      </c>
      <c r="AC579" s="62">
        <v>178.93700000000001</v>
      </c>
      <c r="AD579" s="62">
        <v>7.5149999999999997</v>
      </c>
      <c r="AE579" s="62">
        <v>0.95899999999999996</v>
      </c>
      <c r="AF579" s="62" t="s">
        <v>140</v>
      </c>
      <c r="AG579" s="62">
        <v>135.54599999999999</v>
      </c>
      <c r="AH579" s="62">
        <v>108.54600000000001</v>
      </c>
      <c r="AI579" s="62">
        <v>70.391000000000005</v>
      </c>
      <c r="AJ579" s="62">
        <v>2.956</v>
      </c>
      <c r="AK579" s="64">
        <v>0.377</v>
      </c>
      <c r="AL579" s="19">
        <v>141365</v>
      </c>
      <c r="AM579" s="19">
        <v>122030</v>
      </c>
      <c r="AN579" s="23">
        <v>11486</v>
      </c>
      <c r="AO579" s="19">
        <v>164058</v>
      </c>
      <c r="AP579" s="19">
        <v>27949</v>
      </c>
      <c r="AQ579" s="19">
        <v>134100</v>
      </c>
      <c r="AR579" s="68">
        <v>4465.8599999999997</v>
      </c>
      <c r="AS579" s="68">
        <v>5937.119999999999</v>
      </c>
      <c r="AT579" s="65">
        <f t="shared" ref="AT579:AT626" si="47">AO579*42/1000</f>
        <v>6890.4359999999997</v>
      </c>
      <c r="AU579" s="65">
        <f t="shared" ref="AU579:AU626" si="48">AN579*42/1000</f>
        <v>482.41199999999998</v>
      </c>
      <c r="AV579" s="65">
        <f t="shared" ref="AV579:AV626" si="49">AP579*42/1000</f>
        <v>1173.8579999999999</v>
      </c>
      <c r="AW579" s="65">
        <f t="shared" si="45"/>
        <v>5937.33</v>
      </c>
      <c r="AX579" s="65">
        <f t="shared" si="45"/>
        <v>5125.26</v>
      </c>
      <c r="AY579" s="65">
        <f t="shared" si="46"/>
        <v>5632.2</v>
      </c>
      <c r="AZ579" s="19">
        <v>38017</v>
      </c>
      <c r="BA579" s="19">
        <v>35063</v>
      </c>
      <c r="BB579" s="19">
        <v>42591</v>
      </c>
      <c r="BC579" s="19">
        <v>3853</v>
      </c>
      <c r="BD579" s="19">
        <v>2852</v>
      </c>
      <c r="BE579" s="23">
        <v>23408.645</v>
      </c>
      <c r="BF579" s="23">
        <v>32226.333999999999</v>
      </c>
      <c r="BG579" s="67">
        <v>3.8849490000000002</v>
      </c>
      <c r="BH579" s="67">
        <v>1.1310610000000001</v>
      </c>
      <c r="BI579" s="67">
        <v>52</v>
      </c>
      <c r="BJ579" s="67">
        <v>1.58</v>
      </c>
      <c r="BK579" s="67">
        <v>1.49</v>
      </c>
      <c r="BL579" s="67">
        <v>1.57</v>
      </c>
      <c r="BM579" s="62"/>
      <c r="BN579" s="62"/>
      <c r="BO579" s="62"/>
      <c r="BP579" s="62"/>
      <c r="BQ579" s="62"/>
      <c r="BR579" s="62"/>
      <c r="BS579" s="62"/>
      <c r="BT579" s="62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62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  <c r="DK579" s="62"/>
      <c r="DL579" s="62"/>
    </row>
    <row r="580" spans="1:116" x14ac:dyDescent="0.2">
      <c r="A580" s="57">
        <v>44228</v>
      </c>
      <c r="B580" s="58">
        <v>2021</v>
      </c>
      <c r="C580" s="66">
        <v>14.006</v>
      </c>
      <c r="D580" s="62">
        <v>0.191</v>
      </c>
      <c r="E580" s="62">
        <v>2577.8609999999999</v>
      </c>
      <c r="F580" s="62">
        <v>108.27</v>
      </c>
      <c r="G580" s="62">
        <v>13.815</v>
      </c>
      <c r="H580" s="62">
        <v>263</v>
      </c>
      <c r="I580" s="62">
        <v>121.71899999999999</v>
      </c>
      <c r="J580" s="62">
        <v>141.28100000000001</v>
      </c>
      <c r="K580" s="62">
        <v>4189.3779999999997</v>
      </c>
      <c r="L580" s="62">
        <v>-390.94400000000002</v>
      </c>
      <c r="M580" s="62">
        <v>3110.0859999999998</v>
      </c>
      <c r="N580" s="62">
        <v>130.624</v>
      </c>
      <c r="O580" s="66">
        <v>16.667000000000002</v>
      </c>
      <c r="P580" s="61">
        <v>1268.4780000000001</v>
      </c>
      <c r="Q580" s="62">
        <v>53.276000000000003</v>
      </c>
      <c r="R580" s="62">
        <v>6.9690000000000003</v>
      </c>
      <c r="S580" s="62">
        <v>741</v>
      </c>
      <c r="T580" s="62"/>
      <c r="U580" s="62">
        <v>1978.846</v>
      </c>
      <c r="V580" s="62">
        <v>265.87099999999998</v>
      </c>
      <c r="W580" s="62">
        <v>1743.607</v>
      </c>
      <c r="X580" s="62">
        <v>73.230999999999995</v>
      </c>
      <c r="Y580" s="61">
        <v>9.5790000000000006</v>
      </c>
      <c r="Z580" s="63">
        <v>9.5790000000000006</v>
      </c>
      <c r="AA580" s="64" t="s">
        <v>116</v>
      </c>
      <c r="AB580" s="62" t="s">
        <v>116</v>
      </c>
      <c r="AC580" s="62">
        <v>171.90899999999999</v>
      </c>
      <c r="AD580" s="62">
        <v>7.22</v>
      </c>
      <c r="AE580" s="62">
        <v>0.92100000000000004</v>
      </c>
      <c r="AF580" s="62" t="s">
        <v>140</v>
      </c>
      <c r="AG580" s="62">
        <v>151.155</v>
      </c>
      <c r="AH580" s="62">
        <v>15.609</v>
      </c>
      <c r="AI580" s="62">
        <v>156.30000000000001</v>
      </c>
      <c r="AJ580" s="62">
        <v>6.5650000000000004</v>
      </c>
      <c r="AK580" s="64">
        <v>0.83799999999999997</v>
      </c>
      <c r="AL580" s="19">
        <v>105895</v>
      </c>
      <c r="AM580" s="19">
        <v>111116</v>
      </c>
      <c r="AN580" s="23">
        <v>9872</v>
      </c>
      <c r="AO580" s="19">
        <v>144012</v>
      </c>
      <c r="AP580" s="19">
        <v>24695</v>
      </c>
      <c r="AQ580" s="19">
        <v>99180</v>
      </c>
      <c r="AR580" s="68">
        <v>3951.36</v>
      </c>
      <c r="AS580" s="68">
        <v>4445.28</v>
      </c>
      <c r="AT580" s="65">
        <f t="shared" si="47"/>
        <v>6048.5039999999999</v>
      </c>
      <c r="AU580" s="65">
        <f t="shared" si="48"/>
        <v>414.62400000000002</v>
      </c>
      <c r="AV580" s="65">
        <f t="shared" si="49"/>
        <v>1037.19</v>
      </c>
      <c r="AW580" s="65">
        <f t="shared" si="45"/>
        <v>4447.59</v>
      </c>
      <c r="AX580" s="65">
        <f t="shared" si="45"/>
        <v>4666.8720000000003</v>
      </c>
      <c r="AY580" s="65">
        <f t="shared" si="46"/>
        <v>4165.5600000000004</v>
      </c>
      <c r="AZ580" s="19">
        <v>26576</v>
      </c>
      <c r="BA580" s="19">
        <v>30430</v>
      </c>
      <c r="BB580" s="19">
        <v>39997</v>
      </c>
      <c r="BC580" s="19">
        <v>3156</v>
      </c>
      <c r="BD580" s="19">
        <v>1901</v>
      </c>
      <c r="BE580" s="23">
        <v>17155.735000000001</v>
      </c>
      <c r="BF580" s="23">
        <v>35556.341</v>
      </c>
      <c r="BG580" s="67">
        <v>3.9156719999999998</v>
      </c>
      <c r="BH580" s="67">
        <v>1.0867990000000001</v>
      </c>
      <c r="BI580" s="67">
        <v>59.04</v>
      </c>
      <c r="BJ580" s="67">
        <v>1.81</v>
      </c>
      <c r="BK580" s="67">
        <v>1.64</v>
      </c>
      <c r="BL580" s="67">
        <v>1.78</v>
      </c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62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  <c r="DK580" s="62"/>
      <c r="DL580" s="62"/>
    </row>
    <row r="581" spans="1:116" x14ac:dyDescent="0.2">
      <c r="A581" s="57">
        <v>44256</v>
      </c>
      <c r="B581" s="58">
        <v>2021</v>
      </c>
      <c r="C581" s="66">
        <v>19.477</v>
      </c>
      <c r="D581" s="62">
        <v>0.26500000000000001</v>
      </c>
      <c r="E581" s="62">
        <v>3585.0309999999999</v>
      </c>
      <c r="F581" s="62">
        <v>150.571</v>
      </c>
      <c r="G581" s="62">
        <v>19.212</v>
      </c>
      <c r="H581" s="62">
        <v>361</v>
      </c>
      <c r="I581" s="62">
        <v>266.779</v>
      </c>
      <c r="J581" s="62">
        <v>94.221000000000004</v>
      </c>
      <c r="K581" s="62">
        <v>4283.78</v>
      </c>
      <c r="L581" s="62">
        <v>94.402000000000001</v>
      </c>
      <c r="M581" s="62">
        <v>3584.85</v>
      </c>
      <c r="N581" s="62">
        <v>150.56399999999999</v>
      </c>
      <c r="O581" s="66">
        <v>19.210999999999999</v>
      </c>
      <c r="P581" s="61">
        <v>1356.3679999999999</v>
      </c>
      <c r="Q581" s="62">
        <v>56.966999999999999</v>
      </c>
      <c r="R581" s="62">
        <v>7.452</v>
      </c>
      <c r="S581" s="62">
        <v>893</v>
      </c>
      <c r="T581" s="62"/>
      <c r="U581" s="62">
        <v>1967.45</v>
      </c>
      <c r="V581" s="62">
        <v>-11.396000000000001</v>
      </c>
      <c r="W581" s="62">
        <v>2260.7640000000001</v>
      </c>
      <c r="X581" s="62">
        <v>94.951999999999998</v>
      </c>
      <c r="Y581" s="61">
        <v>12.420999999999999</v>
      </c>
      <c r="Z581" s="63">
        <v>12.420999999999999</v>
      </c>
      <c r="AA581" s="64" t="s">
        <v>116</v>
      </c>
      <c r="AB581" s="62" t="s">
        <v>116</v>
      </c>
      <c r="AC581" s="62">
        <v>164.79900000000001</v>
      </c>
      <c r="AD581" s="62">
        <v>6.9219999999999997</v>
      </c>
      <c r="AE581" s="62">
        <v>0.88300000000000001</v>
      </c>
      <c r="AF581" s="62" t="s">
        <v>140</v>
      </c>
      <c r="AG581" s="62">
        <v>130.738</v>
      </c>
      <c r="AH581" s="62">
        <v>-20.417999999999999</v>
      </c>
      <c r="AI581" s="62">
        <v>185.21700000000001</v>
      </c>
      <c r="AJ581" s="62">
        <v>7.7789999999999999</v>
      </c>
      <c r="AK581" s="64">
        <v>0.99299999999999999</v>
      </c>
      <c r="AL581" s="19">
        <v>140097</v>
      </c>
      <c r="AM581" s="19">
        <v>126392</v>
      </c>
      <c r="AN581" s="23">
        <v>14583</v>
      </c>
      <c r="AO581" s="19">
        <v>146079</v>
      </c>
      <c r="AP581" s="19">
        <v>26224</v>
      </c>
      <c r="AQ581" s="19">
        <v>133168</v>
      </c>
      <c r="AR581" s="68">
        <v>4817.4000000000005</v>
      </c>
      <c r="AS581" s="68">
        <v>5885.0399999999991</v>
      </c>
      <c r="AT581" s="65">
        <f t="shared" si="47"/>
        <v>6135.3180000000002</v>
      </c>
      <c r="AU581" s="65">
        <f t="shared" si="48"/>
        <v>612.48599999999999</v>
      </c>
      <c r="AV581" s="65">
        <f t="shared" si="49"/>
        <v>1101.4079999999999</v>
      </c>
      <c r="AW581" s="65">
        <f t="shared" si="45"/>
        <v>5884.0739999999996</v>
      </c>
      <c r="AX581" s="65">
        <f t="shared" si="45"/>
        <v>5308.4639999999999</v>
      </c>
      <c r="AY581" s="65">
        <f t="shared" si="46"/>
        <v>5593.0559999999996</v>
      </c>
      <c r="AZ581" s="19">
        <v>34131</v>
      </c>
      <c r="BA581" s="19">
        <v>35652</v>
      </c>
      <c r="BB581" s="19">
        <v>39119</v>
      </c>
      <c r="BC581" s="19">
        <v>2890</v>
      </c>
      <c r="BD581" s="19">
        <v>2254</v>
      </c>
      <c r="BE581" s="23">
        <v>37603.586000000003</v>
      </c>
      <c r="BF581" s="23">
        <v>47639.987999999998</v>
      </c>
      <c r="BG581" s="67">
        <v>4.0169860000000002</v>
      </c>
      <c r="BH581" s="67">
        <v>1.1500570000000001</v>
      </c>
      <c r="BI581" s="67">
        <v>62.33</v>
      </c>
      <c r="BJ581" s="67">
        <v>1.96</v>
      </c>
      <c r="BK581" s="67">
        <v>1.76</v>
      </c>
      <c r="BL581" s="67">
        <v>2.0099999999999998</v>
      </c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62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  <c r="DK581" s="62"/>
      <c r="DL581" s="62"/>
    </row>
    <row r="582" spans="1:116" x14ac:dyDescent="0.2">
      <c r="A582" s="57">
        <v>44287</v>
      </c>
      <c r="B582" s="58">
        <v>2021</v>
      </c>
      <c r="C582" s="66">
        <v>18.632000000000001</v>
      </c>
      <c r="D582" s="62">
        <v>0.254</v>
      </c>
      <c r="E582" s="62">
        <v>3429.5039999999999</v>
      </c>
      <c r="F582" s="62">
        <v>144.03899999999999</v>
      </c>
      <c r="G582" s="62">
        <v>18.379000000000001</v>
      </c>
      <c r="H582" s="62">
        <v>500</v>
      </c>
      <c r="I582" s="62">
        <v>493.94900000000001</v>
      </c>
      <c r="J582" s="62">
        <v>6.0510000000000002</v>
      </c>
      <c r="K582" s="62">
        <v>4183.1660000000002</v>
      </c>
      <c r="L582" s="62">
        <v>-100.614</v>
      </c>
      <c r="M582" s="62">
        <v>3536.1689999999999</v>
      </c>
      <c r="N582" s="62">
        <v>148.51900000000001</v>
      </c>
      <c r="O582" s="66">
        <v>18.95</v>
      </c>
      <c r="P582" s="61">
        <v>1264.317</v>
      </c>
      <c r="Q582" s="62">
        <v>53.100999999999999</v>
      </c>
      <c r="R582" s="62">
        <v>6.9459999999999997</v>
      </c>
      <c r="S582" s="62">
        <v>1013</v>
      </c>
      <c r="T582" s="62"/>
      <c r="U582" s="62">
        <v>1921.5050000000001</v>
      </c>
      <c r="V582" s="62">
        <v>-45.945</v>
      </c>
      <c r="W582" s="62">
        <v>2323.2620000000002</v>
      </c>
      <c r="X582" s="62">
        <v>97.576999999999998</v>
      </c>
      <c r="Y582" s="61">
        <v>12.763999999999999</v>
      </c>
      <c r="Z582" s="63">
        <v>12.763999999999999</v>
      </c>
      <c r="AA582" s="64" t="s">
        <v>116</v>
      </c>
      <c r="AB582" s="62" t="s">
        <v>116</v>
      </c>
      <c r="AC582" s="62">
        <v>139.91900000000001</v>
      </c>
      <c r="AD582" s="62">
        <v>5.8769999999999998</v>
      </c>
      <c r="AE582" s="62">
        <v>0.75</v>
      </c>
      <c r="AF582" s="62" t="s">
        <v>140</v>
      </c>
      <c r="AG582" s="62">
        <v>101.271</v>
      </c>
      <c r="AH582" s="62">
        <v>-29.466999999999999</v>
      </c>
      <c r="AI582" s="62">
        <v>169.386</v>
      </c>
      <c r="AJ582" s="62">
        <v>7.1139999999999999</v>
      </c>
      <c r="AK582" s="64">
        <v>0.90800000000000003</v>
      </c>
      <c r="AL582" s="19">
        <v>137878</v>
      </c>
      <c r="AM582" s="19">
        <v>121451</v>
      </c>
      <c r="AN582" s="23">
        <v>5935</v>
      </c>
      <c r="AO582" s="19">
        <v>137218</v>
      </c>
      <c r="AP582" s="19">
        <v>31226</v>
      </c>
      <c r="AQ582" s="19">
        <v>129225</v>
      </c>
      <c r="AR582" s="68">
        <v>4838.3999999999996</v>
      </c>
      <c r="AS582" s="68">
        <v>5796</v>
      </c>
      <c r="AT582" s="65">
        <f t="shared" si="47"/>
        <v>5763.1559999999999</v>
      </c>
      <c r="AU582" s="65">
        <f t="shared" si="48"/>
        <v>249.27</v>
      </c>
      <c r="AV582" s="65">
        <f t="shared" si="49"/>
        <v>1311.492</v>
      </c>
      <c r="AW582" s="65">
        <f t="shared" si="45"/>
        <v>5790.8760000000002</v>
      </c>
      <c r="AX582" s="65">
        <f t="shared" si="45"/>
        <v>5100.942</v>
      </c>
      <c r="AY582" s="65">
        <f t="shared" si="46"/>
        <v>5427.45</v>
      </c>
      <c r="AZ582" s="19">
        <v>37879</v>
      </c>
      <c r="BA582" s="19">
        <v>38762</v>
      </c>
      <c r="BB582" s="19">
        <v>40532</v>
      </c>
      <c r="BC582" s="19">
        <v>4238</v>
      </c>
      <c r="BD582" s="19">
        <v>1949</v>
      </c>
      <c r="BE582" s="23">
        <v>69628.320999999996</v>
      </c>
      <c r="BF582" s="23">
        <v>68972.623000000007</v>
      </c>
      <c r="BG582" s="67">
        <v>3.9835609999999999</v>
      </c>
      <c r="BH582" s="67">
        <v>1.2920510000000001</v>
      </c>
      <c r="BI582" s="67">
        <v>61.72</v>
      </c>
      <c r="BJ582" s="67">
        <v>1.91</v>
      </c>
      <c r="BK582" s="67">
        <v>1.72</v>
      </c>
      <c r="BL582" s="67">
        <v>2.06</v>
      </c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62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  <c r="DK582" s="62"/>
      <c r="DL582" s="62"/>
    </row>
    <row r="583" spans="1:116" x14ac:dyDescent="0.2">
      <c r="A583" s="57">
        <v>44317</v>
      </c>
      <c r="B583" s="58">
        <v>2021</v>
      </c>
      <c r="C583" s="66">
        <v>19.216000000000001</v>
      </c>
      <c r="D583" s="62">
        <v>0.26200000000000001</v>
      </c>
      <c r="E583" s="62">
        <v>3536.819</v>
      </c>
      <c r="F583" s="62">
        <v>148.54599999999999</v>
      </c>
      <c r="G583" s="62">
        <v>18.954000000000001</v>
      </c>
      <c r="H583" s="62">
        <v>316</v>
      </c>
      <c r="I583" s="62">
        <v>563.89599999999996</v>
      </c>
      <c r="J583" s="62">
        <v>-247.89599999999999</v>
      </c>
      <c r="K583" s="62">
        <v>3804.5039999999999</v>
      </c>
      <c r="L583" s="62">
        <v>-378.66199999999998</v>
      </c>
      <c r="M583" s="62">
        <v>3667.585</v>
      </c>
      <c r="N583" s="62">
        <v>154.03899999999999</v>
      </c>
      <c r="O583" s="66">
        <v>19.655000000000001</v>
      </c>
      <c r="P583" s="61">
        <v>1573.578</v>
      </c>
      <c r="Q583" s="62">
        <v>66.09</v>
      </c>
      <c r="R583" s="62">
        <v>8.6449999999999996</v>
      </c>
      <c r="S583" s="62">
        <v>870</v>
      </c>
      <c r="T583" s="62"/>
      <c r="U583" s="62">
        <v>1759.6120000000001</v>
      </c>
      <c r="V583" s="62">
        <v>-161.893</v>
      </c>
      <c r="W583" s="62">
        <v>2605.471</v>
      </c>
      <c r="X583" s="62">
        <v>109.43</v>
      </c>
      <c r="Y583" s="61">
        <v>14.314</v>
      </c>
      <c r="Z583" s="63">
        <v>14.314</v>
      </c>
      <c r="AA583" s="64" t="s">
        <v>116</v>
      </c>
      <c r="AB583" s="62" t="s">
        <v>116</v>
      </c>
      <c r="AC583" s="62">
        <v>126.505</v>
      </c>
      <c r="AD583" s="62">
        <v>5.3129999999999997</v>
      </c>
      <c r="AE583" s="62">
        <v>0.67800000000000005</v>
      </c>
      <c r="AF583" s="62" t="s">
        <v>140</v>
      </c>
      <c r="AG583" s="62">
        <v>119.003</v>
      </c>
      <c r="AH583" s="62">
        <v>17.731999999999999</v>
      </c>
      <c r="AI583" s="62">
        <v>108.773</v>
      </c>
      <c r="AJ583" s="62">
        <v>4.5679999999999996</v>
      </c>
      <c r="AK583" s="64">
        <v>0.58299999999999996</v>
      </c>
      <c r="AL583" s="19">
        <v>147095</v>
      </c>
      <c r="AM583" s="19">
        <v>120905</v>
      </c>
      <c r="AN583" s="23">
        <v>8438</v>
      </c>
      <c r="AO583" s="19">
        <v>139600</v>
      </c>
      <c r="AP583" s="19">
        <v>32252</v>
      </c>
      <c r="AQ583" s="19">
        <v>138221</v>
      </c>
      <c r="AR583" s="68">
        <v>4895.5199999999995</v>
      </c>
      <c r="AS583" s="68">
        <v>6184.5</v>
      </c>
      <c r="AT583" s="65">
        <f t="shared" si="47"/>
        <v>5863.2</v>
      </c>
      <c r="AU583" s="65">
        <f t="shared" si="48"/>
        <v>354.39600000000002</v>
      </c>
      <c r="AV583" s="65">
        <f t="shared" si="49"/>
        <v>1354.5840000000001</v>
      </c>
      <c r="AW583" s="65">
        <f t="shared" ref="AW583:AX619" si="50">AL583*42/1000</f>
        <v>6177.99</v>
      </c>
      <c r="AX583" s="65">
        <f t="shared" si="50"/>
        <v>5078.01</v>
      </c>
      <c r="AY583" s="65">
        <f t="shared" si="46"/>
        <v>5805.2820000000002</v>
      </c>
      <c r="AZ583" s="19">
        <v>40550</v>
      </c>
      <c r="BA583" s="19">
        <v>40043</v>
      </c>
      <c r="BB583" s="19">
        <v>43443</v>
      </c>
      <c r="BC583" s="19">
        <v>5820</v>
      </c>
      <c r="BD583" s="19">
        <v>3422</v>
      </c>
      <c r="BE583" s="23">
        <v>79482.775999999998</v>
      </c>
      <c r="BF583" s="23">
        <v>43068.453999999998</v>
      </c>
      <c r="BG583" s="67">
        <v>3.8412790000000001</v>
      </c>
      <c r="BH583" s="67">
        <v>1.291709</v>
      </c>
      <c r="BI583" s="67">
        <v>65.17</v>
      </c>
      <c r="BJ583" s="67">
        <v>2.0699999999999998</v>
      </c>
      <c r="BK583" s="67">
        <v>1.82</v>
      </c>
      <c r="BL583" s="67">
        <v>2.1800000000000002</v>
      </c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62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  <c r="DK583" s="62"/>
      <c r="DL583" s="62"/>
    </row>
    <row r="584" spans="1:116" x14ac:dyDescent="0.2">
      <c r="A584" s="57">
        <v>44348</v>
      </c>
      <c r="B584" s="58">
        <v>2021</v>
      </c>
      <c r="C584" s="66">
        <v>18.553999999999998</v>
      </c>
      <c r="D584" s="62">
        <v>0.253</v>
      </c>
      <c r="E584" s="62">
        <v>3414.9850000000001</v>
      </c>
      <c r="F584" s="62">
        <v>143.429</v>
      </c>
      <c r="G584" s="62">
        <v>18.300999999999998</v>
      </c>
      <c r="H584" s="62">
        <v>446</v>
      </c>
      <c r="I584" s="62">
        <v>658.20600000000002</v>
      </c>
      <c r="J584" s="62">
        <v>-212.20599999999999</v>
      </c>
      <c r="K584" s="62">
        <v>3747.5590000000002</v>
      </c>
      <c r="L584" s="62">
        <v>-56.945999999999998</v>
      </c>
      <c r="M584" s="62">
        <v>3259.7249999999999</v>
      </c>
      <c r="N584" s="62">
        <v>136.90799999999999</v>
      </c>
      <c r="O584" s="66">
        <v>17.469000000000001</v>
      </c>
      <c r="P584" s="61">
        <v>1470.1120000000001</v>
      </c>
      <c r="Q584" s="62">
        <v>61.744999999999997</v>
      </c>
      <c r="R584" s="62">
        <v>8.077</v>
      </c>
      <c r="S584" s="62">
        <v>1092</v>
      </c>
      <c r="T584" s="62"/>
      <c r="U584" s="62">
        <v>1919.9680000000001</v>
      </c>
      <c r="V584" s="62">
        <v>160.357</v>
      </c>
      <c r="W584" s="62">
        <v>2401.7550000000001</v>
      </c>
      <c r="X584" s="62">
        <v>100.874</v>
      </c>
      <c r="Y584" s="61">
        <v>13.195</v>
      </c>
      <c r="Z584" s="63">
        <v>13.195</v>
      </c>
      <c r="AA584" s="64" t="s">
        <v>116</v>
      </c>
      <c r="AB584" s="62" t="s">
        <v>116</v>
      </c>
      <c r="AC584" s="62">
        <v>91.066999999999993</v>
      </c>
      <c r="AD584" s="62">
        <v>3.8250000000000002</v>
      </c>
      <c r="AE584" s="62">
        <v>0.48799999999999999</v>
      </c>
      <c r="AF584" s="62" t="s">
        <v>140</v>
      </c>
      <c r="AG584" s="62">
        <v>74.063000000000002</v>
      </c>
      <c r="AH584" s="62">
        <v>-44.94</v>
      </c>
      <c r="AI584" s="62">
        <v>136.00700000000001</v>
      </c>
      <c r="AJ584" s="62">
        <v>5.7119999999999997</v>
      </c>
      <c r="AK584" s="64">
        <v>0.72899999999999998</v>
      </c>
      <c r="AL584" s="19">
        <v>149415</v>
      </c>
      <c r="AM584" s="19">
        <v>118372</v>
      </c>
      <c r="AN584" s="23">
        <v>7207</v>
      </c>
      <c r="AO584" s="19">
        <v>140133</v>
      </c>
      <c r="AP584" s="19">
        <v>37722</v>
      </c>
      <c r="AQ584" s="19">
        <v>141504</v>
      </c>
      <c r="AR584" s="68">
        <v>4825.8</v>
      </c>
      <c r="AS584" s="68">
        <v>6274.8000000000011</v>
      </c>
      <c r="AT584" s="65">
        <f t="shared" si="47"/>
        <v>5885.5860000000002</v>
      </c>
      <c r="AU584" s="65">
        <f t="shared" si="48"/>
        <v>302.69400000000002</v>
      </c>
      <c r="AV584" s="65">
        <f t="shared" si="49"/>
        <v>1584.3240000000001</v>
      </c>
      <c r="AW584" s="65">
        <f t="shared" si="50"/>
        <v>6275.43</v>
      </c>
      <c r="AX584" s="65">
        <f t="shared" si="50"/>
        <v>4971.6239999999998</v>
      </c>
      <c r="AY584" s="65">
        <f t="shared" si="46"/>
        <v>5943.1679999999997</v>
      </c>
      <c r="AZ584" s="19">
        <v>41494</v>
      </c>
      <c r="BA584" s="19">
        <v>42782</v>
      </c>
      <c r="BB584" s="19">
        <v>44730</v>
      </c>
      <c r="BC584" s="19">
        <v>5357</v>
      </c>
      <c r="BD584" s="19">
        <v>2791</v>
      </c>
      <c r="BE584" s="23">
        <v>92774.418999999994</v>
      </c>
      <c r="BF584" s="23">
        <v>63020.053</v>
      </c>
      <c r="BG584" s="67">
        <v>3.88456</v>
      </c>
      <c r="BH584" s="67">
        <v>1.4260740000000001</v>
      </c>
      <c r="BI584" s="67">
        <v>71.38</v>
      </c>
      <c r="BJ584" s="67">
        <v>2.15</v>
      </c>
      <c r="BK584" s="67">
        <v>1.91</v>
      </c>
      <c r="BL584" s="67">
        <v>2.25</v>
      </c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62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  <c r="DK584" s="62"/>
      <c r="DL584" s="62"/>
    </row>
    <row r="585" spans="1:116" x14ac:dyDescent="0.2">
      <c r="A585" s="57">
        <v>44378</v>
      </c>
      <c r="B585" s="58">
        <v>2021</v>
      </c>
      <c r="C585" s="66">
        <v>19.295999999999999</v>
      </c>
      <c r="D585" s="62">
        <v>0.26300000000000001</v>
      </c>
      <c r="E585" s="62">
        <v>3551.672</v>
      </c>
      <c r="F585" s="62">
        <v>149.16999999999999</v>
      </c>
      <c r="G585" s="62">
        <v>19.033000000000001</v>
      </c>
      <c r="H585" s="62">
        <v>357</v>
      </c>
      <c r="I585" s="62">
        <v>489.42700000000002</v>
      </c>
      <c r="J585" s="62">
        <v>-132.42699999999999</v>
      </c>
      <c r="K585" s="62">
        <v>3696.92</v>
      </c>
      <c r="L585" s="62">
        <v>-50.639000000000003</v>
      </c>
      <c r="M585" s="62">
        <v>3469.884</v>
      </c>
      <c r="N585" s="62">
        <v>145.73500000000001</v>
      </c>
      <c r="O585" s="66">
        <v>18.594999999999999</v>
      </c>
      <c r="P585" s="61">
        <v>1889.1980000000001</v>
      </c>
      <c r="Q585" s="62">
        <v>79.346000000000004</v>
      </c>
      <c r="R585" s="62">
        <v>10.379</v>
      </c>
      <c r="S585" s="62">
        <v>549</v>
      </c>
      <c r="T585" s="62"/>
      <c r="U585" s="62">
        <v>2283.0500000000002</v>
      </c>
      <c r="V585" s="62">
        <v>363.08199999999999</v>
      </c>
      <c r="W585" s="62">
        <v>2075.116</v>
      </c>
      <c r="X585" s="62">
        <v>87.155000000000001</v>
      </c>
      <c r="Y585" s="61">
        <v>11.401</v>
      </c>
      <c r="Z585" s="63">
        <v>11.401</v>
      </c>
      <c r="AA585" s="64" t="s">
        <v>116</v>
      </c>
      <c r="AB585" s="62" t="s">
        <v>116</v>
      </c>
      <c r="AC585" s="62">
        <v>124.873</v>
      </c>
      <c r="AD585" s="62">
        <v>5.2450000000000001</v>
      </c>
      <c r="AE585" s="62">
        <v>0.66900000000000004</v>
      </c>
      <c r="AF585" s="62">
        <v>27</v>
      </c>
      <c r="AG585" s="62">
        <v>89.194999999999993</v>
      </c>
      <c r="AH585" s="62">
        <v>15.132</v>
      </c>
      <c r="AI585" s="62">
        <v>136.74100000000001</v>
      </c>
      <c r="AJ585" s="62">
        <v>5.7430000000000003</v>
      </c>
      <c r="AK585" s="64">
        <v>0.73299999999999998</v>
      </c>
      <c r="AL585" s="19">
        <v>150533</v>
      </c>
      <c r="AM585" s="19">
        <v>113912</v>
      </c>
      <c r="AN585" s="23">
        <v>5103</v>
      </c>
      <c r="AO585" s="19">
        <v>142139</v>
      </c>
      <c r="AP585" s="19">
        <v>39724</v>
      </c>
      <c r="AQ585" s="19">
        <v>141987</v>
      </c>
      <c r="AR585" s="68">
        <v>4661.1600000000008</v>
      </c>
      <c r="AS585" s="68">
        <v>6327.72</v>
      </c>
      <c r="AT585" s="65">
        <f t="shared" si="47"/>
        <v>5969.8379999999997</v>
      </c>
      <c r="AU585" s="65">
        <f t="shared" si="48"/>
        <v>214.32599999999999</v>
      </c>
      <c r="AV585" s="65">
        <f t="shared" si="49"/>
        <v>1668.4079999999999</v>
      </c>
      <c r="AW585" s="65">
        <f t="shared" si="50"/>
        <v>6322.3860000000004</v>
      </c>
      <c r="AX585" s="65">
        <f t="shared" si="50"/>
        <v>4784.3040000000001</v>
      </c>
      <c r="AY585" s="65">
        <f t="shared" si="46"/>
        <v>5963.4539999999997</v>
      </c>
      <c r="AZ585" s="19">
        <v>44125</v>
      </c>
      <c r="BA585" s="19">
        <v>46543</v>
      </c>
      <c r="BB585" s="19">
        <v>43819</v>
      </c>
      <c r="BC585" s="19">
        <v>4319</v>
      </c>
      <c r="BD585" s="19">
        <v>2822</v>
      </c>
      <c r="BE585" s="23">
        <v>68985.990000000005</v>
      </c>
      <c r="BF585" s="23">
        <v>44092.930999999997</v>
      </c>
      <c r="BG585" s="67">
        <v>3.6157620000000001</v>
      </c>
      <c r="BH585" s="67">
        <v>1.501371</v>
      </c>
      <c r="BI585" s="67">
        <v>72.489999999999995</v>
      </c>
      <c r="BJ585" s="67">
        <v>2.1800000000000002</v>
      </c>
      <c r="BK585" s="67">
        <v>1.98</v>
      </c>
      <c r="BL585" s="67">
        <v>2.34</v>
      </c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62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  <c r="DK585" s="62"/>
      <c r="DL585" s="62"/>
    </row>
    <row r="586" spans="1:116" x14ac:dyDescent="0.2">
      <c r="A586" s="57">
        <v>44409</v>
      </c>
      <c r="B586" s="58">
        <v>2021</v>
      </c>
      <c r="C586" s="66">
        <v>19.338999999999999</v>
      </c>
      <c r="D586" s="62">
        <v>0.26300000000000001</v>
      </c>
      <c r="E586" s="62">
        <v>3559.5650000000001</v>
      </c>
      <c r="F586" s="62">
        <v>149.50200000000001</v>
      </c>
      <c r="G586" s="62">
        <v>19.076000000000001</v>
      </c>
      <c r="H586" s="62">
        <v>287</v>
      </c>
      <c r="I586" s="62">
        <v>548.88400000000001</v>
      </c>
      <c r="J586" s="62">
        <v>-261.88400000000001</v>
      </c>
      <c r="K586" s="62">
        <v>3368.598</v>
      </c>
      <c r="L586" s="62">
        <v>-328.322</v>
      </c>
      <c r="M586" s="62">
        <v>3626.0030000000002</v>
      </c>
      <c r="N586" s="62">
        <v>152.292</v>
      </c>
      <c r="O586" s="66">
        <v>19.431999999999999</v>
      </c>
      <c r="P586" s="61">
        <v>1800.095</v>
      </c>
      <c r="Q586" s="62">
        <v>75.603999999999999</v>
      </c>
      <c r="R586" s="62">
        <v>9.89</v>
      </c>
      <c r="S586" s="62">
        <v>597</v>
      </c>
      <c r="T586" s="62"/>
      <c r="U586" s="62">
        <v>2037.019</v>
      </c>
      <c r="V586" s="62">
        <v>-246.03200000000001</v>
      </c>
      <c r="W586" s="62">
        <v>2643.127</v>
      </c>
      <c r="X586" s="62">
        <v>111.011</v>
      </c>
      <c r="Y586" s="61">
        <v>14.521000000000001</v>
      </c>
      <c r="Z586" s="63">
        <v>14.521000000000001</v>
      </c>
      <c r="AA586" s="64" t="s">
        <v>116</v>
      </c>
      <c r="AB586" s="62" t="s">
        <v>116</v>
      </c>
      <c r="AC586" s="62">
        <v>139.178</v>
      </c>
      <c r="AD586" s="62">
        <v>5.8449999999999998</v>
      </c>
      <c r="AE586" s="62">
        <v>0.746</v>
      </c>
      <c r="AF586" s="62" t="s">
        <v>140</v>
      </c>
      <c r="AG586" s="62">
        <v>84.713999999999999</v>
      </c>
      <c r="AH586" s="62">
        <v>-4.4809999999999999</v>
      </c>
      <c r="AI586" s="62">
        <v>143.65899999999999</v>
      </c>
      <c r="AJ586" s="62">
        <v>6.0339999999999998</v>
      </c>
      <c r="AK586" s="64">
        <v>0.77</v>
      </c>
      <c r="AL586" s="19">
        <v>146990</v>
      </c>
      <c r="AM586" s="19">
        <v>123516</v>
      </c>
      <c r="AN586" s="23">
        <v>7954</v>
      </c>
      <c r="AO586" s="19">
        <v>137625</v>
      </c>
      <c r="AP586" s="19">
        <v>35946</v>
      </c>
      <c r="AQ586" s="19">
        <v>139300</v>
      </c>
      <c r="AR586" s="68">
        <v>5038.74</v>
      </c>
      <c r="AS586" s="68">
        <v>6171.4800000000005</v>
      </c>
      <c r="AT586" s="65">
        <f t="shared" si="47"/>
        <v>5780.25</v>
      </c>
      <c r="AU586" s="65">
        <f t="shared" si="48"/>
        <v>334.06799999999998</v>
      </c>
      <c r="AV586" s="65">
        <f t="shared" si="49"/>
        <v>1509.732</v>
      </c>
      <c r="AW586" s="65">
        <f t="shared" si="50"/>
        <v>6173.58</v>
      </c>
      <c r="AX586" s="65">
        <f t="shared" si="50"/>
        <v>5187.6719999999996</v>
      </c>
      <c r="AY586" s="65">
        <f t="shared" si="46"/>
        <v>5850.6</v>
      </c>
      <c r="AZ586" s="19">
        <v>44493</v>
      </c>
      <c r="BA586" s="19">
        <v>48468</v>
      </c>
      <c r="BB586" s="19">
        <v>42477</v>
      </c>
      <c r="BC586" s="19">
        <v>6952</v>
      </c>
      <c r="BD586" s="19">
        <v>4324</v>
      </c>
      <c r="BE586" s="23">
        <v>77365.974000000002</v>
      </c>
      <c r="BF586" s="23">
        <v>37371.972999999998</v>
      </c>
      <c r="BG586" s="67">
        <v>3.9258030000000002</v>
      </c>
      <c r="BH586" s="67">
        <v>1.5634710000000001</v>
      </c>
      <c r="BI586" s="67">
        <v>67.73</v>
      </c>
      <c r="BJ586" s="67">
        <v>2.15</v>
      </c>
      <c r="BK586" s="67">
        <v>1.97</v>
      </c>
      <c r="BL586" s="67">
        <v>2.2999999999999998</v>
      </c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62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  <c r="DK586" s="62"/>
      <c r="DL586" s="62"/>
    </row>
    <row r="587" spans="1:116" x14ac:dyDescent="0.2">
      <c r="A587" s="57">
        <v>44440</v>
      </c>
      <c r="B587" s="58">
        <v>2021</v>
      </c>
      <c r="C587" s="66">
        <v>17.303000000000001</v>
      </c>
      <c r="D587" s="62">
        <v>0.23599999999999999</v>
      </c>
      <c r="E587" s="62">
        <v>3184.8760000000002</v>
      </c>
      <c r="F587" s="62">
        <v>133.76499999999999</v>
      </c>
      <c r="G587" s="62">
        <v>17.068000000000001</v>
      </c>
      <c r="H587" s="62">
        <v>418</v>
      </c>
      <c r="I587" s="62">
        <v>473.66899999999998</v>
      </c>
      <c r="J587" s="62">
        <v>-55.668999999999997</v>
      </c>
      <c r="K587" s="62">
        <v>3229.5250000000001</v>
      </c>
      <c r="L587" s="62">
        <v>-139.07300000000001</v>
      </c>
      <c r="M587" s="62">
        <v>3268.28</v>
      </c>
      <c r="N587" s="62">
        <v>137.268</v>
      </c>
      <c r="O587" s="66">
        <v>17.515000000000001</v>
      </c>
      <c r="P587" s="61">
        <v>1463.3</v>
      </c>
      <c r="Q587" s="62">
        <v>61.459000000000003</v>
      </c>
      <c r="R587" s="62">
        <v>8.0389999999999997</v>
      </c>
      <c r="S587" s="62">
        <v>636</v>
      </c>
      <c r="T587" s="62"/>
      <c r="U587" s="62">
        <v>2174.357</v>
      </c>
      <c r="V587" s="62">
        <v>137.339</v>
      </c>
      <c r="W587" s="62">
        <v>1961.961</v>
      </c>
      <c r="X587" s="62">
        <v>82.402000000000001</v>
      </c>
      <c r="Y587" s="61">
        <v>10.779</v>
      </c>
      <c r="Z587" s="63">
        <v>10.779</v>
      </c>
      <c r="AA587" s="64" t="s">
        <v>116</v>
      </c>
      <c r="AB587" s="62" t="s">
        <v>116</v>
      </c>
      <c r="AC587" s="62">
        <v>98.319000000000003</v>
      </c>
      <c r="AD587" s="62">
        <v>4.1289999999999996</v>
      </c>
      <c r="AE587" s="62">
        <v>0.52700000000000002</v>
      </c>
      <c r="AF587" s="62" t="s">
        <v>140</v>
      </c>
      <c r="AG587" s="62">
        <v>71.366</v>
      </c>
      <c r="AH587" s="62">
        <v>-13.349</v>
      </c>
      <c r="AI587" s="62">
        <v>111.66800000000001</v>
      </c>
      <c r="AJ587" s="62">
        <v>4.6900000000000004</v>
      </c>
      <c r="AK587" s="64">
        <v>0.59799999999999998</v>
      </c>
      <c r="AL587" s="19">
        <v>136655</v>
      </c>
      <c r="AM587" s="19">
        <v>120960</v>
      </c>
      <c r="AN587" s="23">
        <v>6732</v>
      </c>
      <c r="AO587" s="19">
        <v>132095</v>
      </c>
      <c r="AP587" s="19">
        <v>27965</v>
      </c>
      <c r="AQ587" s="19">
        <v>130778</v>
      </c>
      <c r="AR587" s="68">
        <v>4888.8</v>
      </c>
      <c r="AS587" s="68">
        <v>5745.5999999999995</v>
      </c>
      <c r="AT587" s="65">
        <f t="shared" si="47"/>
        <v>5547.99</v>
      </c>
      <c r="AU587" s="65">
        <f t="shared" si="48"/>
        <v>282.74400000000003</v>
      </c>
      <c r="AV587" s="65">
        <f t="shared" si="49"/>
        <v>1174.53</v>
      </c>
      <c r="AW587" s="65">
        <f t="shared" si="50"/>
        <v>5739.51</v>
      </c>
      <c r="AX587" s="65">
        <f t="shared" si="50"/>
        <v>5080.32</v>
      </c>
      <c r="AY587" s="65">
        <f t="shared" si="46"/>
        <v>5492.6760000000004</v>
      </c>
      <c r="AZ587" s="19">
        <v>40670</v>
      </c>
      <c r="BA587" s="19">
        <v>44545</v>
      </c>
      <c r="BB587" s="19">
        <v>41988</v>
      </c>
      <c r="BC587" s="19">
        <v>6648</v>
      </c>
      <c r="BD587" s="19">
        <v>3272</v>
      </c>
      <c r="BE587" s="23">
        <v>55161.930999999997</v>
      </c>
      <c r="BF587" s="23">
        <v>57988.781999999999</v>
      </c>
      <c r="BG587" s="67">
        <v>3.9670320000000001</v>
      </c>
      <c r="BH587" s="67">
        <v>1.4848399999999999</v>
      </c>
      <c r="BI587" s="67">
        <v>71.650000000000006</v>
      </c>
      <c r="BJ587" s="67">
        <v>2.2400000000000002</v>
      </c>
      <c r="BK587" s="67">
        <v>2.0299999999999998</v>
      </c>
      <c r="BL587" s="67">
        <v>2.31</v>
      </c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62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  <c r="DK587" s="62"/>
      <c r="DL587" s="62"/>
    </row>
    <row r="588" spans="1:116" x14ac:dyDescent="0.2">
      <c r="A588" s="57">
        <v>44470</v>
      </c>
      <c r="B588" s="58">
        <v>2021</v>
      </c>
      <c r="C588" s="66">
        <v>18.87</v>
      </c>
      <c r="D588" s="62">
        <v>0.25700000000000001</v>
      </c>
      <c r="E588" s="62">
        <v>3473.1390000000001</v>
      </c>
      <c r="F588" s="62">
        <v>145.87200000000001</v>
      </c>
      <c r="G588" s="62">
        <v>18.613</v>
      </c>
      <c r="H588" s="62">
        <v>473</v>
      </c>
      <c r="I588" s="62">
        <v>213.4</v>
      </c>
      <c r="J588" s="62">
        <v>259.60000000000002</v>
      </c>
      <c r="K588" s="62">
        <v>3339.652</v>
      </c>
      <c r="L588" s="62">
        <v>110.127</v>
      </c>
      <c r="M588" s="62">
        <v>3622.6120000000001</v>
      </c>
      <c r="N588" s="62">
        <v>152.15</v>
      </c>
      <c r="O588" s="66">
        <v>19.414000000000001</v>
      </c>
      <c r="P588" s="61">
        <v>2027.492</v>
      </c>
      <c r="Q588" s="62">
        <v>85.155000000000001</v>
      </c>
      <c r="R588" s="62">
        <v>11.138999999999999</v>
      </c>
      <c r="S588" s="62">
        <v>795</v>
      </c>
      <c r="T588" s="62"/>
      <c r="U588" s="62">
        <v>1883.127</v>
      </c>
      <c r="V588" s="62">
        <v>-291.23</v>
      </c>
      <c r="W588" s="62">
        <v>3113.7220000000002</v>
      </c>
      <c r="X588" s="62">
        <v>130.77600000000001</v>
      </c>
      <c r="Y588" s="61">
        <v>17.106999999999999</v>
      </c>
      <c r="Z588" s="63">
        <v>17.106999999999999</v>
      </c>
      <c r="AA588" s="64" t="s">
        <v>116</v>
      </c>
      <c r="AB588" s="62" t="s">
        <v>116</v>
      </c>
      <c r="AC588" s="62">
        <v>190.935</v>
      </c>
      <c r="AD588" s="62">
        <v>8.0190000000000001</v>
      </c>
      <c r="AE588" s="62">
        <v>1.0229999999999999</v>
      </c>
      <c r="AF588" s="62" t="s">
        <v>140</v>
      </c>
      <c r="AG588" s="62">
        <v>89.587000000000003</v>
      </c>
      <c r="AH588" s="62">
        <v>18.221</v>
      </c>
      <c r="AI588" s="62">
        <v>172.714</v>
      </c>
      <c r="AJ588" s="62">
        <v>7.2539999999999996</v>
      </c>
      <c r="AK588" s="64">
        <v>0.92600000000000005</v>
      </c>
      <c r="AL588" s="19">
        <v>146545</v>
      </c>
      <c r="AM588" s="19">
        <v>122989</v>
      </c>
      <c r="AN588" s="23">
        <v>9008</v>
      </c>
      <c r="AO588" s="19">
        <v>132811</v>
      </c>
      <c r="AP588" s="19">
        <v>31856</v>
      </c>
      <c r="AQ588" s="19">
        <v>139412</v>
      </c>
      <c r="AR588" s="68">
        <v>4856.46</v>
      </c>
      <c r="AS588" s="68">
        <v>6158.4600000000009</v>
      </c>
      <c r="AT588" s="65">
        <f t="shared" si="47"/>
        <v>5578.0619999999999</v>
      </c>
      <c r="AU588" s="65">
        <f t="shared" si="48"/>
        <v>378.33600000000001</v>
      </c>
      <c r="AV588" s="65">
        <f t="shared" si="49"/>
        <v>1337.952</v>
      </c>
      <c r="AW588" s="65">
        <f t="shared" si="50"/>
        <v>6154.89</v>
      </c>
      <c r="AX588" s="65">
        <f t="shared" si="50"/>
        <v>5165.5379999999996</v>
      </c>
      <c r="AY588" s="65">
        <f t="shared" si="46"/>
        <v>5855.3040000000001</v>
      </c>
      <c r="AZ588" s="19">
        <v>40954</v>
      </c>
      <c r="BA588" s="19">
        <v>45469</v>
      </c>
      <c r="BB588" s="19">
        <v>40354</v>
      </c>
      <c r="BC588" s="19">
        <v>6767</v>
      </c>
      <c r="BD588" s="19">
        <v>3893</v>
      </c>
      <c r="BE588" s="23">
        <v>30140.024000000001</v>
      </c>
      <c r="BF588" s="23">
        <v>59118.906000000003</v>
      </c>
      <c r="BG588" s="67">
        <v>3.9144559999999999</v>
      </c>
      <c r="BH588" s="67">
        <v>1.466753</v>
      </c>
      <c r="BI588" s="67">
        <v>81.48</v>
      </c>
      <c r="BJ588" s="67">
        <v>2.5</v>
      </c>
      <c r="BK588" s="67">
        <v>2.2999999999999998</v>
      </c>
      <c r="BL588" s="67">
        <v>2.4900000000000002</v>
      </c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62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  <c r="DK588" s="62"/>
      <c r="DL588" s="62"/>
    </row>
    <row r="589" spans="1:116" x14ac:dyDescent="0.2">
      <c r="A589" s="57">
        <v>44501</v>
      </c>
      <c r="B589" s="58">
        <v>2021</v>
      </c>
      <c r="C589" s="66">
        <v>18.253</v>
      </c>
      <c r="D589" s="62">
        <v>0.249</v>
      </c>
      <c r="E589" s="62">
        <v>3359.6219999999998</v>
      </c>
      <c r="F589" s="62">
        <v>141.10400000000001</v>
      </c>
      <c r="G589" s="62">
        <v>18.004000000000001</v>
      </c>
      <c r="H589" s="62">
        <v>660</v>
      </c>
      <c r="I589" s="62">
        <v>165.79599999999999</v>
      </c>
      <c r="J589" s="62">
        <v>494.20400000000001</v>
      </c>
      <c r="K589" s="62">
        <v>3746.8980000000001</v>
      </c>
      <c r="L589" s="62">
        <v>407.24599999999998</v>
      </c>
      <c r="M589" s="62">
        <v>3446.58</v>
      </c>
      <c r="N589" s="62">
        <v>144.756</v>
      </c>
      <c r="O589" s="66">
        <v>18.47</v>
      </c>
      <c r="P589" s="61">
        <v>2254.6750000000002</v>
      </c>
      <c r="Q589" s="62">
        <v>94.695999999999998</v>
      </c>
      <c r="R589" s="62">
        <v>12.387</v>
      </c>
      <c r="S589" s="62">
        <v>890</v>
      </c>
      <c r="T589" s="62"/>
      <c r="U589" s="62">
        <v>2106.6030000000001</v>
      </c>
      <c r="V589" s="62">
        <v>223.476</v>
      </c>
      <c r="W589" s="62">
        <v>2921.1990000000001</v>
      </c>
      <c r="X589" s="62">
        <v>122.69</v>
      </c>
      <c r="Y589" s="61">
        <v>16.048999999999999</v>
      </c>
      <c r="Z589" s="63">
        <v>16.048999999999999</v>
      </c>
      <c r="AA589" s="64" t="s">
        <v>116</v>
      </c>
      <c r="AB589" s="62" t="s">
        <v>116</v>
      </c>
      <c r="AC589" s="62">
        <v>226.97399999999999</v>
      </c>
      <c r="AD589" s="62">
        <v>9.5329999999999995</v>
      </c>
      <c r="AE589" s="62">
        <v>1.216</v>
      </c>
      <c r="AF589" s="62" t="s">
        <v>140</v>
      </c>
      <c r="AG589" s="62">
        <v>68.762</v>
      </c>
      <c r="AH589" s="62">
        <v>-20.824000000000002</v>
      </c>
      <c r="AI589" s="62">
        <v>247.798</v>
      </c>
      <c r="AJ589" s="62">
        <v>10.407999999999999</v>
      </c>
      <c r="AK589" s="64">
        <v>1.3280000000000001</v>
      </c>
      <c r="AL589" s="19">
        <v>148507</v>
      </c>
      <c r="AM589" s="19">
        <v>125711</v>
      </c>
      <c r="AN589" s="23">
        <v>9906</v>
      </c>
      <c r="AO589" s="19">
        <v>131692</v>
      </c>
      <c r="AP589" s="19">
        <v>33823</v>
      </c>
      <c r="AQ589" s="19">
        <v>141715</v>
      </c>
      <c r="AR589" s="68">
        <v>4851.0000000000009</v>
      </c>
      <c r="AS589" s="68">
        <v>6237</v>
      </c>
      <c r="AT589" s="65">
        <f t="shared" si="47"/>
        <v>5531.0640000000003</v>
      </c>
      <c r="AU589" s="65">
        <f t="shared" si="48"/>
        <v>416.05200000000002</v>
      </c>
      <c r="AV589" s="65">
        <f t="shared" si="49"/>
        <v>1420.566</v>
      </c>
      <c r="AW589" s="65">
        <f t="shared" si="50"/>
        <v>6237.2939999999999</v>
      </c>
      <c r="AX589" s="65">
        <f t="shared" si="50"/>
        <v>5279.8620000000001</v>
      </c>
      <c r="AY589" s="65">
        <f t="shared" si="46"/>
        <v>5952.03</v>
      </c>
      <c r="AZ589" s="19">
        <v>42707</v>
      </c>
      <c r="BA589" s="19">
        <v>45211</v>
      </c>
      <c r="BB589" s="19">
        <v>36776</v>
      </c>
      <c r="BC589" s="19">
        <v>3377</v>
      </c>
      <c r="BD589" s="19">
        <v>4460</v>
      </c>
      <c r="BE589" s="23">
        <v>11806.562</v>
      </c>
      <c r="BF589" s="23">
        <v>92731.755000000005</v>
      </c>
      <c r="BG589" s="67">
        <v>4.1359130000000004</v>
      </c>
      <c r="BH589" s="67">
        <v>1.5070250000000001</v>
      </c>
      <c r="BI589" s="67">
        <v>79.150000000000006</v>
      </c>
      <c r="BJ589" s="67">
        <v>2.4500000000000002</v>
      </c>
      <c r="BK589" s="67">
        <v>2.31</v>
      </c>
      <c r="BL589" s="67">
        <v>2.48</v>
      </c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62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  <c r="DK589" s="62"/>
      <c r="DL589" s="62"/>
    </row>
    <row r="590" spans="1:116" x14ac:dyDescent="0.2">
      <c r="A590" s="57">
        <v>44531</v>
      </c>
      <c r="B590" s="58">
        <v>2021</v>
      </c>
      <c r="C590" s="66">
        <v>19.89</v>
      </c>
      <c r="D590" s="62">
        <v>0.27100000000000002</v>
      </c>
      <c r="E590" s="62">
        <v>3661.0239999999999</v>
      </c>
      <c r="F590" s="62">
        <v>153.76300000000001</v>
      </c>
      <c r="G590" s="62">
        <v>19.619</v>
      </c>
      <c r="H590" s="62">
        <v>696</v>
      </c>
      <c r="I590" s="62">
        <v>290.63299999999998</v>
      </c>
      <c r="J590" s="62">
        <v>405.36700000000002</v>
      </c>
      <c r="K590" s="62">
        <v>4187.4989999999998</v>
      </c>
      <c r="L590" s="62">
        <v>440.601</v>
      </c>
      <c r="M590" s="62">
        <v>3625.79</v>
      </c>
      <c r="N590" s="62">
        <v>152.28299999999999</v>
      </c>
      <c r="O590" s="66">
        <v>19.431000000000001</v>
      </c>
      <c r="P590" s="61">
        <v>2719.9070000000002</v>
      </c>
      <c r="Q590" s="62">
        <v>114.236</v>
      </c>
      <c r="R590" s="62">
        <v>14.943</v>
      </c>
      <c r="S590" s="62">
        <v>493</v>
      </c>
      <c r="T590" s="62"/>
      <c r="U590" s="62">
        <v>2352.752</v>
      </c>
      <c r="V590" s="62">
        <v>246.149</v>
      </c>
      <c r="W590" s="62">
        <v>2966.7579999999998</v>
      </c>
      <c r="X590" s="62">
        <v>124.604</v>
      </c>
      <c r="Y590" s="61">
        <v>16.298999999999999</v>
      </c>
      <c r="Z590" s="63">
        <v>16.298999999999999</v>
      </c>
      <c r="AA590" s="64" t="s">
        <v>116</v>
      </c>
      <c r="AB590" s="62" t="s">
        <v>116</v>
      </c>
      <c r="AC590" s="62">
        <v>260.57299999999998</v>
      </c>
      <c r="AD590" s="62">
        <v>10.944000000000001</v>
      </c>
      <c r="AE590" s="62">
        <v>1.3959999999999999</v>
      </c>
      <c r="AF590" s="62" t="s">
        <v>140</v>
      </c>
      <c r="AG590" s="62">
        <v>82.546000000000006</v>
      </c>
      <c r="AH590" s="62">
        <v>13.784000000000001</v>
      </c>
      <c r="AI590" s="62">
        <v>246.78899999999999</v>
      </c>
      <c r="AJ590" s="62">
        <v>10.365</v>
      </c>
      <c r="AK590" s="64">
        <v>1.323</v>
      </c>
      <c r="AL590" s="19">
        <v>152713</v>
      </c>
      <c r="AM590" s="19">
        <v>122453</v>
      </c>
      <c r="AN590" s="23">
        <v>9038</v>
      </c>
      <c r="AO590" s="19">
        <v>130039</v>
      </c>
      <c r="AP590" s="19">
        <v>40950</v>
      </c>
      <c r="AQ590" s="19">
        <v>145591</v>
      </c>
      <c r="AR590" s="68">
        <v>4491.9000000000005</v>
      </c>
      <c r="AS590" s="68">
        <v>6418.86</v>
      </c>
      <c r="AT590" s="65">
        <f t="shared" si="47"/>
        <v>5461.6379999999999</v>
      </c>
      <c r="AU590" s="65">
        <f t="shared" si="48"/>
        <v>379.596</v>
      </c>
      <c r="AV590" s="65">
        <f t="shared" si="49"/>
        <v>1719.9</v>
      </c>
      <c r="AW590" s="65">
        <f t="shared" si="50"/>
        <v>6413.9459999999999</v>
      </c>
      <c r="AX590" s="65">
        <f t="shared" si="50"/>
        <v>5143.0259999999998</v>
      </c>
      <c r="AY590" s="65">
        <f t="shared" si="46"/>
        <v>6114.8220000000001</v>
      </c>
      <c r="AZ590" s="19">
        <v>46876</v>
      </c>
      <c r="BA590" s="19">
        <v>47040</v>
      </c>
      <c r="BB590" s="19">
        <v>35798</v>
      </c>
      <c r="BC590" s="19">
        <v>4437</v>
      </c>
      <c r="BD590" s="19">
        <v>5259</v>
      </c>
      <c r="BE590" s="23">
        <v>43159.500999999997</v>
      </c>
      <c r="BF590" s="23">
        <v>91823.922999999995</v>
      </c>
      <c r="BG590" s="67">
        <v>3.8944329999999998</v>
      </c>
      <c r="BH590" s="67">
        <v>1.5174319999999999</v>
      </c>
      <c r="BI590" s="67">
        <v>71.709999999999994</v>
      </c>
      <c r="BJ590" s="67">
        <v>2.27</v>
      </c>
      <c r="BK590" s="67">
        <v>2.17</v>
      </c>
      <c r="BL590" s="67">
        <v>2.2999999999999998</v>
      </c>
      <c r="BM590" s="62"/>
      <c r="BN590" s="62"/>
      <c r="BO590" s="62"/>
      <c r="BP590" s="62"/>
      <c r="BQ590" s="62"/>
      <c r="BR590" s="62"/>
      <c r="BS590" s="62"/>
      <c r="BT590" s="62"/>
      <c r="BU590" s="62"/>
      <c r="BV590" s="62"/>
      <c r="BW590" s="62"/>
      <c r="BX590" s="62"/>
      <c r="BY590" s="62"/>
      <c r="BZ590" s="62"/>
      <c r="CA590" s="62"/>
      <c r="CB590" s="62"/>
      <c r="CC590" s="62"/>
      <c r="CD590" s="62"/>
      <c r="CE590" s="62"/>
      <c r="CF590" s="62"/>
      <c r="CG590" s="62"/>
      <c r="CH590" s="62"/>
      <c r="CI590" s="62"/>
      <c r="CJ590" s="62"/>
      <c r="CK590" s="62"/>
      <c r="CL590" s="62"/>
      <c r="CM590" s="62"/>
      <c r="CN590" s="62"/>
      <c r="CO590" s="62"/>
      <c r="CP590" s="62"/>
      <c r="CQ590" s="62"/>
      <c r="CR590" s="62"/>
      <c r="CS590" s="62"/>
      <c r="CT590" s="62"/>
      <c r="CU590" s="62"/>
      <c r="CV590" s="62"/>
      <c r="CW590" s="62"/>
      <c r="CX590" s="62"/>
      <c r="CY590" s="62"/>
      <c r="CZ590" s="62"/>
      <c r="DA590" s="62"/>
      <c r="DB590" s="62"/>
      <c r="DC590" s="62"/>
      <c r="DD590" s="62"/>
      <c r="DE590" s="62"/>
      <c r="DF590" s="62"/>
      <c r="DG590" s="62"/>
      <c r="DH590" s="62"/>
      <c r="DI590" s="62"/>
      <c r="DJ590" s="62"/>
      <c r="DK590" s="62"/>
      <c r="DL590" s="62"/>
    </row>
    <row r="591" spans="1:116" x14ac:dyDescent="0.2">
      <c r="A591" s="57">
        <v>44562</v>
      </c>
      <c r="B591" s="58">
        <v>2022</v>
      </c>
      <c r="C591" s="66">
        <v>15.521000000000001</v>
      </c>
      <c r="D591" s="62">
        <v>0.21099999999999999</v>
      </c>
      <c r="E591" s="62">
        <v>2856.828</v>
      </c>
      <c r="F591" s="62">
        <v>119.98699999999999</v>
      </c>
      <c r="G591" s="62">
        <v>15.31</v>
      </c>
      <c r="H591" s="62">
        <v>388</v>
      </c>
      <c r="I591" s="62">
        <v>208.91</v>
      </c>
      <c r="J591" s="62">
        <v>179.09</v>
      </c>
      <c r="K591" s="62">
        <v>4543.5609999999997</v>
      </c>
      <c r="L591" s="62">
        <v>356.06299999999999</v>
      </c>
      <c r="M591" s="62">
        <v>2679.855</v>
      </c>
      <c r="N591" s="62">
        <v>112.554</v>
      </c>
      <c r="O591" s="66">
        <v>14.361000000000001</v>
      </c>
      <c r="P591" s="61">
        <v>2632.4169999999999</v>
      </c>
      <c r="Q591" s="62">
        <v>110.562</v>
      </c>
      <c r="R591" s="62">
        <v>14.462</v>
      </c>
      <c r="S591" s="62">
        <v>632</v>
      </c>
      <c r="T591" s="62"/>
      <c r="U591" s="62">
        <v>2709.7170000000001</v>
      </c>
      <c r="V591" s="62">
        <v>356.96499999999997</v>
      </c>
      <c r="W591" s="62">
        <v>2907.4520000000002</v>
      </c>
      <c r="X591" s="62">
        <v>122.113</v>
      </c>
      <c r="Y591" s="61">
        <v>15.974</v>
      </c>
      <c r="Z591" s="63">
        <v>15.974</v>
      </c>
      <c r="AA591" s="64" t="s">
        <v>116</v>
      </c>
      <c r="AB591" s="62" t="s">
        <v>116</v>
      </c>
      <c r="AC591" s="62">
        <v>307.82400000000001</v>
      </c>
      <c r="AD591" s="62">
        <v>12.929</v>
      </c>
      <c r="AE591" s="62">
        <v>1.65</v>
      </c>
      <c r="AF591" s="62" t="s">
        <v>140</v>
      </c>
      <c r="AG591" s="62">
        <v>211.101</v>
      </c>
      <c r="AH591" s="62">
        <v>128.55500000000001</v>
      </c>
      <c r="AI591" s="62">
        <v>179.26900000000001</v>
      </c>
      <c r="AJ591" s="62">
        <v>7.5289999999999999</v>
      </c>
      <c r="AK591" s="64">
        <v>0.96099999999999997</v>
      </c>
      <c r="AL591" s="19">
        <v>144783</v>
      </c>
      <c r="AM591" s="19">
        <v>127991</v>
      </c>
      <c r="AN591" s="23">
        <v>7496</v>
      </c>
      <c r="AO591" s="19">
        <v>125282</v>
      </c>
      <c r="AP591" s="19">
        <v>29044</v>
      </c>
      <c r="AQ591" s="19">
        <v>137197</v>
      </c>
      <c r="AR591" s="68">
        <v>4557</v>
      </c>
      <c r="AS591" s="68">
        <v>6080.3399999999992</v>
      </c>
      <c r="AT591" s="65">
        <f t="shared" si="47"/>
        <v>5261.8440000000001</v>
      </c>
      <c r="AU591" s="65">
        <f t="shared" si="48"/>
        <v>314.83199999999999</v>
      </c>
      <c r="AV591" s="65">
        <f t="shared" si="49"/>
        <v>1219.848</v>
      </c>
      <c r="AW591" s="65">
        <f t="shared" si="50"/>
        <v>6080.8860000000004</v>
      </c>
      <c r="AX591" s="65">
        <f t="shared" si="50"/>
        <v>5375.6220000000003</v>
      </c>
      <c r="AY591" s="65">
        <f t="shared" si="46"/>
        <v>5762.2740000000003</v>
      </c>
      <c r="AZ591" s="19">
        <v>47013</v>
      </c>
      <c r="BA591" s="19">
        <v>43968</v>
      </c>
      <c r="BB591" s="19">
        <v>38583</v>
      </c>
      <c r="BC591" s="19">
        <v>3953</v>
      </c>
      <c r="BD591" s="19">
        <v>4222</v>
      </c>
      <c r="BE591" s="23">
        <v>29472.723000000002</v>
      </c>
      <c r="BF591" s="23">
        <v>67690.370999999999</v>
      </c>
      <c r="BG591" s="67">
        <v>4.0772250000000003</v>
      </c>
      <c r="BH591" s="67">
        <v>1.4183330000000001</v>
      </c>
      <c r="BI591" s="67">
        <v>83.22</v>
      </c>
      <c r="BJ591" s="67">
        <v>2.5499999999999998</v>
      </c>
      <c r="BK591" s="67">
        <v>2.4500000000000002</v>
      </c>
      <c r="BL591" s="67">
        <v>2.42</v>
      </c>
      <c r="BM591" s="62"/>
      <c r="BN591" s="62"/>
      <c r="BO591" s="62"/>
      <c r="BP591" s="62"/>
      <c r="BQ591" s="62"/>
      <c r="BR591" s="62"/>
      <c r="BS591" s="62"/>
      <c r="BT591" s="62"/>
      <c r="BU591" s="62"/>
      <c r="BV591" s="62"/>
      <c r="BW591" s="62"/>
      <c r="BX591" s="62"/>
      <c r="BY591" s="62"/>
      <c r="BZ591" s="62"/>
      <c r="CA591" s="62"/>
      <c r="CB591" s="62"/>
      <c r="CC591" s="62"/>
      <c r="CD591" s="62"/>
      <c r="CE591" s="62"/>
      <c r="CF591" s="62"/>
      <c r="CG591" s="62"/>
      <c r="CH591" s="62"/>
      <c r="CI591" s="62"/>
      <c r="CJ591" s="62"/>
      <c r="CK591" s="62"/>
      <c r="CL591" s="62"/>
      <c r="CM591" s="62"/>
      <c r="CN591" s="62"/>
      <c r="CO591" s="62"/>
      <c r="CP591" s="62"/>
      <c r="CQ591" s="62"/>
      <c r="CR591" s="62"/>
      <c r="CS591" s="62"/>
      <c r="CT591" s="62"/>
      <c r="CU591" s="62"/>
      <c r="CV591" s="62"/>
      <c r="CW591" s="62"/>
      <c r="CX591" s="62"/>
      <c r="CY591" s="62"/>
      <c r="CZ591" s="62"/>
      <c r="DA591" s="62"/>
      <c r="DB591" s="62"/>
      <c r="DC591" s="62"/>
      <c r="DD591" s="62"/>
      <c r="DE591" s="62"/>
      <c r="DF591" s="62"/>
      <c r="DG591" s="62"/>
      <c r="DH591" s="62"/>
      <c r="DI591" s="62"/>
      <c r="DJ591" s="62"/>
      <c r="DK591" s="62"/>
      <c r="DL591" s="62"/>
    </row>
    <row r="592" spans="1:116" x14ac:dyDescent="0.2">
      <c r="A592" s="57">
        <v>44593</v>
      </c>
      <c r="B592" s="58">
        <v>2022</v>
      </c>
      <c r="C592" s="66">
        <v>14.706</v>
      </c>
      <c r="D592" s="62">
        <v>0.2</v>
      </c>
      <c r="E592" s="62">
        <v>2706.7950000000001</v>
      </c>
      <c r="F592" s="62">
        <v>113.685</v>
      </c>
      <c r="G592" s="62">
        <v>14.506</v>
      </c>
      <c r="H592" s="62">
        <v>121</v>
      </c>
      <c r="I592" s="62">
        <v>123.807</v>
      </c>
      <c r="J592" s="62">
        <v>-2.8069999999999999</v>
      </c>
      <c r="K592" s="62">
        <v>4457.3140000000003</v>
      </c>
      <c r="L592" s="62">
        <v>-86.247</v>
      </c>
      <c r="M592" s="62">
        <v>2790.2350000000001</v>
      </c>
      <c r="N592" s="62">
        <v>117.19</v>
      </c>
      <c r="O592" s="66">
        <v>14.952999999999999</v>
      </c>
      <c r="P592" s="61">
        <v>2299.5349999999999</v>
      </c>
      <c r="Q592" s="62">
        <v>96.58</v>
      </c>
      <c r="R592" s="62">
        <v>12.634</v>
      </c>
      <c r="S592" s="62">
        <v>359</v>
      </c>
      <c r="T592" s="62"/>
      <c r="U592" s="62">
        <v>2748.0439999999999</v>
      </c>
      <c r="V592" s="62">
        <v>38.326999999999998</v>
      </c>
      <c r="W592" s="62">
        <v>2620.2080000000001</v>
      </c>
      <c r="X592" s="62">
        <v>110.04900000000001</v>
      </c>
      <c r="Y592" s="61">
        <v>14.395</v>
      </c>
      <c r="Z592" s="63">
        <v>14.395</v>
      </c>
      <c r="AA592" s="64" t="s">
        <v>116</v>
      </c>
      <c r="AB592" s="62" t="s">
        <v>116</v>
      </c>
      <c r="AC592" s="62">
        <v>305.93299999999999</v>
      </c>
      <c r="AD592" s="62">
        <v>12.849</v>
      </c>
      <c r="AE592" s="62">
        <v>1.639</v>
      </c>
      <c r="AF592" s="62" t="s">
        <v>140</v>
      </c>
      <c r="AG592" s="62">
        <v>290.27999999999997</v>
      </c>
      <c r="AH592" s="62">
        <v>79.179000000000002</v>
      </c>
      <c r="AI592" s="62">
        <v>226.75399999999999</v>
      </c>
      <c r="AJ592" s="62">
        <v>9.5239999999999991</v>
      </c>
      <c r="AK592" s="64">
        <v>1.2150000000000001</v>
      </c>
      <c r="AL592" s="19">
        <v>131100</v>
      </c>
      <c r="AM592" s="19">
        <v>122217</v>
      </c>
      <c r="AN592" s="23">
        <v>11177</v>
      </c>
      <c r="AO592" s="19">
        <v>120610</v>
      </c>
      <c r="AP592" s="19">
        <v>24735</v>
      </c>
      <c r="AQ592" s="19">
        <v>124616</v>
      </c>
      <c r="AR592" s="68">
        <v>4421.7599999999993</v>
      </c>
      <c r="AS592" s="68">
        <v>5503.68</v>
      </c>
      <c r="AT592" s="65">
        <f t="shared" si="47"/>
        <v>5065.62</v>
      </c>
      <c r="AU592" s="65">
        <f t="shared" si="48"/>
        <v>469.43400000000003</v>
      </c>
      <c r="AV592" s="65">
        <f t="shared" si="49"/>
        <v>1038.8699999999999</v>
      </c>
      <c r="AW592" s="65">
        <f t="shared" si="50"/>
        <v>5506.2</v>
      </c>
      <c r="AX592" s="65">
        <f t="shared" si="50"/>
        <v>5133.1139999999996</v>
      </c>
      <c r="AY592" s="65">
        <f t="shared" si="46"/>
        <v>5233.8720000000003</v>
      </c>
      <c r="AZ592" s="19">
        <v>42103</v>
      </c>
      <c r="BA592" s="19">
        <v>39706</v>
      </c>
      <c r="BB592" s="19">
        <v>39858</v>
      </c>
      <c r="BC592" s="19">
        <v>3058</v>
      </c>
      <c r="BD592" s="19">
        <v>4187</v>
      </c>
      <c r="BE592" s="23">
        <v>17456.788</v>
      </c>
      <c r="BF592" s="23">
        <v>17991.654999999999</v>
      </c>
      <c r="BG592" s="67">
        <v>4.310162</v>
      </c>
      <c r="BH592" s="67">
        <v>1.4180699999999999</v>
      </c>
      <c r="BI592" s="67">
        <v>91.64</v>
      </c>
      <c r="BJ592" s="67">
        <v>2.83</v>
      </c>
      <c r="BK592" s="67">
        <v>2.65</v>
      </c>
      <c r="BL592" s="67">
        <v>2.64</v>
      </c>
      <c r="BM592" s="62"/>
      <c r="BN592" s="62"/>
      <c r="BO592" s="62"/>
      <c r="BP592" s="62"/>
      <c r="BQ592" s="62"/>
      <c r="BR592" s="62"/>
      <c r="BS592" s="62"/>
      <c r="BT592" s="62"/>
      <c r="BU592" s="62"/>
      <c r="BV592" s="62"/>
      <c r="BW592" s="62"/>
      <c r="BX592" s="62"/>
      <c r="BY592" s="62"/>
      <c r="BZ592" s="62"/>
      <c r="CA592" s="62"/>
      <c r="CB592" s="62"/>
      <c r="CC592" s="62"/>
      <c r="CD592" s="62"/>
      <c r="CE592" s="62"/>
      <c r="CF592" s="62"/>
      <c r="CG592" s="62"/>
      <c r="CH592" s="62"/>
      <c r="CI592" s="62"/>
      <c r="CJ592" s="62"/>
      <c r="CK592" s="62"/>
      <c r="CL592" s="62"/>
      <c r="CM592" s="62"/>
      <c r="CN592" s="62"/>
      <c r="CO592" s="62"/>
      <c r="CP592" s="62"/>
      <c r="CQ592" s="62"/>
      <c r="CR592" s="62"/>
      <c r="CS592" s="62"/>
      <c r="CT592" s="62"/>
      <c r="CU592" s="62"/>
      <c r="CV592" s="62"/>
      <c r="CW592" s="62"/>
      <c r="CX592" s="62"/>
      <c r="CY592" s="62"/>
      <c r="CZ592" s="62"/>
      <c r="DA592" s="62"/>
      <c r="DB592" s="62"/>
      <c r="DC592" s="62"/>
      <c r="DD592" s="62"/>
      <c r="DE592" s="62"/>
      <c r="DF592" s="62"/>
      <c r="DG592" s="62"/>
      <c r="DH592" s="62"/>
      <c r="DI592" s="62"/>
      <c r="DJ592" s="62"/>
      <c r="DK592" s="62"/>
      <c r="DL592" s="62"/>
    </row>
    <row r="593" spans="1:116" x14ac:dyDescent="0.2">
      <c r="A593" s="57">
        <v>44621</v>
      </c>
      <c r="B593" s="58">
        <v>2022</v>
      </c>
      <c r="C593" s="66">
        <v>17.172999999999998</v>
      </c>
      <c r="D593" s="62">
        <v>0.23400000000000001</v>
      </c>
      <c r="E593" s="62">
        <v>3160.8330000000001</v>
      </c>
      <c r="F593" s="62">
        <v>132.755</v>
      </c>
      <c r="G593" s="62">
        <v>16.939</v>
      </c>
      <c r="H593" s="62">
        <v>636</v>
      </c>
      <c r="I593" s="62">
        <v>170.934</v>
      </c>
      <c r="J593" s="62">
        <v>465.06599999999997</v>
      </c>
      <c r="K593" s="62">
        <v>4691.7960000000003</v>
      </c>
      <c r="L593" s="62">
        <v>234.482</v>
      </c>
      <c r="M593" s="62">
        <v>3391.4169999999999</v>
      </c>
      <c r="N593" s="62">
        <v>142.44</v>
      </c>
      <c r="O593" s="66">
        <v>18.175000000000001</v>
      </c>
      <c r="P593" s="61">
        <v>2596.0149999999999</v>
      </c>
      <c r="Q593" s="62">
        <v>109.033</v>
      </c>
      <c r="R593" s="62">
        <v>14.263</v>
      </c>
      <c r="S593" s="62">
        <v>555</v>
      </c>
      <c r="T593" s="62"/>
      <c r="U593" s="62">
        <v>2705.375</v>
      </c>
      <c r="V593" s="62">
        <v>-42.668999999999997</v>
      </c>
      <c r="W593" s="62">
        <v>3193.6840000000002</v>
      </c>
      <c r="X593" s="62">
        <v>134.13499999999999</v>
      </c>
      <c r="Y593" s="61">
        <v>17.545999999999999</v>
      </c>
      <c r="Z593" s="63">
        <v>17.545999999999999</v>
      </c>
      <c r="AA593" s="64" t="s">
        <v>116</v>
      </c>
      <c r="AB593" s="62" t="s">
        <v>116</v>
      </c>
      <c r="AC593" s="62">
        <v>278.67500000000001</v>
      </c>
      <c r="AD593" s="62">
        <v>11.704000000000001</v>
      </c>
      <c r="AE593" s="62">
        <v>1.4930000000000001</v>
      </c>
      <c r="AF593" s="62" t="s">
        <v>140</v>
      </c>
      <c r="AG593" s="62">
        <v>292.08499999999998</v>
      </c>
      <c r="AH593" s="62">
        <v>1.8049999999999999</v>
      </c>
      <c r="AI593" s="62">
        <v>276.87</v>
      </c>
      <c r="AJ593" s="62">
        <v>11.629</v>
      </c>
      <c r="AK593" s="64">
        <v>1.484</v>
      </c>
      <c r="AL593" s="19">
        <v>155127</v>
      </c>
      <c r="AM593" s="19">
        <v>129680</v>
      </c>
      <c r="AN593" s="23">
        <v>5855</v>
      </c>
      <c r="AO593" s="19">
        <v>114658</v>
      </c>
      <c r="AP593" s="19">
        <v>37257</v>
      </c>
      <c r="AQ593" s="19">
        <v>146641</v>
      </c>
      <c r="AR593" s="68">
        <v>4973.6400000000003</v>
      </c>
      <c r="AS593" s="68">
        <v>6510</v>
      </c>
      <c r="AT593" s="65">
        <f t="shared" si="47"/>
        <v>4815.6360000000004</v>
      </c>
      <c r="AU593" s="65">
        <f t="shared" si="48"/>
        <v>245.91</v>
      </c>
      <c r="AV593" s="65">
        <f t="shared" si="49"/>
        <v>1564.7940000000001</v>
      </c>
      <c r="AW593" s="65">
        <f t="shared" si="50"/>
        <v>6515.3339999999998</v>
      </c>
      <c r="AX593" s="65">
        <f t="shared" si="50"/>
        <v>5446.56</v>
      </c>
      <c r="AY593" s="65">
        <f t="shared" si="46"/>
        <v>6158.9219999999996</v>
      </c>
      <c r="AZ593" s="19">
        <v>44514</v>
      </c>
      <c r="BA593" s="19">
        <v>47122</v>
      </c>
      <c r="BB593" s="19">
        <v>35607</v>
      </c>
      <c r="BC593" s="19">
        <v>3853</v>
      </c>
      <c r="BD593" s="19">
        <v>5504</v>
      </c>
      <c r="BE593" s="23">
        <v>29337.346000000001</v>
      </c>
      <c r="BF593" s="23">
        <v>105268.59600000001</v>
      </c>
      <c r="BG593" s="67">
        <v>4.1238070000000002</v>
      </c>
      <c r="BH593" s="67">
        <v>1.520051</v>
      </c>
      <c r="BI593" s="67">
        <v>108.5</v>
      </c>
      <c r="BJ593" s="67">
        <v>3.58</v>
      </c>
      <c r="BK593" s="67">
        <v>3.33</v>
      </c>
      <c r="BL593" s="67">
        <v>3.23</v>
      </c>
      <c r="BM593" s="62"/>
      <c r="BN593" s="62"/>
      <c r="BO593" s="62"/>
      <c r="BP593" s="62"/>
      <c r="BQ593" s="62"/>
      <c r="BR593" s="62"/>
      <c r="BS593" s="62"/>
      <c r="BT593" s="62"/>
      <c r="BU593" s="62"/>
      <c r="BV593" s="62"/>
      <c r="BW593" s="62"/>
      <c r="BX593" s="62"/>
      <c r="BY593" s="62"/>
      <c r="BZ593" s="62"/>
      <c r="CA593" s="62"/>
      <c r="CB593" s="62"/>
      <c r="CC593" s="62"/>
      <c r="CD593" s="62"/>
      <c r="CE593" s="62"/>
      <c r="CF593" s="62"/>
      <c r="CG593" s="62"/>
      <c r="CH593" s="62"/>
      <c r="CI593" s="62"/>
      <c r="CJ593" s="62"/>
      <c r="CK593" s="62"/>
      <c r="CL593" s="62"/>
      <c r="CM593" s="62"/>
      <c r="CN593" s="62"/>
      <c r="CO593" s="62"/>
      <c r="CP593" s="62"/>
      <c r="CQ593" s="62"/>
      <c r="CR593" s="62"/>
      <c r="CS593" s="62"/>
      <c r="CT593" s="62"/>
      <c r="CU593" s="62"/>
      <c r="CV593" s="62"/>
      <c r="CW593" s="62"/>
      <c r="CX593" s="62"/>
      <c r="CY593" s="62"/>
      <c r="CZ593" s="62"/>
      <c r="DA593" s="62"/>
      <c r="DB593" s="62"/>
      <c r="DC593" s="62"/>
      <c r="DD593" s="62"/>
      <c r="DE593" s="62"/>
      <c r="DF593" s="62"/>
      <c r="DG593" s="62"/>
      <c r="DH593" s="62"/>
      <c r="DI593" s="62"/>
      <c r="DJ593" s="62"/>
      <c r="DK593" s="62"/>
      <c r="DL593" s="62"/>
    </row>
    <row r="594" spans="1:116" x14ac:dyDescent="0.2">
      <c r="A594" s="57">
        <v>44652</v>
      </c>
      <c r="B594" s="58">
        <v>2022</v>
      </c>
      <c r="C594" s="66">
        <v>16.395</v>
      </c>
      <c r="D594" s="62">
        <v>0.223</v>
      </c>
      <c r="E594" s="62">
        <v>3017.6770000000001</v>
      </c>
      <c r="F594" s="62">
        <v>126.742</v>
      </c>
      <c r="G594" s="62">
        <v>16.172000000000001</v>
      </c>
      <c r="H594" s="62">
        <v>672</v>
      </c>
      <c r="I594" s="62">
        <v>632.46299999999997</v>
      </c>
      <c r="J594" s="62">
        <v>39.536999999999999</v>
      </c>
      <c r="K594" s="62">
        <v>4212.4979999999996</v>
      </c>
      <c r="L594" s="62">
        <v>-479.298</v>
      </c>
      <c r="M594" s="62">
        <v>3536.5120000000002</v>
      </c>
      <c r="N594" s="62">
        <v>148.53399999999999</v>
      </c>
      <c r="O594" s="66">
        <v>18.952000000000002</v>
      </c>
      <c r="P594" s="61">
        <v>2837.0349999999999</v>
      </c>
      <c r="Q594" s="62">
        <v>119.155</v>
      </c>
      <c r="R594" s="62">
        <v>15.587</v>
      </c>
      <c r="S594" s="62">
        <v>392</v>
      </c>
      <c r="T594" s="62"/>
      <c r="U594" s="62">
        <v>2872.1909999999998</v>
      </c>
      <c r="V594" s="62">
        <v>166.81700000000001</v>
      </c>
      <c r="W594" s="62">
        <v>3062.2179999999998</v>
      </c>
      <c r="X594" s="62">
        <v>128.613</v>
      </c>
      <c r="Y594" s="61">
        <v>16.824000000000002</v>
      </c>
      <c r="Z594" s="63">
        <v>16.824000000000002</v>
      </c>
      <c r="AA594" s="64" t="s">
        <v>116</v>
      </c>
      <c r="AB594" s="62" t="s">
        <v>116</v>
      </c>
      <c r="AC594" s="62">
        <v>326.77300000000002</v>
      </c>
      <c r="AD594" s="62">
        <v>13.724</v>
      </c>
      <c r="AE594" s="62">
        <v>1.7509999999999999</v>
      </c>
      <c r="AF594" s="62">
        <v>50</v>
      </c>
      <c r="AG594" s="62">
        <v>258.32799999999997</v>
      </c>
      <c r="AH594" s="62">
        <v>-33.756999999999998</v>
      </c>
      <c r="AI594" s="62">
        <v>410.53</v>
      </c>
      <c r="AJ594" s="62">
        <v>17.242000000000001</v>
      </c>
      <c r="AK594" s="64">
        <v>2.2000000000000002</v>
      </c>
      <c r="AL594" s="19">
        <v>145058</v>
      </c>
      <c r="AM594" s="19">
        <v>119268</v>
      </c>
      <c r="AN594" s="23">
        <v>3858</v>
      </c>
      <c r="AO594" s="19">
        <v>106291</v>
      </c>
      <c r="AP594" s="19">
        <v>38015</v>
      </c>
      <c r="AQ594" s="19">
        <v>137285</v>
      </c>
      <c r="AR594" s="68">
        <v>4712.4000000000005</v>
      </c>
      <c r="AS594" s="68">
        <v>6098.4</v>
      </c>
      <c r="AT594" s="65">
        <f t="shared" si="47"/>
        <v>4464.2219999999998</v>
      </c>
      <c r="AU594" s="65">
        <f t="shared" si="48"/>
        <v>162.036</v>
      </c>
      <c r="AV594" s="65">
        <f t="shared" si="49"/>
        <v>1596.63</v>
      </c>
      <c r="AW594" s="65">
        <f t="shared" si="50"/>
        <v>6092.4359999999997</v>
      </c>
      <c r="AX594" s="65">
        <f t="shared" si="50"/>
        <v>5009.2560000000003</v>
      </c>
      <c r="AY594" s="65">
        <f t="shared" si="46"/>
        <v>5765.97</v>
      </c>
      <c r="AZ594" s="19">
        <v>50977</v>
      </c>
      <c r="BA594" s="19">
        <v>46411</v>
      </c>
      <c r="BB594" s="19">
        <v>37709</v>
      </c>
      <c r="BC594" s="19">
        <v>3686</v>
      </c>
      <c r="BD594" s="19">
        <v>6160</v>
      </c>
      <c r="BE594" s="23">
        <v>67415.267999999996</v>
      </c>
      <c r="BF594" s="23">
        <v>73679.528000000006</v>
      </c>
      <c r="BG594" s="67">
        <v>3.9159009999999999</v>
      </c>
      <c r="BH594" s="67">
        <v>1.547018</v>
      </c>
      <c r="BI594" s="67">
        <v>101.78</v>
      </c>
      <c r="BJ594" s="67">
        <v>3.95</v>
      </c>
      <c r="BK594" s="67">
        <v>3.93</v>
      </c>
      <c r="BL594" s="67">
        <v>3.26</v>
      </c>
      <c r="BM594" s="62"/>
      <c r="BN594" s="62"/>
      <c r="BO594" s="62"/>
      <c r="BP594" s="62"/>
      <c r="BQ594" s="62"/>
      <c r="BR594" s="62"/>
      <c r="BS594" s="62"/>
      <c r="BT594" s="62"/>
      <c r="BU594" s="62"/>
      <c r="BV594" s="62"/>
      <c r="BW594" s="62"/>
      <c r="BX594" s="62"/>
      <c r="BY594" s="62"/>
      <c r="BZ594" s="62"/>
      <c r="CA594" s="62"/>
      <c r="CB594" s="62"/>
      <c r="CC594" s="62"/>
      <c r="CD594" s="62"/>
      <c r="CE594" s="62"/>
      <c r="CF594" s="62"/>
      <c r="CG594" s="62"/>
      <c r="CH594" s="62"/>
      <c r="CI594" s="62"/>
      <c r="CJ594" s="62"/>
      <c r="CK594" s="62"/>
      <c r="CL594" s="62"/>
      <c r="CM594" s="62"/>
      <c r="CN594" s="62"/>
      <c r="CO594" s="62"/>
      <c r="CP594" s="62"/>
      <c r="CQ594" s="62"/>
      <c r="CR594" s="62"/>
      <c r="CS594" s="62"/>
      <c r="CT594" s="62"/>
      <c r="CU594" s="62"/>
      <c r="CV594" s="62"/>
      <c r="CW594" s="62"/>
      <c r="CX594" s="62"/>
      <c r="CY594" s="62"/>
      <c r="CZ594" s="62"/>
      <c r="DA594" s="62"/>
      <c r="DB594" s="62"/>
      <c r="DC594" s="62"/>
      <c r="DD594" s="62"/>
      <c r="DE594" s="62"/>
      <c r="DF594" s="62"/>
      <c r="DG594" s="62"/>
      <c r="DH594" s="62"/>
      <c r="DI594" s="62"/>
      <c r="DJ594" s="62"/>
      <c r="DK594" s="62"/>
      <c r="DL594" s="62"/>
    </row>
    <row r="595" spans="1:116" x14ac:dyDescent="0.2">
      <c r="A595" s="57">
        <v>44682</v>
      </c>
      <c r="B595" s="58">
        <v>2022</v>
      </c>
      <c r="C595" s="66">
        <v>17.611999999999998</v>
      </c>
      <c r="D595" s="62">
        <v>0.24</v>
      </c>
      <c r="E595" s="62">
        <v>3241.614</v>
      </c>
      <c r="F595" s="62">
        <v>136.148</v>
      </c>
      <c r="G595" s="62">
        <v>17.372</v>
      </c>
      <c r="H595" s="62">
        <v>315</v>
      </c>
      <c r="I595" s="62">
        <v>699.39300000000003</v>
      </c>
      <c r="J595" s="62">
        <v>-384.39299999999997</v>
      </c>
      <c r="K595" s="62">
        <v>3839.241</v>
      </c>
      <c r="L595" s="62">
        <v>-373.25700000000001</v>
      </c>
      <c r="M595" s="62">
        <v>3230.4780000000001</v>
      </c>
      <c r="N595" s="62">
        <v>135.68</v>
      </c>
      <c r="O595" s="66">
        <v>17.312000000000001</v>
      </c>
      <c r="P595" s="61">
        <v>3008.39</v>
      </c>
      <c r="Q595" s="62">
        <v>126.352</v>
      </c>
      <c r="R595" s="62">
        <v>16.527999999999999</v>
      </c>
      <c r="S595" s="62">
        <v>649</v>
      </c>
      <c r="T595" s="62"/>
      <c r="U595" s="62">
        <v>3273.4319999999998</v>
      </c>
      <c r="V595" s="62">
        <v>401.24</v>
      </c>
      <c r="W595" s="62">
        <v>3256.15</v>
      </c>
      <c r="X595" s="62">
        <v>136.75800000000001</v>
      </c>
      <c r="Y595" s="61">
        <v>17.888999999999999</v>
      </c>
      <c r="Z595" s="63">
        <v>17.89</v>
      </c>
      <c r="AA595" s="64" t="s">
        <v>116</v>
      </c>
      <c r="AB595" s="62" t="s">
        <v>116</v>
      </c>
      <c r="AC595" s="62">
        <v>335.30399999999997</v>
      </c>
      <c r="AD595" s="62">
        <v>14.083</v>
      </c>
      <c r="AE595" s="62">
        <v>1.7969999999999999</v>
      </c>
      <c r="AF595" s="62" t="s">
        <v>140</v>
      </c>
      <c r="AG595" s="62">
        <v>216.74100000000001</v>
      </c>
      <c r="AH595" s="62">
        <v>-41.588000000000001</v>
      </c>
      <c r="AI595" s="62">
        <v>376.892</v>
      </c>
      <c r="AJ595" s="62">
        <v>15.829000000000001</v>
      </c>
      <c r="AK595" s="64">
        <v>2.02</v>
      </c>
      <c r="AL595" s="19">
        <v>154625</v>
      </c>
      <c r="AM595" s="19">
        <v>120148</v>
      </c>
      <c r="AN595" s="23">
        <v>5568</v>
      </c>
      <c r="AO595" s="19">
        <v>109712</v>
      </c>
      <c r="AP595" s="19">
        <v>36627</v>
      </c>
      <c r="AQ595" s="19">
        <v>146521</v>
      </c>
      <c r="AR595" s="68">
        <v>4843.4400000000005</v>
      </c>
      <c r="AS595" s="68">
        <v>6496.9800000000005</v>
      </c>
      <c r="AT595" s="65">
        <f t="shared" si="47"/>
        <v>4607.9040000000005</v>
      </c>
      <c r="AU595" s="65">
        <f t="shared" si="48"/>
        <v>233.85599999999999</v>
      </c>
      <c r="AV595" s="65">
        <f t="shared" si="49"/>
        <v>1538.3340000000001</v>
      </c>
      <c r="AW595" s="65">
        <f t="shared" si="50"/>
        <v>6494.25</v>
      </c>
      <c r="AX595" s="65">
        <f t="shared" si="50"/>
        <v>5046.2160000000003</v>
      </c>
      <c r="AY595" s="65">
        <f t="shared" si="46"/>
        <v>6153.8819999999996</v>
      </c>
      <c r="AZ595" s="19">
        <v>53961</v>
      </c>
      <c r="BA595" s="19">
        <v>49327</v>
      </c>
      <c r="BB595" s="19">
        <v>41342</v>
      </c>
      <c r="BC595" s="19">
        <v>3835</v>
      </c>
      <c r="BD595" s="19">
        <v>4841</v>
      </c>
      <c r="BE595" s="23">
        <v>85332.212</v>
      </c>
      <c r="BF595" s="23">
        <v>43553.3</v>
      </c>
      <c r="BG595" s="67">
        <v>3.8174610000000002</v>
      </c>
      <c r="BH595" s="67">
        <v>1.5911839999999999</v>
      </c>
      <c r="BI595" s="67">
        <v>109.55</v>
      </c>
      <c r="BJ595" s="67">
        <v>4.2300000000000004</v>
      </c>
      <c r="BK595" s="67">
        <v>3.95</v>
      </c>
      <c r="BL595" s="67">
        <v>3.87</v>
      </c>
      <c r="BM595" s="62"/>
      <c r="BN595" s="62"/>
      <c r="BO595" s="62"/>
      <c r="BP595" s="62"/>
      <c r="BQ595" s="62"/>
      <c r="BR595" s="62"/>
      <c r="BS595" s="62"/>
      <c r="BT595" s="62"/>
      <c r="BU595" s="62"/>
      <c r="BV595" s="62"/>
      <c r="BW595" s="62"/>
      <c r="BX595" s="62"/>
      <c r="BY595" s="62"/>
      <c r="BZ595" s="62"/>
      <c r="CA595" s="62"/>
      <c r="CB595" s="62"/>
      <c r="CC595" s="62"/>
      <c r="CD595" s="62"/>
      <c r="CE595" s="62"/>
      <c r="CF595" s="62"/>
      <c r="CG595" s="62"/>
      <c r="CH595" s="62"/>
      <c r="CI595" s="62"/>
      <c r="CJ595" s="62"/>
      <c r="CK595" s="62"/>
      <c r="CL595" s="62"/>
      <c r="CM595" s="62"/>
      <c r="CN595" s="62"/>
      <c r="CO595" s="62"/>
      <c r="CP595" s="62"/>
      <c r="CQ595" s="62"/>
      <c r="CR595" s="62"/>
      <c r="CS595" s="62"/>
      <c r="CT595" s="62"/>
      <c r="CU595" s="62"/>
      <c r="CV595" s="62"/>
      <c r="CW595" s="62"/>
      <c r="CX595" s="62"/>
      <c r="CY595" s="62"/>
      <c r="CZ595" s="62"/>
      <c r="DA595" s="62"/>
      <c r="DB595" s="62"/>
      <c r="DC595" s="62"/>
      <c r="DD595" s="62"/>
      <c r="DE595" s="62"/>
      <c r="DF595" s="62"/>
      <c r="DG595" s="62"/>
      <c r="DH595" s="62"/>
      <c r="DI595" s="62"/>
      <c r="DJ595" s="62"/>
      <c r="DK595" s="62"/>
      <c r="DL595" s="62"/>
    </row>
    <row r="596" spans="1:116" x14ac:dyDescent="0.2">
      <c r="A596" s="57">
        <v>44713</v>
      </c>
      <c r="B596" s="58">
        <v>2022</v>
      </c>
      <c r="C596" s="66">
        <v>17.741</v>
      </c>
      <c r="D596" s="62">
        <v>0.24199999999999999</v>
      </c>
      <c r="E596" s="62">
        <v>3265.4450000000002</v>
      </c>
      <c r="F596" s="62">
        <v>137.149</v>
      </c>
      <c r="G596" s="62">
        <v>17.5</v>
      </c>
      <c r="H596" s="62">
        <v>346</v>
      </c>
      <c r="I596" s="62">
        <v>588.548</v>
      </c>
      <c r="J596" s="62">
        <v>-242.548</v>
      </c>
      <c r="K596" s="62">
        <v>3404.402</v>
      </c>
      <c r="L596" s="62">
        <v>-434.839</v>
      </c>
      <c r="M596" s="62">
        <v>3457.7359999999999</v>
      </c>
      <c r="N596" s="62">
        <v>145.22499999999999</v>
      </c>
      <c r="O596" s="66">
        <v>18.53</v>
      </c>
      <c r="P596" s="61">
        <v>2948.04</v>
      </c>
      <c r="Q596" s="62">
        <v>123.818</v>
      </c>
      <c r="R596" s="62">
        <v>16.196999999999999</v>
      </c>
      <c r="S596" s="62">
        <v>536</v>
      </c>
      <c r="T596" s="62"/>
      <c r="U596" s="62">
        <v>2741.6329999999998</v>
      </c>
      <c r="V596" s="62">
        <v>-531.798</v>
      </c>
      <c r="W596" s="62">
        <v>4015.8380000000002</v>
      </c>
      <c r="X596" s="62">
        <v>168.66499999999999</v>
      </c>
      <c r="Y596" s="61">
        <v>22.062999999999999</v>
      </c>
      <c r="Z596" s="63">
        <v>22.04</v>
      </c>
      <c r="AA596" s="64" t="s">
        <v>116</v>
      </c>
      <c r="AB596" s="62" t="s">
        <v>116</v>
      </c>
      <c r="AC596" s="62">
        <v>365.34199999999998</v>
      </c>
      <c r="AD596" s="62">
        <v>15.343999999999999</v>
      </c>
      <c r="AE596" s="62">
        <v>1.958</v>
      </c>
      <c r="AF596" s="62" t="s">
        <v>140</v>
      </c>
      <c r="AG596" s="62">
        <v>190.756</v>
      </c>
      <c r="AH596" s="62">
        <v>-25.984000000000002</v>
      </c>
      <c r="AI596" s="62">
        <v>391.32600000000002</v>
      </c>
      <c r="AJ596" s="62">
        <v>16.436</v>
      </c>
      <c r="AK596" s="64">
        <v>2.097</v>
      </c>
      <c r="AL596" s="19">
        <v>155895</v>
      </c>
      <c r="AM596" s="19">
        <v>121477</v>
      </c>
      <c r="AN596" s="23">
        <v>3500</v>
      </c>
      <c r="AO596" s="19">
        <v>111329</v>
      </c>
      <c r="AP596" s="19">
        <v>36304</v>
      </c>
      <c r="AQ596" s="19">
        <v>148374</v>
      </c>
      <c r="AR596" s="68">
        <v>4951.8</v>
      </c>
      <c r="AS596" s="68">
        <v>6552</v>
      </c>
      <c r="AT596" s="65">
        <f t="shared" si="47"/>
        <v>4675.8180000000002</v>
      </c>
      <c r="AU596" s="65">
        <f t="shared" si="48"/>
        <v>147</v>
      </c>
      <c r="AV596" s="65">
        <f t="shared" si="49"/>
        <v>1524.768</v>
      </c>
      <c r="AW596" s="65">
        <f t="shared" si="50"/>
        <v>6547.59</v>
      </c>
      <c r="AX596" s="65">
        <f t="shared" si="50"/>
        <v>5102.0339999999997</v>
      </c>
      <c r="AY596" s="65">
        <f t="shared" si="46"/>
        <v>6231.7079999999996</v>
      </c>
      <c r="AZ596" s="19">
        <v>50587</v>
      </c>
      <c r="BA596" s="19">
        <v>50572</v>
      </c>
      <c r="BB596" s="19">
        <v>39376</v>
      </c>
      <c r="BC596" s="19">
        <v>3802</v>
      </c>
      <c r="BD596" s="19">
        <v>5787</v>
      </c>
      <c r="BE596" s="23">
        <v>83210.657999999996</v>
      </c>
      <c r="BF596" s="23">
        <v>50043.620999999999</v>
      </c>
      <c r="BG596" s="67">
        <v>3.9904489999999999</v>
      </c>
      <c r="BH596" s="67">
        <v>1.685743</v>
      </c>
      <c r="BI596" s="67">
        <v>114.84</v>
      </c>
      <c r="BJ596" s="67">
        <v>4.3499999999999996</v>
      </c>
      <c r="BK596" s="67">
        <v>4.1100000000000003</v>
      </c>
      <c r="BL596" s="67">
        <v>4.12</v>
      </c>
      <c r="BM596" s="62"/>
      <c r="BN596" s="62"/>
      <c r="BO596" s="62"/>
      <c r="BP596" s="62"/>
      <c r="BQ596" s="62"/>
      <c r="BR596" s="62"/>
      <c r="BS596" s="62"/>
      <c r="BT596" s="62"/>
      <c r="BU596" s="62"/>
      <c r="BV596" s="62"/>
      <c r="BW596" s="62"/>
      <c r="BX596" s="62"/>
      <c r="BY596" s="62"/>
      <c r="BZ596" s="62"/>
      <c r="CA596" s="62"/>
      <c r="CB596" s="62"/>
      <c r="CC596" s="62"/>
      <c r="CD596" s="62"/>
      <c r="CE596" s="62"/>
      <c r="CF596" s="62"/>
      <c r="CG596" s="62"/>
      <c r="CH596" s="62"/>
      <c r="CI596" s="62"/>
      <c r="CJ596" s="62"/>
      <c r="CK596" s="62"/>
      <c r="CL596" s="62"/>
      <c r="CM596" s="62"/>
      <c r="CN596" s="62"/>
      <c r="CO596" s="62"/>
      <c r="CP596" s="62"/>
      <c r="CQ596" s="62"/>
      <c r="CR596" s="62"/>
      <c r="CS596" s="62"/>
      <c r="CT596" s="62"/>
      <c r="CU596" s="62"/>
      <c r="CV596" s="62"/>
      <c r="CW596" s="62"/>
      <c r="CX596" s="62"/>
      <c r="CY596" s="62"/>
      <c r="CZ596" s="62"/>
      <c r="DA596" s="62"/>
      <c r="DB596" s="62"/>
      <c r="DC596" s="62"/>
      <c r="DD596" s="62"/>
      <c r="DE596" s="62"/>
      <c r="DF596" s="62"/>
      <c r="DG596" s="62"/>
      <c r="DH596" s="62"/>
      <c r="DI596" s="62"/>
      <c r="DJ596" s="62"/>
      <c r="DK596" s="62"/>
      <c r="DL596" s="62"/>
    </row>
    <row r="597" spans="1:116" x14ac:dyDescent="0.2">
      <c r="A597" s="57">
        <v>44743</v>
      </c>
      <c r="B597" s="58">
        <v>2022</v>
      </c>
      <c r="C597" s="66">
        <v>18.960999999999999</v>
      </c>
      <c r="D597" s="62">
        <v>0.25800000000000001</v>
      </c>
      <c r="E597" s="62">
        <v>3490.009</v>
      </c>
      <c r="F597" s="62">
        <v>146.58000000000001</v>
      </c>
      <c r="G597" s="62">
        <v>18.702999999999999</v>
      </c>
      <c r="H597" s="62">
        <v>284</v>
      </c>
      <c r="I597" s="62">
        <v>624.56899999999996</v>
      </c>
      <c r="J597" s="62">
        <v>-340.56900000000002</v>
      </c>
      <c r="K597" s="62">
        <v>3240.4609999999998</v>
      </c>
      <c r="L597" s="62">
        <v>-163.941</v>
      </c>
      <c r="M597" s="62">
        <v>3313.3809999999999</v>
      </c>
      <c r="N597" s="62">
        <v>139.16200000000001</v>
      </c>
      <c r="O597" s="66">
        <v>17.756</v>
      </c>
      <c r="P597" s="61">
        <v>3085.7890000000002</v>
      </c>
      <c r="Q597" s="62">
        <v>129.60300000000001</v>
      </c>
      <c r="R597" s="62">
        <v>16.952999999999999</v>
      </c>
      <c r="S597" s="62">
        <v>593</v>
      </c>
      <c r="T597" s="62"/>
      <c r="U597" s="62">
        <v>3148.4160000000002</v>
      </c>
      <c r="V597" s="62">
        <v>406.78199999999998</v>
      </c>
      <c r="W597" s="62">
        <v>3272.0070000000001</v>
      </c>
      <c r="X597" s="62">
        <v>137.42400000000001</v>
      </c>
      <c r="Y597" s="61">
        <v>17.975999999999999</v>
      </c>
      <c r="Z597" s="63">
        <v>17.895</v>
      </c>
      <c r="AA597" s="64" t="s">
        <v>116</v>
      </c>
      <c r="AB597" s="62" t="s">
        <v>116</v>
      </c>
      <c r="AC597" s="62">
        <v>436.971</v>
      </c>
      <c r="AD597" s="62">
        <v>18.353000000000002</v>
      </c>
      <c r="AE597" s="62">
        <v>2.3420000000000001</v>
      </c>
      <c r="AF597" s="62" t="s">
        <v>140</v>
      </c>
      <c r="AG597" s="62">
        <v>189.72900000000001</v>
      </c>
      <c r="AH597" s="62">
        <v>-1.0269999999999999</v>
      </c>
      <c r="AI597" s="62">
        <v>437.99799999999999</v>
      </c>
      <c r="AJ597" s="62">
        <v>18.396000000000001</v>
      </c>
      <c r="AK597" s="64">
        <v>2.347</v>
      </c>
      <c r="AL597" s="19">
        <v>158859</v>
      </c>
      <c r="AM597" s="19">
        <v>115367</v>
      </c>
      <c r="AN597" s="23">
        <v>5260</v>
      </c>
      <c r="AO597" s="19">
        <v>112591</v>
      </c>
      <c r="AP597" s="19">
        <v>47491</v>
      </c>
      <c r="AQ597" s="19">
        <v>150377</v>
      </c>
      <c r="AR597" s="68">
        <v>4635.12</v>
      </c>
      <c r="AS597" s="68">
        <v>6666.24</v>
      </c>
      <c r="AT597" s="65">
        <f t="shared" si="47"/>
        <v>4728.8220000000001</v>
      </c>
      <c r="AU597" s="65">
        <f t="shared" si="48"/>
        <v>220.92</v>
      </c>
      <c r="AV597" s="65">
        <f t="shared" si="49"/>
        <v>1994.6220000000001</v>
      </c>
      <c r="AW597" s="65">
        <f t="shared" si="50"/>
        <v>6672.0780000000004</v>
      </c>
      <c r="AX597" s="65">
        <f t="shared" si="50"/>
        <v>4845.4139999999998</v>
      </c>
      <c r="AY597" s="65">
        <f t="shared" si="46"/>
        <v>6315.8339999999998</v>
      </c>
      <c r="AZ597" s="19">
        <v>53430</v>
      </c>
      <c r="BA597" s="19">
        <v>49679</v>
      </c>
      <c r="BB597" s="19">
        <v>41230</v>
      </c>
      <c r="BC597" s="19">
        <v>4298</v>
      </c>
      <c r="BD597" s="19">
        <v>6207</v>
      </c>
      <c r="BE597" s="23">
        <v>82183.040999999997</v>
      </c>
      <c r="BF597" s="23">
        <v>32909.15</v>
      </c>
      <c r="BG597" s="67">
        <v>3.6653039999999999</v>
      </c>
      <c r="BH597" s="67">
        <v>1.6025430000000001</v>
      </c>
      <c r="BI597" s="67">
        <v>101.62</v>
      </c>
      <c r="BJ597" s="67">
        <v>3.69</v>
      </c>
      <c r="BK597" s="67">
        <v>3.51</v>
      </c>
      <c r="BL597" s="67">
        <v>3.38</v>
      </c>
      <c r="BM597" s="62"/>
      <c r="BN597" s="62"/>
      <c r="BO597" s="62"/>
      <c r="BP597" s="62"/>
      <c r="BQ597" s="62"/>
      <c r="BR597" s="62"/>
      <c r="BS597" s="62"/>
      <c r="BT597" s="62"/>
      <c r="BU597" s="62"/>
      <c r="BV597" s="62"/>
      <c r="BW597" s="62"/>
      <c r="BX597" s="62"/>
      <c r="BY597" s="62"/>
      <c r="BZ597" s="62"/>
      <c r="CA597" s="62"/>
      <c r="CB597" s="62"/>
      <c r="CC597" s="62"/>
      <c r="CD597" s="62"/>
      <c r="CE597" s="62"/>
      <c r="CF597" s="62"/>
      <c r="CG597" s="62"/>
      <c r="CH597" s="62"/>
      <c r="CI597" s="62"/>
      <c r="CJ597" s="62"/>
      <c r="CK597" s="62"/>
      <c r="CL597" s="62"/>
      <c r="CM597" s="62"/>
      <c r="CN597" s="62"/>
      <c r="CO597" s="62"/>
      <c r="CP597" s="62"/>
      <c r="CQ597" s="62"/>
      <c r="CR597" s="62"/>
      <c r="CS597" s="62"/>
      <c r="CT597" s="62"/>
      <c r="CU597" s="62"/>
      <c r="CV597" s="62"/>
      <c r="CW597" s="62"/>
      <c r="CX597" s="62"/>
      <c r="CY597" s="62"/>
      <c r="CZ597" s="62"/>
      <c r="DA597" s="62"/>
      <c r="DB597" s="62"/>
      <c r="DC597" s="62"/>
      <c r="DD597" s="62"/>
      <c r="DE597" s="62"/>
      <c r="DF597" s="62"/>
      <c r="DG597" s="62"/>
      <c r="DH597" s="62"/>
      <c r="DI597" s="62"/>
      <c r="DJ597" s="62"/>
      <c r="DK597" s="62"/>
      <c r="DL597" s="62"/>
    </row>
    <row r="598" spans="1:116" x14ac:dyDescent="0.2">
      <c r="A598" s="57">
        <v>44774</v>
      </c>
      <c r="B598" s="58">
        <v>2022</v>
      </c>
      <c r="C598" s="66">
        <v>19.117000000000001</v>
      </c>
      <c r="D598" s="62">
        <v>0.26</v>
      </c>
      <c r="E598" s="62">
        <v>3518.7489999999998</v>
      </c>
      <c r="F598" s="62">
        <v>147.78700000000001</v>
      </c>
      <c r="G598" s="62">
        <v>18.856999999999999</v>
      </c>
      <c r="H598" s="62">
        <v>371</v>
      </c>
      <c r="I598" s="62">
        <v>831.29200000000003</v>
      </c>
      <c r="J598" s="62">
        <v>-460.29199999999997</v>
      </c>
      <c r="K598" s="62">
        <v>2893.7510000000002</v>
      </c>
      <c r="L598" s="62">
        <v>-346.71100000000001</v>
      </c>
      <c r="M598" s="62">
        <v>3405.1680000000001</v>
      </c>
      <c r="N598" s="62">
        <v>143.017</v>
      </c>
      <c r="O598" s="66">
        <v>18.248000000000001</v>
      </c>
      <c r="P598" s="61">
        <v>2831.616</v>
      </c>
      <c r="Q598" s="62">
        <v>118.928</v>
      </c>
      <c r="R598" s="62">
        <v>15.557</v>
      </c>
      <c r="S598" s="62">
        <v>421</v>
      </c>
      <c r="T598" s="62"/>
      <c r="U598" s="62">
        <v>2553.9949999999999</v>
      </c>
      <c r="V598" s="62">
        <v>-594.42100000000005</v>
      </c>
      <c r="W598" s="62">
        <v>3847.0369999999998</v>
      </c>
      <c r="X598" s="62">
        <v>161.57599999999999</v>
      </c>
      <c r="Y598" s="61">
        <v>21.135999999999999</v>
      </c>
      <c r="Z598" s="63">
        <v>20.875</v>
      </c>
      <c r="AA598" s="64" t="s">
        <v>116</v>
      </c>
      <c r="AB598" s="62" t="s">
        <v>116</v>
      </c>
      <c r="AC598" s="62">
        <v>445.78</v>
      </c>
      <c r="AD598" s="62">
        <v>18.722999999999999</v>
      </c>
      <c r="AE598" s="62">
        <v>2.3889999999999998</v>
      </c>
      <c r="AF598" s="62">
        <v>12</v>
      </c>
      <c r="AG598" s="62">
        <v>178.90799999999999</v>
      </c>
      <c r="AH598" s="62">
        <v>-10.821</v>
      </c>
      <c r="AI598" s="62">
        <v>468.601</v>
      </c>
      <c r="AJ598" s="62">
        <v>19.681000000000001</v>
      </c>
      <c r="AK598" s="64">
        <v>2.5110000000000001</v>
      </c>
      <c r="AL598" s="19">
        <v>159414</v>
      </c>
      <c r="AM598" s="19">
        <v>122155</v>
      </c>
      <c r="AN598" s="23">
        <v>5457</v>
      </c>
      <c r="AO598" s="19">
        <v>113122</v>
      </c>
      <c r="AP598" s="19">
        <v>42186</v>
      </c>
      <c r="AQ598" s="19">
        <v>151695</v>
      </c>
      <c r="AR598" s="68">
        <v>5090.82</v>
      </c>
      <c r="AS598" s="68">
        <v>6692.28</v>
      </c>
      <c r="AT598" s="65">
        <f t="shared" si="47"/>
        <v>4751.1239999999998</v>
      </c>
      <c r="AU598" s="65">
        <f t="shared" si="48"/>
        <v>229.19399999999999</v>
      </c>
      <c r="AV598" s="65">
        <f t="shared" si="49"/>
        <v>1771.8119999999999</v>
      </c>
      <c r="AW598" s="65">
        <f t="shared" si="50"/>
        <v>6695.3879999999999</v>
      </c>
      <c r="AX598" s="65">
        <f t="shared" si="50"/>
        <v>5130.51</v>
      </c>
      <c r="AY598" s="65">
        <f t="shared" si="46"/>
        <v>6371.19</v>
      </c>
      <c r="AZ598" s="19">
        <v>52183</v>
      </c>
      <c r="BA598" s="19">
        <v>51264</v>
      </c>
      <c r="BB598" s="19">
        <v>38409</v>
      </c>
      <c r="BC598" s="19">
        <v>2646</v>
      </c>
      <c r="BD598" s="19">
        <v>6396</v>
      </c>
      <c r="BE598" s="23">
        <v>118008.708</v>
      </c>
      <c r="BF598" s="23">
        <v>55747.495999999999</v>
      </c>
      <c r="BG598" s="67">
        <v>3.8821319999999999</v>
      </c>
      <c r="BH598" s="67">
        <v>1.6536759999999999</v>
      </c>
      <c r="BI598" s="67">
        <v>93.67</v>
      </c>
      <c r="BJ598" s="67">
        <v>3.57</v>
      </c>
      <c r="BK598" s="67">
        <v>3.37</v>
      </c>
      <c r="BL598" s="67">
        <v>3.05</v>
      </c>
      <c r="BM598" s="62"/>
      <c r="BN598" s="62"/>
      <c r="BO598" s="62"/>
      <c r="BP598" s="62"/>
      <c r="BQ598" s="62"/>
      <c r="BR598" s="62"/>
      <c r="BS598" s="62"/>
      <c r="BT598" s="62"/>
      <c r="BU598" s="62"/>
      <c r="BV598" s="62"/>
      <c r="BW598" s="62"/>
      <c r="BX598" s="62"/>
      <c r="BY598" s="62"/>
      <c r="BZ598" s="62"/>
      <c r="CA598" s="62"/>
      <c r="CB598" s="62"/>
      <c r="CC598" s="62"/>
      <c r="CD598" s="62"/>
      <c r="CE598" s="62"/>
      <c r="CF598" s="62"/>
      <c r="CG598" s="62"/>
      <c r="CH598" s="62"/>
      <c r="CI598" s="62"/>
      <c r="CJ598" s="62"/>
      <c r="CK598" s="62"/>
      <c r="CL598" s="62"/>
      <c r="CM598" s="62"/>
      <c r="CN598" s="62"/>
      <c r="CO598" s="62"/>
      <c r="CP598" s="62"/>
      <c r="CQ598" s="62"/>
      <c r="CR598" s="62"/>
      <c r="CS598" s="62"/>
      <c r="CT598" s="62"/>
      <c r="CU598" s="62"/>
      <c r="CV598" s="62"/>
      <c r="CW598" s="62"/>
      <c r="CX598" s="62"/>
      <c r="CY598" s="62"/>
      <c r="CZ598" s="62"/>
      <c r="DA598" s="62"/>
      <c r="DB598" s="62"/>
      <c r="DC598" s="62"/>
      <c r="DD598" s="62"/>
      <c r="DE598" s="62"/>
      <c r="DF598" s="62"/>
      <c r="DG598" s="62"/>
      <c r="DH598" s="62"/>
      <c r="DI598" s="62"/>
      <c r="DJ598" s="62"/>
      <c r="DK598" s="62"/>
      <c r="DL598" s="62"/>
    </row>
    <row r="599" spans="1:116" x14ac:dyDescent="0.2">
      <c r="A599" s="57">
        <v>44805</v>
      </c>
      <c r="B599" s="58">
        <v>2022</v>
      </c>
      <c r="C599" s="66">
        <v>18.202000000000002</v>
      </c>
      <c r="D599" s="62">
        <v>0.248</v>
      </c>
      <c r="E599" s="62">
        <v>3350.2220000000002</v>
      </c>
      <c r="F599" s="62">
        <v>140.709</v>
      </c>
      <c r="G599" s="62">
        <v>17.954000000000001</v>
      </c>
      <c r="H599" s="62">
        <v>405</v>
      </c>
      <c r="I599" s="62">
        <v>640.64499999999998</v>
      </c>
      <c r="J599" s="62">
        <v>-235.64500000000001</v>
      </c>
      <c r="K599" s="62">
        <v>2826.2809999999999</v>
      </c>
      <c r="L599" s="62">
        <v>-67.47</v>
      </c>
      <c r="M599" s="62">
        <v>3182.047</v>
      </c>
      <c r="N599" s="62">
        <v>133.64599999999999</v>
      </c>
      <c r="O599" s="66">
        <v>17.053000000000001</v>
      </c>
      <c r="P599" s="61">
        <v>3289.33</v>
      </c>
      <c r="Q599" s="62">
        <v>138.15199999999999</v>
      </c>
      <c r="R599" s="62">
        <v>18.071999999999999</v>
      </c>
      <c r="S599" s="62">
        <v>304</v>
      </c>
      <c r="T599" s="62"/>
      <c r="U599" s="62">
        <v>2697.6759999999999</v>
      </c>
      <c r="V599" s="62">
        <v>143.68199999999999</v>
      </c>
      <c r="W599" s="62">
        <v>3449.6480000000001</v>
      </c>
      <c r="X599" s="62">
        <v>144.88499999999999</v>
      </c>
      <c r="Y599" s="61">
        <v>18.952000000000002</v>
      </c>
      <c r="Z599" s="63">
        <v>18.503</v>
      </c>
      <c r="AA599" s="64" t="s">
        <v>116</v>
      </c>
      <c r="AB599" s="62" t="s">
        <v>116</v>
      </c>
      <c r="AC599" s="62">
        <v>445.11599999999999</v>
      </c>
      <c r="AD599" s="62">
        <v>18.695</v>
      </c>
      <c r="AE599" s="62">
        <v>2.3849999999999998</v>
      </c>
      <c r="AF599" s="62" t="s">
        <v>140</v>
      </c>
      <c r="AG599" s="62">
        <v>176.07599999999999</v>
      </c>
      <c r="AH599" s="62">
        <v>-2.8319999999999999</v>
      </c>
      <c r="AI599" s="62">
        <v>447.94799999999998</v>
      </c>
      <c r="AJ599" s="62">
        <v>18.814</v>
      </c>
      <c r="AK599" s="64">
        <v>2.4009999999999998</v>
      </c>
      <c r="AL599" s="19">
        <v>155497</v>
      </c>
      <c r="AM599" s="19">
        <v>122624</v>
      </c>
      <c r="AN599" s="23">
        <v>3805</v>
      </c>
      <c r="AO599" s="19">
        <v>110531</v>
      </c>
      <c r="AP599" s="19">
        <v>39275</v>
      </c>
      <c r="AQ599" s="19">
        <v>147541</v>
      </c>
      <c r="AR599" s="68">
        <v>4951.8</v>
      </c>
      <c r="AS599" s="68">
        <v>6526.8</v>
      </c>
      <c r="AT599" s="65">
        <f t="shared" si="47"/>
        <v>4642.3019999999997</v>
      </c>
      <c r="AU599" s="65">
        <f t="shared" si="48"/>
        <v>159.81</v>
      </c>
      <c r="AV599" s="65">
        <f t="shared" si="49"/>
        <v>1649.55</v>
      </c>
      <c r="AW599" s="65">
        <f t="shared" si="50"/>
        <v>6530.8739999999998</v>
      </c>
      <c r="AX599" s="65">
        <f t="shared" si="50"/>
        <v>5150.2079999999996</v>
      </c>
      <c r="AY599" s="65">
        <f t="shared" si="46"/>
        <v>6196.7219999999998</v>
      </c>
      <c r="AZ599" s="19">
        <v>48036</v>
      </c>
      <c r="BA599" s="19">
        <v>46027</v>
      </c>
      <c r="BB599" s="19">
        <v>36520</v>
      </c>
      <c r="BC599" s="19">
        <v>2439</v>
      </c>
      <c r="BD599" s="19">
        <v>6346</v>
      </c>
      <c r="BE599" s="23">
        <v>90299.716</v>
      </c>
      <c r="BF599" s="23">
        <v>65176.728999999999</v>
      </c>
      <c r="BG599" s="67">
        <v>4.0268629999999996</v>
      </c>
      <c r="BH599" s="67">
        <v>1.5342340000000001</v>
      </c>
      <c r="BI599" s="67">
        <v>84.26</v>
      </c>
      <c r="BJ599" s="67">
        <v>3.45</v>
      </c>
      <c r="BK599" s="67">
        <v>3.32</v>
      </c>
      <c r="BL599" s="67">
        <v>2.9</v>
      </c>
      <c r="BM599" s="62"/>
      <c r="BN599" s="62"/>
      <c r="BO599" s="62"/>
      <c r="BP599" s="62"/>
      <c r="BQ599" s="62"/>
      <c r="BR599" s="62"/>
      <c r="BS599" s="62"/>
      <c r="BT599" s="62"/>
      <c r="BU599" s="62"/>
      <c r="BV599" s="62"/>
      <c r="BW599" s="62"/>
      <c r="BX599" s="62"/>
      <c r="BY599" s="62"/>
      <c r="BZ599" s="62"/>
      <c r="CA599" s="62"/>
      <c r="CB599" s="62"/>
      <c r="CC599" s="62"/>
      <c r="CD599" s="62"/>
      <c r="CE599" s="62"/>
      <c r="CF599" s="62"/>
      <c r="CG599" s="62"/>
      <c r="CH599" s="62"/>
      <c r="CI599" s="62"/>
      <c r="CJ599" s="62"/>
      <c r="CK599" s="62"/>
      <c r="CL599" s="62"/>
      <c r="CM599" s="62"/>
      <c r="CN599" s="62"/>
      <c r="CO599" s="62"/>
      <c r="CP599" s="62"/>
      <c r="CQ599" s="62"/>
      <c r="CR599" s="62"/>
      <c r="CS599" s="62"/>
      <c r="CT599" s="62"/>
      <c r="CU599" s="62"/>
      <c r="CV599" s="62"/>
      <c r="CW599" s="62"/>
      <c r="CX599" s="62"/>
      <c r="CY599" s="62"/>
      <c r="CZ599" s="62"/>
      <c r="DA599" s="62"/>
      <c r="DB599" s="62"/>
      <c r="DC599" s="62"/>
      <c r="DD599" s="62"/>
      <c r="DE599" s="62"/>
      <c r="DF599" s="62"/>
      <c r="DG599" s="62"/>
      <c r="DH599" s="62"/>
      <c r="DI599" s="62"/>
      <c r="DJ599" s="62"/>
      <c r="DK599" s="62"/>
      <c r="DL599" s="62"/>
    </row>
    <row r="600" spans="1:116" x14ac:dyDescent="0.2">
      <c r="A600" s="57">
        <v>44835</v>
      </c>
      <c r="B600" s="58">
        <v>2022</v>
      </c>
      <c r="C600" s="66">
        <v>18.818999999999999</v>
      </c>
      <c r="D600" s="62">
        <v>0.25600000000000001</v>
      </c>
      <c r="E600" s="62">
        <v>3463.9059999999999</v>
      </c>
      <c r="F600" s="62">
        <v>145.48400000000001</v>
      </c>
      <c r="G600" s="62">
        <v>18.562999999999999</v>
      </c>
      <c r="H600" s="62">
        <v>658</v>
      </c>
      <c r="I600" s="62">
        <v>468.12799999999999</v>
      </c>
      <c r="J600" s="62">
        <v>189.87200000000001</v>
      </c>
      <c r="K600" s="62">
        <v>2903.248</v>
      </c>
      <c r="L600" s="62">
        <v>76.968000000000004</v>
      </c>
      <c r="M600" s="62">
        <v>3576.81</v>
      </c>
      <c r="N600" s="62">
        <v>150.226</v>
      </c>
      <c r="O600" s="66">
        <v>19.167999999999999</v>
      </c>
      <c r="P600" s="61">
        <v>3079.4459999999999</v>
      </c>
      <c r="Q600" s="62">
        <v>129.33699999999999</v>
      </c>
      <c r="R600" s="62">
        <v>16.917999999999999</v>
      </c>
      <c r="S600" s="62">
        <v>451</v>
      </c>
      <c r="T600" s="62"/>
      <c r="U600" s="62">
        <v>2235.002</v>
      </c>
      <c r="V600" s="62">
        <v>-462.67500000000001</v>
      </c>
      <c r="W600" s="62">
        <v>3993.1210000000001</v>
      </c>
      <c r="X600" s="62">
        <v>167.71100000000001</v>
      </c>
      <c r="Y600" s="61">
        <v>21.937999999999999</v>
      </c>
      <c r="Z600" s="63">
        <v>21.274000000000001</v>
      </c>
      <c r="AA600" s="64" t="s">
        <v>116</v>
      </c>
      <c r="AB600" s="62" t="s">
        <v>116</v>
      </c>
      <c r="AC600" s="62">
        <v>475.10599999999999</v>
      </c>
      <c r="AD600" s="62">
        <v>19.954000000000001</v>
      </c>
      <c r="AE600" s="62">
        <v>2.5459999999999998</v>
      </c>
      <c r="AF600" s="62" t="s">
        <v>140</v>
      </c>
      <c r="AG600" s="62">
        <v>177.55799999999999</v>
      </c>
      <c r="AH600" s="62">
        <v>1.482</v>
      </c>
      <c r="AI600" s="62">
        <v>473.62400000000002</v>
      </c>
      <c r="AJ600" s="62">
        <v>19.891999999999999</v>
      </c>
      <c r="AK600" s="64">
        <v>2.5379999999999998</v>
      </c>
      <c r="AL600" s="19">
        <v>157392</v>
      </c>
      <c r="AM600" s="19">
        <v>129048</v>
      </c>
      <c r="AN600" s="23">
        <v>3272</v>
      </c>
      <c r="AO600" s="19">
        <v>110492</v>
      </c>
      <c r="AP600" s="19">
        <v>31660</v>
      </c>
      <c r="AQ600" s="19">
        <v>150348</v>
      </c>
      <c r="AR600" s="68">
        <v>5090.82</v>
      </c>
      <c r="AS600" s="68">
        <v>6614.1600000000008</v>
      </c>
      <c r="AT600" s="65">
        <f t="shared" si="47"/>
        <v>4640.6639999999998</v>
      </c>
      <c r="AU600" s="65">
        <f t="shared" si="48"/>
        <v>137.42400000000001</v>
      </c>
      <c r="AV600" s="65">
        <f t="shared" si="49"/>
        <v>1329.72</v>
      </c>
      <c r="AW600" s="65">
        <f t="shared" si="50"/>
        <v>6610.4639999999999</v>
      </c>
      <c r="AX600" s="65">
        <f t="shared" si="50"/>
        <v>5420.0159999999996</v>
      </c>
      <c r="AY600" s="65">
        <f t="shared" si="46"/>
        <v>6314.616</v>
      </c>
      <c r="AZ600" s="19">
        <v>48603</v>
      </c>
      <c r="BA600" s="19">
        <v>48309</v>
      </c>
      <c r="BB600" s="19">
        <v>36460</v>
      </c>
      <c r="BC600" s="19">
        <v>4062</v>
      </c>
      <c r="BD600" s="19">
        <v>4422</v>
      </c>
      <c r="BE600" s="23">
        <v>66060.425000000003</v>
      </c>
      <c r="BF600" s="23">
        <v>62407.413</v>
      </c>
      <c r="BG600" s="67">
        <v>4.1063070000000002</v>
      </c>
      <c r="BH600" s="67">
        <v>1.558341</v>
      </c>
      <c r="BI600" s="67">
        <v>87.55</v>
      </c>
      <c r="BJ600" s="67">
        <v>4.1399999999999997</v>
      </c>
      <c r="BK600" s="67">
        <v>3.79</v>
      </c>
      <c r="BL600" s="67">
        <v>3</v>
      </c>
      <c r="BM600" s="62"/>
      <c r="BN600" s="62"/>
      <c r="BO600" s="62"/>
      <c r="BP600" s="62"/>
      <c r="BQ600" s="62"/>
      <c r="BR600" s="62"/>
      <c r="BS600" s="62"/>
      <c r="BT600" s="62"/>
      <c r="BU600" s="62"/>
      <c r="BV600" s="62"/>
      <c r="BW600" s="62"/>
      <c r="BX600" s="62"/>
      <c r="BY600" s="62"/>
      <c r="BZ600" s="62"/>
      <c r="CA600" s="62"/>
      <c r="CB600" s="62"/>
      <c r="CC600" s="62"/>
      <c r="CD600" s="62"/>
      <c r="CE600" s="62"/>
      <c r="CF600" s="62"/>
      <c r="CG600" s="62"/>
      <c r="CH600" s="62"/>
      <c r="CI600" s="62"/>
      <c r="CJ600" s="62"/>
      <c r="CK600" s="62"/>
      <c r="CL600" s="62"/>
      <c r="CM600" s="62"/>
      <c r="CN600" s="62"/>
      <c r="CO600" s="62"/>
      <c r="CP600" s="62"/>
      <c r="CQ600" s="62"/>
      <c r="CR600" s="62"/>
      <c r="CS600" s="62"/>
      <c r="CT600" s="62"/>
      <c r="CU600" s="62"/>
      <c r="CV600" s="62"/>
      <c r="CW600" s="62"/>
      <c r="CX600" s="62"/>
      <c r="CY600" s="62"/>
      <c r="CZ600" s="62"/>
      <c r="DA600" s="62"/>
      <c r="DB600" s="62"/>
      <c r="DC600" s="62"/>
      <c r="DD600" s="62"/>
      <c r="DE600" s="62"/>
      <c r="DF600" s="62"/>
      <c r="DG600" s="62"/>
      <c r="DH600" s="62"/>
      <c r="DI600" s="62"/>
      <c r="DJ600" s="62"/>
      <c r="DK600" s="62"/>
      <c r="DL600" s="62"/>
    </row>
    <row r="601" spans="1:116" x14ac:dyDescent="0.2">
      <c r="A601" s="57">
        <v>44866</v>
      </c>
      <c r="B601" s="58">
        <v>2022</v>
      </c>
      <c r="C601" s="66">
        <v>18.382999999999999</v>
      </c>
      <c r="D601" s="62">
        <v>0.25</v>
      </c>
      <c r="E601" s="62">
        <v>3383.529</v>
      </c>
      <c r="F601" s="62">
        <v>142.108</v>
      </c>
      <c r="G601" s="62">
        <v>18.132000000000001</v>
      </c>
      <c r="H601" s="62">
        <v>903</v>
      </c>
      <c r="I601" s="62">
        <v>220.87100000000001</v>
      </c>
      <c r="J601" s="62">
        <v>682.12900000000002</v>
      </c>
      <c r="K601" s="62">
        <v>3232.328</v>
      </c>
      <c r="L601" s="62">
        <v>329.07900000000001</v>
      </c>
      <c r="M601" s="62">
        <v>3736.5790000000002</v>
      </c>
      <c r="N601" s="62">
        <v>156.93600000000001</v>
      </c>
      <c r="O601" s="66">
        <v>20.024000000000001</v>
      </c>
      <c r="P601" s="61">
        <v>3465.1170000000002</v>
      </c>
      <c r="Q601" s="62">
        <v>145.535</v>
      </c>
      <c r="R601" s="62">
        <v>19.036999999999999</v>
      </c>
      <c r="S601" s="62">
        <v>692</v>
      </c>
      <c r="T601" s="62"/>
      <c r="U601" s="62">
        <v>3087.2779999999998</v>
      </c>
      <c r="V601" s="62">
        <v>852.27700000000004</v>
      </c>
      <c r="W601" s="62">
        <v>3304.84</v>
      </c>
      <c r="X601" s="62">
        <v>138.803</v>
      </c>
      <c r="Y601" s="61">
        <v>18.157</v>
      </c>
      <c r="Z601" s="63">
        <v>17.786999999999999</v>
      </c>
      <c r="AA601" s="64" t="s">
        <v>116</v>
      </c>
      <c r="AB601" s="62" t="s">
        <v>116</v>
      </c>
      <c r="AC601" s="62">
        <v>501.69200000000001</v>
      </c>
      <c r="AD601" s="62">
        <v>21.071000000000002</v>
      </c>
      <c r="AE601" s="62">
        <v>2.6890000000000001</v>
      </c>
      <c r="AF601" s="62" t="s">
        <v>140</v>
      </c>
      <c r="AG601" s="62">
        <v>243.833</v>
      </c>
      <c r="AH601" s="62">
        <v>66.275000000000006</v>
      </c>
      <c r="AI601" s="62">
        <v>435.41699999999997</v>
      </c>
      <c r="AJ601" s="62">
        <v>18.288</v>
      </c>
      <c r="AK601" s="64">
        <v>2.3330000000000002</v>
      </c>
      <c r="AL601" s="19">
        <v>160152</v>
      </c>
      <c r="AM601" s="19">
        <v>121785</v>
      </c>
      <c r="AN601" s="23">
        <v>6829</v>
      </c>
      <c r="AO601" s="19">
        <v>120601</v>
      </c>
      <c r="AP601" s="19">
        <v>35083</v>
      </c>
      <c r="AQ601" s="19">
        <v>152388</v>
      </c>
      <c r="AR601" s="68">
        <v>4699.8</v>
      </c>
      <c r="AS601" s="68">
        <v>6728.4</v>
      </c>
      <c r="AT601" s="65">
        <f t="shared" si="47"/>
        <v>5065.2420000000002</v>
      </c>
      <c r="AU601" s="65">
        <f t="shared" si="48"/>
        <v>286.81799999999998</v>
      </c>
      <c r="AV601" s="65">
        <f t="shared" si="49"/>
        <v>1473.4860000000001</v>
      </c>
      <c r="AW601" s="65">
        <f t="shared" si="50"/>
        <v>6726.384</v>
      </c>
      <c r="AX601" s="65">
        <f t="shared" si="50"/>
        <v>5114.97</v>
      </c>
      <c r="AY601" s="65">
        <f t="shared" si="46"/>
        <v>6400.2960000000003</v>
      </c>
      <c r="AZ601" s="19">
        <v>49764</v>
      </c>
      <c r="BA601" s="19">
        <v>47535</v>
      </c>
      <c r="BB601" s="19">
        <v>37812</v>
      </c>
      <c r="BC601" s="19">
        <v>4311</v>
      </c>
      <c r="BD601" s="19">
        <v>5192</v>
      </c>
      <c r="BE601" s="23">
        <v>31447.175999999999</v>
      </c>
      <c r="BF601" s="23">
        <v>118690.99800000001</v>
      </c>
      <c r="BG601" s="67">
        <v>4.0031559999999997</v>
      </c>
      <c r="BH601" s="67">
        <v>1.5844929999999999</v>
      </c>
      <c r="BI601" s="67">
        <v>84.37</v>
      </c>
      <c r="BJ601" s="67">
        <v>3.62</v>
      </c>
      <c r="BK601" s="67">
        <v>3.22</v>
      </c>
      <c r="BL601" s="67">
        <v>2.7</v>
      </c>
      <c r="BM601" s="62"/>
      <c r="BN601" s="62"/>
      <c r="BO601" s="62"/>
      <c r="BP601" s="62"/>
      <c r="BQ601" s="62"/>
      <c r="BR601" s="62"/>
      <c r="BS601" s="62"/>
      <c r="BT601" s="62"/>
      <c r="BU601" s="62"/>
      <c r="BV601" s="62"/>
      <c r="BW601" s="62"/>
      <c r="BX601" s="62"/>
      <c r="BY601" s="62"/>
      <c r="BZ601" s="62"/>
      <c r="CA601" s="62"/>
      <c r="CB601" s="62"/>
      <c r="CC601" s="62"/>
      <c r="CD601" s="62"/>
      <c r="CE601" s="62"/>
      <c r="CF601" s="62"/>
      <c r="CG601" s="62"/>
      <c r="CH601" s="62"/>
      <c r="CI601" s="62"/>
      <c r="CJ601" s="62"/>
      <c r="CK601" s="62"/>
      <c r="CL601" s="62"/>
      <c r="CM601" s="62"/>
      <c r="CN601" s="62"/>
      <c r="CO601" s="62"/>
      <c r="CP601" s="62"/>
      <c r="CQ601" s="62"/>
      <c r="CR601" s="62"/>
      <c r="CS601" s="62"/>
      <c r="CT601" s="62"/>
      <c r="CU601" s="62"/>
      <c r="CV601" s="62"/>
      <c r="CW601" s="62"/>
      <c r="CX601" s="62"/>
      <c r="CY601" s="62"/>
      <c r="CZ601" s="62"/>
      <c r="DA601" s="62"/>
      <c r="DB601" s="62"/>
      <c r="DC601" s="62"/>
      <c r="DD601" s="62"/>
      <c r="DE601" s="62"/>
      <c r="DF601" s="62"/>
      <c r="DG601" s="62"/>
      <c r="DH601" s="62"/>
      <c r="DI601" s="62"/>
      <c r="DJ601" s="62"/>
      <c r="DK601" s="62"/>
      <c r="DL601" s="62"/>
    </row>
    <row r="602" spans="1:116" x14ac:dyDescent="0.2">
      <c r="A602" s="57">
        <v>44896</v>
      </c>
      <c r="B602" s="58">
        <v>2022</v>
      </c>
      <c r="C602" s="66">
        <v>17.190999999999999</v>
      </c>
      <c r="D602" s="62">
        <v>0.23400000000000001</v>
      </c>
      <c r="E602" s="62">
        <v>3164.1190000000001</v>
      </c>
      <c r="F602" s="62">
        <v>132.893</v>
      </c>
      <c r="G602" s="62">
        <v>16.957000000000001</v>
      </c>
      <c r="H602" s="62">
        <v>851</v>
      </c>
      <c r="I602" s="62">
        <v>461.53500000000003</v>
      </c>
      <c r="J602" s="62">
        <v>389.46499999999997</v>
      </c>
      <c r="K602" s="62">
        <v>3607.8510000000001</v>
      </c>
      <c r="L602" s="62">
        <v>375.52300000000002</v>
      </c>
      <c r="M602" s="62">
        <v>3178.0610000000001</v>
      </c>
      <c r="N602" s="62">
        <v>133.47900000000001</v>
      </c>
      <c r="O602" s="66">
        <v>17.030999999999999</v>
      </c>
      <c r="P602" s="61">
        <v>3619.0549999999998</v>
      </c>
      <c r="Q602" s="62">
        <v>152</v>
      </c>
      <c r="R602" s="62">
        <v>19.882999999999999</v>
      </c>
      <c r="S602" s="62">
        <v>670</v>
      </c>
      <c r="T602" s="62"/>
      <c r="U602" s="62">
        <v>3405.4589999999998</v>
      </c>
      <c r="V602" s="62">
        <v>318.18099999999998</v>
      </c>
      <c r="W602" s="62">
        <v>3970.8739999999998</v>
      </c>
      <c r="X602" s="62">
        <v>166.77699999999999</v>
      </c>
      <c r="Y602" s="61">
        <v>21.815999999999999</v>
      </c>
      <c r="Z602" s="63">
        <v>21.556000000000001</v>
      </c>
      <c r="AA602" s="64" t="s">
        <v>116</v>
      </c>
      <c r="AB602" s="62" t="s">
        <v>116</v>
      </c>
      <c r="AC602" s="62">
        <v>605.81200000000001</v>
      </c>
      <c r="AD602" s="62">
        <v>25.443999999999999</v>
      </c>
      <c r="AE602" s="62">
        <v>3.2469999999999999</v>
      </c>
      <c r="AF602" s="62">
        <v>52</v>
      </c>
      <c r="AG602" s="62">
        <v>282.25299999999999</v>
      </c>
      <c r="AH602" s="62">
        <v>38.42</v>
      </c>
      <c r="AI602" s="62">
        <v>619.39200000000005</v>
      </c>
      <c r="AJ602" s="62">
        <v>26.013999999999999</v>
      </c>
      <c r="AK602" s="64">
        <v>3.319</v>
      </c>
      <c r="AL602" s="19">
        <v>151059</v>
      </c>
      <c r="AM602" s="19">
        <v>117574</v>
      </c>
      <c r="AN602" s="23">
        <v>6551</v>
      </c>
      <c r="AO602" s="19">
        <v>118899</v>
      </c>
      <c r="AP602" s="19">
        <v>41735</v>
      </c>
      <c r="AQ602" s="19">
        <v>143269</v>
      </c>
      <c r="AR602" s="68">
        <v>4231.5</v>
      </c>
      <c r="AS602" s="68">
        <v>6340.74</v>
      </c>
      <c r="AT602" s="65">
        <f t="shared" si="47"/>
        <v>4993.7579999999998</v>
      </c>
      <c r="AU602" s="65">
        <f t="shared" si="48"/>
        <v>275.142</v>
      </c>
      <c r="AV602" s="65">
        <f t="shared" si="49"/>
        <v>1752.87</v>
      </c>
      <c r="AW602" s="65">
        <f t="shared" si="50"/>
        <v>6344.4780000000001</v>
      </c>
      <c r="AX602" s="65">
        <f t="shared" si="50"/>
        <v>4938.1080000000002</v>
      </c>
      <c r="AY602" s="65">
        <f t="shared" si="46"/>
        <v>6017.2979999999998</v>
      </c>
      <c r="AZ602" s="19">
        <v>48407</v>
      </c>
      <c r="BA602" s="19">
        <v>49376</v>
      </c>
      <c r="BB602" s="19">
        <v>35039</v>
      </c>
      <c r="BC602" s="19">
        <v>3764</v>
      </c>
      <c r="BD602" s="19">
        <v>5571</v>
      </c>
      <c r="BE602" s="23">
        <v>65041.017999999996</v>
      </c>
      <c r="BF602" s="23">
        <v>89851.376999999993</v>
      </c>
      <c r="BG602" s="67">
        <v>3.7387199999999998</v>
      </c>
      <c r="BH602" s="67">
        <v>1.5927659999999999</v>
      </c>
      <c r="BI602" s="67">
        <v>76.44</v>
      </c>
      <c r="BJ602" s="67">
        <v>3.05</v>
      </c>
      <c r="BK602" s="67">
        <v>2.95</v>
      </c>
      <c r="BL602" s="67">
        <v>2.29</v>
      </c>
      <c r="BM602" s="62"/>
      <c r="BN602" s="62"/>
      <c r="BO602" s="62"/>
      <c r="BP602" s="62"/>
      <c r="BQ602" s="62"/>
      <c r="BR602" s="62"/>
      <c r="BS602" s="62"/>
      <c r="BT602" s="62"/>
      <c r="BU602" s="62"/>
      <c r="BV602" s="62"/>
      <c r="BW602" s="62"/>
      <c r="BX602" s="62"/>
      <c r="BY602" s="62"/>
      <c r="BZ602" s="62"/>
      <c r="CA602" s="62"/>
      <c r="CB602" s="62"/>
      <c r="CC602" s="62"/>
      <c r="CD602" s="62"/>
      <c r="CE602" s="62"/>
      <c r="CF602" s="62"/>
      <c r="CG602" s="62"/>
      <c r="CH602" s="62"/>
      <c r="CI602" s="62"/>
      <c r="CJ602" s="62"/>
      <c r="CK602" s="62"/>
      <c r="CL602" s="62"/>
      <c r="CM602" s="62"/>
      <c r="CN602" s="62"/>
      <c r="CO602" s="62"/>
      <c r="CP602" s="62"/>
      <c r="CQ602" s="62"/>
      <c r="CR602" s="62"/>
      <c r="CS602" s="62"/>
      <c r="CT602" s="62"/>
      <c r="CU602" s="62"/>
      <c r="CV602" s="62"/>
      <c r="CW602" s="62"/>
      <c r="CX602" s="62"/>
      <c r="CY602" s="62"/>
      <c r="CZ602" s="62"/>
      <c r="DA602" s="62"/>
      <c r="DB602" s="62"/>
      <c r="DC602" s="62"/>
      <c r="DD602" s="62"/>
      <c r="DE602" s="62"/>
      <c r="DF602" s="62"/>
      <c r="DG602" s="62"/>
      <c r="DH602" s="62"/>
      <c r="DI602" s="62"/>
      <c r="DJ602" s="62"/>
      <c r="DK602" s="62"/>
      <c r="DL602" s="62"/>
    </row>
    <row r="603" spans="1:116" x14ac:dyDescent="0.2">
      <c r="A603" s="57">
        <v>44927</v>
      </c>
      <c r="B603" s="58">
        <v>2023</v>
      </c>
      <c r="C603" s="66">
        <v>17.616</v>
      </c>
      <c r="D603" s="62">
        <v>0.24</v>
      </c>
      <c r="E603" s="62">
        <v>3242.42</v>
      </c>
      <c r="F603" s="62">
        <v>136.18199999999999</v>
      </c>
      <c r="G603" s="62">
        <v>17.376000000000001</v>
      </c>
      <c r="H603" s="62">
        <v>930</v>
      </c>
      <c r="I603" s="62">
        <v>164.19900000000001</v>
      </c>
      <c r="J603" s="62">
        <v>765.80100000000004</v>
      </c>
      <c r="K603" s="62">
        <v>4401.5739999999996</v>
      </c>
      <c r="L603" s="62">
        <v>793.72299999999996</v>
      </c>
      <c r="M603" s="62">
        <v>3246.9810000000002</v>
      </c>
      <c r="N603" s="62">
        <v>136.37299999999999</v>
      </c>
      <c r="O603" s="66">
        <v>18.13</v>
      </c>
      <c r="P603" s="61">
        <v>3999.0549999999998</v>
      </c>
      <c r="Q603" s="62">
        <v>167.96</v>
      </c>
      <c r="R603" s="62">
        <v>21.971</v>
      </c>
      <c r="S603" s="62">
        <v>633</v>
      </c>
      <c r="T603" s="62"/>
      <c r="U603" s="62">
        <v>3685.36</v>
      </c>
      <c r="V603" s="62">
        <v>279.90199999999999</v>
      </c>
      <c r="W603" s="62">
        <v>4352.1530000000002</v>
      </c>
      <c r="X603" s="62">
        <v>187.95599999999999</v>
      </c>
      <c r="Y603" s="61">
        <v>24.585999999999999</v>
      </c>
      <c r="Z603" s="63">
        <v>24.585999999999999</v>
      </c>
      <c r="AA603" s="64" t="s">
        <v>116</v>
      </c>
      <c r="AB603" s="62" t="s">
        <v>116</v>
      </c>
      <c r="AC603" s="62">
        <v>561.99900000000002</v>
      </c>
      <c r="AD603" s="62">
        <v>23.603999999999999</v>
      </c>
      <c r="AE603" s="62">
        <v>3.012</v>
      </c>
      <c r="AF603" s="62" t="s">
        <v>140</v>
      </c>
      <c r="AG603" s="62">
        <v>228.59200000000001</v>
      </c>
      <c r="AH603" s="62">
        <v>-53.661000000000001</v>
      </c>
      <c r="AI603" s="62">
        <v>615.66</v>
      </c>
      <c r="AJ603" s="62">
        <v>25.858000000000001</v>
      </c>
      <c r="AK603" s="64">
        <v>3.2989999999999999</v>
      </c>
      <c r="AL603" s="19">
        <v>145802</v>
      </c>
      <c r="AM603" s="19">
        <v>120951</v>
      </c>
      <c r="AN603" s="23">
        <v>8492</v>
      </c>
      <c r="AO603" s="19">
        <v>123013</v>
      </c>
      <c r="AP603" s="19">
        <v>29136</v>
      </c>
      <c r="AQ603" s="19">
        <v>139073</v>
      </c>
      <c r="AR603" s="68">
        <v>4478.88</v>
      </c>
      <c r="AS603" s="68">
        <v>6119.4000000000005</v>
      </c>
      <c r="AT603" s="65">
        <f t="shared" si="47"/>
        <v>5166.5460000000003</v>
      </c>
      <c r="AU603" s="65">
        <f t="shared" si="48"/>
        <v>356.66399999999999</v>
      </c>
      <c r="AV603" s="65">
        <f t="shared" si="49"/>
        <v>1223.712</v>
      </c>
      <c r="AW603" s="65">
        <f t="shared" si="50"/>
        <v>6123.6840000000002</v>
      </c>
      <c r="AX603" s="65">
        <f t="shared" si="50"/>
        <v>5079.942</v>
      </c>
      <c r="AY603" s="65">
        <f t="shared" si="46"/>
        <v>5841.0659999999998</v>
      </c>
      <c r="AZ603" s="19">
        <v>50316</v>
      </c>
      <c r="BA603" s="19">
        <v>46804</v>
      </c>
      <c r="BB603" s="19">
        <v>35864</v>
      </c>
      <c r="BC603" s="19">
        <v>3577</v>
      </c>
      <c r="BD603" s="19">
        <v>6266</v>
      </c>
      <c r="BE603" s="23">
        <v>23145.398000000001</v>
      </c>
      <c r="BF603" s="23">
        <v>133036.64199999999</v>
      </c>
      <c r="BG603" s="67">
        <v>3.9129299999999998</v>
      </c>
      <c r="BH603" s="67">
        <v>1.5276590000000001</v>
      </c>
      <c r="BI603" s="67">
        <v>78.12</v>
      </c>
      <c r="BJ603" s="67">
        <v>3.26</v>
      </c>
      <c r="BK603" s="67">
        <v>3.58</v>
      </c>
      <c r="BL603" s="67">
        <v>2.62</v>
      </c>
      <c r="BM603" s="62"/>
      <c r="BN603" s="62"/>
      <c r="BO603" s="62"/>
      <c r="BP603" s="62"/>
      <c r="BQ603" s="62"/>
      <c r="BR603" s="62"/>
      <c r="BS603" s="62"/>
      <c r="BT603" s="62"/>
      <c r="BU603" s="62"/>
      <c r="BV603" s="62"/>
      <c r="BW603" s="62"/>
      <c r="BX603" s="62"/>
      <c r="BY603" s="62"/>
      <c r="BZ603" s="62"/>
      <c r="CA603" s="62"/>
      <c r="CB603" s="62"/>
      <c r="CC603" s="62"/>
      <c r="CD603" s="62"/>
      <c r="CE603" s="62"/>
      <c r="CF603" s="62"/>
      <c r="CG603" s="62"/>
      <c r="CH603" s="62"/>
      <c r="CI603" s="62"/>
      <c r="CJ603" s="62"/>
      <c r="CK603" s="62"/>
      <c r="CL603" s="62"/>
      <c r="CM603" s="62"/>
      <c r="CN603" s="62"/>
      <c r="CO603" s="62"/>
      <c r="CP603" s="62"/>
      <c r="CQ603" s="62"/>
      <c r="CR603" s="62"/>
      <c r="CS603" s="62"/>
      <c r="CT603" s="62"/>
      <c r="CU603" s="62"/>
      <c r="CV603" s="62"/>
      <c r="CW603" s="62"/>
      <c r="CX603" s="62"/>
      <c r="CY603" s="62"/>
      <c r="CZ603" s="62"/>
      <c r="DA603" s="62"/>
      <c r="DB603" s="62"/>
      <c r="DC603" s="62"/>
      <c r="DD603" s="62"/>
      <c r="DE603" s="62"/>
      <c r="DF603" s="62"/>
      <c r="DG603" s="62"/>
      <c r="DH603" s="62"/>
      <c r="DI603" s="62"/>
      <c r="DJ603" s="62"/>
      <c r="DK603" s="62"/>
      <c r="DL603" s="62"/>
    </row>
    <row r="604" spans="1:116" x14ac:dyDescent="0.2">
      <c r="A604" s="57">
        <v>44958</v>
      </c>
      <c r="B604" s="58">
        <v>2023</v>
      </c>
      <c r="C604" s="66">
        <v>15.430999999999999</v>
      </c>
      <c r="D604" s="62">
        <v>0.21</v>
      </c>
      <c r="E604" s="62">
        <v>2840.259</v>
      </c>
      <c r="F604" s="62">
        <v>119.291</v>
      </c>
      <c r="G604" s="62">
        <v>15.221</v>
      </c>
      <c r="H604" s="62">
        <v>952</v>
      </c>
      <c r="I604" s="62">
        <v>149.88800000000001</v>
      </c>
      <c r="J604" s="62">
        <v>802.11199999999997</v>
      </c>
      <c r="K604" s="62">
        <v>4886.2120000000004</v>
      </c>
      <c r="L604" s="62">
        <v>484.63799999999998</v>
      </c>
      <c r="M604" s="62">
        <v>3158.1559999999999</v>
      </c>
      <c r="N604" s="62">
        <v>132.643</v>
      </c>
      <c r="O604" s="66">
        <v>16.591999999999999</v>
      </c>
      <c r="P604" s="61">
        <v>3759.6309999999999</v>
      </c>
      <c r="Q604" s="62">
        <v>157.905</v>
      </c>
      <c r="R604" s="62">
        <v>20.655000000000001</v>
      </c>
      <c r="S604" s="62">
        <v>546</v>
      </c>
      <c r="T604" s="62"/>
      <c r="U604" s="62">
        <v>3678.7779999999998</v>
      </c>
      <c r="V604" s="62">
        <v>-6.5830000000000002</v>
      </c>
      <c r="W604" s="62">
        <v>4312.2139999999999</v>
      </c>
      <c r="X604" s="62">
        <v>180.16499999999999</v>
      </c>
      <c r="Y604" s="61">
        <v>23.567</v>
      </c>
      <c r="Z604" s="63">
        <v>23.567</v>
      </c>
      <c r="AA604" s="64" t="s">
        <v>116</v>
      </c>
      <c r="AB604" s="62" t="s">
        <v>116</v>
      </c>
      <c r="AC604" s="62">
        <v>504.41500000000002</v>
      </c>
      <c r="AD604" s="62">
        <v>21.184999999999999</v>
      </c>
      <c r="AE604" s="62">
        <v>2.7029999999999998</v>
      </c>
      <c r="AF604" s="62" t="s">
        <v>140</v>
      </c>
      <c r="AG604" s="62">
        <v>358.50299999999999</v>
      </c>
      <c r="AH604" s="62">
        <v>129.911</v>
      </c>
      <c r="AI604" s="62">
        <v>374.50400000000002</v>
      </c>
      <c r="AJ604" s="62">
        <v>15.728999999999999</v>
      </c>
      <c r="AK604" s="64">
        <v>2.0070000000000001</v>
      </c>
      <c r="AL604" s="19">
        <v>131487</v>
      </c>
      <c r="AM604" s="19">
        <v>112510</v>
      </c>
      <c r="AN604" s="23">
        <v>8401</v>
      </c>
      <c r="AO604" s="19">
        <v>124821</v>
      </c>
      <c r="AP604" s="19">
        <v>25569</v>
      </c>
      <c r="AQ604" s="19">
        <v>123964</v>
      </c>
      <c r="AR604" s="68">
        <v>4151.28</v>
      </c>
      <c r="AS604" s="68">
        <v>5527.2</v>
      </c>
      <c r="AT604" s="65">
        <f t="shared" si="47"/>
        <v>5242.482</v>
      </c>
      <c r="AU604" s="65">
        <f t="shared" si="48"/>
        <v>352.84199999999998</v>
      </c>
      <c r="AV604" s="65">
        <f t="shared" si="49"/>
        <v>1073.8979999999999</v>
      </c>
      <c r="AW604" s="65">
        <f t="shared" si="50"/>
        <v>5522.4539999999997</v>
      </c>
      <c r="AX604" s="65">
        <f t="shared" si="50"/>
        <v>4725.42</v>
      </c>
      <c r="AY604" s="65">
        <f t="shared" si="46"/>
        <v>5206.4880000000003</v>
      </c>
      <c r="AZ604" s="19">
        <v>43835</v>
      </c>
      <c r="BA604" s="19">
        <v>42567</v>
      </c>
      <c r="BB604" s="19">
        <v>37524</v>
      </c>
      <c r="BC604" s="19">
        <v>5265</v>
      </c>
      <c r="BD604" s="19">
        <v>4875</v>
      </c>
      <c r="BE604" s="23">
        <v>21129.144</v>
      </c>
      <c r="BF604" s="23">
        <v>123302.242</v>
      </c>
      <c r="BG604" s="67">
        <v>3.938733</v>
      </c>
      <c r="BH604" s="67">
        <v>1.5157719999999999</v>
      </c>
      <c r="BI604" s="67">
        <v>76.83</v>
      </c>
      <c r="BJ604" s="67">
        <v>2.85</v>
      </c>
      <c r="BK604" s="67">
        <v>2.84</v>
      </c>
      <c r="BL604" s="67">
        <v>2.6</v>
      </c>
      <c r="BM604" s="62"/>
      <c r="BN604" s="62"/>
      <c r="BO604" s="62"/>
      <c r="BP604" s="62"/>
      <c r="BQ604" s="62"/>
      <c r="BR604" s="62"/>
      <c r="BS604" s="62"/>
      <c r="BT604" s="62"/>
      <c r="BU604" s="62"/>
      <c r="BV604" s="62"/>
      <c r="BW604" s="62"/>
      <c r="BX604" s="62"/>
      <c r="BY604" s="62"/>
      <c r="BZ604" s="62"/>
      <c r="CA604" s="62"/>
      <c r="CB604" s="62"/>
      <c r="CC604" s="62"/>
      <c r="CD604" s="62"/>
      <c r="CE604" s="62"/>
      <c r="CF604" s="62"/>
      <c r="CG604" s="62"/>
      <c r="CH604" s="62"/>
      <c r="CI604" s="62"/>
      <c r="CJ604" s="62"/>
      <c r="CK604" s="62"/>
      <c r="CL604" s="62"/>
      <c r="CM604" s="62"/>
      <c r="CN604" s="62"/>
      <c r="CO604" s="62"/>
      <c r="CP604" s="62"/>
      <c r="CQ604" s="62"/>
      <c r="CR604" s="62"/>
      <c r="CS604" s="62"/>
      <c r="CT604" s="62"/>
      <c r="CU604" s="62"/>
      <c r="CV604" s="62"/>
      <c r="CW604" s="62"/>
      <c r="CX604" s="62"/>
      <c r="CY604" s="62"/>
      <c r="CZ604" s="62"/>
      <c r="DA604" s="62"/>
      <c r="DB604" s="62"/>
      <c r="DC604" s="62"/>
      <c r="DD604" s="62"/>
      <c r="DE604" s="62"/>
      <c r="DF604" s="62"/>
      <c r="DG604" s="62"/>
      <c r="DH604" s="62"/>
      <c r="DI604" s="62"/>
      <c r="DJ604" s="62"/>
      <c r="DK604" s="62"/>
      <c r="DL604" s="62"/>
    </row>
    <row r="605" spans="1:116" x14ac:dyDescent="0.2">
      <c r="A605" s="57">
        <v>44986</v>
      </c>
      <c r="B605" s="58">
        <v>2023</v>
      </c>
      <c r="C605" s="66">
        <v>18.064</v>
      </c>
      <c r="D605" s="62">
        <v>0.246</v>
      </c>
      <c r="E605" s="62">
        <v>3324.8319999999999</v>
      </c>
      <c r="F605" s="62">
        <v>139.643</v>
      </c>
      <c r="G605" s="62">
        <v>17.818000000000001</v>
      </c>
      <c r="H605" s="62">
        <v>916</v>
      </c>
      <c r="I605" s="62">
        <v>260.74200000000002</v>
      </c>
      <c r="J605" s="62">
        <v>655.25800000000004</v>
      </c>
      <c r="K605" s="62">
        <v>5132.6409999999996</v>
      </c>
      <c r="L605" s="62">
        <v>246.429</v>
      </c>
      <c r="M605" s="62">
        <v>3724.643</v>
      </c>
      <c r="N605" s="62">
        <v>156.435</v>
      </c>
      <c r="O605" s="66">
        <v>20.292000000000002</v>
      </c>
      <c r="P605" s="61">
        <v>4717.5280000000002</v>
      </c>
      <c r="Q605" s="62">
        <v>198.136</v>
      </c>
      <c r="R605" s="62">
        <v>25.917999999999999</v>
      </c>
      <c r="S605" s="62">
        <v>786</v>
      </c>
      <c r="T605" s="62"/>
      <c r="U605" s="62">
        <v>4035.4340000000002</v>
      </c>
      <c r="V605" s="62">
        <v>356.65600000000001</v>
      </c>
      <c r="W605" s="62">
        <v>5146.8720000000003</v>
      </c>
      <c r="X605" s="62">
        <v>217.25899999999999</v>
      </c>
      <c r="Y605" s="61">
        <v>28.419</v>
      </c>
      <c r="Z605" s="63">
        <v>28.419</v>
      </c>
      <c r="AA605" s="64" t="s">
        <v>116</v>
      </c>
      <c r="AB605" s="62" t="s">
        <v>116</v>
      </c>
      <c r="AC605" s="62">
        <v>570.149</v>
      </c>
      <c r="AD605" s="62">
        <v>23.946000000000002</v>
      </c>
      <c r="AE605" s="62">
        <v>3.0550000000000002</v>
      </c>
      <c r="AF605" s="62" t="s">
        <v>140</v>
      </c>
      <c r="AG605" s="62">
        <v>343.25200000000001</v>
      </c>
      <c r="AH605" s="62">
        <v>-15.250999999999999</v>
      </c>
      <c r="AI605" s="62">
        <v>585.4</v>
      </c>
      <c r="AJ605" s="62">
        <v>24.587</v>
      </c>
      <c r="AK605" s="64">
        <v>3.137</v>
      </c>
      <c r="AL605" s="19">
        <v>145243</v>
      </c>
      <c r="AM605" s="19">
        <v>127201</v>
      </c>
      <c r="AN605" s="23">
        <v>4813</v>
      </c>
      <c r="AO605" s="19">
        <v>112292</v>
      </c>
      <c r="AP605" s="19">
        <v>35383</v>
      </c>
      <c r="AQ605" s="19">
        <v>136449</v>
      </c>
      <c r="AR605" s="68">
        <v>4895.5199999999995</v>
      </c>
      <c r="AS605" s="68">
        <v>6106.380000000001</v>
      </c>
      <c r="AT605" s="65">
        <f t="shared" si="47"/>
        <v>4716.2640000000001</v>
      </c>
      <c r="AU605" s="65">
        <f t="shared" si="48"/>
        <v>202.14599999999999</v>
      </c>
      <c r="AV605" s="65">
        <f t="shared" si="49"/>
        <v>1486.086</v>
      </c>
      <c r="AW605" s="65">
        <f t="shared" si="50"/>
        <v>6100.2060000000001</v>
      </c>
      <c r="AX605" s="65">
        <f t="shared" si="50"/>
        <v>5342.442</v>
      </c>
      <c r="AY605" s="65">
        <f t="shared" si="46"/>
        <v>5730.8580000000002</v>
      </c>
      <c r="AZ605" s="19">
        <v>52057</v>
      </c>
      <c r="BA605" s="19">
        <v>49793</v>
      </c>
      <c r="BB605" s="19">
        <v>37749</v>
      </c>
      <c r="BC605" s="19">
        <v>4486</v>
      </c>
      <c r="BD605" s="19">
        <v>6530</v>
      </c>
      <c r="BE605" s="23">
        <v>36754.074000000001</v>
      </c>
      <c r="BF605" s="23">
        <v>146427.69</v>
      </c>
      <c r="BG605" s="67">
        <v>4.0510279999999996</v>
      </c>
      <c r="BH605" s="67">
        <v>1.6129869999999999</v>
      </c>
      <c r="BI605" s="67">
        <v>73.28</v>
      </c>
      <c r="BJ605" s="67">
        <v>2.74</v>
      </c>
      <c r="BK605" s="67">
        <v>2.73</v>
      </c>
      <c r="BL605" s="67">
        <v>2.63</v>
      </c>
      <c r="BM605" s="62"/>
      <c r="BN605" s="62"/>
      <c r="BO605" s="62"/>
      <c r="BP605" s="62"/>
      <c r="BQ605" s="62"/>
      <c r="BR605" s="62"/>
      <c r="BS605" s="62"/>
      <c r="BT605" s="62"/>
      <c r="BU605" s="62"/>
      <c r="BV605" s="62"/>
      <c r="BW605" s="62"/>
      <c r="BX605" s="62"/>
      <c r="BY605" s="62"/>
      <c r="BZ605" s="62"/>
      <c r="CA605" s="62"/>
      <c r="CB605" s="62"/>
      <c r="CC605" s="62"/>
      <c r="CD605" s="62"/>
      <c r="CE605" s="62"/>
      <c r="CF605" s="62"/>
      <c r="CG605" s="62"/>
      <c r="CH605" s="62"/>
      <c r="CI605" s="62"/>
      <c r="CJ605" s="62"/>
      <c r="CK605" s="62"/>
      <c r="CL605" s="62"/>
      <c r="CM605" s="62"/>
      <c r="CN605" s="62"/>
      <c r="CO605" s="62"/>
      <c r="CP605" s="62"/>
      <c r="CQ605" s="62"/>
      <c r="CR605" s="62"/>
      <c r="CS605" s="62"/>
      <c r="CT605" s="62"/>
      <c r="CU605" s="62"/>
      <c r="CV605" s="62"/>
      <c r="CW605" s="62"/>
      <c r="CX605" s="62"/>
      <c r="CY605" s="62"/>
      <c r="CZ605" s="62"/>
      <c r="DA605" s="62"/>
      <c r="DB605" s="62"/>
      <c r="DC605" s="62"/>
      <c r="DD605" s="62"/>
      <c r="DE605" s="62"/>
      <c r="DF605" s="62"/>
      <c r="DG605" s="62"/>
      <c r="DH605" s="62"/>
      <c r="DI605" s="62"/>
      <c r="DJ605" s="62"/>
      <c r="DK605" s="62"/>
      <c r="DL605" s="62"/>
    </row>
    <row r="606" spans="1:116" x14ac:dyDescent="0.2">
      <c r="A606" s="57">
        <v>45017</v>
      </c>
      <c r="B606" s="58">
        <v>2023</v>
      </c>
      <c r="C606" s="66">
        <v>17.187000000000001</v>
      </c>
      <c r="D606" s="62">
        <v>0.23400000000000001</v>
      </c>
      <c r="E606" s="62">
        <v>3163.5279999999998</v>
      </c>
      <c r="F606" s="62">
        <v>132.86799999999999</v>
      </c>
      <c r="G606" s="62">
        <v>16.952999999999999</v>
      </c>
      <c r="H606" s="62">
        <v>1000</v>
      </c>
      <c r="I606" s="62">
        <v>1141.114</v>
      </c>
      <c r="J606" s="62">
        <v>-141.114</v>
      </c>
      <c r="K606" s="62">
        <v>4957.3819999999996</v>
      </c>
      <c r="L606" s="62">
        <v>-175.25899999999999</v>
      </c>
      <c r="M606" s="62">
        <v>3209.8760000000002</v>
      </c>
      <c r="N606" s="62">
        <v>134.815</v>
      </c>
      <c r="O606" s="66">
        <v>17.835000000000001</v>
      </c>
      <c r="P606" s="61">
        <v>4820.26</v>
      </c>
      <c r="Q606" s="62">
        <v>202.45099999999999</v>
      </c>
      <c r="R606" s="62">
        <v>26.483000000000001</v>
      </c>
      <c r="S606" s="62">
        <v>420</v>
      </c>
      <c r="T606" s="62"/>
      <c r="U606" s="62">
        <v>4142.5609999999997</v>
      </c>
      <c r="V606" s="62">
        <v>107.128</v>
      </c>
      <c r="W606" s="62">
        <v>5133.1319999999996</v>
      </c>
      <c r="X606" s="62">
        <v>213.91200000000001</v>
      </c>
      <c r="Y606" s="61">
        <v>27.981999999999999</v>
      </c>
      <c r="Z606" s="63">
        <v>27.981999999999999</v>
      </c>
      <c r="AA606" s="64" t="s">
        <v>116</v>
      </c>
      <c r="AB606" s="62" t="s">
        <v>116</v>
      </c>
      <c r="AC606" s="62">
        <v>443.66800000000001</v>
      </c>
      <c r="AD606" s="62">
        <v>18.634</v>
      </c>
      <c r="AE606" s="62">
        <v>2.3780000000000001</v>
      </c>
      <c r="AF606" s="62" t="s">
        <v>140</v>
      </c>
      <c r="AG606" s="62">
        <v>331.142</v>
      </c>
      <c r="AH606" s="62">
        <v>-12.11</v>
      </c>
      <c r="AI606" s="62">
        <v>455.77800000000002</v>
      </c>
      <c r="AJ606" s="62">
        <v>19.143000000000001</v>
      </c>
      <c r="AK606" s="64">
        <v>2.4430000000000001</v>
      </c>
      <c r="AL606" s="19">
        <v>142702</v>
      </c>
      <c r="AM606" s="19">
        <v>117003</v>
      </c>
      <c r="AN606" s="23">
        <v>4670</v>
      </c>
      <c r="AO606" s="19">
        <v>112061</v>
      </c>
      <c r="AP606" s="19">
        <v>30597</v>
      </c>
      <c r="AQ606" s="19">
        <v>134745</v>
      </c>
      <c r="AR606" s="68">
        <v>4662</v>
      </c>
      <c r="AS606" s="68">
        <v>5997.5999999999995</v>
      </c>
      <c r="AT606" s="65">
        <f t="shared" si="47"/>
        <v>4706.5619999999999</v>
      </c>
      <c r="AU606" s="65">
        <f t="shared" si="48"/>
        <v>196.14</v>
      </c>
      <c r="AV606" s="65">
        <f t="shared" si="49"/>
        <v>1285.0740000000001</v>
      </c>
      <c r="AW606" s="65">
        <f t="shared" si="50"/>
        <v>5993.4840000000004</v>
      </c>
      <c r="AX606" s="65">
        <f t="shared" si="50"/>
        <v>4914.1260000000002</v>
      </c>
      <c r="AY606" s="65">
        <f t="shared" si="46"/>
        <v>5659.29</v>
      </c>
      <c r="AZ606" s="19">
        <v>51048</v>
      </c>
      <c r="BA606" s="19">
        <v>48443</v>
      </c>
      <c r="BB606" s="19">
        <v>41170</v>
      </c>
      <c r="BC606" s="19">
        <v>4147</v>
      </c>
      <c r="BD606" s="19">
        <v>3338</v>
      </c>
      <c r="BE606" s="23">
        <v>160910.56200000001</v>
      </c>
      <c r="BF606" s="23">
        <v>134313.84299999999</v>
      </c>
      <c r="BG606" s="67">
        <v>3.8202020000000001</v>
      </c>
      <c r="BH606" s="67">
        <v>1.6057699999999999</v>
      </c>
      <c r="BI606" s="67">
        <v>79.45</v>
      </c>
      <c r="BJ606" s="67">
        <v>2.57</v>
      </c>
      <c r="BK606" s="67">
        <v>2.44</v>
      </c>
      <c r="BL606" s="67">
        <v>2.74</v>
      </c>
      <c r="BM606" s="62"/>
      <c r="BN606" s="62"/>
      <c r="BO606" s="62"/>
      <c r="BP606" s="62"/>
      <c r="BQ606" s="62"/>
      <c r="BR606" s="62"/>
      <c r="BS606" s="62"/>
      <c r="BT606" s="62"/>
      <c r="BU606" s="62"/>
      <c r="BV606" s="62"/>
      <c r="BW606" s="62"/>
      <c r="BX606" s="62"/>
      <c r="BY606" s="62"/>
      <c r="BZ606" s="62"/>
      <c r="CA606" s="62"/>
      <c r="CB606" s="62"/>
      <c r="CC606" s="62"/>
      <c r="CD606" s="62"/>
      <c r="CE606" s="62"/>
      <c r="CF606" s="62"/>
      <c r="CG606" s="62"/>
      <c r="CH606" s="62"/>
      <c r="CI606" s="62"/>
      <c r="CJ606" s="62"/>
      <c r="CK606" s="62"/>
      <c r="CL606" s="62"/>
      <c r="CM606" s="62"/>
      <c r="CN606" s="62"/>
      <c r="CO606" s="62"/>
      <c r="CP606" s="62"/>
      <c r="CQ606" s="62"/>
      <c r="CR606" s="62"/>
      <c r="CS606" s="62"/>
      <c r="CT606" s="62"/>
      <c r="CU606" s="62"/>
      <c r="CV606" s="62"/>
      <c r="CW606" s="62"/>
      <c r="CX606" s="62"/>
      <c r="CY606" s="62"/>
      <c r="CZ606" s="62"/>
      <c r="DA606" s="62"/>
      <c r="DB606" s="62"/>
      <c r="DC606" s="62"/>
      <c r="DD606" s="62"/>
      <c r="DE606" s="62"/>
      <c r="DF606" s="62"/>
      <c r="DG606" s="62"/>
      <c r="DH606" s="62"/>
      <c r="DI606" s="62"/>
      <c r="DJ606" s="62"/>
      <c r="DK606" s="62"/>
      <c r="DL606" s="62"/>
    </row>
    <row r="607" spans="1:116" x14ac:dyDescent="0.2">
      <c r="A607" s="57">
        <v>45047</v>
      </c>
      <c r="B607" s="58">
        <v>2023</v>
      </c>
      <c r="C607" s="66">
        <v>20.22</v>
      </c>
      <c r="D607" s="62">
        <v>0.27500000000000002</v>
      </c>
      <c r="E607" s="62">
        <v>3721.636</v>
      </c>
      <c r="F607" s="62">
        <v>156.309</v>
      </c>
      <c r="G607" s="62">
        <v>19.943999999999999</v>
      </c>
      <c r="H607" s="62">
        <v>832</v>
      </c>
      <c r="I607" s="62">
        <v>757.88599999999997</v>
      </c>
      <c r="J607" s="62">
        <v>74.114000000000004</v>
      </c>
      <c r="K607" s="62">
        <v>4487.47</v>
      </c>
      <c r="L607" s="62">
        <v>-469.91199999999998</v>
      </c>
      <c r="M607" s="62">
        <v>4229.0540000000001</v>
      </c>
      <c r="N607" s="62">
        <v>177.62</v>
      </c>
      <c r="O607" s="66">
        <v>22.667000000000002</v>
      </c>
      <c r="P607" s="61">
        <v>5355.0659999999998</v>
      </c>
      <c r="Q607" s="62">
        <v>224.91300000000001</v>
      </c>
      <c r="R607" s="62">
        <v>29.420999999999999</v>
      </c>
      <c r="S607" s="62">
        <v>1149</v>
      </c>
      <c r="T607" s="62"/>
      <c r="U607" s="62">
        <v>3713.8829999999998</v>
      </c>
      <c r="V607" s="62">
        <v>-428.678</v>
      </c>
      <c r="W607" s="62">
        <v>6932.7439999999997</v>
      </c>
      <c r="X607" s="62">
        <v>290.755</v>
      </c>
      <c r="Y607" s="61">
        <v>38.033999999999999</v>
      </c>
      <c r="Z607" s="63">
        <v>38.033999999999999</v>
      </c>
      <c r="AA607" s="64" t="s">
        <v>116</v>
      </c>
      <c r="AB607" s="62" t="s">
        <v>116</v>
      </c>
      <c r="AC607" s="62">
        <v>564.87699999999995</v>
      </c>
      <c r="AD607" s="62">
        <v>23.725000000000001</v>
      </c>
      <c r="AE607" s="62">
        <v>3.0270000000000001</v>
      </c>
      <c r="AF607" s="62" t="s">
        <v>140</v>
      </c>
      <c r="AG607" s="62">
        <v>303.77600000000001</v>
      </c>
      <c r="AH607" s="62">
        <v>-27.364999999999998</v>
      </c>
      <c r="AI607" s="62">
        <v>592.24199999999996</v>
      </c>
      <c r="AJ607" s="62">
        <v>24.873999999999999</v>
      </c>
      <c r="AK607" s="64">
        <v>3.1739999999999999</v>
      </c>
      <c r="AL607" s="19">
        <v>153957</v>
      </c>
      <c r="AM607" s="19">
        <v>121824</v>
      </c>
      <c r="AN607" s="23">
        <v>5214</v>
      </c>
      <c r="AO607" s="19">
        <v>113140</v>
      </c>
      <c r="AP607" s="19">
        <v>36266</v>
      </c>
      <c r="AQ607" s="19">
        <v>145722</v>
      </c>
      <c r="AR607" s="68">
        <v>4882.5</v>
      </c>
      <c r="AS607" s="68">
        <v>6470.94</v>
      </c>
      <c r="AT607" s="65">
        <f t="shared" si="47"/>
        <v>4751.88</v>
      </c>
      <c r="AU607" s="65">
        <f t="shared" si="48"/>
        <v>218.988</v>
      </c>
      <c r="AV607" s="65">
        <f t="shared" si="49"/>
        <v>1523.172</v>
      </c>
      <c r="AW607" s="65">
        <f t="shared" si="50"/>
        <v>6466.1940000000004</v>
      </c>
      <c r="AX607" s="65">
        <f t="shared" si="50"/>
        <v>5116.6080000000002</v>
      </c>
      <c r="AY607" s="65">
        <f t="shared" si="46"/>
        <v>6120.3239999999996</v>
      </c>
      <c r="AZ607" s="19">
        <v>52406</v>
      </c>
      <c r="BA607" s="19">
        <v>51867</v>
      </c>
      <c r="BB607" s="19">
        <v>42494</v>
      </c>
      <c r="BC607" s="19">
        <v>4733</v>
      </c>
      <c r="BD607" s="19">
        <v>3957</v>
      </c>
      <c r="BE607" s="23">
        <v>106825.95</v>
      </c>
      <c r="BF607" s="23">
        <v>119073.40399999999</v>
      </c>
      <c r="BG607" s="67">
        <v>3.8551739999999999</v>
      </c>
      <c r="BH607" s="67">
        <v>1.669672</v>
      </c>
      <c r="BI607" s="67">
        <v>71.58</v>
      </c>
      <c r="BJ607" s="67">
        <v>2.37</v>
      </c>
      <c r="BK607" s="67">
        <v>2.2400000000000002</v>
      </c>
      <c r="BL607" s="67">
        <v>2.58</v>
      </c>
      <c r="BM607" s="62"/>
      <c r="BN607" s="62"/>
      <c r="BO607" s="62"/>
      <c r="BP607" s="62"/>
      <c r="BQ607" s="62"/>
      <c r="BR607" s="62"/>
      <c r="BS607" s="62"/>
      <c r="BT607" s="62"/>
      <c r="BU607" s="62"/>
      <c r="BV607" s="62"/>
      <c r="BW607" s="62"/>
      <c r="BX607" s="62"/>
      <c r="BY607" s="62"/>
      <c r="BZ607" s="62"/>
      <c r="CA607" s="62"/>
      <c r="CB607" s="62"/>
      <c r="CC607" s="62"/>
      <c r="CD607" s="62"/>
      <c r="CE607" s="62"/>
      <c r="CF607" s="62"/>
      <c r="CG607" s="62"/>
      <c r="CH607" s="62"/>
      <c r="CI607" s="62"/>
      <c r="CJ607" s="62"/>
      <c r="CK607" s="62"/>
      <c r="CL607" s="62"/>
      <c r="CM607" s="62"/>
      <c r="CN607" s="62"/>
      <c r="CO607" s="62"/>
      <c r="CP607" s="62"/>
      <c r="CQ607" s="62"/>
      <c r="CR607" s="62"/>
      <c r="CS607" s="62"/>
      <c r="CT607" s="62"/>
      <c r="CU607" s="62"/>
      <c r="CV607" s="62"/>
      <c r="CW607" s="62"/>
      <c r="CX607" s="62"/>
      <c r="CY607" s="62"/>
      <c r="CZ607" s="62"/>
      <c r="DA607" s="62"/>
      <c r="DB607" s="62"/>
      <c r="DC607" s="62"/>
      <c r="DD607" s="62"/>
      <c r="DE607" s="62"/>
      <c r="DF607" s="62"/>
      <c r="DG607" s="62"/>
      <c r="DH607" s="62"/>
      <c r="DI607" s="62"/>
      <c r="DJ607" s="62"/>
      <c r="DK607" s="62"/>
      <c r="DL607" s="62"/>
    </row>
    <row r="608" spans="1:116" x14ac:dyDescent="0.2">
      <c r="A608" s="57">
        <v>45078</v>
      </c>
      <c r="B608" s="58">
        <v>2023</v>
      </c>
      <c r="C608" s="66">
        <v>19.754999999999999</v>
      </c>
      <c r="D608" s="62">
        <v>0.26900000000000002</v>
      </c>
      <c r="E608" s="62">
        <v>3636.0230000000001</v>
      </c>
      <c r="F608" s="62">
        <v>152.71299999999999</v>
      </c>
      <c r="G608" s="62">
        <v>19.484999999999999</v>
      </c>
      <c r="H608" s="62">
        <v>1016</v>
      </c>
      <c r="I608" s="62">
        <v>838.67200000000003</v>
      </c>
      <c r="J608" s="62">
        <v>177.328</v>
      </c>
      <c r="K608" s="62">
        <v>3997.913</v>
      </c>
      <c r="L608" s="62">
        <v>-489.55700000000002</v>
      </c>
      <c r="M608" s="62">
        <v>4254.665</v>
      </c>
      <c r="N608" s="62">
        <v>178.696</v>
      </c>
      <c r="O608" s="66">
        <v>22.768999999999998</v>
      </c>
      <c r="P608" s="61">
        <v>5488.4440000000004</v>
      </c>
      <c r="Q608" s="62">
        <v>230.51499999999999</v>
      </c>
      <c r="R608" s="62">
        <v>30.154</v>
      </c>
      <c r="S608" s="62">
        <v>681</v>
      </c>
      <c r="T608" s="62"/>
      <c r="U608" s="62">
        <v>3564.884</v>
      </c>
      <c r="V608" s="62">
        <v>-148.999</v>
      </c>
      <c r="W608" s="62">
        <v>6318.4430000000002</v>
      </c>
      <c r="X608" s="62">
        <v>267.93700000000001</v>
      </c>
      <c r="Y608" s="61">
        <v>35.048999999999999</v>
      </c>
      <c r="Z608" s="63">
        <f t="shared" ref="Z608:Z626" si="51">Y608</f>
        <v>35.048999999999999</v>
      </c>
      <c r="AA608" s="64" t="s">
        <v>116</v>
      </c>
      <c r="AB608" s="62" t="s">
        <v>116</v>
      </c>
      <c r="AC608" s="62">
        <v>615.72400000000005</v>
      </c>
      <c r="AD608" s="62">
        <v>25.86</v>
      </c>
      <c r="AE608" s="62">
        <v>3.3</v>
      </c>
      <c r="AF608" s="62">
        <v>5</v>
      </c>
      <c r="AG608" s="62">
        <v>369.73700000000002</v>
      </c>
      <c r="AH608" s="62">
        <v>65.960999999999999</v>
      </c>
      <c r="AI608" s="62">
        <v>554.76300000000003</v>
      </c>
      <c r="AJ608" s="62">
        <v>23.3</v>
      </c>
      <c r="AK608" s="64">
        <v>2.9729999999999999</v>
      </c>
      <c r="AL608" s="19">
        <v>149890</v>
      </c>
      <c r="AM608" s="19">
        <v>118749</v>
      </c>
      <c r="AN608" s="23">
        <v>4141</v>
      </c>
      <c r="AO608" s="19">
        <v>112598</v>
      </c>
      <c r="AP608" s="19">
        <v>35817</v>
      </c>
      <c r="AQ608" s="19">
        <v>144521</v>
      </c>
      <c r="AR608" s="68">
        <v>4813.2</v>
      </c>
      <c r="AS608" s="68">
        <v>6300</v>
      </c>
      <c r="AT608" s="65">
        <f t="shared" si="47"/>
        <v>4729.116</v>
      </c>
      <c r="AU608" s="65">
        <f t="shared" si="48"/>
        <v>173.922</v>
      </c>
      <c r="AV608" s="65">
        <f t="shared" si="49"/>
        <v>1504.3140000000001</v>
      </c>
      <c r="AW608" s="65">
        <f t="shared" si="50"/>
        <v>6295.38</v>
      </c>
      <c r="AX608" s="65">
        <f t="shared" si="50"/>
        <v>4987.4579999999996</v>
      </c>
      <c r="AY608" s="65">
        <f t="shared" si="46"/>
        <v>6069.8819999999996</v>
      </c>
      <c r="AZ608" s="19">
        <v>53393</v>
      </c>
      <c r="BA608" s="19">
        <v>52046</v>
      </c>
      <c r="BB608" s="19">
        <v>42745</v>
      </c>
      <c r="BC608" s="19">
        <v>4324</v>
      </c>
      <c r="BD608" s="19">
        <v>5430</v>
      </c>
      <c r="BE608" s="23">
        <v>118214.667</v>
      </c>
      <c r="BF608" s="23">
        <v>139085.992</v>
      </c>
      <c r="BG608" s="67">
        <v>3.9095789999999999</v>
      </c>
      <c r="BH608" s="67">
        <v>1.7554289999999999</v>
      </c>
      <c r="BI608" s="67">
        <v>70.25</v>
      </c>
      <c r="BJ608" s="67">
        <v>2.4300000000000002</v>
      </c>
      <c r="BK608" s="67">
        <v>2.3199999999999998</v>
      </c>
      <c r="BL608" s="67">
        <v>2.62</v>
      </c>
      <c r="BM608" s="62"/>
      <c r="BN608" s="62"/>
      <c r="BO608" s="62"/>
      <c r="BP608" s="62"/>
      <c r="BQ608" s="62"/>
      <c r="BR608" s="62"/>
      <c r="BS608" s="62"/>
      <c r="BT608" s="62"/>
      <c r="BU608" s="62"/>
      <c r="BV608" s="62"/>
      <c r="BW608" s="62"/>
      <c r="BX608" s="62"/>
      <c r="BY608" s="62"/>
      <c r="BZ608" s="62"/>
      <c r="CA608" s="62"/>
      <c r="CB608" s="62"/>
      <c r="CC608" s="62"/>
      <c r="CD608" s="62"/>
      <c r="CE608" s="62"/>
      <c r="CF608" s="62"/>
      <c r="CG608" s="62"/>
      <c r="CH608" s="62"/>
      <c r="CI608" s="62"/>
      <c r="CJ608" s="62"/>
      <c r="CK608" s="62"/>
      <c r="CL608" s="62"/>
      <c r="CM608" s="62"/>
      <c r="CN608" s="62"/>
      <c r="CO608" s="62"/>
      <c r="CP608" s="62"/>
      <c r="CQ608" s="62"/>
      <c r="CR608" s="62"/>
      <c r="CS608" s="62"/>
      <c r="CT608" s="62"/>
      <c r="CU608" s="62"/>
      <c r="CV608" s="62"/>
      <c r="CW608" s="62"/>
      <c r="CX608" s="62"/>
      <c r="CY608" s="62"/>
      <c r="CZ608" s="62"/>
      <c r="DA608" s="62"/>
      <c r="DB608" s="62"/>
      <c r="DC608" s="62"/>
      <c r="DD608" s="62"/>
      <c r="DE608" s="62"/>
      <c r="DF608" s="62"/>
      <c r="DG608" s="62"/>
      <c r="DH608" s="62"/>
      <c r="DI608" s="62"/>
      <c r="DJ608" s="62"/>
      <c r="DK608" s="62"/>
      <c r="DL608" s="62"/>
    </row>
    <row r="609" spans="1:116" x14ac:dyDescent="0.2">
      <c r="A609" s="57">
        <v>45108</v>
      </c>
      <c r="B609" s="58">
        <v>2023</v>
      </c>
      <c r="C609" s="66">
        <v>19.623999999999999</v>
      </c>
      <c r="D609" s="62">
        <v>0.26700000000000002</v>
      </c>
      <c r="E609" s="62">
        <v>3611.98</v>
      </c>
      <c r="F609" s="62">
        <v>151.703</v>
      </c>
      <c r="G609" s="62">
        <v>19.356999999999999</v>
      </c>
      <c r="H609" s="62">
        <v>725</v>
      </c>
      <c r="I609" s="62">
        <v>691.48</v>
      </c>
      <c r="J609" s="62">
        <v>33.520000000000003</v>
      </c>
      <c r="K609" s="62">
        <v>3752.9839999999999</v>
      </c>
      <c r="L609" s="62">
        <v>-244.93</v>
      </c>
      <c r="M609" s="62">
        <v>3901.3310000000001</v>
      </c>
      <c r="N609" s="62">
        <v>163.85599999999999</v>
      </c>
      <c r="O609" s="66">
        <v>20.925000000000001</v>
      </c>
      <c r="P609" s="61">
        <v>5085.741</v>
      </c>
      <c r="Q609" s="62">
        <v>213.601</v>
      </c>
      <c r="R609" s="62">
        <v>27.940999999999999</v>
      </c>
      <c r="S609" s="62">
        <v>783</v>
      </c>
      <c r="T609" s="62"/>
      <c r="U609" s="62">
        <v>4070.5839999999998</v>
      </c>
      <c r="V609" s="62">
        <v>505.7</v>
      </c>
      <c r="W609" s="62">
        <v>5363.0410000000002</v>
      </c>
      <c r="X609" s="62">
        <v>220.54400000000001</v>
      </c>
      <c r="Y609" s="61">
        <v>28.849</v>
      </c>
      <c r="Z609" s="63">
        <f t="shared" si="51"/>
        <v>28.849</v>
      </c>
      <c r="AA609" s="64" t="s">
        <v>116</v>
      </c>
      <c r="AB609" s="62" t="s">
        <v>116</v>
      </c>
      <c r="AC609" s="62">
        <v>477.96699999999998</v>
      </c>
      <c r="AD609" s="62">
        <v>20.074999999999999</v>
      </c>
      <c r="AE609" s="62">
        <v>2.5609999999999999</v>
      </c>
      <c r="AF609" s="62">
        <v>52</v>
      </c>
      <c r="AG609" s="62">
        <v>285.03699999999998</v>
      </c>
      <c r="AH609" s="62">
        <v>-84.700999999999993</v>
      </c>
      <c r="AI609" s="62">
        <v>614.66800000000001</v>
      </c>
      <c r="AJ609" s="62">
        <v>25.815999999999999</v>
      </c>
      <c r="AK609" s="64">
        <v>3.294</v>
      </c>
      <c r="AL609" s="19">
        <v>154803</v>
      </c>
      <c r="AM609" s="19">
        <v>113075</v>
      </c>
      <c r="AN609" s="23">
        <v>3705</v>
      </c>
      <c r="AO609" s="19">
        <v>120208</v>
      </c>
      <c r="AP609" s="19">
        <v>37823</v>
      </c>
      <c r="AQ609" s="19">
        <v>149271</v>
      </c>
      <c r="AR609" s="68">
        <v>4687.2000000000007</v>
      </c>
      <c r="AS609" s="68">
        <v>6470.94</v>
      </c>
      <c r="AT609" s="65">
        <f t="shared" si="47"/>
        <v>5048.7359999999999</v>
      </c>
      <c r="AU609" s="65">
        <f t="shared" si="48"/>
        <v>155.61000000000001</v>
      </c>
      <c r="AV609" s="65">
        <f t="shared" si="49"/>
        <v>1588.566</v>
      </c>
      <c r="AW609" s="65">
        <f t="shared" si="50"/>
        <v>6501.7259999999997</v>
      </c>
      <c r="AX609" s="65">
        <f t="shared" si="50"/>
        <v>4749.1499999999996</v>
      </c>
      <c r="AY609" s="65">
        <f t="shared" si="46"/>
        <v>6269.3819999999996</v>
      </c>
      <c r="AZ609" s="19">
        <v>55173</v>
      </c>
      <c r="BA609" s="19">
        <v>54866</v>
      </c>
      <c r="BB609" s="19">
        <v>42686</v>
      </c>
      <c r="BC609" s="19">
        <v>3961</v>
      </c>
      <c r="BD609" s="19">
        <v>4346</v>
      </c>
      <c r="BE609" s="23">
        <v>97462.581999999995</v>
      </c>
      <c r="BF609" s="23">
        <v>104710.997</v>
      </c>
      <c r="BG609" s="67">
        <v>3.5300699999999998</v>
      </c>
      <c r="BH609" s="67">
        <v>1.7529840000000001</v>
      </c>
      <c r="BI609" s="67">
        <v>76.069999999999993</v>
      </c>
      <c r="BJ609" s="67">
        <v>2.69</v>
      </c>
      <c r="BK609" s="67">
        <v>2.5499999999999998</v>
      </c>
      <c r="BL609" s="67">
        <v>2.79</v>
      </c>
      <c r="BM609" s="62"/>
      <c r="BN609" s="62"/>
      <c r="BO609" s="62"/>
      <c r="BP609" s="62"/>
      <c r="BQ609" s="62"/>
      <c r="BR609" s="62"/>
      <c r="BS609" s="62"/>
      <c r="BT609" s="62"/>
      <c r="BU609" s="62"/>
      <c r="BV609" s="62"/>
      <c r="BW609" s="62"/>
      <c r="BX609" s="62"/>
      <c r="BY609" s="62"/>
      <c r="BZ609" s="62"/>
      <c r="CA609" s="62"/>
      <c r="CB609" s="62"/>
      <c r="CC609" s="62"/>
      <c r="CD609" s="62"/>
      <c r="CE609" s="62"/>
      <c r="CF609" s="62"/>
      <c r="CG609" s="62"/>
      <c r="CH609" s="62"/>
      <c r="CI609" s="62"/>
      <c r="CJ609" s="62"/>
      <c r="CK609" s="62"/>
      <c r="CL609" s="62"/>
      <c r="CM609" s="62"/>
      <c r="CN609" s="62"/>
      <c r="CO609" s="62"/>
      <c r="CP609" s="62"/>
      <c r="CQ609" s="62"/>
      <c r="CR609" s="62"/>
      <c r="CS609" s="62"/>
      <c r="CT609" s="62"/>
      <c r="CU609" s="62"/>
      <c r="CV609" s="62"/>
      <c r="CW609" s="62"/>
      <c r="CX609" s="62"/>
      <c r="CY609" s="62"/>
      <c r="CZ609" s="62"/>
      <c r="DA609" s="62"/>
      <c r="DB609" s="62"/>
      <c r="DC609" s="62"/>
      <c r="DD609" s="62"/>
      <c r="DE609" s="62"/>
      <c r="DF609" s="62"/>
      <c r="DG609" s="62"/>
      <c r="DH609" s="62"/>
      <c r="DI609" s="62"/>
      <c r="DJ609" s="62"/>
      <c r="DK609" s="62"/>
      <c r="DL609" s="62"/>
    </row>
    <row r="610" spans="1:116" x14ac:dyDescent="0.2">
      <c r="A610" s="57">
        <v>45139</v>
      </c>
      <c r="B610" s="58">
        <v>2023</v>
      </c>
      <c r="C610" s="66">
        <v>18.786999999999999</v>
      </c>
      <c r="D610" s="62">
        <v>0.25600000000000001</v>
      </c>
      <c r="E610" s="62">
        <v>3457.9259999999999</v>
      </c>
      <c r="F610" s="62">
        <v>145.233</v>
      </c>
      <c r="G610" s="62">
        <v>18.530999999999999</v>
      </c>
      <c r="H610" s="62">
        <v>991</v>
      </c>
      <c r="I610" s="62">
        <v>552.54899999999998</v>
      </c>
      <c r="J610" s="62">
        <v>438.45100000000002</v>
      </c>
      <c r="K610" s="62">
        <v>3622.4940000000001</v>
      </c>
      <c r="L610" s="62">
        <v>-130.49</v>
      </c>
      <c r="M610" s="62">
        <v>4017.64</v>
      </c>
      <c r="N610" s="62">
        <v>168.74100000000001</v>
      </c>
      <c r="O610" s="66">
        <v>21.577999999999999</v>
      </c>
      <c r="P610" s="61">
        <v>5733.2479999999996</v>
      </c>
      <c r="Q610" s="62">
        <v>240.79599999999999</v>
      </c>
      <c r="R610" s="62">
        <v>31.498000000000001</v>
      </c>
      <c r="S610" s="62">
        <v>1003</v>
      </c>
      <c r="T610" s="62"/>
      <c r="U610" s="62">
        <v>4073.7310000000002</v>
      </c>
      <c r="V610" s="62">
        <v>3.1469999999999998</v>
      </c>
      <c r="W610" s="62">
        <v>6733.1009999999997</v>
      </c>
      <c r="X610" s="62">
        <v>285.59300000000002</v>
      </c>
      <c r="Y610" s="61">
        <v>37.357999999999997</v>
      </c>
      <c r="Z610" s="63">
        <f t="shared" si="51"/>
        <v>37.357999999999997</v>
      </c>
      <c r="AA610" s="64" t="s">
        <v>116</v>
      </c>
      <c r="AB610" s="62" t="s">
        <v>116</v>
      </c>
      <c r="AC610" s="62">
        <v>520.74800000000005</v>
      </c>
      <c r="AD610" s="62">
        <v>21.870999999999999</v>
      </c>
      <c r="AE610" s="62">
        <v>2.7909999999999999</v>
      </c>
      <c r="AF610" s="62">
        <v>7</v>
      </c>
      <c r="AG610" s="62">
        <v>406.36500000000001</v>
      </c>
      <c r="AH610" s="62">
        <v>121.328</v>
      </c>
      <c r="AI610" s="62">
        <v>406.42</v>
      </c>
      <c r="AJ610" s="62">
        <v>17.07</v>
      </c>
      <c r="AK610" s="64">
        <v>2.1779999999999999</v>
      </c>
      <c r="AL610" s="23">
        <v>156145</v>
      </c>
      <c r="AM610" s="23">
        <v>128148</v>
      </c>
      <c r="AN610" s="23">
        <v>4138</v>
      </c>
      <c r="AO610" s="23">
        <v>116890</v>
      </c>
      <c r="AP610" s="23">
        <v>35458</v>
      </c>
      <c r="AQ610" s="23">
        <v>149397</v>
      </c>
      <c r="AR610" s="68">
        <v>4882.5</v>
      </c>
      <c r="AS610" s="68">
        <v>6549.06</v>
      </c>
      <c r="AT610" s="65">
        <f t="shared" si="47"/>
        <v>4909.38</v>
      </c>
      <c r="AU610" s="65">
        <f t="shared" si="48"/>
        <v>173.79599999999999</v>
      </c>
      <c r="AV610" s="65">
        <f t="shared" si="49"/>
        <v>1489.2360000000001</v>
      </c>
      <c r="AW610" s="65">
        <f t="shared" si="50"/>
        <v>6558.09</v>
      </c>
      <c r="AX610" s="65">
        <f t="shared" si="50"/>
        <v>5382.2160000000003</v>
      </c>
      <c r="AY610" s="65">
        <f t="shared" si="46"/>
        <v>6274.674</v>
      </c>
      <c r="AZ610" s="19">
        <v>56535</v>
      </c>
      <c r="BA610" s="19">
        <v>53002</v>
      </c>
      <c r="BB610" s="19">
        <v>42627</v>
      </c>
      <c r="BC610" s="19">
        <v>2911</v>
      </c>
      <c r="BD610" s="19">
        <v>6514</v>
      </c>
      <c r="BE610" s="23">
        <v>77879.752999999997</v>
      </c>
      <c r="BF610" s="23">
        <v>132236.71400000001</v>
      </c>
      <c r="BG610" s="67">
        <v>3.9862709999999999</v>
      </c>
      <c r="BH610" s="67">
        <v>1.7075039999999999</v>
      </c>
      <c r="BI610" s="67">
        <v>81.39</v>
      </c>
      <c r="BJ610" s="67">
        <v>3.16</v>
      </c>
      <c r="BK610" s="67">
        <v>3.04</v>
      </c>
      <c r="BL610" s="67">
        <v>3.02</v>
      </c>
      <c r="BM610" s="62"/>
      <c r="BN610" s="62"/>
      <c r="BO610" s="62"/>
      <c r="BP610" s="62"/>
      <c r="BQ610" s="62"/>
      <c r="BR610" s="62"/>
      <c r="BS610" s="62"/>
      <c r="BT610" s="62"/>
      <c r="BU610" s="62"/>
      <c r="BV610" s="62"/>
      <c r="BW610" s="62"/>
      <c r="BX610" s="62"/>
      <c r="BY610" s="62"/>
      <c r="BZ610" s="62"/>
      <c r="CA610" s="62"/>
      <c r="CB610" s="62"/>
      <c r="CC610" s="62"/>
      <c r="CD610" s="62"/>
      <c r="CE610" s="62"/>
      <c r="CF610" s="62"/>
      <c r="CG610" s="62"/>
      <c r="CH610" s="62"/>
      <c r="CI610" s="62"/>
      <c r="CJ610" s="62"/>
      <c r="CK610" s="62"/>
      <c r="CL610" s="62"/>
      <c r="CM610" s="62"/>
      <c r="CN610" s="62"/>
      <c r="CO610" s="62"/>
      <c r="CP610" s="62"/>
      <c r="CQ610" s="62"/>
      <c r="CR610" s="62"/>
      <c r="CS610" s="62"/>
      <c r="CT610" s="62"/>
      <c r="CU610" s="62"/>
      <c r="CV610" s="62"/>
      <c r="CW610" s="62"/>
      <c r="CX610" s="62"/>
      <c r="CY610" s="62"/>
      <c r="CZ610" s="62"/>
      <c r="DA610" s="62"/>
      <c r="DB610" s="62"/>
      <c r="DC610" s="62"/>
      <c r="DD610" s="62"/>
      <c r="DE610" s="62"/>
      <c r="DF610" s="62"/>
      <c r="DG610" s="62"/>
      <c r="DH610" s="62"/>
      <c r="DI610" s="62"/>
      <c r="DJ610" s="62"/>
      <c r="DK610" s="62"/>
      <c r="DL610" s="62"/>
    </row>
    <row r="611" spans="1:116" x14ac:dyDescent="0.2">
      <c r="A611" s="57">
        <v>45170</v>
      </c>
      <c r="B611" s="58">
        <v>2023</v>
      </c>
      <c r="C611" s="66">
        <v>18.675999999999998</v>
      </c>
      <c r="D611" s="62">
        <v>0.254</v>
      </c>
      <c r="E611" s="62">
        <v>3437.5439999999999</v>
      </c>
      <c r="F611" s="62">
        <v>144.37700000000001</v>
      </c>
      <c r="G611" s="62">
        <v>18.422000000000001</v>
      </c>
      <c r="H611" s="62">
        <v>1280</v>
      </c>
      <c r="I611" s="62">
        <v>409.654</v>
      </c>
      <c r="J611" s="62">
        <v>870.346</v>
      </c>
      <c r="K611" s="62">
        <v>3628.9520000000002</v>
      </c>
      <c r="L611" s="62">
        <v>6.4589999999999996</v>
      </c>
      <c r="M611" s="62">
        <v>4301.7299999999996</v>
      </c>
      <c r="N611" s="62">
        <v>180.673</v>
      </c>
      <c r="O611" s="66">
        <v>23.155999999999999</v>
      </c>
      <c r="P611" s="61">
        <v>5961.6580000000004</v>
      </c>
      <c r="Q611" s="62">
        <v>250.39</v>
      </c>
      <c r="R611" s="62">
        <v>32.753</v>
      </c>
      <c r="S611" s="62">
        <v>405</v>
      </c>
      <c r="T611" s="62"/>
      <c r="U611" s="62">
        <v>4243.9340000000002</v>
      </c>
      <c r="V611" s="62">
        <v>170.203</v>
      </c>
      <c r="W611" s="62">
        <v>6196.4549999999999</v>
      </c>
      <c r="X611" s="62">
        <v>260.04899999999998</v>
      </c>
      <c r="Y611" s="61">
        <v>34.017000000000003</v>
      </c>
      <c r="Z611" s="63">
        <f t="shared" si="51"/>
        <v>34.017000000000003</v>
      </c>
      <c r="AA611" s="64" t="s">
        <v>116</v>
      </c>
      <c r="AB611" s="62" t="s">
        <v>116</v>
      </c>
      <c r="AC611" s="62">
        <v>601.27800000000002</v>
      </c>
      <c r="AD611" s="62">
        <v>25.254000000000001</v>
      </c>
      <c r="AE611" s="62">
        <v>3.222</v>
      </c>
      <c r="AF611" s="62" t="s">
        <v>140</v>
      </c>
      <c r="AG611" s="62">
        <v>265.36099999999999</v>
      </c>
      <c r="AH611" s="62">
        <v>-141.00399999999999</v>
      </c>
      <c r="AI611" s="62">
        <v>742.28200000000004</v>
      </c>
      <c r="AJ611" s="62">
        <v>31.175999999999998</v>
      </c>
      <c r="AK611" s="64">
        <v>3.9780000000000002</v>
      </c>
      <c r="AL611" s="23">
        <v>147703</v>
      </c>
      <c r="AM611" s="23">
        <v>117633</v>
      </c>
      <c r="AN611" s="23">
        <v>3566</v>
      </c>
      <c r="AO611" s="23">
        <v>119170</v>
      </c>
      <c r="AP611" s="23">
        <v>31361</v>
      </c>
      <c r="AQ611" s="23">
        <v>141205</v>
      </c>
      <c r="AR611" s="68">
        <v>4687.2000000000007</v>
      </c>
      <c r="AS611" s="68">
        <v>6161.4</v>
      </c>
      <c r="AT611" s="65">
        <f t="shared" si="47"/>
        <v>5005.1400000000003</v>
      </c>
      <c r="AU611" s="65">
        <f t="shared" si="48"/>
        <v>149.77199999999999</v>
      </c>
      <c r="AV611" s="65">
        <f t="shared" si="49"/>
        <v>1317.162</v>
      </c>
      <c r="AW611" s="65">
        <f t="shared" si="50"/>
        <v>6203.5259999999998</v>
      </c>
      <c r="AX611" s="65">
        <f t="shared" si="50"/>
        <v>4940.5860000000002</v>
      </c>
      <c r="AY611" s="65">
        <f t="shared" si="46"/>
        <v>5930.61</v>
      </c>
      <c r="AZ611" s="19">
        <v>52490</v>
      </c>
      <c r="BA611" s="19">
        <v>50771</v>
      </c>
      <c r="BB611" s="19">
        <v>43478</v>
      </c>
      <c r="BC611" s="19">
        <v>3282</v>
      </c>
      <c r="BD611" s="19">
        <v>4154</v>
      </c>
      <c r="BE611" s="23">
        <v>57742.245000000003</v>
      </c>
      <c r="BF611" s="23">
        <v>183451.74400000001</v>
      </c>
      <c r="BG611" s="67">
        <v>3.7972790000000001</v>
      </c>
      <c r="BH611" s="67">
        <v>1.6913800000000001</v>
      </c>
      <c r="BI611" s="67">
        <v>89.43</v>
      </c>
      <c r="BJ611" s="67">
        <v>3.39</v>
      </c>
      <c r="BK611" s="67">
        <v>3.17</v>
      </c>
      <c r="BL611" s="67">
        <v>3.07</v>
      </c>
      <c r="BM611" s="62"/>
      <c r="BN611" s="62"/>
      <c r="BO611" s="62"/>
      <c r="BP611" s="62"/>
      <c r="BQ611" s="62"/>
      <c r="BR611" s="62"/>
      <c r="BS611" s="62"/>
      <c r="BT611" s="62"/>
      <c r="BU611" s="62"/>
      <c r="BV611" s="62"/>
      <c r="BW611" s="62"/>
      <c r="BX611" s="62"/>
      <c r="BY611" s="62"/>
      <c r="BZ611" s="62"/>
      <c r="CA611" s="62"/>
      <c r="CB611" s="62"/>
      <c r="CC611" s="62"/>
      <c r="CD611" s="62"/>
      <c r="CE611" s="62"/>
      <c r="CF611" s="62"/>
      <c r="CG611" s="62"/>
      <c r="CH611" s="62"/>
      <c r="CI611" s="62"/>
      <c r="CJ611" s="62"/>
      <c r="CK611" s="62"/>
      <c r="CL611" s="62"/>
      <c r="CM611" s="62"/>
      <c r="CN611" s="62"/>
      <c r="CO611" s="62"/>
      <c r="CP611" s="62"/>
      <c r="CQ611" s="62"/>
      <c r="CR611" s="62"/>
      <c r="CS611" s="62"/>
      <c r="CT611" s="62"/>
      <c r="CU611" s="62"/>
      <c r="CV611" s="62"/>
      <c r="CW611" s="62"/>
      <c r="CX611" s="62"/>
      <c r="CY611" s="62"/>
      <c r="CZ611" s="62"/>
      <c r="DA611" s="62"/>
      <c r="DB611" s="62"/>
      <c r="DC611" s="62"/>
      <c r="DD611" s="62"/>
      <c r="DE611" s="62"/>
      <c r="DF611" s="62"/>
      <c r="DG611" s="62"/>
      <c r="DH611" s="62"/>
      <c r="DI611" s="62"/>
      <c r="DJ611" s="62"/>
      <c r="DK611" s="62"/>
      <c r="DL611" s="62"/>
    </row>
    <row r="612" spans="1:116" x14ac:dyDescent="0.2">
      <c r="A612" s="57">
        <v>45200</v>
      </c>
      <c r="B612" s="58">
        <v>2023</v>
      </c>
      <c r="C612" s="66">
        <v>18.986000000000001</v>
      </c>
      <c r="D612" s="62">
        <v>0.25900000000000001</v>
      </c>
      <c r="E612" s="62">
        <v>3494.5949999999998</v>
      </c>
      <c r="F612" s="62">
        <v>146.773</v>
      </c>
      <c r="G612" s="62">
        <v>18.728000000000002</v>
      </c>
      <c r="H612" s="62">
        <v>1017</v>
      </c>
      <c r="I612" s="62">
        <v>450.64699999999999</v>
      </c>
      <c r="J612" s="62">
        <v>566.35299999999995</v>
      </c>
      <c r="K612" s="62">
        <v>3505.22</v>
      </c>
      <c r="L612" s="62">
        <v>-123.732</v>
      </c>
      <c r="M612" s="62">
        <v>4184.68</v>
      </c>
      <c r="N612" s="62">
        <v>175.75700000000001</v>
      </c>
      <c r="O612" s="66">
        <v>22.091999999999999</v>
      </c>
      <c r="P612" s="61">
        <v>5094.2889999999998</v>
      </c>
      <c r="Q612" s="62">
        <v>213.96</v>
      </c>
      <c r="R612" s="62">
        <v>27.988</v>
      </c>
      <c r="S612" s="62">
        <v>351</v>
      </c>
      <c r="T612" s="62"/>
      <c r="U612" s="62">
        <v>3667.9349999999999</v>
      </c>
      <c r="V612" s="62">
        <v>-575.99900000000002</v>
      </c>
      <c r="W612" s="62">
        <v>6021.2879999999996</v>
      </c>
      <c r="X612" s="62">
        <v>248.7</v>
      </c>
      <c r="Y612" s="61">
        <v>32.531999999999996</v>
      </c>
      <c r="Z612" s="63">
        <f t="shared" si="51"/>
        <v>32.531999999999996</v>
      </c>
      <c r="AA612" s="64" t="s">
        <v>116</v>
      </c>
      <c r="AB612" s="62" t="s">
        <v>116</v>
      </c>
      <c r="AC612" s="62">
        <v>714.28800000000001</v>
      </c>
      <c r="AD612" s="62">
        <v>30</v>
      </c>
      <c r="AE612" s="62">
        <v>3.8279999999999998</v>
      </c>
      <c r="AF612" s="62" t="s">
        <v>140</v>
      </c>
      <c r="AG612" s="62">
        <v>325.33</v>
      </c>
      <c r="AH612" s="62">
        <v>59.969000000000001</v>
      </c>
      <c r="AI612" s="62">
        <v>654.31899999999996</v>
      </c>
      <c r="AJ612" s="62">
        <v>27.481000000000002</v>
      </c>
      <c r="AK612" s="64">
        <v>3.5059999999999998</v>
      </c>
      <c r="AL612" s="23">
        <v>147159</v>
      </c>
      <c r="AM612" s="23">
        <v>126086</v>
      </c>
      <c r="AN612" s="23">
        <v>3279</v>
      </c>
      <c r="AO612" s="23">
        <v>110433</v>
      </c>
      <c r="AP612" s="23">
        <v>33093</v>
      </c>
      <c r="AQ612" s="23">
        <v>139913</v>
      </c>
      <c r="AR612" s="68">
        <v>4999.68</v>
      </c>
      <c r="AS612" s="68">
        <v>6210.5399999999991</v>
      </c>
      <c r="AT612" s="65">
        <f t="shared" si="47"/>
        <v>4638.1859999999997</v>
      </c>
      <c r="AU612" s="65">
        <f t="shared" si="48"/>
        <v>137.71799999999999</v>
      </c>
      <c r="AV612" s="65">
        <f t="shared" si="49"/>
        <v>1389.9059999999999</v>
      </c>
      <c r="AW612" s="65">
        <f t="shared" si="50"/>
        <v>6180.6779999999999</v>
      </c>
      <c r="AX612" s="65">
        <f t="shared" si="50"/>
        <v>5295.6120000000001</v>
      </c>
      <c r="AY612" s="65">
        <f t="shared" si="46"/>
        <v>5876.3459999999995</v>
      </c>
      <c r="AZ612" s="19">
        <v>49962</v>
      </c>
      <c r="BA612" s="19">
        <v>52315</v>
      </c>
      <c r="BB612" s="19">
        <v>39535</v>
      </c>
      <c r="BC612" s="19">
        <v>3163</v>
      </c>
      <c r="BD612" s="19">
        <v>4754</v>
      </c>
      <c r="BE612" s="23">
        <v>63518.353999999999</v>
      </c>
      <c r="BF612" s="23">
        <v>165370.93900000001</v>
      </c>
      <c r="BG612" s="67">
        <v>4.0044009999999997</v>
      </c>
      <c r="BH612" s="67">
        <v>1.6971130000000001</v>
      </c>
      <c r="BI612" s="67">
        <v>85.64</v>
      </c>
      <c r="BJ612" s="67">
        <v>3.11</v>
      </c>
      <c r="BK612" s="67">
        <v>2.93</v>
      </c>
      <c r="BL612" s="67">
        <v>2.4900000000000002</v>
      </c>
      <c r="BM612" s="62"/>
      <c r="BN612" s="62"/>
      <c r="BO612" s="62"/>
      <c r="BP612" s="62"/>
      <c r="BQ612" s="62"/>
      <c r="BR612" s="62"/>
      <c r="BS612" s="62"/>
      <c r="BT612" s="62"/>
      <c r="BU612" s="62"/>
      <c r="BV612" s="62"/>
      <c r="BW612" s="62"/>
      <c r="BX612" s="62"/>
      <c r="BY612" s="62"/>
      <c r="BZ612" s="62"/>
      <c r="CA612" s="62"/>
      <c r="CB612" s="62"/>
      <c r="CC612" s="62"/>
      <c r="CD612" s="62"/>
      <c r="CE612" s="62"/>
      <c r="CF612" s="62"/>
      <c r="CG612" s="62"/>
      <c r="CH612" s="62"/>
      <c r="CI612" s="62"/>
      <c r="CJ612" s="62"/>
      <c r="CK612" s="62"/>
      <c r="CL612" s="62"/>
      <c r="CM612" s="62"/>
      <c r="CN612" s="62"/>
      <c r="CO612" s="62"/>
      <c r="CP612" s="62"/>
      <c r="CQ612" s="62"/>
      <c r="CR612" s="62"/>
      <c r="CS612" s="62"/>
      <c r="CT612" s="62"/>
      <c r="CU612" s="62"/>
      <c r="CV612" s="62"/>
      <c r="CW612" s="62"/>
      <c r="CX612" s="62"/>
      <c r="CY612" s="62"/>
      <c r="CZ612" s="62"/>
      <c r="DA612" s="62"/>
      <c r="DB612" s="62"/>
      <c r="DC612" s="62"/>
      <c r="DD612" s="62"/>
      <c r="DE612" s="62"/>
      <c r="DF612" s="62"/>
      <c r="DG612" s="62"/>
      <c r="DH612" s="62"/>
      <c r="DI612" s="62"/>
      <c r="DJ612" s="62"/>
      <c r="DK612" s="62"/>
      <c r="DL612" s="62"/>
    </row>
    <row r="613" spans="1:116" x14ac:dyDescent="0.2">
      <c r="A613" s="57">
        <v>45231</v>
      </c>
      <c r="B613" s="58">
        <v>2023</v>
      </c>
      <c r="C613" s="66">
        <v>17.552</v>
      </c>
      <c r="D613" s="62">
        <v>0.23899999999999999</v>
      </c>
      <c r="E613" s="62">
        <v>3230.652</v>
      </c>
      <c r="F613" s="62">
        <v>135.68700000000001</v>
      </c>
      <c r="G613" s="62">
        <v>17.312999999999999</v>
      </c>
      <c r="H613" s="62">
        <v>1239</v>
      </c>
      <c r="I613" s="62">
        <v>361.40100000000001</v>
      </c>
      <c r="J613" s="62">
        <v>877.59900000000005</v>
      </c>
      <c r="K613" s="62">
        <v>3654.5230000000001</v>
      </c>
      <c r="L613" s="62">
        <v>149.303</v>
      </c>
      <c r="M613" s="62">
        <v>3958.9479999999999</v>
      </c>
      <c r="N613" s="62">
        <v>166.27600000000001</v>
      </c>
      <c r="O613" s="66">
        <v>21.16</v>
      </c>
      <c r="P613" s="61">
        <v>5387.5640000000003</v>
      </c>
      <c r="Q613" s="62">
        <v>226.27799999999999</v>
      </c>
      <c r="R613" s="62">
        <v>29.599</v>
      </c>
      <c r="S613" s="62">
        <v>813</v>
      </c>
      <c r="T613" s="62"/>
      <c r="U613" s="62">
        <v>4992.7749999999996</v>
      </c>
      <c r="V613" s="62">
        <v>1324.84</v>
      </c>
      <c r="W613" s="62">
        <v>4875.7240000000002</v>
      </c>
      <c r="X613" s="62">
        <v>202.33099999999999</v>
      </c>
      <c r="Y613" s="61">
        <v>26.466999999999999</v>
      </c>
      <c r="Z613" s="63">
        <f t="shared" si="51"/>
        <v>26.466999999999999</v>
      </c>
      <c r="AA613" s="64" t="s">
        <v>116</v>
      </c>
      <c r="AB613" s="62" t="s">
        <v>116</v>
      </c>
      <c r="AC613" s="62">
        <v>591.80100000000004</v>
      </c>
      <c r="AD613" s="62">
        <v>24.856000000000002</v>
      </c>
      <c r="AE613" s="62">
        <v>3.1709999999999998</v>
      </c>
      <c r="AF613" s="62" t="s">
        <v>140</v>
      </c>
      <c r="AG613" s="62">
        <v>300.70699999999999</v>
      </c>
      <c r="AH613" s="62">
        <v>-24.623000000000001</v>
      </c>
      <c r="AI613" s="62">
        <v>616.42399999999998</v>
      </c>
      <c r="AJ613" s="62">
        <v>25.89</v>
      </c>
      <c r="AK613" s="64">
        <v>3.3029999999999999</v>
      </c>
      <c r="AL613" s="23">
        <v>153548</v>
      </c>
      <c r="AM613" s="23">
        <v>120325</v>
      </c>
      <c r="AN613" s="23">
        <v>3868</v>
      </c>
      <c r="AO613" s="23">
        <v>113783</v>
      </c>
      <c r="AP613" s="23">
        <v>33740</v>
      </c>
      <c r="AQ613" s="23">
        <v>146576</v>
      </c>
      <c r="AR613" s="68">
        <v>4611.6000000000004</v>
      </c>
      <c r="AS613" s="68">
        <v>6426</v>
      </c>
      <c r="AT613" s="65">
        <f t="shared" si="47"/>
        <v>4778.8860000000004</v>
      </c>
      <c r="AU613" s="65">
        <f t="shared" si="48"/>
        <v>162.45599999999999</v>
      </c>
      <c r="AV613" s="65">
        <f t="shared" si="49"/>
        <v>1417.08</v>
      </c>
      <c r="AW613" s="65">
        <f t="shared" si="50"/>
        <v>6449.0159999999996</v>
      </c>
      <c r="AX613" s="65">
        <f t="shared" si="50"/>
        <v>5053.6499999999996</v>
      </c>
      <c r="AY613" s="65">
        <f t="shared" si="46"/>
        <v>6156.192</v>
      </c>
      <c r="AZ613" s="19">
        <v>50993</v>
      </c>
      <c r="BA613" s="19">
        <v>48526</v>
      </c>
      <c r="BB613" s="19">
        <v>38908</v>
      </c>
      <c r="BC613" s="19">
        <v>2651</v>
      </c>
      <c r="BD613" s="19">
        <v>5745</v>
      </c>
      <c r="BE613" s="23">
        <v>50940.964</v>
      </c>
      <c r="BF613" s="23">
        <v>155549.13</v>
      </c>
      <c r="BG613" s="67">
        <v>3.8981479999999999</v>
      </c>
      <c r="BH613" s="67">
        <v>1.623478</v>
      </c>
      <c r="BI613" s="67">
        <v>77.69</v>
      </c>
      <c r="BJ613" s="67">
        <v>2.83</v>
      </c>
      <c r="BK613" s="67">
        <v>2.79</v>
      </c>
      <c r="BL613" s="67">
        <v>2.2999999999999998</v>
      </c>
      <c r="BM613" s="62"/>
      <c r="BN613" s="62"/>
      <c r="BO613" s="62"/>
      <c r="BP613" s="62"/>
      <c r="BQ613" s="62"/>
      <c r="BR613" s="62"/>
      <c r="BS613" s="62"/>
      <c r="BT613" s="62"/>
      <c r="BU613" s="62"/>
      <c r="BV613" s="62"/>
      <c r="BW613" s="62"/>
      <c r="BX613" s="62"/>
      <c r="BY613" s="62"/>
      <c r="BZ613" s="62"/>
      <c r="CA613" s="62"/>
      <c r="CB613" s="62"/>
      <c r="CC613" s="62"/>
      <c r="CD613" s="62"/>
      <c r="CE613" s="62"/>
      <c r="CF613" s="62"/>
      <c r="CG613" s="62"/>
      <c r="CH613" s="62"/>
      <c r="CI613" s="62"/>
      <c r="CJ613" s="62"/>
      <c r="CK613" s="62"/>
      <c r="CL613" s="62"/>
      <c r="CM613" s="62"/>
      <c r="CN613" s="62"/>
      <c r="CO613" s="62"/>
      <c r="CP613" s="62"/>
      <c r="CQ613" s="62"/>
      <c r="CR613" s="62"/>
      <c r="CS613" s="62"/>
      <c r="CT613" s="62"/>
      <c r="CU613" s="62"/>
      <c r="CV613" s="62"/>
      <c r="CW613" s="62"/>
      <c r="CX613" s="62"/>
      <c r="CY613" s="62"/>
      <c r="CZ613" s="62"/>
      <c r="DA613" s="62"/>
      <c r="DB613" s="62"/>
      <c r="DC613" s="62"/>
      <c r="DD613" s="62"/>
      <c r="DE613" s="62"/>
      <c r="DF613" s="62"/>
      <c r="DG613" s="62"/>
      <c r="DH613" s="62"/>
      <c r="DI613" s="62"/>
      <c r="DJ613" s="62"/>
      <c r="DK613" s="62"/>
      <c r="DL613" s="62"/>
    </row>
    <row r="614" spans="1:116" x14ac:dyDescent="0.2">
      <c r="A614" s="57">
        <v>45261</v>
      </c>
      <c r="B614" s="58">
        <v>2023</v>
      </c>
      <c r="C614" s="66">
        <v>17.853000000000002</v>
      </c>
      <c r="D614" s="62">
        <v>0.24299999999999999</v>
      </c>
      <c r="E614" s="62">
        <v>3286.0569999999998</v>
      </c>
      <c r="F614" s="62">
        <v>138.01400000000001</v>
      </c>
      <c r="G614" s="62">
        <v>17.61</v>
      </c>
      <c r="H614" s="62">
        <v>1031</v>
      </c>
      <c r="I614" s="62">
        <v>391.13799999999998</v>
      </c>
      <c r="J614" s="62">
        <v>639.86199999999997</v>
      </c>
      <c r="K614" s="62">
        <v>3813.4740000000002</v>
      </c>
      <c r="L614" s="62">
        <v>158.95099999999999</v>
      </c>
      <c r="M614" s="62">
        <v>3766.9679999999998</v>
      </c>
      <c r="N614" s="62">
        <v>158.21299999999999</v>
      </c>
      <c r="O614" s="66">
        <v>20.219000000000001</v>
      </c>
      <c r="P614" s="61">
        <v>6492.7250000000004</v>
      </c>
      <c r="Q614" s="62">
        <v>272.69400000000002</v>
      </c>
      <c r="R614" s="62">
        <v>35.670999999999999</v>
      </c>
      <c r="S614" s="62">
        <v>1052</v>
      </c>
      <c r="T614" s="62"/>
      <c r="U614" s="62">
        <v>5477.77</v>
      </c>
      <c r="V614" s="62">
        <v>484.995</v>
      </c>
      <c r="W614" s="62">
        <v>7059.73</v>
      </c>
      <c r="X614" s="62">
        <v>293.12900000000002</v>
      </c>
      <c r="Y614" s="61">
        <v>38.344000000000001</v>
      </c>
      <c r="Z614" s="63">
        <f t="shared" si="51"/>
        <v>38.344000000000001</v>
      </c>
      <c r="AA614" s="64" t="s">
        <v>116</v>
      </c>
      <c r="AB614" s="62" t="s">
        <v>116</v>
      </c>
      <c r="AC614" s="62">
        <v>721.34900000000005</v>
      </c>
      <c r="AD614" s="62">
        <v>30.297000000000001</v>
      </c>
      <c r="AE614" s="62">
        <v>3.8660000000000001</v>
      </c>
      <c r="AF614" s="62">
        <v>48</v>
      </c>
      <c r="AG614" s="62">
        <v>304.726</v>
      </c>
      <c r="AH614" s="62">
        <v>4.0190000000000001</v>
      </c>
      <c r="AI614" s="62">
        <v>765.33</v>
      </c>
      <c r="AJ614" s="62">
        <v>32.143999999999998</v>
      </c>
      <c r="AK614" s="64">
        <v>4.101</v>
      </c>
      <c r="AL614" s="23">
        <v>162550</v>
      </c>
      <c r="AM614" s="23">
        <v>112027</v>
      </c>
      <c r="AN614" s="23">
        <v>6984</v>
      </c>
      <c r="AO614" s="23">
        <v>130713</v>
      </c>
      <c r="AP614" s="23">
        <v>40573</v>
      </c>
      <c r="AQ614" s="23">
        <v>155528</v>
      </c>
      <c r="AR614" s="68">
        <v>4348.68</v>
      </c>
      <c r="AS614" s="68">
        <v>6822.4800000000005</v>
      </c>
      <c r="AT614" s="65">
        <f t="shared" si="47"/>
        <v>5489.9459999999999</v>
      </c>
      <c r="AU614" s="65">
        <f t="shared" si="48"/>
        <v>293.32799999999997</v>
      </c>
      <c r="AV614" s="65">
        <f t="shared" si="49"/>
        <v>1704.066</v>
      </c>
      <c r="AW614" s="65">
        <f t="shared" si="50"/>
        <v>6827.1</v>
      </c>
      <c r="AX614" s="65">
        <f t="shared" si="50"/>
        <v>4705.134</v>
      </c>
      <c r="AY614" s="65">
        <f t="shared" si="46"/>
        <v>6532.1760000000004</v>
      </c>
      <c r="AZ614" s="19">
        <v>56670</v>
      </c>
      <c r="BA614" s="19">
        <v>51901</v>
      </c>
      <c r="BB614" s="19">
        <v>39762</v>
      </c>
      <c r="BC614" s="19">
        <v>3903</v>
      </c>
      <c r="BD614" s="19">
        <v>7825</v>
      </c>
      <c r="BE614" s="23">
        <v>55131.78</v>
      </c>
      <c r="BF614" s="23">
        <v>158044.13500000001</v>
      </c>
      <c r="BG614" s="67">
        <v>3.5955010000000001</v>
      </c>
      <c r="BH614" s="67">
        <v>1.6681969999999999</v>
      </c>
      <c r="BI614" s="67">
        <v>71.900000000000006</v>
      </c>
      <c r="BJ614" s="67">
        <v>2.54</v>
      </c>
      <c r="BK614" s="67">
        <v>2.4500000000000002</v>
      </c>
      <c r="BL614" s="67">
        <v>2.2000000000000002</v>
      </c>
      <c r="BM614" s="62"/>
      <c r="BN614" s="62"/>
      <c r="BO614" s="62"/>
      <c r="BP614" s="62"/>
      <c r="BQ614" s="62"/>
      <c r="BR614" s="62"/>
      <c r="BS614" s="62"/>
      <c r="BT614" s="62"/>
      <c r="BU614" s="62"/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/>
      <c r="CP614" s="62"/>
      <c r="CQ614" s="62"/>
      <c r="CR614" s="62"/>
      <c r="CS614" s="62"/>
      <c r="CT614" s="62"/>
      <c r="CU614" s="62"/>
      <c r="CV614" s="62"/>
      <c r="CW614" s="62"/>
      <c r="CX614" s="62"/>
      <c r="CY614" s="62"/>
      <c r="CZ614" s="62"/>
      <c r="DA614" s="62"/>
      <c r="DB614" s="62"/>
      <c r="DC614" s="62"/>
      <c r="DD614" s="62"/>
      <c r="DE614" s="62"/>
      <c r="DF614" s="62"/>
      <c r="DG614" s="62"/>
      <c r="DH614" s="62"/>
      <c r="DI614" s="62"/>
      <c r="DJ614" s="62"/>
      <c r="DK614" s="62"/>
      <c r="DL614" s="62"/>
    </row>
    <row r="615" spans="1:116" x14ac:dyDescent="0.2">
      <c r="A615" s="57">
        <v>45292</v>
      </c>
      <c r="B615" s="58">
        <f>YEAR(A615)</f>
        <v>2024</v>
      </c>
      <c r="C615" s="66">
        <v>16.452000000000002</v>
      </c>
      <c r="D615" s="62">
        <v>0.224</v>
      </c>
      <c r="E615" s="62">
        <v>3028.1350000000002</v>
      </c>
      <c r="F615" s="62">
        <v>127.182</v>
      </c>
      <c r="G615" s="62">
        <v>16.228000000000002</v>
      </c>
      <c r="H615" s="62">
        <v>1179</v>
      </c>
      <c r="I615" s="62">
        <v>122.157</v>
      </c>
      <c r="J615" s="62">
        <v>1056.8430000000001</v>
      </c>
      <c r="K615" s="62">
        <v>4205.152</v>
      </c>
      <c r="L615" s="62">
        <v>377.678</v>
      </c>
      <c r="M615" s="62">
        <v>3707.3</v>
      </c>
      <c r="N615" s="62">
        <v>155.70699999999999</v>
      </c>
      <c r="O615" s="66">
        <v>19.867000000000001</v>
      </c>
      <c r="P615" s="61">
        <v>5649.0940000000001</v>
      </c>
      <c r="Q615" s="62">
        <v>237.262</v>
      </c>
      <c r="R615" s="62">
        <v>31.036000000000001</v>
      </c>
      <c r="S615" s="62">
        <v>855</v>
      </c>
      <c r="T615" s="62"/>
      <c r="U615" s="62">
        <v>6379.3450000000003</v>
      </c>
      <c r="V615" s="62">
        <v>901.57500000000005</v>
      </c>
      <c r="W615" s="62">
        <v>5602.5190000000002</v>
      </c>
      <c r="X615" s="62">
        <v>235.30600000000001</v>
      </c>
      <c r="Y615" s="61">
        <v>30.78</v>
      </c>
      <c r="Z615" s="63">
        <f t="shared" si="51"/>
        <v>30.78</v>
      </c>
      <c r="AA615" s="64" t="s">
        <v>116</v>
      </c>
      <c r="AB615" s="62" t="s">
        <v>116</v>
      </c>
      <c r="AC615" s="62">
        <v>596.80600000000004</v>
      </c>
      <c r="AD615" s="62">
        <v>25.065999999999999</v>
      </c>
      <c r="AE615" s="62">
        <v>3.198</v>
      </c>
      <c r="AF615" s="62" t="s">
        <v>140</v>
      </c>
      <c r="AG615" s="62">
        <v>259.262</v>
      </c>
      <c r="AH615" s="62">
        <v>-45.463999999999999</v>
      </c>
      <c r="AI615" s="62">
        <v>642.27</v>
      </c>
      <c r="AJ615" s="62">
        <v>26.975000000000001</v>
      </c>
      <c r="AK615" s="64">
        <v>3.4420000000000002</v>
      </c>
      <c r="AL615" s="23">
        <v>144034</v>
      </c>
      <c r="AM615" s="23">
        <v>119956</v>
      </c>
      <c r="AN615" s="23">
        <v>5733</v>
      </c>
      <c r="AO615" s="23">
        <v>128691</v>
      </c>
      <c r="AP615" s="23">
        <v>31828</v>
      </c>
      <c r="AQ615" s="23">
        <v>137251</v>
      </c>
      <c r="AR615" s="68">
        <v>4543.9800000000005</v>
      </c>
      <c r="AS615" s="68">
        <v>6379.8</v>
      </c>
      <c r="AT615" s="65">
        <f t="shared" si="47"/>
        <v>5405.0219999999999</v>
      </c>
      <c r="AU615" s="65">
        <f t="shared" si="48"/>
        <v>240.786</v>
      </c>
      <c r="AV615" s="65">
        <f t="shared" si="49"/>
        <v>1336.7760000000001</v>
      </c>
      <c r="AW615" s="65">
        <f t="shared" si="50"/>
        <v>6049.4279999999999</v>
      </c>
      <c r="AX615" s="65">
        <f t="shared" si="50"/>
        <v>5038.152</v>
      </c>
      <c r="AY615" s="65">
        <f t="shared" si="46"/>
        <v>5764.5420000000004</v>
      </c>
      <c r="AZ615" s="19">
        <v>52437</v>
      </c>
      <c r="BA615" s="19">
        <v>47622</v>
      </c>
      <c r="BB615" s="19">
        <v>41568</v>
      </c>
      <c r="BC615" s="19">
        <v>3800</v>
      </c>
      <c r="BD615" s="19">
        <v>6811</v>
      </c>
      <c r="BE615" s="23">
        <v>17218.402999999998</v>
      </c>
      <c r="BF615" s="23">
        <v>167713.715</v>
      </c>
      <c r="BG615" s="67">
        <v>3.820986</v>
      </c>
      <c r="BH615" s="67">
        <v>1.5362</v>
      </c>
      <c r="BI615" s="67">
        <v>74.150000000000006</v>
      </c>
      <c r="BJ615" s="67">
        <v>2.65</v>
      </c>
      <c r="BK615" s="67">
        <v>2.64</v>
      </c>
      <c r="BL615" s="67">
        <v>2.2599999999999998</v>
      </c>
      <c r="BM615" s="62"/>
      <c r="BN615" s="62"/>
      <c r="BO615" s="62"/>
      <c r="BP615" s="62"/>
      <c r="BQ615" s="62"/>
      <c r="BR615" s="62"/>
      <c r="BS615" s="62"/>
      <c r="BT615" s="62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62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  <c r="DK615" s="62"/>
      <c r="DL615" s="62"/>
    </row>
    <row r="616" spans="1:116" x14ac:dyDescent="0.2">
      <c r="A616" s="57">
        <v>45323</v>
      </c>
      <c r="B616" s="58">
        <f>YEAR(A616)</f>
        <v>2024</v>
      </c>
      <c r="C616" s="66">
        <v>16.236999999999998</v>
      </c>
      <c r="D616" s="62">
        <v>0.221</v>
      </c>
      <c r="E616" s="62">
        <v>2988.59</v>
      </c>
      <c r="F616" s="62">
        <v>125.521</v>
      </c>
      <c r="G616" s="62">
        <v>16.015999999999998</v>
      </c>
      <c r="H616" s="62">
        <v>1572</v>
      </c>
      <c r="I616" s="62">
        <v>213.11</v>
      </c>
      <c r="J616" s="62">
        <v>1358.89</v>
      </c>
      <c r="K616" s="62">
        <v>4564.0770000000002</v>
      </c>
      <c r="L616" s="62">
        <v>358.92500000000001</v>
      </c>
      <c r="M616" s="62">
        <v>3988.5549999999998</v>
      </c>
      <c r="N616" s="62">
        <v>167.51900000000001</v>
      </c>
      <c r="O616" s="66">
        <v>21.375</v>
      </c>
      <c r="P616" s="61">
        <v>5624.2489999999998</v>
      </c>
      <c r="Q616" s="62">
        <v>236.21799999999999</v>
      </c>
      <c r="R616" s="62">
        <v>30.9</v>
      </c>
      <c r="S616" s="62">
        <v>999</v>
      </c>
      <c r="T616" s="62"/>
      <c r="U616" s="62">
        <v>6290.42</v>
      </c>
      <c r="V616" s="62">
        <v>-88.924999999999997</v>
      </c>
      <c r="W616" s="62">
        <v>6712.174</v>
      </c>
      <c r="X616" s="62">
        <v>281.911</v>
      </c>
      <c r="Y616" s="61">
        <v>36.877000000000002</v>
      </c>
      <c r="Z616" s="63">
        <f t="shared" si="51"/>
        <v>36.877000000000002</v>
      </c>
      <c r="AA616" s="64" t="s">
        <v>116</v>
      </c>
      <c r="AB616" s="62" t="s">
        <v>116</v>
      </c>
      <c r="AC616" s="62">
        <v>619.76599999999996</v>
      </c>
      <c r="AD616" s="62">
        <v>26.03</v>
      </c>
      <c r="AE616" s="62">
        <v>3.3210000000000002</v>
      </c>
      <c r="AF616" s="62" t="s">
        <v>140</v>
      </c>
      <c r="AG616" s="62">
        <v>295.32100000000003</v>
      </c>
      <c r="AH616" s="62">
        <v>36.058999999999997</v>
      </c>
      <c r="AI616" s="62">
        <v>583.70699999999999</v>
      </c>
      <c r="AJ616" s="62">
        <v>24.515999999999998</v>
      </c>
      <c r="AK616" s="64">
        <v>3.1280000000000001</v>
      </c>
      <c r="AL616" s="23">
        <v>125228</v>
      </c>
      <c r="AM616" s="23">
        <v>113662</v>
      </c>
      <c r="AN616" s="23">
        <v>5103</v>
      </c>
      <c r="AO616" s="23">
        <v>117796</v>
      </c>
      <c r="AP616" s="23">
        <v>27562</v>
      </c>
      <c r="AQ616" s="23">
        <v>119695</v>
      </c>
      <c r="AR616" s="63"/>
      <c r="AS616" s="63"/>
      <c r="AT616" s="65">
        <f t="shared" si="47"/>
        <v>4947.4319999999998</v>
      </c>
      <c r="AU616" s="65">
        <f t="shared" si="48"/>
        <v>214.32599999999999</v>
      </c>
      <c r="AV616" s="65">
        <f t="shared" si="49"/>
        <v>1157.604</v>
      </c>
      <c r="AW616" s="65">
        <f t="shared" si="50"/>
        <v>5259.576</v>
      </c>
      <c r="AX616" s="65">
        <f t="shared" si="50"/>
        <v>4773.8040000000001</v>
      </c>
      <c r="AY616" s="65">
        <f t="shared" si="46"/>
        <v>5027.1899999999996</v>
      </c>
      <c r="AZ616" s="19">
        <v>47686</v>
      </c>
      <c r="BA616" s="19">
        <v>45355</v>
      </c>
      <c r="BB616" s="19">
        <v>39857</v>
      </c>
      <c r="BC616" s="19">
        <v>2624</v>
      </c>
      <c r="BD616" s="19">
        <v>6676</v>
      </c>
      <c r="BE616" s="23">
        <v>30040.774000000001</v>
      </c>
      <c r="BF616" s="23">
        <v>180488.00700000001</v>
      </c>
      <c r="BG616" s="67">
        <v>3.8695970000000002</v>
      </c>
      <c r="BH616" s="67">
        <v>1.563982</v>
      </c>
      <c r="BI616" s="67">
        <v>77.25</v>
      </c>
      <c r="BJ616" s="67">
        <v>2.78</v>
      </c>
      <c r="BK616" s="67">
        <v>2.74</v>
      </c>
      <c r="BL616" s="67">
        <v>2.44</v>
      </c>
      <c r="BM616" s="62"/>
      <c r="BN616" s="62"/>
      <c r="BO616" s="62"/>
      <c r="BP616" s="62"/>
      <c r="BQ616" s="62"/>
      <c r="BR616" s="62"/>
      <c r="BS616" s="62"/>
      <c r="BT616" s="62"/>
      <c r="BU616" s="62"/>
      <c r="BV616" s="62"/>
      <c r="BW616" s="62"/>
      <c r="BX616" s="62"/>
      <c r="BY616" s="62"/>
      <c r="BZ616" s="62"/>
      <c r="CA616" s="62"/>
      <c r="CB616" s="62"/>
      <c r="CC616" s="62"/>
      <c r="CD616" s="62"/>
      <c r="CE616" s="62"/>
      <c r="CF616" s="62"/>
      <c r="CG616" s="62"/>
      <c r="CH616" s="62"/>
      <c r="CI616" s="62"/>
      <c r="CJ616" s="62"/>
      <c r="CK616" s="62"/>
      <c r="CL616" s="62"/>
      <c r="CM616" s="62"/>
      <c r="CN616" s="62"/>
      <c r="CO616" s="62"/>
      <c r="CP616" s="62"/>
      <c r="CQ616" s="62"/>
      <c r="CR616" s="62"/>
      <c r="CS616" s="62"/>
      <c r="CT616" s="62"/>
      <c r="CU616" s="62"/>
      <c r="CV616" s="62"/>
      <c r="CW616" s="62"/>
      <c r="CX616" s="62"/>
      <c r="CY616" s="62"/>
      <c r="CZ616" s="62"/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  <c r="DK616" s="62"/>
      <c r="DL616" s="62"/>
    </row>
    <row r="617" spans="1:116" x14ac:dyDescent="0.2">
      <c r="A617" s="57">
        <v>45352</v>
      </c>
      <c r="B617" s="58">
        <f t="shared" ref="B617:B650" si="52">YEAR(A617)</f>
        <v>2024</v>
      </c>
      <c r="C617" s="66">
        <v>17.545999999999999</v>
      </c>
      <c r="D617" s="62">
        <v>0.23899999999999999</v>
      </c>
      <c r="E617" s="62">
        <v>3229.529</v>
      </c>
      <c r="F617" s="62">
        <v>135.63999999999999</v>
      </c>
      <c r="G617" s="62">
        <v>17.306999999999999</v>
      </c>
      <c r="H617" s="62">
        <v>658</v>
      </c>
      <c r="I617" s="62">
        <v>326.33600000000001</v>
      </c>
      <c r="J617" s="62">
        <v>331.66399999999999</v>
      </c>
      <c r="K617" s="62">
        <v>4400.7629999999999</v>
      </c>
      <c r="L617" s="62">
        <v>-163.31399999999999</v>
      </c>
      <c r="M617" s="62">
        <v>3724.5070000000001</v>
      </c>
      <c r="N617" s="62">
        <v>156.429</v>
      </c>
      <c r="O617" s="66">
        <v>19.96</v>
      </c>
      <c r="P617" s="61">
        <v>5984.4650000000001</v>
      </c>
      <c r="Q617" s="62">
        <v>251.34800000000001</v>
      </c>
      <c r="R617" s="62">
        <v>32.878999999999998</v>
      </c>
      <c r="S617" s="62">
        <v>1048</v>
      </c>
      <c r="T617" s="62"/>
      <c r="U617" s="62">
        <v>6291.8109999999997</v>
      </c>
      <c r="V617" s="62">
        <v>1.391</v>
      </c>
      <c r="W617" s="62">
        <v>7031.0739999999996</v>
      </c>
      <c r="X617" s="62">
        <v>295.30500000000001</v>
      </c>
      <c r="Y617" s="61">
        <v>38.628999999999998</v>
      </c>
      <c r="Z617" s="63">
        <f t="shared" si="51"/>
        <v>38.628999999999998</v>
      </c>
      <c r="AA617" s="64" t="s">
        <v>116</v>
      </c>
      <c r="AB617" s="62" t="s">
        <v>116</v>
      </c>
      <c r="AC617" s="62">
        <v>639.76499999999999</v>
      </c>
      <c r="AD617" s="62">
        <v>26.87</v>
      </c>
      <c r="AE617" s="62">
        <v>3.4289999999999998</v>
      </c>
      <c r="AF617" s="62" t="s">
        <v>140</v>
      </c>
      <c r="AG617" s="62">
        <v>343.47699999999998</v>
      </c>
      <c r="AH617" s="62">
        <v>48.155999999999999</v>
      </c>
      <c r="AI617" s="62">
        <v>591.60900000000004</v>
      </c>
      <c r="AJ617" s="62">
        <v>24.847999999999999</v>
      </c>
      <c r="AK617" s="64">
        <v>3.17</v>
      </c>
      <c r="AL617" s="23">
        <v>146593</v>
      </c>
      <c r="AM617" s="23">
        <v>113882</v>
      </c>
      <c r="AN617" s="23">
        <v>5596</v>
      </c>
      <c r="AO617" s="23">
        <v>121165</v>
      </c>
      <c r="AP617" s="23">
        <v>34936</v>
      </c>
      <c r="AQ617" s="23">
        <v>140226</v>
      </c>
      <c r="AR617" s="63"/>
      <c r="AS617" s="63"/>
      <c r="AT617" s="65">
        <f t="shared" si="47"/>
        <v>5088.93</v>
      </c>
      <c r="AU617" s="65">
        <f t="shared" si="48"/>
        <v>235.03200000000001</v>
      </c>
      <c r="AV617" s="65">
        <f t="shared" si="49"/>
        <v>1467.3119999999999</v>
      </c>
      <c r="AW617" s="65">
        <f t="shared" si="50"/>
        <v>6156.9059999999999</v>
      </c>
      <c r="AX617" s="65">
        <f t="shared" si="50"/>
        <v>4783.0439999999999</v>
      </c>
      <c r="AY617" s="65">
        <f t="shared" si="46"/>
        <v>5889.4920000000002</v>
      </c>
      <c r="AZ617" s="19">
        <v>54495</v>
      </c>
      <c r="BA617" s="19">
        <v>51177</v>
      </c>
      <c r="BB617" s="19">
        <v>42170</v>
      </c>
      <c r="BC617" s="19">
        <v>4617</v>
      </c>
      <c r="BD617" s="19">
        <v>5641</v>
      </c>
      <c r="BE617" s="23">
        <v>45997.428</v>
      </c>
      <c r="BF617" s="23">
        <v>116141.106</v>
      </c>
      <c r="BG617" s="67">
        <v>3.622706</v>
      </c>
      <c r="BH617" s="67">
        <v>1.650865</v>
      </c>
      <c r="BI617" s="67">
        <v>81.28</v>
      </c>
      <c r="BJ617" s="67">
        <v>2.67</v>
      </c>
      <c r="BK617" s="67">
        <v>2.65</v>
      </c>
      <c r="BL617" s="67">
        <v>2.65</v>
      </c>
      <c r="BM617" s="62"/>
      <c r="BN617" s="62"/>
      <c r="BO617" s="62"/>
      <c r="BP617" s="62"/>
      <c r="BQ617" s="62"/>
      <c r="BR617" s="62"/>
      <c r="BS617" s="62"/>
      <c r="BT617" s="62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62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  <c r="DK617" s="62"/>
      <c r="DL617" s="62"/>
    </row>
    <row r="618" spans="1:116" x14ac:dyDescent="0.2">
      <c r="A618" s="57">
        <v>45383</v>
      </c>
      <c r="B618" s="58">
        <f t="shared" si="52"/>
        <v>2024</v>
      </c>
      <c r="C618" s="66">
        <v>17.274000000000001</v>
      </c>
      <c r="D618" s="62">
        <v>0.23499999999999999</v>
      </c>
      <c r="E618" s="62">
        <v>3179.5430000000001</v>
      </c>
      <c r="F618" s="62">
        <v>133.541</v>
      </c>
      <c r="G618" s="62">
        <v>17.039000000000001</v>
      </c>
      <c r="H618" s="62">
        <v>1452</v>
      </c>
      <c r="I618" s="62">
        <v>427.80799999999999</v>
      </c>
      <c r="J618" s="62">
        <v>1024.192</v>
      </c>
      <c r="K618" s="62">
        <v>4413.0780000000004</v>
      </c>
      <c r="L618" s="62">
        <v>12.315</v>
      </c>
      <c r="M618" s="62">
        <v>4191.42</v>
      </c>
      <c r="N618" s="62">
        <v>176.04</v>
      </c>
      <c r="O618" s="66">
        <v>22.462</v>
      </c>
      <c r="P618" s="61">
        <v>6221.991</v>
      </c>
      <c r="Q618" s="62">
        <v>261.32400000000001</v>
      </c>
      <c r="R618" s="62">
        <v>34.183999999999997</v>
      </c>
      <c r="S618" s="62">
        <v>1025</v>
      </c>
      <c r="T618" s="62"/>
      <c r="U618" s="62">
        <v>6719.8940000000002</v>
      </c>
      <c r="V618" s="62">
        <v>428.08300000000003</v>
      </c>
      <c r="W618" s="62">
        <v>6818.9080000000004</v>
      </c>
      <c r="X618" s="62">
        <v>286.39400000000001</v>
      </c>
      <c r="Y618" s="61">
        <v>37.463000000000001</v>
      </c>
      <c r="Z618" s="63">
        <f t="shared" si="51"/>
        <v>37.463000000000001</v>
      </c>
      <c r="AA618" s="64" t="s">
        <v>116</v>
      </c>
      <c r="AB618" s="62" t="s">
        <v>116</v>
      </c>
      <c r="AC618" s="62">
        <v>651.15800000000002</v>
      </c>
      <c r="AD618" s="62">
        <v>27.349</v>
      </c>
      <c r="AE618" s="62">
        <v>3.49</v>
      </c>
      <c r="AF618" s="62" t="s">
        <v>140</v>
      </c>
      <c r="AG618" s="62">
        <v>338.06799999999998</v>
      </c>
      <c r="AH618" s="62">
        <v>-5.4089999999999998</v>
      </c>
      <c r="AI618" s="62">
        <v>656.56700000000001</v>
      </c>
      <c r="AJ618" s="62">
        <v>27.576000000000001</v>
      </c>
      <c r="AK618" s="64">
        <v>3.5190000000000001</v>
      </c>
      <c r="AL618" s="23">
        <v>143716</v>
      </c>
      <c r="AM618" s="23">
        <v>114017</v>
      </c>
      <c r="AN618" s="23">
        <v>3835</v>
      </c>
      <c r="AO618" s="23">
        <v>117842</v>
      </c>
      <c r="AP618" s="23">
        <v>36855</v>
      </c>
      <c r="AQ618" s="23">
        <v>137555</v>
      </c>
      <c r="AR618" s="69"/>
      <c r="AS618" s="69"/>
      <c r="AT618" s="65">
        <f t="shared" si="47"/>
        <v>4949.3639999999996</v>
      </c>
      <c r="AU618" s="65">
        <f t="shared" si="48"/>
        <v>161.07</v>
      </c>
      <c r="AV618" s="65">
        <f t="shared" si="49"/>
        <v>1547.91</v>
      </c>
      <c r="AW618" s="65">
        <f t="shared" si="50"/>
        <v>6036.0720000000001</v>
      </c>
      <c r="AX618" s="65">
        <f t="shared" si="50"/>
        <v>4788.7139999999999</v>
      </c>
      <c r="AY618" s="65">
        <f t="shared" si="46"/>
        <v>5777.31</v>
      </c>
      <c r="AZ618" s="19">
        <v>52616</v>
      </c>
      <c r="BA618" s="19">
        <v>51254</v>
      </c>
      <c r="BB618" s="19">
        <v>41572</v>
      </c>
      <c r="BC618" s="19">
        <v>3805</v>
      </c>
      <c r="BD618" s="19">
        <v>5784</v>
      </c>
      <c r="BE618" s="23">
        <v>60301.09</v>
      </c>
      <c r="BF618" s="23">
        <v>207932.57399999999</v>
      </c>
      <c r="BG618" s="67">
        <v>3.7361970000000002</v>
      </c>
      <c r="BH618" s="67">
        <v>1.708474</v>
      </c>
      <c r="BI618" s="67">
        <v>85.35</v>
      </c>
      <c r="BJ618" s="67">
        <v>2.64</v>
      </c>
      <c r="BK618" s="67">
        <v>2.66</v>
      </c>
      <c r="BL618" s="67">
        <v>2.8</v>
      </c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62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  <c r="DK618" s="62"/>
      <c r="DL618" s="62"/>
    </row>
    <row r="619" spans="1:116" x14ac:dyDescent="0.2">
      <c r="A619" s="57">
        <v>45413</v>
      </c>
      <c r="B619" s="58">
        <f t="shared" si="52"/>
        <v>2024</v>
      </c>
      <c r="C619" s="66">
        <v>18.504999999999999</v>
      </c>
      <c r="D619" s="62">
        <v>0.252</v>
      </c>
      <c r="E619" s="62">
        <v>3406.1289999999999</v>
      </c>
      <c r="F619" s="62">
        <v>143.05699999999999</v>
      </c>
      <c r="G619" s="62">
        <v>18.253</v>
      </c>
      <c r="H619" s="62">
        <v>878</v>
      </c>
      <c r="I619" s="62">
        <v>503.69900000000001</v>
      </c>
      <c r="J619" s="62">
        <v>374.30099999999999</v>
      </c>
      <c r="K619" s="62">
        <v>4185.2740000000003</v>
      </c>
      <c r="L619" s="62">
        <v>-227.804</v>
      </c>
      <c r="M619" s="62">
        <v>4008.2339999999999</v>
      </c>
      <c r="N619" s="62">
        <v>168.346</v>
      </c>
      <c r="O619" s="66">
        <v>21.48</v>
      </c>
      <c r="P619" s="61">
        <v>5468.1369999999997</v>
      </c>
      <c r="Q619" s="62">
        <v>229.66200000000001</v>
      </c>
      <c r="R619" s="62">
        <v>30.042000000000002</v>
      </c>
      <c r="S619" s="62">
        <v>620</v>
      </c>
      <c r="T619" s="62"/>
      <c r="U619" s="62">
        <v>5887.1059999999998</v>
      </c>
      <c r="V619" s="62">
        <v>-832.78800000000001</v>
      </c>
      <c r="W619" s="62">
        <v>6920.9250000000002</v>
      </c>
      <c r="X619" s="62">
        <v>290.67899999999997</v>
      </c>
      <c r="Y619" s="61">
        <v>38.024000000000001</v>
      </c>
      <c r="Z619" s="63">
        <f t="shared" si="51"/>
        <v>38.024000000000001</v>
      </c>
      <c r="AA619" s="64" t="s">
        <v>116</v>
      </c>
      <c r="AB619" s="62" t="s">
        <v>116</v>
      </c>
      <c r="AC619" s="62">
        <v>511.66</v>
      </c>
      <c r="AD619" s="62">
        <v>21.49</v>
      </c>
      <c r="AE619" s="62">
        <v>2.742</v>
      </c>
      <c r="AF619" s="62" t="s">
        <v>140</v>
      </c>
      <c r="AG619" s="62">
        <v>407.35500000000002</v>
      </c>
      <c r="AH619" s="62">
        <v>69.287000000000006</v>
      </c>
      <c r="AI619" s="62">
        <v>442.37299999999999</v>
      </c>
      <c r="AJ619" s="62">
        <v>18.579999999999998</v>
      </c>
      <c r="AK619" s="64">
        <v>2.371</v>
      </c>
      <c r="AL619" s="23">
        <v>155306</v>
      </c>
      <c r="AM619" s="23">
        <v>117148</v>
      </c>
      <c r="AN619" s="23">
        <v>3825</v>
      </c>
      <c r="AO619" s="23">
        <v>120277</v>
      </c>
      <c r="AP619" s="23">
        <v>39549</v>
      </c>
      <c r="AQ619" s="23">
        <v>147960</v>
      </c>
      <c r="AR619" s="69"/>
      <c r="AS619" s="69"/>
      <c r="AT619" s="65">
        <f t="shared" si="47"/>
        <v>5051.634</v>
      </c>
      <c r="AU619" s="65">
        <f t="shared" si="48"/>
        <v>160.65</v>
      </c>
      <c r="AV619" s="65">
        <f t="shared" si="49"/>
        <v>1661.058</v>
      </c>
      <c r="AW619" s="65">
        <f t="shared" si="50"/>
        <v>6522.8519999999999</v>
      </c>
      <c r="AX619" s="65">
        <f t="shared" si="50"/>
        <v>4920.2160000000003</v>
      </c>
      <c r="AY619" s="65">
        <f t="shared" si="46"/>
        <v>6214.32</v>
      </c>
      <c r="AZ619" s="19">
        <v>56882</v>
      </c>
      <c r="BA619" s="19">
        <v>54813</v>
      </c>
      <c r="BB619" s="19">
        <v>42338</v>
      </c>
      <c r="BC619" s="19">
        <v>3569</v>
      </c>
      <c r="BD619" s="19">
        <v>4895</v>
      </c>
      <c r="BE619" s="23">
        <v>71011.967000000004</v>
      </c>
      <c r="BF619" s="23">
        <v>127104.69500000001</v>
      </c>
      <c r="BG619" s="67">
        <v>3.721136</v>
      </c>
      <c r="BH619" s="67">
        <v>1.7681519999999999</v>
      </c>
      <c r="BI619" s="67">
        <v>80.02</v>
      </c>
      <c r="BJ619" s="67">
        <v>2.44</v>
      </c>
      <c r="BK619" s="67">
        <v>2.44</v>
      </c>
      <c r="BL619" s="67">
        <v>2.54</v>
      </c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62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  <c r="DK619" s="62"/>
      <c r="DL619" s="62"/>
    </row>
    <row r="620" spans="1:116" x14ac:dyDescent="0.2">
      <c r="A620" s="57">
        <v>45444</v>
      </c>
      <c r="B620" s="58">
        <f t="shared" si="52"/>
        <v>2024</v>
      </c>
      <c r="C620" s="66">
        <v>18.306999999999999</v>
      </c>
      <c r="D620" s="62">
        <v>0.249</v>
      </c>
      <c r="E620" s="62">
        <v>3369.556</v>
      </c>
      <c r="F620" s="62">
        <v>141.52099999999999</v>
      </c>
      <c r="G620" s="62">
        <v>18.056999999999999</v>
      </c>
      <c r="H620" s="62">
        <v>721</v>
      </c>
      <c r="I620" s="62">
        <v>479.637</v>
      </c>
      <c r="J620" s="62">
        <v>241.363</v>
      </c>
      <c r="K620" s="62">
        <v>3727.65</v>
      </c>
      <c r="L620" s="62">
        <v>-457.62400000000002</v>
      </c>
      <c r="M620" s="62">
        <v>4068.5430000000001</v>
      </c>
      <c r="N620" s="62">
        <v>170.87899999999999</v>
      </c>
      <c r="O620" s="66">
        <v>21.803000000000001</v>
      </c>
      <c r="P620" s="61">
        <v>7020.1319999999996</v>
      </c>
      <c r="Q620" s="62">
        <v>294.846</v>
      </c>
      <c r="R620" s="62">
        <v>38.569000000000003</v>
      </c>
      <c r="S620" s="62">
        <v>1455</v>
      </c>
      <c r="T620" s="62"/>
      <c r="U620" s="62">
        <v>6556.5839999999998</v>
      </c>
      <c r="V620" s="62">
        <v>669.47799999999995</v>
      </c>
      <c r="W620" s="62">
        <v>7805.6540000000005</v>
      </c>
      <c r="X620" s="62">
        <v>327.83699999999999</v>
      </c>
      <c r="Y620" s="61">
        <v>42.884</v>
      </c>
      <c r="Z620" s="63">
        <f t="shared" si="51"/>
        <v>42.884</v>
      </c>
      <c r="AA620" s="64" t="s">
        <v>116</v>
      </c>
      <c r="AB620" s="62" t="s">
        <v>116</v>
      </c>
      <c r="AC620" s="62">
        <v>651.41800000000001</v>
      </c>
      <c r="AD620" s="62">
        <v>27.36</v>
      </c>
      <c r="AE620" s="62">
        <v>3.4910000000000001</v>
      </c>
      <c r="AF620" s="62" t="s">
        <v>140</v>
      </c>
      <c r="AG620" s="62">
        <v>466.05700000000002</v>
      </c>
      <c r="AH620" s="62">
        <v>58.701999999999998</v>
      </c>
      <c r="AI620" s="62">
        <v>592.71600000000001</v>
      </c>
      <c r="AJ620" s="62">
        <v>24.893999999999998</v>
      </c>
      <c r="AK620" s="64">
        <v>3.1760000000000002</v>
      </c>
      <c r="AL620" s="23">
        <v>151134</v>
      </c>
      <c r="AM620" s="23">
        <v>107826</v>
      </c>
      <c r="AN620" s="23">
        <v>3234</v>
      </c>
      <c r="AO620" s="23">
        <v>123124</v>
      </c>
      <c r="AP620" s="23">
        <v>43695</v>
      </c>
      <c r="AQ620" s="23">
        <v>144572</v>
      </c>
      <c r="AR620" s="19"/>
      <c r="AS620" s="19"/>
      <c r="AT620" s="65">
        <f t="shared" si="47"/>
        <v>5171.2079999999996</v>
      </c>
      <c r="AU620" s="65">
        <f t="shared" si="48"/>
        <v>135.828</v>
      </c>
      <c r="AV620" s="65">
        <f t="shared" si="49"/>
        <v>1835.19</v>
      </c>
      <c r="AW620" s="65">
        <f t="shared" ref="AW620:AX626" si="53">AL620*42/1000</f>
        <v>6347.6279999999997</v>
      </c>
      <c r="AX620" s="65">
        <f t="shared" si="53"/>
        <v>4528.692</v>
      </c>
      <c r="AY620" s="65">
        <f t="shared" si="46"/>
        <v>6072.0240000000003</v>
      </c>
      <c r="AZ620" s="19">
        <v>57921</v>
      </c>
      <c r="BA620" s="19">
        <v>51305</v>
      </c>
      <c r="BB620" s="19">
        <v>45255</v>
      </c>
      <c r="BC620" s="19">
        <v>3514</v>
      </c>
      <c r="BD620" s="19">
        <v>7227</v>
      </c>
      <c r="BE620" s="23">
        <v>67622.785999999993</v>
      </c>
      <c r="BF620" s="23">
        <v>99610.101999999999</v>
      </c>
      <c r="BG620" s="67">
        <v>3.5344350000000002</v>
      </c>
      <c r="BH620" s="67">
        <v>1.7101710000000001</v>
      </c>
      <c r="BI620" s="67">
        <v>79.77</v>
      </c>
      <c r="BJ620" s="67">
        <v>2.4500000000000002</v>
      </c>
      <c r="BK620" s="67">
        <v>2.46</v>
      </c>
      <c r="BL620" s="67">
        <v>2.41</v>
      </c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62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  <c r="DK620" s="62"/>
      <c r="DL620" s="62"/>
    </row>
    <row r="621" spans="1:116" x14ac:dyDescent="0.2">
      <c r="A621" s="57">
        <v>45474</v>
      </c>
      <c r="B621" s="58">
        <f t="shared" si="52"/>
        <v>2024</v>
      </c>
      <c r="C621" s="66">
        <v>18.893999999999998</v>
      </c>
      <c r="D621" s="62">
        <v>0.25700000000000001</v>
      </c>
      <c r="E621" s="62">
        <v>3477.5459999999998</v>
      </c>
      <c r="F621" s="62">
        <v>146.05699999999999</v>
      </c>
      <c r="G621" s="62">
        <v>18.635999999999999</v>
      </c>
      <c r="H621" s="62">
        <v>599</v>
      </c>
      <c r="I621" s="62">
        <v>627.41300000000001</v>
      </c>
      <c r="J621" s="62">
        <v>-28.413</v>
      </c>
      <c r="K621" s="62">
        <v>3373.1219999999998</v>
      </c>
      <c r="L621" s="62">
        <v>-354.52800000000002</v>
      </c>
      <c r="M621" s="62">
        <v>3803.6610000000001</v>
      </c>
      <c r="N621" s="62">
        <v>159.75399999999999</v>
      </c>
      <c r="O621" s="66">
        <v>20.384</v>
      </c>
      <c r="P621" s="61">
        <v>6835.2179999999998</v>
      </c>
      <c r="Q621" s="62">
        <v>287.07900000000001</v>
      </c>
      <c r="R621" s="62">
        <v>37.552999999999997</v>
      </c>
      <c r="S621" s="62">
        <v>1595</v>
      </c>
      <c r="T621" s="62"/>
      <c r="U621" s="62">
        <v>6151.07</v>
      </c>
      <c r="V621" s="62">
        <v>-405.51400000000001</v>
      </c>
      <c r="W621" s="62">
        <v>8835.732</v>
      </c>
      <c r="X621" s="62">
        <v>371.101</v>
      </c>
      <c r="Y621" s="61">
        <v>48.543999999999997</v>
      </c>
      <c r="Z621" s="63">
        <f t="shared" si="51"/>
        <v>48.543999999999997</v>
      </c>
      <c r="AA621" s="64" t="s">
        <v>116</v>
      </c>
      <c r="AB621" s="62" t="s">
        <v>116</v>
      </c>
      <c r="AC621" s="62">
        <v>580.03899999999999</v>
      </c>
      <c r="AD621" s="62">
        <v>24.361999999999998</v>
      </c>
      <c r="AE621" s="62">
        <v>3.1080000000000001</v>
      </c>
      <c r="AF621" s="62" t="s">
        <v>140</v>
      </c>
      <c r="AG621" s="62">
        <v>406.57499999999999</v>
      </c>
      <c r="AH621" s="62">
        <v>-59.481999999999999</v>
      </c>
      <c r="AI621" s="62">
        <v>639.52099999999996</v>
      </c>
      <c r="AJ621" s="62">
        <v>26.86</v>
      </c>
      <c r="AK621" s="64">
        <v>3.427</v>
      </c>
      <c r="AL621" s="23">
        <v>159266</v>
      </c>
      <c r="AM621" s="23">
        <v>114476</v>
      </c>
      <c r="AN621" s="23">
        <v>3353</v>
      </c>
      <c r="AO621" s="23">
        <v>129603</v>
      </c>
      <c r="AP621" s="23">
        <v>41664</v>
      </c>
      <c r="AQ621" s="23">
        <v>153409</v>
      </c>
      <c r="AR621" s="19"/>
      <c r="AS621" s="19"/>
      <c r="AT621" s="65">
        <f t="shared" si="47"/>
        <v>5443.326</v>
      </c>
      <c r="AU621" s="65">
        <f t="shared" si="48"/>
        <v>140.82599999999999</v>
      </c>
      <c r="AV621" s="65">
        <f t="shared" si="49"/>
        <v>1749.8879999999999</v>
      </c>
      <c r="AW621" s="65">
        <f t="shared" si="53"/>
        <v>6689.1719999999996</v>
      </c>
      <c r="AX621" s="65">
        <f t="shared" si="53"/>
        <v>4807.9920000000002</v>
      </c>
      <c r="AY621" s="65">
        <f t="shared" si="46"/>
        <v>6443.1779999999999</v>
      </c>
      <c r="AZ621" s="19">
        <v>59599</v>
      </c>
      <c r="BA621" s="19">
        <v>56782</v>
      </c>
      <c r="BB621" s="19">
        <v>45394</v>
      </c>
      <c r="BC621" s="19">
        <v>2690</v>
      </c>
      <c r="BD621" s="19">
        <v>5385</v>
      </c>
      <c r="BE621" s="23">
        <v>88432.824999999997</v>
      </c>
      <c r="BF621" s="23">
        <v>86482.962</v>
      </c>
      <c r="BG621" s="67">
        <v>3.6344569999999998</v>
      </c>
      <c r="BH621" s="67">
        <v>1.83168</v>
      </c>
      <c r="BI621" s="67">
        <v>81.8</v>
      </c>
      <c r="BJ621" s="67">
        <v>2.48</v>
      </c>
      <c r="BK621" s="67">
        <v>2.48</v>
      </c>
      <c r="BL621" s="67">
        <v>2.4700000000000002</v>
      </c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62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  <c r="DK621" s="62"/>
      <c r="DL621" s="62"/>
    </row>
    <row r="622" spans="1:116" x14ac:dyDescent="0.2">
      <c r="A622" s="57">
        <v>45505</v>
      </c>
      <c r="B622" s="58">
        <f t="shared" si="52"/>
        <v>2024</v>
      </c>
      <c r="C622" s="66">
        <v>18.914999999999999</v>
      </c>
      <c r="D622" s="62">
        <v>0.25800000000000001</v>
      </c>
      <c r="E622" s="62">
        <v>3481.5729999999999</v>
      </c>
      <c r="F622" s="62">
        <v>146.226</v>
      </c>
      <c r="G622" s="62">
        <v>18.658000000000001</v>
      </c>
      <c r="H622" s="62">
        <v>551</v>
      </c>
      <c r="I622" s="62">
        <v>581.46199999999999</v>
      </c>
      <c r="J622" s="62">
        <v>-30.462</v>
      </c>
      <c r="K622" s="62">
        <v>3199.6019999999999</v>
      </c>
      <c r="L622" s="62">
        <v>-173.52099999999999</v>
      </c>
      <c r="M622" s="62">
        <v>3624.6320000000001</v>
      </c>
      <c r="N622" s="62">
        <v>152.23500000000001</v>
      </c>
      <c r="O622" s="66">
        <v>19.423999999999999</v>
      </c>
      <c r="P622" s="61">
        <v>6648.1189999999997</v>
      </c>
      <c r="Q622" s="62">
        <v>279.221</v>
      </c>
      <c r="R622" s="62">
        <v>36.524999999999999</v>
      </c>
      <c r="S622" s="62">
        <v>1354</v>
      </c>
      <c r="T622" s="62"/>
      <c r="U622" s="62">
        <v>6204.9830000000002</v>
      </c>
      <c r="V622" s="62">
        <v>53.912999999999997</v>
      </c>
      <c r="W622" s="62">
        <v>7948.2060000000001</v>
      </c>
      <c r="X622" s="62">
        <v>333.82499999999999</v>
      </c>
      <c r="Y622" s="61">
        <v>43.667000000000002</v>
      </c>
      <c r="Z622" s="63">
        <f t="shared" si="51"/>
        <v>43.667000000000002</v>
      </c>
      <c r="AA622" s="64" t="s">
        <v>116</v>
      </c>
      <c r="AB622" s="62" t="s">
        <v>116</v>
      </c>
      <c r="AC622" s="62">
        <v>700.01499999999999</v>
      </c>
      <c r="AD622" s="62">
        <v>29.401</v>
      </c>
      <c r="AE622" s="62">
        <v>3.7509999999999999</v>
      </c>
      <c r="AF622" s="62" t="s">
        <v>140</v>
      </c>
      <c r="AG622" s="62">
        <v>555.51199999999994</v>
      </c>
      <c r="AH622" s="62">
        <v>148.93700000000001</v>
      </c>
      <c r="AI622" s="62">
        <v>551.07799999999997</v>
      </c>
      <c r="AJ622" s="62">
        <v>23.145</v>
      </c>
      <c r="AK622" s="64">
        <v>2.9529999999999998</v>
      </c>
      <c r="AL622" s="23">
        <v>158627</v>
      </c>
      <c r="AM622" s="23">
        <v>120124</v>
      </c>
      <c r="AN622" s="23">
        <v>4320</v>
      </c>
      <c r="AO622" s="23">
        <v>125447</v>
      </c>
      <c r="AP622" s="23">
        <v>46982</v>
      </c>
      <c r="AQ622" s="23">
        <v>151754</v>
      </c>
      <c r="AR622" s="69"/>
      <c r="AS622" s="69"/>
      <c r="AT622" s="65">
        <f t="shared" si="47"/>
        <v>5268.7740000000003</v>
      </c>
      <c r="AU622" s="65">
        <f t="shared" si="48"/>
        <v>181.44</v>
      </c>
      <c r="AV622" s="65">
        <f t="shared" si="49"/>
        <v>1973.2439999999999</v>
      </c>
      <c r="AW622" s="65">
        <f t="shared" si="53"/>
        <v>6662.3339999999998</v>
      </c>
      <c r="AX622" s="65">
        <f t="shared" si="53"/>
        <v>5045.2079999999996</v>
      </c>
      <c r="AY622" s="65">
        <f t="shared" si="46"/>
        <v>6373.6679999999997</v>
      </c>
      <c r="AZ622" s="19">
        <v>59170</v>
      </c>
      <c r="BA622" s="19">
        <v>55455</v>
      </c>
      <c r="BB622" s="19">
        <v>46044</v>
      </c>
      <c r="BC622" s="19">
        <v>3743</v>
      </c>
      <c r="BD622" s="19">
        <v>6834</v>
      </c>
      <c r="BE622" s="23">
        <v>81959.528000000006</v>
      </c>
      <c r="BF622" s="23">
        <v>80543.558999999994</v>
      </c>
      <c r="BG622" s="67">
        <v>3.8163659999999999</v>
      </c>
      <c r="BH622" s="67">
        <v>1.7888550000000001</v>
      </c>
      <c r="BI622" s="67">
        <v>76.680000000000007</v>
      </c>
      <c r="BJ622" s="67">
        <v>2.2999999999999998</v>
      </c>
      <c r="BK622" s="67">
        <v>2.2400000000000002</v>
      </c>
      <c r="BL622" s="67">
        <v>2.39</v>
      </c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62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  <c r="DK622" s="62"/>
      <c r="DL622" s="62"/>
    </row>
    <row r="623" spans="1:116" x14ac:dyDescent="0.2">
      <c r="A623" s="57">
        <v>45536</v>
      </c>
      <c r="B623" s="58">
        <f t="shared" si="52"/>
        <v>2024</v>
      </c>
      <c r="C623" s="66">
        <v>18.259</v>
      </c>
      <c r="D623" s="62">
        <v>0.249</v>
      </c>
      <c r="E623" s="62">
        <v>3360.7849999999999</v>
      </c>
      <c r="F623" s="62">
        <v>141.15299999999999</v>
      </c>
      <c r="G623" s="62">
        <v>18.010000000000002</v>
      </c>
      <c r="H623" s="62">
        <v>604</v>
      </c>
      <c r="I623" s="62">
        <v>482.26100000000002</v>
      </c>
      <c r="J623" s="62">
        <v>121.739</v>
      </c>
      <c r="K623" s="62">
        <v>3164.625</v>
      </c>
      <c r="L623" s="62">
        <v>-34.975999999999999</v>
      </c>
      <c r="M623" s="62">
        <v>3517.5</v>
      </c>
      <c r="N623" s="62">
        <v>147.73500000000001</v>
      </c>
      <c r="O623" s="66">
        <v>18.850000000000001</v>
      </c>
      <c r="P623" s="61">
        <v>6385.15</v>
      </c>
      <c r="Q623" s="62">
        <v>268.17599999999999</v>
      </c>
      <c r="R623" s="62">
        <v>35.08</v>
      </c>
      <c r="S623" s="62">
        <v>1010</v>
      </c>
      <c r="T623" s="62"/>
      <c r="U623" s="62">
        <v>5997.1139999999996</v>
      </c>
      <c r="V623" s="62">
        <v>-207.869</v>
      </c>
      <c r="W623" s="62">
        <v>7603.0190000000002</v>
      </c>
      <c r="X623" s="62">
        <v>319.327</v>
      </c>
      <c r="Y623" s="61">
        <v>41.771000000000001</v>
      </c>
      <c r="Z623" s="63">
        <f t="shared" si="51"/>
        <v>41.771000000000001</v>
      </c>
      <c r="AA623" s="64" t="s">
        <v>116</v>
      </c>
      <c r="AB623" s="62" t="s">
        <v>116</v>
      </c>
      <c r="AC623" s="62">
        <v>778.49800000000005</v>
      </c>
      <c r="AD623" s="62">
        <v>32.697000000000003</v>
      </c>
      <c r="AE623" s="62">
        <v>4.1719999999999997</v>
      </c>
      <c r="AF623" s="62" t="s">
        <v>140</v>
      </c>
      <c r="AG623" s="62">
        <v>644.13499999999999</v>
      </c>
      <c r="AH623" s="62">
        <v>88.623999999999995</v>
      </c>
      <c r="AI623" s="62">
        <v>689.87400000000002</v>
      </c>
      <c r="AJ623" s="62">
        <v>28.975000000000001</v>
      </c>
      <c r="AK623" s="64">
        <v>3.6970000000000001</v>
      </c>
      <c r="AL623" s="23">
        <v>149758</v>
      </c>
      <c r="AM623" s="23">
        <v>111369</v>
      </c>
      <c r="AN623" s="23">
        <v>4246</v>
      </c>
      <c r="AO623" s="23">
        <v>124296</v>
      </c>
      <c r="AP623" s="23">
        <v>43787</v>
      </c>
      <c r="AQ623" s="23">
        <v>144334</v>
      </c>
      <c r="AR623" s="69"/>
      <c r="AS623" s="69"/>
      <c r="AT623" s="65">
        <f t="shared" si="47"/>
        <v>5220.4319999999998</v>
      </c>
      <c r="AU623" s="65">
        <f t="shared" si="48"/>
        <v>178.33199999999999</v>
      </c>
      <c r="AV623" s="65">
        <f t="shared" si="49"/>
        <v>1839.0540000000001</v>
      </c>
      <c r="AW623" s="65">
        <f t="shared" si="53"/>
        <v>6289.8360000000002</v>
      </c>
      <c r="AX623" s="65">
        <f t="shared" si="53"/>
        <v>4677.4979999999996</v>
      </c>
      <c r="AY623" s="65">
        <f t="shared" si="46"/>
        <v>6062.0280000000002</v>
      </c>
      <c r="AZ623" s="19">
        <v>53669</v>
      </c>
      <c r="BA623" s="19">
        <v>50118</v>
      </c>
      <c r="BB623" s="19">
        <v>45644</v>
      </c>
      <c r="BC623" s="19">
        <v>2188</v>
      </c>
      <c r="BD623" s="19">
        <v>6173</v>
      </c>
      <c r="BE623" s="23">
        <v>67975.733999999997</v>
      </c>
      <c r="BF623" s="23">
        <v>88055.902000000002</v>
      </c>
      <c r="BG623" s="67">
        <v>3.6569799999999999</v>
      </c>
      <c r="BH623" s="67">
        <v>1.6706129999999999</v>
      </c>
      <c r="BI623" s="67">
        <v>70.239999999999995</v>
      </c>
      <c r="BJ623" s="67">
        <v>2.14</v>
      </c>
      <c r="BK623" s="67">
        <v>2.0499999999999998</v>
      </c>
      <c r="BL623" s="67">
        <v>2.14</v>
      </c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62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  <c r="DK623" s="62"/>
      <c r="DL623" s="62"/>
    </row>
    <row r="624" spans="1:116" x14ac:dyDescent="0.2">
      <c r="A624" s="57">
        <v>45566</v>
      </c>
      <c r="B624" s="58">
        <f t="shared" si="52"/>
        <v>2024</v>
      </c>
      <c r="C624" s="66">
        <v>18.741</v>
      </c>
      <c r="D624" s="62">
        <v>0.255</v>
      </c>
      <c r="E624" s="62">
        <v>3449.393</v>
      </c>
      <c r="F624" s="62">
        <v>144.875</v>
      </c>
      <c r="G624" s="62">
        <v>18.484999999999999</v>
      </c>
      <c r="H624" s="62">
        <v>505</v>
      </c>
      <c r="I624" s="62">
        <v>378.77100000000002</v>
      </c>
      <c r="J624" s="62">
        <v>126.229</v>
      </c>
      <c r="K624" s="62">
        <v>3006.8589999999999</v>
      </c>
      <c r="L624" s="62">
        <v>-157.76599999999999</v>
      </c>
      <c r="M624" s="62">
        <v>3733.3879999999999</v>
      </c>
      <c r="N624" s="62">
        <v>156.80199999999999</v>
      </c>
      <c r="O624" s="66">
        <v>20.007000000000001</v>
      </c>
      <c r="P624" s="61">
        <v>6769.0479999999998</v>
      </c>
      <c r="Q624" s="62">
        <v>284.3</v>
      </c>
      <c r="R624" s="62">
        <v>37.189</v>
      </c>
      <c r="S624" s="62">
        <v>701</v>
      </c>
      <c r="T624" s="62"/>
      <c r="U624" s="62">
        <v>5818.1459999999997</v>
      </c>
      <c r="V624" s="62">
        <v>-178.96700000000001</v>
      </c>
      <c r="W624" s="62">
        <v>7649.0150000000003</v>
      </c>
      <c r="X624" s="62">
        <v>321.25900000000001</v>
      </c>
      <c r="Y624" s="61">
        <v>42.024000000000001</v>
      </c>
      <c r="Z624" s="63">
        <f t="shared" si="51"/>
        <v>42.024000000000001</v>
      </c>
      <c r="AA624" s="64" t="s">
        <v>116</v>
      </c>
      <c r="AB624" s="62" t="s">
        <v>116</v>
      </c>
      <c r="AC624" s="62">
        <v>739.55399999999997</v>
      </c>
      <c r="AD624" s="62">
        <v>31.061</v>
      </c>
      <c r="AE624" s="62">
        <v>3.9630000000000001</v>
      </c>
      <c r="AF624" s="62" t="s">
        <v>140</v>
      </c>
      <c r="AG624" s="62">
        <v>628.83299999999997</v>
      </c>
      <c r="AH624" s="62">
        <v>-15.303000000000001</v>
      </c>
      <c r="AI624" s="62">
        <v>754.85699999999997</v>
      </c>
      <c r="AJ624" s="62">
        <v>31.704000000000001</v>
      </c>
      <c r="AK624" s="64">
        <v>4.0449999999999999</v>
      </c>
      <c r="AL624" s="23">
        <v>155630</v>
      </c>
      <c r="AM624" s="23">
        <v>125831</v>
      </c>
      <c r="AN624" s="23">
        <v>4465</v>
      </c>
      <c r="AO624" s="23">
        <v>117860</v>
      </c>
      <c r="AP624" s="23">
        <v>40702</v>
      </c>
      <c r="AQ624" s="23">
        <v>150204</v>
      </c>
      <c r="AR624" s="69"/>
      <c r="AS624" s="69"/>
      <c r="AT624" s="65">
        <f t="shared" si="47"/>
        <v>4950.12</v>
      </c>
      <c r="AU624" s="65">
        <f t="shared" si="48"/>
        <v>187.53</v>
      </c>
      <c r="AV624" s="65">
        <f t="shared" si="49"/>
        <v>1709.4839999999999</v>
      </c>
      <c r="AW624" s="65">
        <f t="shared" si="53"/>
        <v>6536.46</v>
      </c>
      <c r="AX624" s="65">
        <f t="shared" si="53"/>
        <v>5284.902</v>
      </c>
      <c r="AY624" s="65">
        <f t="shared" si="46"/>
        <v>6308.5680000000002</v>
      </c>
      <c r="AZ624" s="19">
        <v>54632</v>
      </c>
      <c r="BA624" s="19">
        <v>53622</v>
      </c>
      <c r="BB624" s="19">
        <v>43624</v>
      </c>
      <c r="BC624" s="19">
        <v>3194</v>
      </c>
      <c r="BD624" s="19">
        <v>6267</v>
      </c>
      <c r="BE624" s="23">
        <v>18718.679</v>
      </c>
      <c r="BF624" s="23">
        <v>70228.938999999998</v>
      </c>
      <c r="BG624" s="67">
        <v>4.0033250000000002</v>
      </c>
      <c r="BH624" s="67">
        <v>1.729743</v>
      </c>
      <c r="BI624" s="67">
        <v>71.989999999999995</v>
      </c>
      <c r="BJ624" s="67">
        <v>2.2400000000000002</v>
      </c>
      <c r="BK624" s="67">
        <v>2.14</v>
      </c>
      <c r="BL624" s="67">
        <v>2.1800000000000002</v>
      </c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62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  <c r="DK624" s="62"/>
      <c r="DL624" s="62"/>
    </row>
    <row r="625" spans="1:116" x14ac:dyDescent="0.2">
      <c r="A625" s="57">
        <v>45597</v>
      </c>
      <c r="B625" s="58">
        <f t="shared" si="52"/>
        <v>2024</v>
      </c>
      <c r="C625" s="66">
        <v>18.724</v>
      </c>
      <c r="D625" s="62">
        <v>0.255</v>
      </c>
      <c r="E625" s="62">
        <v>3446.3939999999998</v>
      </c>
      <c r="F625" s="62">
        <v>144.749</v>
      </c>
      <c r="G625" s="62">
        <v>18.469000000000001</v>
      </c>
      <c r="H625" s="62">
        <v>505</v>
      </c>
      <c r="I625" s="62">
        <v>119.568</v>
      </c>
      <c r="J625" s="62">
        <v>385.43200000000002</v>
      </c>
      <c r="K625" s="62">
        <v>3308.5529999999999</v>
      </c>
      <c r="L625" s="62">
        <v>301.69400000000002</v>
      </c>
      <c r="M625" s="62">
        <v>3530.1320000000001</v>
      </c>
      <c r="N625" s="62">
        <v>148.26599999999999</v>
      </c>
      <c r="O625" s="66">
        <v>18.917999999999999</v>
      </c>
      <c r="P625" s="61">
        <v>6774.951</v>
      </c>
      <c r="Q625" s="62">
        <v>284.548</v>
      </c>
      <c r="R625" s="62">
        <v>37.222000000000001</v>
      </c>
      <c r="S625" s="62">
        <v>682</v>
      </c>
      <c r="T625" s="62"/>
      <c r="U625" s="62">
        <v>5630.5190000000002</v>
      </c>
      <c r="V625" s="62">
        <v>-187.62700000000001</v>
      </c>
      <c r="W625" s="62">
        <v>7644.5780000000004</v>
      </c>
      <c r="X625" s="62">
        <v>321.072</v>
      </c>
      <c r="Y625" s="61">
        <v>41.999000000000002</v>
      </c>
      <c r="Z625" s="63">
        <f t="shared" si="51"/>
        <v>41.999000000000002</v>
      </c>
      <c r="AA625" s="64" t="s">
        <v>116</v>
      </c>
      <c r="AB625" s="62" t="s">
        <v>116</v>
      </c>
      <c r="AC625" s="62">
        <v>714.86400000000003</v>
      </c>
      <c r="AD625" s="62">
        <v>30.024000000000001</v>
      </c>
      <c r="AE625" s="62">
        <v>3.831</v>
      </c>
      <c r="AF625" s="62" t="s">
        <v>140</v>
      </c>
      <c r="AG625" s="62">
        <v>360.74299999999999</v>
      </c>
      <c r="AH625" s="62">
        <v>-268.08999999999997</v>
      </c>
      <c r="AI625" s="62">
        <v>982.95399999999995</v>
      </c>
      <c r="AJ625" s="62">
        <v>41.283999999999999</v>
      </c>
      <c r="AK625" s="64">
        <v>5.2679999999999998</v>
      </c>
      <c r="AL625" s="23">
        <v>155508</v>
      </c>
      <c r="AM625" s="23">
        <v>110273</v>
      </c>
      <c r="AN625" s="23">
        <v>3768</v>
      </c>
      <c r="AO625" s="23">
        <v>125035</v>
      </c>
      <c r="AP625" s="23">
        <v>41823</v>
      </c>
      <c r="AQ625" s="23">
        <v>149748</v>
      </c>
      <c r="AR625" s="69"/>
      <c r="AS625" s="69"/>
      <c r="AT625" s="65">
        <f t="shared" si="47"/>
        <v>5251.47</v>
      </c>
      <c r="AU625" s="65">
        <f t="shared" si="48"/>
        <v>158.256</v>
      </c>
      <c r="AV625" s="65">
        <f t="shared" si="49"/>
        <v>1756.566</v>
      </c>
      <c r="AW625" s="65">
        <f t="shared" si="53"/>
        <v>6531.3360000000002</v>
      </c>
      <c r="AX625" s="65">
        <f t="shared" si="53"/>
        <v>4631.4660000000003</v>
      </c>
      <c r="AY625" s="65">
        <f t="shared" si="46"/>
        <v>6289.4160000000002</v>
      </c>
      <c r="AZ625" s="19">
        <v>54645</v>
      </c>
      <c r="BA625" s="19">
        <v>50111</v>
      </c>
      <c r="BB625" s="19">
        <v>43759</v>
      </c>
      <c r="BC625" s="19">
        <v>2819</v>
      </c>
      <c r="BD625" s="19">
        <v>7264</v>
      </c>
      <c r="BE625" s="23">
        <v>16879.637999999999</v>
      </c>
      <c r="BF625" s="23">
        <v>76519.508000000002</v>
      </c>
      <c r="BG625" s="67">
        <v>3.62622</v>
      </c>
      <c r="BH625" s="67">
        <v>1.6703589999999999</v>
      </c>
      <c r="BI625" s="67">
        <v>69.95</v>
      </c>
      <c r="BJ625" s="67">
        <v>2.23</v>
      </c>
      <c r="BK625" s="67">
        <v>2.13</v>
      </c>
      <c r="BL625" s="67">
        <v>2.11</v>
      </c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62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  <c r="DK625" s="62"/>
      <c r="DL625" s="62"/>
    </row>
    <row r="626" spans="1:116" x14ac:dyDescent="0.2">
      <c r="A626" s="57">
        <v>45627</v>
      </c>
      <c r="B626" s="58">
        <f t="shared" si="52"/>
        <v>2024</v>
      </c>
      <c r="C626" s="66">
        <v>18.369</v>
      </c>
      <c r="D626" s="62">
        <v>0.25</v>
      </c>
      <c r="E626" s="62">
        <v>3381.0459999999998</v>
      </c>
      <c r="F626" s="62">
        <v>142.00399999999999</v>
      </c>
      <c r="G626" s="62">
        <v>18.119</v>
      </c>
      <c r="H626" s="62">
        <v>768</v>
      </c>
      <c r="I626" s="62">
        <v>136.70699999999999</v>
      </c>
      <c r="J626" s="62">
        <v>631.29300000000001</v>
      </c>
      <c r="K626" s="62">
        <v>3552.0619999999999</v>
      </c>
      <c r="L626" s="62">
        <v>243.50800000000001</v>
      </c>
      <c r="M626" s="62">
        <v>3768.8310000000001</v>
      </c>
      <c r="N626" s="62">
        <v>158.291</v>
      </c>
      <c r="O626" s="66">
        <v>20.196999999999999</v>
      </c>
      <c r="P626" s="61">
        <v>6529.5479999999998</v>
      </c>
      <c r="Q626" s="62">
        <v>274.24099999999999</v>
      </c>
      <c r="R626" s="62">
        <v>35.872999999999998</v>
      </c>
      <c r="S626" s="62">
        <v>961</v>
      </c>
      <c r="T626" s="62"/>
      <c r="U626" s="62">
        <v>6398.9790000000003</v>
      </c>
      <c r="V626" s="62">
        <v>768.46</v>
      </c>
      <c r="W626" s="62">
        <v>6722.0879999999997</v>
      </c>
      <c r="X626" s="62">
        <v>282.32799999999997</v>
      </c>
      <c r="Y626" s="61">
        <v>36.930999999999997</v>
      </c>
      <c r="Z626" s="63">
        <f t="shared" si="51"/>
        <v>36.930999999999997</v>
      </c>
      <c r="AA626" s="64" t="s">
        <v>116</v>
      </c>
      <c r="AB626" s="62" t="s">
        <v>116</v>
      </c>
      <c r="AC626" s="62">
        <v>631.23500000000001</v>
      </c>
      <c r="AD626" s="62">
        <v>26.512</v>
      </c>
      <c r="AE626" s="62">
        <v>3.383</v>
      </c>
      <c r="AF626" s="62" t="s">
        <v>140</v>
      </c>
      <c r="AG626" s="62">
        <v>455.67599999999999</v>
      </c>
      <c r="AH626" s="62">
        <v>94.933000000000007</v>
      </c>
      <c r="AI626" s="62">
        <v>536.30200000000002</v>
      </c>
      <c r="AJ626" s="62">
        <v>22.524999999999999</v>
      </c>
      <c r="AK626" s="64">
        <v>2.8740000000000001</v>
      </c>
      <c r="AL626" s="23">
        <v>161422</v>
      </c>
      <c r="AM626" s="23">
        <v>115523</v>
      </c>
      <c r="AN626" s="23">
        <v>5100</v>
      </c>
      <c r="AO626" s="23">
        <v>130338</v>
      </c>
      <c r="AP626" s="23">
        <v>45688</v>
      </c>
      <c r="AQ626" s="23">
        <v>154554</v>
      </c>
      <c r="AR626" s="69"/>
      <c r="AS626" s="69"/>
      <c r="AT626" s="65">
        <f t="shared" si="47"/>
        <v>5474.1959999999999</v>
      </c>
      <c r="AU626" s="65">
        <f t="shared" si="48"/>
        <v>214.2</v>
      </c>
      <c r="AV626" s="65">
        <f t="shared" si="49"/>
        <v>1918.896</v>
      </c>
      <c r="AW626" s="65">
        <f t="shared" si="53"/>
        <v>6779.7240000000002</v>
      </c>
      <c r="AX626" s="65">
        <f t="shared" si="53"/>
        <v>4851.9660000000003</v>
      </c>
      <c r="AY626" s="65">
        <f t="shared" si="46"/>
        <v>6491.268</v>
      </c>
      <c r="AZ626" s="19">
        <v>57036</v>
      </c>
      <c r="BA626" s="19">
        <v>52776</v>
      </c>
      <c r="BB626" s="19">
        <v>43883</v>
      </c>
      <c r="BC626" s="19">
        <v>3349</v>
      </c>
      <c r="BD626" s="19">
        <v>7537</v>
      </c>
      <c r="BE626" s="23">
        <v>19303.564999999999</v>
      </c>
      <c r="BF626" s="23">
        <v>97420.665999999997</v>
      </c>
      <c r="BG626" s="67">
        <v>3.7744245376999999</v>
      </c>
      <c r="BH626" s="67">
        <v>1.7621612902999999</v>
      </c>
      <c r="BI626" s="67">
        <v>70.12</v>
      </c>
      <c r="BJ626" s="67">
        <v>2.21</v>
      </c>
      <c r="BK626" s="67">
        <v>2.17</v>
      </c>
      <c r="BL626" s="67">
        <v>2.06</v>
      </c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62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  <c r="DK626" s="62"/>
      <c r="DL626" s="62"/>
    </row>
    <row r="627" spans="1:116" x14ac:dyDescent="0.2">
      <c r="A627" s="57">
        <v>45658</v>
      </c>
      <c r="B627" s="58">
        <f t="shared" si="52"/>
        <v>2025</v>
      </c>
      <c r="C627" s="66"/>
      <c r="D627" s="62"/>
      <c r="E627" s="62"/>
      <c r="F627" s="62"/>
      <c r="G627" s="62"/>
      <c r="H627" s="62">
        <v>78</v>
      </c>
      <c r="I627" s="62">
        <v>194.51300000000001</v>
      </c>
      <c r="J627" s="62">
        <v>-116.51300000000001</v>
      </c>
      <c r="K627" s="62">
        <v>3057.5520000000001</v>
      </c>
      <c r="L627" s="62">
        <v>-494.51</v>
      </c>
      <c r="M627" s="62">
        <v>2239.9189999999999</v>
      </c>
      <c r="N627" s="62">
        <v>94.076999999999998</v>
      </c>
      <c r="O627" s="66"/>
      <c r="P627" s="61">
        <v>5188.97</v>
      </c>
      <c r="Q627" s="62">
        <v>217.93700000000001</v>
      </c>
      <c r="R627" s="62">
        <v>28.507999999999999</v>
      </c>
      <c r="S627" s="62">
        <v>1</v>
      </c>
      <c r="T627" s="62">
        <v>163.03700000000001</v>
      </c>
      <c r="U627" s="62">
        <v>6902.5690000000004</v>
      </c>
      <c r="V627" s="62">
        <v>503.59</v>
      </c>
      <c r="W627" s="62">
        <v>4523.3429999999998</v>
      </c>
      <c r="X627" s="62">
        <v>189.98</v>
      </c>
      <c r="Y627" s="61">
        <v>24.850999999999999</v>
      </c>
      <c r="Z627" s="63"/>
      <c r="AA627" s="64"/>
      <c r="AB627" s="62"/>
      <c r="AC627" s="62"/>
      <c r="AD627" s="62"/>
      <c r="AE627" s="62"/>
      <c r="AF627" s="62"/>
      <c r="AG627" s="62"/>
      <c r="AH627" s="62"/>
      <c r="AI627" s="62"/>
      <c r="AJ627" s="62"/>
      <c r="AK627" s="64"/>
      <c r="AL627" s="62"/>
      <c r="AM627" s="62"/>
      <c r="AN627" s="62"/>
      <c r="AO627" s="62"/>
      <c r="AP627" s="62"/>
      <c r="AQ627" s="62"/>
      <c r="AR627" s="63"/>
      <c r="AS627" s="63"/>
      <c r="AT627" s="65"/>
      <c r="AU627" s="65"/>
      <c r="AV627" s="65"/>
      <c r="AW627" s="65"/>
      <c r="AX627" s="65"/>
      <c r="AY627" s="65"/>
      <c r="AZ627" s="19">
        <v>53299</v>
      </c>
      <c r="BA627" s="19">
        <v>50227</v>
      </c>
      <c r="BB627" s="19">
        <v>43406</v>
      </c>
      <c r="BC627" s="19">
        <v>3458</v>
      </c>
      <c r="BD627" s="19">
        <v>7047</v>
      </c>
      <c r="BE627" s="23"/>
      <c r="BF627" s="23"/>
      <c r="BG627" s="67">
        <v>4.1911458709999998</v>
      </c>
      <c r="BH627" s="67">
        <v>1.6113237096999999</v>
      </c>
      <c r="BI627" s="67">
        <v>75.739999999999995</v>
      </c>
      <c r="BJ627" s="67">
        <v>2.48</v>
      </c>
      <c r="BK627" s="67">
        <v>2.41</v>
      </c>
      <c r="BL627" s="67">
        <v>2.19</v>
      </c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62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  <c r="DK627" s="62"/>
      <c r="DL627" s="62"/>
    </row>
    <row r="628" spans="1:116" x14ac:dyDescent="0.2">
      <c r="A628" s="57">
        <v>45689</v>
      </c>
      <c r="B628" s="58">
        <f t="shared" si="52"/>
        <v>2025</v>
      </c>
      <c r="C628" s="66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6"/>
      <c r="P628" s="61"/>
      <c r="Q628" s="62"/>
      <c r="R628" s="62"/>
      <c r="S628" s="62"/>
      <c r="T628" s="62"/>
      <c r="U628" s="62"/>
      <c r="V628" s="62"/>
      <c r="W628" s="62"/>
      <c r="X628" s="62"/>
      <c r="Y628" s="61"/>
      <c r="Z628" s="63"/>
      <c r="AA628" s="64"/>
      <c r="AB628" s="62"/>
      <c r="AC628" s="62"/>
      <c r="AD628" s="62"/>
      <c r="AE628" s="62"/>
      <c r="AF628" s="62"/>
      <c r="AG628" s="62"/>
      <c r="AH628" s="62"/>
      <c r="AI628" s="62"/>
      <c r="AJ628" s="62"/>
      <c r="AK628" s="64"/>
      <c r="AL628" s="62"/>
      <c r="AM628" s="62"/>
      <c r="AN628" s="62"/>
      <c r="AO628" s="62"/>
      <c r="AP628" s="62"/>
      <c r="AQ628" s="62"/>
      <c r="AR628" s="63"/>
      <c r="AS628" s="63"/>
      <c r="AT628" s="70"/>
      <c r="AU628" s="70"/>
      <c r="AV628" s="70"/>
      <c r="AW628" s="70"/>
      <c r="AX628" s="70"/>
      <c r="AY628" s="65"/>
      <c r="AZ628" s="62"/>
      <c r="BE628" s="71"/>
      <c r="BF628" s="71"/>
      <c r="BG628" s="72">
        <v>4.0091200000000002</v>
      </c>
      <c r="BH628" s="67">
        <v>1.587958</v>
      </c>
      <c r="BI628" s="73">
        <v>71.53</v>
      </c>
      <c r="BJ628" s="73">
        <v>2.46</v>
      </c>
      <c r="BK628" s="67">
        <v>2.33</v>
      </c>
      <c r="BL628" s="67">
        <v>2.23</v>
      </c>
      <c r="BM628" s="62"/>
      <c r="BN628" s="62"/>
      <c r="BO628" s="62"/>
      <c r="BP628" s="62"/>
      <c r="BQ628" s="62"/>
      <c r="BR628" s="62"/>
      <c r="BS628" s="62"/>
      <c r="BT628" s="62"/>
      <c r="BU628" s="62"/>
      <c r="BV628" s="62"/>
      <c r="BW628" s="62"/>
      <c r="BX628" s="62"/>
      <c r="BY628" s="62"/>
      <c r="BZ628" s="62"/>
      <c r="CA628" s="62"/>
      <c r="CB628" s="62"/>
      <c r="CC628" s="62"/>
      <c r="CD628" s="62"/>
      <c r="CE628" s="62"/>
      <c r="CF628" s="62"/>
      <c r="CG628" s="62"/>
      <c r="CH628" s="62"/>
      <c r="CI628" s="62"/>
      <c r="CJ628" s="62"/>
      <c r="CK628" s="62"/>
      <c r="CL628" s="62"/>
      <c r="CM628" s="62"/>
      <c r="CN628" s="62"/>
      <c r="CO628" s="62"/>
      <c r="CP628" s="62"/>
      <c r="CQ628" s="62"/>
      <c r="CR628" s="62"/>
      <c r="CS628" s="62"/>
      <c r="CT628" s="62"/>
      <c r="CU628" s="62"/>
      <c r="CV628" s="62"/>
      <c r="CW628" s="62"/>
      <c r="CX628" s="62"/>
      <c r="CY628" s="62"/>
      <c r="CZ628" s="62"/>
      <c r="DA628" s="62"/>
      <c r="DB628" s="62"/>
      <c r="DC628" s="62"/>
      <c r="DD628" s="62"/>
      <c r="DE628" s="62"/>
      <c r="DF628" s="62"/>
      <c r="DG628" s="62"/>
      <c r="DH628" s="62"/>
      <c r="DI628" s="62"/>
      <c r="DJ628" s="62"/>
      <c r="DK628" s="62"/>
      <c r="DL628" s="62"/>
    </row>
    <row r="629" spans="1:116" x14ac:dyDescent="0.2">
      <c r="A629" s="57">
        <v>45717</v>
      </c>
      <c r="B629" s="58">
        <f t="shared" si="52"/>
        <v>2025</v>
      </c>
      <c r="C629" s="66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6"/>
      <c r="P629" s="61"/>
      <c r="Q629" s="62"/>
      <c r="R629" s="62"/>
      <c r="S629" s="62"/>
      <c r="T629" s="62"/>
      <c r="U629" s="62"/>
      <c r="V629" s="62"/>
      <c r="W629" s="62"/>
      <c r="X629" s="62"/>
      <c r="Y629" s="61"/>
      <c r="Z629" s="63"/>
      <c r="AA629" s="64"/>
      <c r="AB629" s="62"/>
      <c r="AC629" s="62"/>
      <c r="AD629" s="62"/>
      <c r="AE629" s="62"/>
      <c r="AF629" s="62"/>
      <c r="AG629" s="62"/>
      <c r="AH629" s="62"/>
      <c r="AI629" s="62"/>
      <c r="AJ629" s="62"/>
      <c r="AK629" s="64"/>
      <c r="AL629" s="62"/>
      <c r="AM629" s="62"/>
      <c r="AN629" s="62"/>
      <c r="AO629" s="62"/>
      <c r="AP629" s="62"/>
      <c r="AQ629" s="62"/>
      <c r="AR629" s="63"/>
      <c r="AS629" s="63"/>
      <c r="AT629" s="70"/>
      <c r="AU629" s="70"/>
      <c r="AV629" s="70"/>
      <c r="AW629" s="70"/>
      <c r="AX629" s="70"/>
      <c r="AY629" s="65"/>
      <c r="AZ629" s="62"/>
      <c r="BE629" s="62"/>
      <c r="BF629" s="62"/>
      <c r="BG629" s="67">
        <v>3.8668279999999999</v>
      </c>
      <c r="BH629" s="67">
        <v>1.6810639999999999</v>
      </c>
      <c r="BI629" s="67">
        <v>66.5</v>
      </c>
      <c r="BJ629" s="67">
        <v>2.13</v>
      </c>
      <c r="BK629" s="67">
        <v>2.0299999999999998</v>
      </c>
      <c r="BL629" s="67">
        <v>2.0699999999999998</v>
      </c>
      <c r="BM629" s="62"/>
      <c r="BN629" s="62"/>
      <c r="BO629" s="62"/>
      <c r="BP629" s="62"/>
      <c r="BQ629" s="62"/>
      <c r="BR629" s="62"/>
      <c r="BS629" s="62"/>
      <c r="BT629" s="62"/>
      <c r="BU629" s="62"/>
      <c r="BV629" s="62"/>
      <c r="BW629" s="62"/>
      <c r="BX629" s="62"/>
      <c r="BY629" s="62"/>
      <c r="BZ629" s="62"/>
      <c r="CA629" s="62"/>
      <c r="CB629" s="62"/>
      <c r="CC629" s="62"/>
      <c r="CD629" s="62"/>
      <c r="CE629" s="62"/>
      <c r="CF629" s="62"/>
      <c r="CG629" s="62"/>
      <c r="CH629" s="62"/>
      <c r="CI629" s="62"/>
      <c r="CJ629" s="62"/>
      <c r="CK629" s="62"/>
      <c r="CL629" s="62"/>
      <c r="CM629" s="62"/>
      <c r="CN629" s="62"/>
      <c r="CO629" s="62"/>
      <c r="CP629" s="62"/>
      <c r="CQ629" s="62"/>
      <c r="CR629" s="62"/>
      <c r="CS629" s="62"/>
      <c r="CT629" s="62"/>
      <c r="CU629" s="62"/>
      <c r="CV629" s="62"/>
      <c r="CW629" s="62"/>
      <c r="CX629" s="62"/>
      <c r="CY629" s="62"/>
      <c r="CZ629" s="62"/>
      <c r="DA629" s="62"/>
      <c r="DB629" s="62"/>
      <c r="DC629" s="62"/>
      <c r="DD629" s="62"/>
      <c r="DE629" s="62"/>
      <c r="DF629" s="62"/>
      <c r="DG629" s="62"/>
      <c r="DH629" s="62"/>
      <c r="DI629" s="62"/>
      <c r="DJ629" s="62"/>
      <c r="DK629" s="62"/>
      <c r="DL629" s="62"/>
    </row>
    <row r="630" spans="1:116" x14ac:dyDescent="0.2">
      <c r="A630" s="57">
        <v>45748</v>
      </c>
      <c r="B630" s="58">
        <f t="shared" si="52"/>
        <v>2025</v>
      </c>
      <c r="C630" s="66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6"/>
      <c r="P630" s="61"/>
      <c r="Q630" s="62"/>
      <c r="R630" s="62"/>
      <c r="S630" s="62"/>
      <c r="T630" s="62"/>
      <c r="U630" s="62"/>
      <c r="V630" s="62"/>
      <c r="W630" s="62"/>
      <c r="X630" s="62"/>
      <c r="Y630" s="61"/>
      <c r="Z630" s="63"/>
      <c r="AA630" s="64"/>
      <c r="AB630" s="62"/>
      <c r="AC630" s="62"/>
      <c r="AD630" s="62"/>
      <c r="AE630" s="62"/>
      <c r="AF630" s="62"/>
      <c r="AG630" s="62"/>
      <c r="AH630" s="62"/>
      <c r="AI630" s="62"/>
      <c r="AJ630" s="62"/>
      <c r="AK630" s="64"/>
      <c r="AL630" s="62"/>
      <c r="AM630" s="62"/>
      <c r="AN630" s="62"/>
      <c r="AO630" s="62"/>
      <c r="AP630" s="62"/>
      <c r="AQ630" s="62"/>
      <c r="AR630" s="63"/>
      <c r="AS630" s="63"/>
      <c r="AT630" s="70"/>
      <c r="AU630" s="70"/>
      <c r="AV630" s="70"/>
      <c r="AW630" s="70"/>
      <c r="AX630" s="70"/>
      <c r="AY630" s="65"/>
      <c r="AZ630" s="62"/>
      <c r="BE630" s="62"/>
      <c r="BF630" s="62"/>
      <c r="BG630" s="67">
        <v>3.9035679999999999</v>
      </c>
      <c r="BH630" s="67">
        <v>1.7308570000000001</v>
      </c>
      <c r="BI630" s="67">
        <v>69.5</v>
      </c>
      <c r="BJ630" s="67">
        <v>2.2200000000000002</v>
      </c>
      <c r="BK630" s="67">
        <v>2.11</v>
      </c>
      <c r="BL630" s="67">
        <v>2.21</v>
      </c>
      <c r="BM630" s="62"/>
      <c r="BN630" s="62"/>
      <c r="BO630" s="62"/>
      <c r="BP630" s="62"/>
      <c r="BQ630" s="62"/>
      <c r="BR630" s="62"/>
      <c r="BS630" s="62"/>
      <c r="BT630" s="62"/>
      <c r="BU630" s="62"/>
      <c r="BV630" s="62"/>
      <c r="BW630" s="62"/>
      <c r="BX630" s="62"/>
      <c r="BY630" s="62"/>
      <c r="BZ630" s="62"/>
      <c r="CA630" s="62"/>
      <c r="CB630" s="62"/>
      <c r="CC630" s="62"/>
      <c r="CD630" s="62"/>
      <c r="CE630" s="62"/>
      <c r="CF630" s="62"/>
      <c r="CG630" s="62"/>
      <c r="CH630" s="62"/>
      <c r="CI630" s="62"/>
      <c r="CJ630" s="62"/>
      <c r="CK630" s="62"/>
      <c r="CL630" s="62"/>
      <c r="CM630" s="62"/>
      <c r="CN630" s="62"/>
      <c r="CO630" s="62"/>
      <c r="CP630" s="62"/>
      <c r="CQ630" s="62"/>
      <c r="CR630" s="62"/>
      <c r="CS630" s="62"/>
      <c r="CT630" s="62"/>
      <c r="CU630" s="62"/>
      <c r="CV630" s="62"/>
      <c r="CW630" s="62"/>
      <c r="CX630" s="62"/>
      <c r="CY630" s="62"/>
      <c r="CZ630" s="62"/>
      <c r="DA630" s="62"/>
      <c r="DB630" s="62"/>
      <c r="DC630" s="62"/>
      <c r="DD630" s="62"/>
      <c r="DE630" s="62"/>
      <c r="DF630" s="62"/>
      <c r="DG630" s="62"/>
      <c r="DH630" s="62"/>
      <c r="DI630" s="62"/>
      <c r="DJ630" s="62"/>
      <c r="DK630" s="62"/>
      <c r="DL630" s="62"/>
    </row>
    <row r="631" spans="1:116" x14ac:dyDescent="0.2">
      <c r="A631" s="57">
        <v>45778</v>
      </c>
      <c r="B631" s="58">
        <f t="shared" si="52"/>
        <v>2025</v>
      </c>
      <c r="C631" s="66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6"/>
      <c r="P631" s="61"/>
      <c r="Q631" s="62"/>
      <c r="R631" s="62"/>
      <c r="S631" s="62"/>
      <c r="T631" s="62"/>
      <c r="U631" s="62"/>
      <c r="V631" s="62"/>
      <c r="W631" s="62"/>
      <c r="X631" s="62"/>
      <c r="Y631" s="61"/>
      <c r="Z631" s="63"/>
      <c r="AA631" s="64"/>
      <c r="AB631" s="62"/>
      <c r="AC631" s="62"/>
      <c r="AD631" s="62"/>
      <c r="AE631" s="62"/>
      <c r="AF631" s="62"/>
      <c r="AG631" s="62"/>
      <c r="AH631" s="62"/>
      <c r="AI631" s="62"/>
      <c r="AJ631" s="62"/>
      <c r="AK631" s="64"/>
      <c r="AL631" s="62"/>
      <c r="AM631" s="62"/>
      <c r="AN631" s="62"/>
      <c r="AO631" s="62"/>
      <c r="AP631" s="62"/>
      <c r="AQ631" s="62"/>
      <c r="AR631" s="63"/>
      <c r="AS631" s="63"/>
      <c r="AT631" s="70"/>
      <c r="AU631" s="70"/>
      <c r="AV631" s="70"/>
      <c r="AW631" s="70"/>
      <c r="AX631" s="70"/>
      <c r="AY631" s="65"/>
      <c r="AZ631" s="62"/>
      <c r="BE631" s="62"/>
      <c r="BF631" s="62"/>
      <c r="BG631" s="67">
        <v>3.8623449999999999</v>
      </c>
      <c r="BH631" s="67">
        <v>1.795747</v>
      </c>
      <c r="BI631" s="67">
        <v>70.5</v>
      </c>
      <c r="BJ631" s="67">
        <v>2.2599999999999998</v>
      </c>
      <c r="BK631" s="67">
        <v>2.1800000000000002</v>
      </c>
      <c r="BL631" s="67">
        <v>2.29</v>
      </c>
      <c r="BM631" s="62"/>
      <c r="BN631" s="62"/>
      <c r="BO631" s="62"/>
      <c r="BP631" s="62"/>
      <c r="BQ631" s="62"/>
      <c r="BR631" s="62"/>
      <c r="BS631" s="62"/>
      <c r="BT631" s="62"/>
      <c r="BU631" s="62"/>
      <c r="BV631" s="62"/>
      <c r="BW631" s="62"/>
      <c r="BX631" s="62"/>
      <c r="BY631" s="62"/>
      <c r="BZ631" s="62"/>
      <c r="CA631" s="62"/>
      <c r="CB631" s="62"/>
      <c r="CC631" s="62"/>
      <c r="CD631" s="62"/>
      <c r="CE631" s="62"/>
      <c r="CF631" s="62"/>
      <c r="CG631" s="62"/>
      <c r="CH631" s="62"/>
      <c r="CI631" s="62"/>
      <c r="CJ631" s="62"/>
      <c r="CK631" s="62"/>
      <c r="CL631" s="62"/>
      <c r="CM631" s="62"/>
      <c r="CN631" s="62"/>
      <c r="CO631" s="62"/>
      <c r="CP631" s="62"/>
      <c r="CQ631" s="62"/>
      <c r="CR631" s="62"/>
      <c r="CS631" s="62"/>
      <c r="CT631" s="62"/>
      <c r="CU631" s="62"/>
      <c r="CV631" s="62"/>
      <c r="CW631" s="62"/>
      <c r="CX631" s="62"/>
      <c r="CY631" s="62"/>
      <c r="CZ631" s="62"/>
      <c r="DA631" s="62"/>
      <c r="DB631" s="62"/>
      <c r="DC631" s="62"/>
      <c r="DD631" s="62"/>
      <c r="DE631" s="62"/>
      <c r="DF631" s="62"/>
      <c r="DG631" s="62"/>
      <c r="DH631" s="62"/>
      <c r="DI631" s="62"/>
      <c r="DJ631" s="62"/>
      <c r="DK631" s="62"/>
      <c r="DL631" s="62"/>
    </row>
    <row r="632" spans="1:116" x14ac:dyDescent="0.2">
      <c r="A632" s="57">
        <v>45809</v>
      </c>
      <c r="B632" s="58">
        <f t="shared" si="52"/>
        <v>2025</v>
      </c>
      <c r="C632" s="66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6"/>
      <c r="P632" s="61"/>
      <c r="Q632" s="62"/>
      <c r="R632" s="62"/>
      <c r="S632" s="62"/>
      <c r="T632" s="62"/>
      <c r="U632" s="62"/>
      <c r="V632" s="62"/>
      <c r="W632" s="62"/>
      <c r="X632" s="62"/>
      <c r="Y632" s="61"/>
      <c r="Z632" s="63"/>
      <c r="AA632" s="64"/>
      <c r="AB632" s="62"/>
      <c r="AC632" s="62"/>
      <c r="AD632" s="62"/>
      <c r="AE632" s="62"/>
      <c r="AF632" s="62"/>
      <c r="AG632" s="62"/>
      <c r="AH632" s="62"/>
      <c r="AI632" s="62"/>
      <c r="AJ632" s="62"/>
      <c r="AK632" s="64"/>
      <c r="AL632" s="62"/>
      <c r="AM632" s="62"/>
      <c r="AN632" s="62"/>
      <c r="AO632" s="62"/>
      <c r="AP632" s="62"/>
      <c r="AQ632" s="62"/>
      <c r="AR632" s="63"/>
      <c r="AS632" s="63"/>
      <c r="AT632" s="70"/>
      <c r="AU632" s="70"/>
      <c r="AV632" s="70"/>
      <c r="AW632" s="70"/>
      <c r="AX632" s="70"/>
      <c r="AY632" s="65"/>
      <c r="AZ632" s="62"/>
      <c r="BE632" s="62"/>
      <c r="BF632" s="62"/>
      <c r="BG632" s="67">
        <v>3.840341</v>
      </c>
      <c r="BH632" s="67">
        <v>1.84456</v>
      </c>
      <c r="BI632" s="67">
        <v>71.5</v>
      </c>
      <c r="BJ632" s="67">
        <v>2.2799999999999998</v>
      </c>
      <c r="BK632" s="67">
        <v>2.2200000000000002</v>
      </c>
      <c r="BL632" s="67">
        <v>2.4300000000000002</v>
      </c>
      <c r="BM632" s="62"/>
      <c r="BN632" s="62"/>
      <c r="BO632" s="62"/>
      <c r="BP632" s="62"/>
      <c r="BQ632" s="62"/>
      <c r="BR632" s="62"/>
      <c r="BS632" s="62"/>
      <c r="BT632" s="62"/>
      <c r="BU632" s="62"/>
      <c r="BV632" s="62"/>
      <c r="BW632" s="62"/>
      <c r="BX632" s="62"/>
      <c r="BY632" s="62"/>
      <c r="BZ632" s="62"/>
      <c r="CA632" s="62"/>
      <c r="CB632" s="62"/>
      <c r="CC632" s="62"/>
      <c r="CD632" s="62"/>
      <c r="CE632" s="62"/>
      <c r="CF632" s="62"/>
      <c r="CG632" s="62"/>
      <c r="CH632" s="62"/>
      <c r="CI632" s="62"/>
      <c r="CJ632" s="62"/>
      <c r="CK632" s="62"/>
      <c r="CL632" s="62"/>
      <c r="CM632" s="62"/>
      <c r="CN632" s="62"/>
      <c r="CO632" s="62"/>
      <c r="CP632" s="62"/>
      <c r="CQ632" s="62"/>
      <c r="CR632" s="62"/>
      <c r="CS632" s="62"/>
      <c r="CT632" s="62"/>
      <c r="CU632" s="62"/>
      <c r="CV632" s="62"/>
      <c r="CW632" s="62"/>
      <c r="CX632" s="62"/>
      <c r="CY632" s="62"/>
      <c r="CZ632" s="62"/>
      <c r="DA632" s="62"/>
      <c r="DB632" s="62"/>
      <c r="DC632" s="62"/>
      <c r="DD632" s="62"/>
      <c r="DE632" s="62"/>
      <c r="DF632" s="62"/>
      <c r="DG632" s="62"/>
      <c r="DH632" s="62"/>
      <c r="DI632" s="62"/>
      <c r="DJ632" s="62"/>
      <c r="DK632" s="62"/>
      <c r="DL632" s="62"/>
    </row>
    <row r="633" spans="1:116" x14ac:dyDescent="0.2">
      <c r="A633" s="57">
        <v>45839</v>
      </c>
      <c r="B633" s="58">
        <f t="shared" si="52"/>
        <v>2025</v>
      </c>
      <c r="C633" s="66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6"/>
      <c r="P633" s="61"/>
      <c r="Q633" s="62"/>
      <c r="R633" s="62"/>
      <c r="S633" s="62"/>
      <c r="T633" s="62"/>
      <c r="U633" s="62"/>
      <c r="V633" s="62"/>
      <c r="W633" s="62"/>
      <c r="X633" s="62"/>
      <c r="Y633" s="61"/>
      <c r="Z633" s="63"/>
      <c r="AA633" s="64"/>
      <c r="AB633" s="62"/>
      <c r="AC633" s="62"/>
      <c r="AD633" s="62"/>
      <c r="AE633" s="62"/>
      <c r="AF633" s="62"/>
      <c r="AG633" s="62"/>
      <c r="AH633" s="62"/>
      <c r="AI633" s="62"/>
      <c r="AJ633" s="62"/>
      <c r="AK633" s="64"/>
      <c r="AL633" s="62"/>
      <c r="AM633" s="62"/>
      <c r="AN633" s="62"/>
      <c r="AO633" s="62"/>
      <c r="AP633" s="62"/>
      <c r="AQ633" s="62"/>
      <c r="AR633" s="63"/>
      <c r="AS633" s="63"/>
      <c r="AT633" s="70"/>
      <c r="AU633" s="70"/>
      <c r="AV633" s="70"/>
      <c r="AW633" s="70"/>
      <c r="AX633" s="70"/>
      <c r="AY633" s="65"/>
      <c r="AZ633" s="62"/>
      <c r="BE633" s="62"/>
      <c r="BF633" s="62"/>
      <c r="BG633" s="67">
        <v>3.7001590000000002</v>
      </c>
      <c r="BH633" s="67">
        <v>1.8645510000000001</v>
      </c>
      <c r="BI633" s="67">
        <v>71.5</v>
      </c>
      <c r="BJ633" s="67">
        <v>2.29</v>
      </c>
      <c r="BK633" s="67">
        <v>2.2400000000000002</v>
      </c>
      <c r="BL633" s="67">
        <v>2.44</v>
      </c>
      <c r="BM633" s="62"/>
      <c r="BN633" s="62"/>
      <c r="BO633" s="62"/>
      <c r="BP633" s="62"/>
      <c r="BQ633" s="62"/>
      <c r="BR633" s="62"/>
      <c r="BS633" s="62"/>
      <c r="BT633" s="62"/>
      <c r="BU633" s="62"/>
      <c r="BV633" s="62"/>
      <c r="BW633" s="62"/>
      <c r="BX633" s="62"/>
      <c r="BY633" s="62"/>
      <c r="BZ633" s="62"/>
      <c r="CA633" s="62"/>
      <c r="CB633" s="62"/>
      <c r="CC633" s="62"/>
      <c r="CD633" s="62"/>
      <c r="CE633" s="62"/>
      <c r="CF633" s="62"/>
      <c r="CG633" s="62"/>
      <c r="CH633" s="62"/>
      <c r="CI633" s="62"/>
      <c r="CJ633" s="62"/>
      <c r="CK633" s="62"/>
      <c r="CL633" s="62"/>
      <c r="CM633" s="62"/>
      <c r="CN633" s="62"/>
      <c r="CO633" s="62"/>
      <c r="CP633" s="62"/>
      <c r="CQ633" s="62"/>
      <c r="CR633" s="62"/>
      <c r="CS633" s="62"/>
      <c r="CT633" s="62"/>
      <c r="CU633" s="62"/>
      <c r="CV633" s="62"/>
      <c r="CW633" s="62"/>
      <c r="CX633" s="62"/>
      <c r="CY633" s="62"/>
      <c r="CZ633" s="62"/>
      <c r="DA633" s="62"/>
      <c r="DB633" s="62"/>
      <c r="DC633" s="62"/>
      <c r="DD633" s="62"/>
      <c r="DE633" s="62"/>
      <c r="DF633" s="62"/>
      <c r="DG633" s="62"/>
      <c r="DH633" s="62"/>
      <c r="DI633" s="62"/>
      <c r="DJ633" s="62"/>
      <c r="DK633" s="62"/>
      <c r="DL633" s="62"/>
    </row>
    <row r="634" spans="1:116" x14ac:dyDescent="0.2">
      <c r="A634" s="57">
        <v>45870</v>
      </c>
      <c r="B634" s="58">
        <f t="shared" si="52"/>
        <v>2025</v>
      </c>
      <c r="C634" s="66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6"/>
      <c r="P634" s="61"/>
      <c r="Q634" s="62"/>
      <c r="R634" s="62"/>
      <c r="S634" s="62"/>
      <c r="T634" s="62"/>
      <c r="U634" s="62"/>
      <c r="V634" s="62"/>
      <c r="W634" s="62"/>
      <c r="X634" s="62"/>
      <c r="Y634" s="61"/>
      <c r="Z634" s="63"/>
      <c r="AA634" s="64"/>
      <c r="AB634" s="62"/>
      <c r="AC634" s="62"/>
      <c r="AD634" s="62"/>
      <c r="AE634" s="62"/>
      <c r="AF634" s="62"/>
      <c r="AG634" s="62"/>
      <c r="AH634" s="62"/>
      <c r="AI634" s="62"/>
      <c r="AJ634" s="62"/>
      <c r="AK634" s="64"/>
      <c r="AL634" s="62"/>
      <c r="AM634" s="62"/>
      <c r="AN634" s="62"/>
      <c r="AO634" s="62"/>
      <c r="AP634" s="62"/>
      <c r="AQ634" s="62"/>
      <c r="AR634" s="63"/>
      <c r="AS634" s="63"/>
      <c r="AT634" s="70"/>
      <c r="AU634" s="70"/>
      <c r="AV634" s="70"/>
      <c r="AW634" s="70"/>
      <c r="AX634" s="70"/>
      <c r="AY634" s="65"/>
      <c r="AZ634" s="62"/>
      <c r="BE634" s="62"/>
      <c r="BF634" s="62"/>
      <c r="BG634" s="67">
        <v>3.8235239999999999</v>
      </c>
      <c r="BH634" s="67">
        <v>1.8169679999999999</v>
      </c>
      <c r="BI634" s="67">
        <v>71.5</v>
      </c>
      <c r="BJ634" s="67">
        <v>2.37</v>
      </c>
      <c r="BK634" s="67">
        <v>2.31</v>
      </c>
      <c r="BL634" s="67">
        <v>2.44</v>
      </c>
      <c r="BM634" s="62"/>
      <c r="BN634" s="62"/>
      <c r="BO634" s="62"/>
      <c r="BP634" s="62"/>
      <c r="BQ634" s="62"/>
      <c r="BR634" s="62"/>
      <c r="BS634" s="62"/>
      <c r="BT634" s="62"/>
      <c r="BU634" s="62"/>
      <c r="BV634" s="62"/>
      <c r="BW634" s="62"/>
      <c r="BX634" s="62"/>
      <c r="BY634" s="62"/>
      <c r="BZ634" s="62"/>
      <c r="CA634" s="62"/>
      <c r="CB634" s="62"/>
      <c r="CC634" s="62"/>
      <c r="CD634" s="62"/>
      <c r="CE634" s="62"/>
      <c r="CF634" s="62"/>
      <c r="CG634" s="62"/>
      <c r="CH634" s="62"/>
      <c r="CI634" s="62"/>
      <c r="CJ634" s="62"/>
      <c r="CK634" s="62"/>
      <c r="CL634" s="62"/>
      <c r="CM634" s="62"/>
      <c r="CN634" s="62"/>
      <c r="CO634" s="62"/>
      <c r="CP634" s="62"/>
      <c r="CQ634" s="62"/>
      <c r="CR634" s="62"/>
      <c r="CS634" s="62"/>
      <c r="CT634" s="62"/>
      <c r="CU634" s="62"/>
      <c r="CV634" s="62"/>
      <c r="CW634" s="62"/>
      <c r="CX634" s="62"/>
      <c r="CY634" s="62"/>
      <c r="CZ634" s="62"/>
      <c r="DA634" s="62"/>
      <c r="DB634" s="62"/>
      <c r="DC634" s="62"/>
      <c r="DD634" s="62"/>
      <c r="DE634" s="62"/>
      <c r="DF634" s="62"/>
      <c r="DG634" s="62"/>
      <c r="DH634" s="62"/>
      <c r="DI634" s="62"/>
      <c r="DJ634" s="62"/>
      <c r="DK634" s="62"/>
      <c r="DL634" s="62"/>
    </row>
    <row r="635" spans="1:116" x14ac:dyDescent="0.2">
      <c r="A635" s="57">
        <v>45901</v>
      </c>
      <c r="B635" s="58">
        <f t="shared" si="52"/>
        <v>2025</v>
      </c>
      <c r="C635" s="66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6"/>
      <c r="P635" s="61"/>
      <c r="Q635" s="62"/>
      <c r="R635" s="62"/>
      <c r="S635" s="62"/>
      <c r="T635" s="62"/>
      <c r="U635" s="62"/>
      <c r="V635" s="62"/>
      <c r="W635" s="62"/>
      <c r="X635" s="62"/>
      <c r="Y635" s="61"/>
      <c r="Z635" s="63"/>
      <c r="AA635" s="64"/>
      <c r="AB635" s="62"/>
      <c r="AC635" s="62"/>
      <c r="AD635" s="62"/>
      <c r="AE635" s="62"/>
      <c r="AF635" s="62"/>
      <c r="AG635" s="62"/>
      <c r="AH635" s="62"/>
      <c r="AI635" s="62"/>
      <c r="AJ635" s="62"/>
      <c r="AK635" s="64"/>
      <c r="AL635" s="62"/>
      <c r="AM635" s="62"/>
      <c r="AN635" s="62"/>
      <c r="AO635" s="62"/>
      <c r="AP635" s="62"/>
      <c r="AQ635" s="62"/>
      <c r="AR635" s="63"/>
      <c r="AS635" s="63"/>
      <c r="AT635" s="70"/>
      <c r="AU635" s="70"/>
      <c r="AV635" s="70"/>
      <c r="AW635" s="70"/>
      <c r="AX635" s="70"/>
      <c r="AY635" s="65"/>
      <c r="AZ635" s="62"/>
      <c r="BE635" s="62"/>
      <c r="BF635" s="62"/>
      <c r="BG635" s="67">
        <v>3.9381179999999998</v>
      </c>
      <c r="BH635" s="67">
        <v>1.7032860000000001</v>
      </c>
      <c r="BI635" s="67">
        <v>71.5</v>
      </c>
      <c r="BJ635" s="67">
        <v>2.42</v>
      </c>
      <c r="BK635" s="67">
        <v>2.36</v>
      </c>
      <c r="BL635" s="67">
        <v>2.41</v>
      </c>
      <c r="BM635" s="62"/>
      <c r="BN635" s="62"/>
      <c r="BO635" s="62"/>
      <c r="BP635" s="62"/>
      <c r="BQ635" s="62"/>
      <c r="BR635" s="62"/>
      <c r="BS635" s="62"/>
      <c r="BT635" s="62"/>
      <c r="BU635" s="62"/>
      <c r="BV635" s="62"/>
      <c r="BW635" s="62"/>
      <c r="BX635" s="62"/>
      <c r="BY635" s="62"/>
      <c r="BZ635" s="62"/>
      <c r="CA635" s="62"/>
      <c r="CB635" s="62"/>
      <c r="CC635" s="62"/>
      <c r="CD635" s="62"/>
      <c r="CE635" s="62"/>
      <c r="CF635" s="62"/>
      <c r="CG635" s="62"/>
      <c r="CH635" s="62"/>
      <c r="CI635" s="62"/>
      <c r="CJ635" s="62"/>
      <c r="CK635" s="62"/>
      <c r="CL635" s="62"/>
      <c r="CM635" s="62"/>
      <c r="CN635" s="62"/>
      <c r="CO635" s="62"/>
      <c r="CP635" s="62"/>
      <c r="CQ635" s="62"/>
      <c r="CR635" s="62"/>
      <c r="CS635" s="62"/>
      <c r="CT635" s="62"/>
      <c r="CU635" s="62"/>
      <c r="CV635" s="62"/>
      <c r="CW635" s="62"/>
      <c r="CX635" s="62"/>
      <c r="CY635" s="62"/>
      <c r="CZ635" s="62"/>
      <c r="DA635" s="62"/>
      <c r="DB635" s="62"/>
      <c r="DC635" s="62"/>
      <c r="DD635" s="62"/>
      <c r="DE635" s="62"/>
      <c r="DF635" s="62"/>
      <c r="DG635" s="62"/>
      <c r="DH635" s="62"/>
      <c r="DI635" s="62"/>
      <c r="DJ635" s="62"/>
      <c r="DK635" s="62"/>
      <c r="DL635" s="62"/>
    </row>
    <row r="636" spans="1:116" x14ac:dyDescent="0.2">
      <c r="A636" s="57">
        <v>45931</v>
      </c>
      <c r="B636" s="58">
        <f t="shared" si="52"/>
        <v>2025</v>
      </c>
      <c r="C636" s="66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6"/>
      <c r="P636" s="61"/>
      <c r="Q636" s="62"/>
      <c r="R636" s="62"/>
      <c r="S636" s="62"/>
      <c r="T636" s="62"/>
      <c r="U636" s="62"/>
      <c r="V636" s="62"/>
      <c r="W636" s="62"/>
      <c r="X636" s="62"/>
      <c r="Y636" s="61"/>
      <c r="Z636" s="63"/>
      <c r="AA636" s="64"/>
      <c r="AB636" s="62"/>
      <c r="AC636" s="62"/>
      <c r="AD636" s="62"/>
      <c r="AE636" s="62"/>
      <c r="AF636" s="62"/>
      <c r="AG636" s="62"/>
      <c r="AH636" s="62"/>
      <c r="AI636" s="62"/>
      <c r="AJ636" s="62"/>
      <c r="AK636" s="64"/>
      <c r="AL636" s="62"/>
      <c r="AM636" s="62"/>
      <c r="AN636" s="62"/>
      <c r="AO636" s="62"/>
      <c r="AP636" s="62"/>
      <c r="AQ636" s="62"/>
      <c r="AR636" s="63"/>
      <c r="AS636" s="63"/>
      <c r="AT636" s="70"/>
      <c r="AU636" s="70"/>
      <c r="AV636" s="70"/>
      <c r="AW636" s="70"/>
      <c r="AX636" s="70"/>
      <c r="AY636" s="65"/>
      <c r="AZ636" s="62"/>
      <c r="BE636" s="62"/>
      <c r="BF636" s="62"/>
      <c r="BG636" s="67">
        <v>4.0705390000000001</v>
      </c>
      <c r="BH636" s="67">
        <v>1.7609950000000001</v>
      </c>
      <c r="BI636" s="67">
        <v>70.5</v>
      </c>
      <c r="BJ636" s="67">
        <v>2.46</v>
      </c>
      <c r="BK636" s="67">
        <v>2.36</v>
      </c>
      <c r="BL636" s="67">
        <v>2.29</v>
      </c>
      <c r="BM636" s="62"/>
      <c r="BN636" s="62"/>
      <c r="BO636" s="62"/>
      <c r="BP636" s="62"/>
      <c r="BQ636" s="62"/>
      <c r="BR636" s="62"/>
      <c r="BS636" s="62"/>
      <c r="BT636" s="62"/>
      <c r="BU636" s="62"/>
      <c r="BV636" s="62"/>
      <c r="BW636" s="62"/>
      <c r="BX636" s="62"/>
      <c r="BY636" s="62"/>
      <c r="BZ636" s="62"/>
      <c r="CA636" s="62"/>
      <c r="CB636" s="62"/>
      <c r="CC636" s="62"/>
      <c r="CD636" s="62"/>
      <c r="CE636" s="62"/>
      <c r="CF636" s="62"/>
      <c r="CG636" s="62"/>
      <c r="CH636" s="62"/>
      <c r="CI636" s="62"/>
      <c r="CJ636" s="62"/>
      <c r="CK636" s="62"/>
      <c r="CL636" s="62"/>
      <c r="CM636" s="62"/>
      <c r="CN636" s="62"/>
      <c r="CO636" s="62"/>
      <c r="CP636" s="62"/>
      <c r="CQ636" s="62"/>
      <c r="CR636" s="62"/>
      <c r="CS636" s="62"/>
      <c r="CT636" s="62"/>
      <c r="CU636" s="62"/>
      <c r="CV636" s="62"/>
      <c r="CW636" s="62"/>
      <c r="CX636" s="62"/>
      <c r="CY636" s="62"/>
      <c r="CZ636" s="62"/>
      <c r="DA636" s="62"/>
      <c r="DB636" s="62"/>
      <c r="DC636" s="62"/>
      <c r="DD636" s="62"/>
      <c r="DE636" s="62"/>
      <c r="DF636" s="62"/>
      <c r="DG636" s="62"/>
      <c r="DH636" s="62"/>
      <c r="DI636" s="62"/>
      <c r="DJ636" s="62"/>
      <c r="DK636" s="62"/>
      <c r="DL636" s="62"/>
    </row>
    <row r="637" spans="1:116" x14ac:dyDescent="0.2">
      <c r="A637" s="57">
        <v>45962</v>
      </c>
      <c r="B637" s="58">
        <f t="shared" si="52"/>
        <v>2025</v>
      </c>
      <c r="C637" s="66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6"/>
      <c r="P637" s="61"/>
      <c r="Q637" s="62"/>
      <c r="R637" s="62"/>
      <c r="S637" s="62"/>
      <c r="T637" s="62"/>
      <c r="U637" s="62"/>
      <c r="V637" s="62"/>
      <c r="W637" s="62"/>
      <c r="X637" s="62"/>
      <c r="Y637" s="61"/>
      <c r="Z637" s="63"/>
      <c r="AA637" s="64"/>
      <c r="AB637" s="62"/>
      <c r="AC637" s="62"/>
      <c r="AD637" s="62"/>
      <c r="AE637" s="62"/>
      <c r="AF637" s="62"/>
      <c r="AG637" s="62"/>
      <c r="AH637" s="62"/>
      <c r="AI637" s="62"/>
      <c r="AJ637" s="62"/>
      <c r="AK637" s="64"/>
      <c r="AL637" s="62"/>
      <c r="AM637" s="62"/>
      <c r="AN637" s="62"/>
      <c r="AO637" s="62"/>
      <c r="AP637" s="62"/>
      <c r="AQ637" s="62"/>
      <c r="AR637" s="63"/>
      <c r="AS637" s="63"/>
      <c r="AT637" s="70"/>
      <c r="AU637" s="70"/>
      <c r="AV637" s="70"/>
      <c r="AW637" s="70"/>
      <c r="AX637" s="70"/>
      <c r="AY637" s="65"/>
      <c r="AZ637" s="62"/>
      <c r="BE637" s="62"/>
      <c r="BF637" s="62"/>
      <c r="BG637" s="67">
        <v>3.7905250000000001</v>
      </c>
      <c r="BH637" s="67">
        <v>1.669983</v>
      </c>
      <c r="BI637" s="67">
        <v>69.5</v>
      </c>
      <c r="BJ637" s="67">
        <v>2.4</v>
      </c>
      <c r="BK637" s="67">
        <v>2.3199999999999998</v>
      </c>
      <c r="BL637" s="67">
        <v>2.17</v>
      </c>
      <c r="BM637" s="62"/>
      <c r="BN637" s="62"/>
      <c r="BO637" s="62"/>
      <c r="BP637" s="62"/>
      <c r="BQ637" s="62"/>
      <c r="BR637" s="62"/>
      <c r="BS637" s="62"/>
      <c r="BT637" s="62"/>
      <c r="BU637" s="62"/>
      <c r="BV637" s="62"/>
      <c r="BW637" s="62"/>
      <c r="BX637" s="62"/>
      <c r="BY637" s="62"/>
      <c r="BZ637" s="62"/>
      <c r="CA637" s="62"/>
      <c r="CB637" s="62"/>
      <c r="CC637" s="62"/>
      <c r="CD637" s="62"/>
      <c r="CE637" s="62"/>
      <c r="CF637" s="62"/>
      <c r="CG637" s="62"/>
      <c r="CH637" s="62"/>
      <c r="CI637" s="62"/>
      <c r="CJ637" s="62"/>
      <c r="CK637" s="62"/>
      <c r="CL637" s="62"/>
      <c r="CM637" s="62"/>
      <c r="CN637" s="62"/>
      <c r="CO637" s="62"/>
      <c r="CP637" s="62"/>
      <c r="CQ637" s="62"/>
      <c r="CR637" s="62"/>
      <c r="CS637" s="62"/>
      <c r="CT637" s="62"/>
      <c r="CU637" s="62"/>
      <c r="CV637" s="62"/>
      <c r="CW637" s="62"/>
      <c r="CX637" s="62"/>
      <c r="CY637" s="62"/>
      <c r="CZ637" s="62"/>
      <c r="DA637" s="62"/>
      <c r="DB637" s="62"/>
      <c r="DC637" s="62"/>
      <c r="DD637" s="62"/>
      <c r="DE637" s="62"/>
      <c r="DF637" s="62"/>
      <c r="DG637" s="62"/>
      <c r="DH637" s="62"/>
      <c r="DI637" s="62"/>
      <c r="DJ637" s="62"/>
      <c r="DK637" s="62"/>
      <c r="DL637" s="62"/>
    </row>
    <row r="638" spans="1:116" x14ac:dyDescent="0.2">
      <c r="A638" s="57">
        <v>45992</v>
      </c>
      <c r="B638" s="58">
        <f t="shared" si="52"/>
        <v>2025</v>
      </c>
      <c r="C638" s="66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6"/>
      <c r="P638" s="61"/>
      <c r="Q638" s="62"/>
      <c r="R638" s="62"/>
      <c r="S638" s="62"/>
      <c r="T638" s="62"/>
      <c r="U638" s="62"/>
      <c r="V638" s="62"/>
      <c r="W638" s="62"/>
      <c r="X638" s="62"/>
      <c r="Y638" s="61"/>
      <c r="Z638" s="63"/>
      <c r="AA638" s="64"/>
      <c r="AB638" s="62"/>
      <c r="AC638" s="62"/>
      <c r="AD638" s="62"/>
      <c r="AE638" s="62"/>
      <c r="AF638" s="62"/>
      <c r="AG638" s="62"/>
      <c r="AH638" s="62"/>
      <c r="AI638" s="62"/>
      <c r="AJ638" s="62"/>
      <c r="AK638" s="64"/>
      <c r="AL638" s="62"/>
      <c r="AM638" s="62"/>
      <c r="AN638" s="62"/>
      <c r="AO638" s="62"/>
      <c r="AP638" s="62"/>
      <c r="AQ638" s="62"/>
      <c r="AR638" s="63"/>
      <c r="AS638" s="63"/>
      <c r="AT638" s="70"/>
      <c r="AU638" s="70"/>
      <c r="AV638" s="70"/>
      <c r="AW638" s="70"/>
      <c r="AX638" s="70"/>
      <c r="AY638" s="65"/>
      <c r="AZ638" s="62"/>
      <c r="BE638" s="62"/>
      <c r="BF638" s="62"/>
      <c r="BG638" s="67">
        <v>3.8543699999999999</v>
      </c>
      <c r="BH638" s="67">
        <v>1.7409239999999999</v>
      </c>
      <c r="BI638" s="67">
        <v>68.5</v>
      </c>
      <c r="BJ638" s="67">
        <v>2.38</v>
      </c>
      <c r="BK638" s="67">
        <v>2.36</v>
      </c>
      <c r="BL638" s="67">
        <v>2.13</v>
      </c>
      <c r="BM638" s="62"/>
      <c r="BN638" s="62"/>
      <c r="BO638" s="62"/>
      <c r="BP638" s="62"/>
      <c r="BQ638" s="62"/>
      <c r="BR638" s="62"/>
      <c r="BS638" s="62"/>
      <c r="BT638" s="62"/>
      <c r="BU638" s="62"/>
      <c r="BV638" s="62"/>
      <c r="BW638" s="62"/>
      <c r="BX638" s="62"/>
      <c r="BY638" s="62"/>
      <c r="BZ638" s="62"/>
      <c r="CA638" s="62"/>
      <c r="CB638" s="62"/>
      <c r="CC638" s="62"/>
      <c r="CD638" s="62"/>
      <c r="CE638" s="62"/>
      <c r="CF638" s="62"/>
      <c r="CG638" s="62"/>
      <c r="CH638" s="62"/>
      <c r="CI638" s="62"/>
      <c r="CJ638" s="62"/>
      <c r="CK638" s="62"/>
      <c r="CL638" s="62"/>
      <c r="CM638" s="62"/>
      <c r="CN638" s="62"/>
      <c r="CO638" s="62"/>
      <c r="CP638" s="62"/>
      <c r="CQ638" s="62"/>
      <c r="CR638" s="62"/>
      <c r="CS638" s="62"/>
      <c r="CT638" s="62"/>
      <c r="CU638" s="62"/>
      <c r="CV638" s="62"/>
      <c r="CW638" s="62"/>
      <c r="CX638" s="62"/>
      <c r="CY638" s="62"/>
      <c r="CZ638" s="62"/>
      <c r="DA638" s="62"/>
      <c r="DB638" s="62"/>
      <c r="DC638" s="62"/>
      <c r="DD638" s="62"/>
      <c r="DE638" s="62"/>
      <c r="DF638" s="62"/>
      <c r="DG638" s="62"/>
      <c r="DH638" s="62"/>
      <c r="DI638" s="62"/>
      <c r="DJ638" s="62"/>
      <c r="DK638" s="62"/>
      <c r="DL638" s="62"/>
    </row>
    <row r="639" spans="1:116" x14ac:dyDescent="0.2">
      <c r="A639" s="57">
        <v>46023</v>
      </c>
      <c r="B639" s="58">
        <f t="shared" si="52"/>
        <v>2026</v>
      </c>
      <c r="BG639" s="67">
        <v>3.9532569999999998</v>
      </c>
      <c r="BH639" s="67">
        <v>1.588654</v>
      </c>
      <c r="BI639" s="67">
        <v>67.5</v>
      </c>
      <c r="BJ639" s="67">
        <v>2.4</v>
      </c>
      <c r="BK639" s="67">
        <v>2.39</v>
      </c>
      <c r="BL639" s="67">
        <v>2.12</v>
      </c>
    </row>
    <row r="640" spans="1:116" x14ac:dyDescent="0.2">
      <c r="A640" s="57">
        <v>46054</v>
      </c>
      <c r="B640" s="58">
        <f t="shared" si="52"/>
        <v>2026</v>
      </c>
      <c r="BG640" s="67">
        <v>4.0056139999999996</v>
      </c>
      <c r="BH640" s="67">
        <v>1.613915</v>
      </c>
      <c r="BI640" s="67">
        <v>67.5</v>
      </c>
      <c r="BJ640" s="67">
        <v>2.4</v>
      </c>
      <c r="BK640" s="67">
        <v>2.33</v>
      </c>
      <c r="BL640" s="67">
        <v>2.13</v>
      </c>
    </row>
    <row r="641" spans="1:64" x14ac:dyDescent="0.2">
      <c r="A641" s="57">
        <v>46082</v>
      </c>
      <c r="B641" s="58">
        <f t="shared" si="52"/>
        <v>2026</v>
      </c>
      <c r="BG641" s="67">
        <v>3.9621909999999998</v>
      </c>
      <c r="BH641" s="67">
        <v>1.7071540000000001</v>
      </c>
      <c r="BI641" s="67">
        <v>67.5</v>
      </c>
      <c r="BJ641" s="67">
        <v>2.46</v>
      </c>
      <c r="BK641" s="67">
        <v>2.38</v>
      </c>
      <c r="BL641" s="67">
        <v>2.2799999999999998</v>
      </c>
    </row>
    <row r="642" spans="1:64" x14ac:dyDescent="0.2">
      <c r="A642" s="57">
        <v>46113</v>
      </c>
      <c r="B642" s="58">
        <f t="shared" si="52"/>
        <v>2026</v>
      </c>
      <c r="BG642" s="67">
        <v>3.9131179999999999</v>
      </c>
      <c r="BH642" s="67">
        <v>1.756869</v>
      </c>
      <c r="BI642" s="67">
        <v>65.5</v>
      </c>
      <c r="BJ642" s="67">
        <v>2.36</v>
      </c>
      <c r="BK642" s="67">
        <v>2.2999999999999998</v>
      </c>
      <c r="BL642" s="67">
        <v>2.2799999999999998</v>
      </c>
    </row>
    <row r="643" spans="1:64" x14ac:dyDescent="0.2">
      <c r="A643" s="57">
        <v>46143</v>
      </c>
      <c r="B643" s="58">
        <f t="shared" si="52"/>
        <v>2026</v>
      </c>
      <c r="BG643" s="67">
        <v>3.8122210000000001</v>
      </c>
      <c r="BH643" s="67">
        <v>1.822208</v>
      </c>
      <c r="BI643" s="67">
        <v>65.5</v>
      </c>
      <c r="BJ643" s="67">
        <v>2.38</v>
      </c>
      <c r="BK643" s="67">
        <v>2.31</v>
      </c>
      <c r="BL643" s="67">
        <v>2.33</v>
      </c>
    </row>
    <row r="644" spans="1:64" x14ac:dyDescent="0.2">
      <c r="A644" s="57">
        <v>46174</v>
      </c>
      <c r="B644" s="58">
        <f t="shared" si="52"/>
        <v>2026</v>
      </c>
      <c r="BG644" s="67">
        <v>3.9511509999999999</v>
      </c>
      <c r="BH644" s="67">
        <v>1.8712569999999999</v>
      </c>
      <c r="BI644" s="67">
        <v>65.5</v>
      </c>
      <c r="BJ644" s="67">
        <v>2.38</v>
      </c>
      <c r="BK644" s="67">
        <v>2.33</v>
      </c>
      <c r="BL644" s="67">
        <v>2.39</v>
      </c>
    </row>
    <row r="645" spans="1:64" x14ac:dyDescent="0.2">
      <c r="A645" s="57">
        <v>46204</v>
      </c>
      <c r="B645" s="58">
        <f t="shared" si="52"/>
        <v>2026</v>
      </c>
      <c r="BG645" s="67">
        <v>3.8049529999999998</v>
      </c>
      <c r="BH645" s="67">
        <v>1.8913709999999999</v>
      </c>
      <c r="BI645" s="67">
        <v>64.5</v>
      </c>
      <c r="BJ645" s="67">
        <v>2.39</v>
      </c>
      <c r="BK645" s="67">
        <v>2.34</v>
      </c>
      <c r="BL645" s="67">
        <v>2.38</v>
      </c>
    </row>
    <row r="646" spans="1:64" x14ac:dyDescent="0.2">
      <c r="A646" s="57">
        <v>46235</v>
      </c>
      <c r="B646" s="58">
        <f t="shared" si="52"/>
        <v>2026</v>
      </c>
      <c r="BG646" s="67">
        <v>3.8529059999999999</v>
      </c>
      <c r="BH646" s="67">
        <v>1.842803</v>
      </c>
      <c r="BI646" s="67">
        <v>64.5</v>
      </c>
      <c r="BJ646" s="67">
        <v>2.48</v>
      </c>
      <c r="BK646" s="67">
        <v>2.42</v>
      </c>
      <c r="BL646" s="67">
        <v>2.37</v>
      </c>
    </row>
    <row r="647" spans="1:64" x14ac:dyDescent="0.2">
      <c r="A647" s="57">
        <v>46266</v>
      </c>
      <c r="B647" s="58">
        <f t="shared" si="52"/>
        <v>2026</v>
      </c>
      <c r="BG647" s="67">
        <v>3.9644849999999998</v>
      </c>
      <c r="BH647" s="67">
        <v>1.72739</v>
      </c>
      <c r="BI647" s="67">
        <v>64.5</v>
      </c>
      <c r="BJ647" s="67">
        <v>2.5</v>
      </c>
      <c r="BK647" s="67">
        <v>2.4300000000000002</v>
      </c>
      <c r="BL647" s="67">
        <v>2.31</v>
      </c>
    </row>
    <row r="648" spans="1:64" x14ac:dyDescent="0.2">
      <c r="A648" s="57">
        <v>46296</v>
      </c>
      <c r="B648" s="58">
        <f t="shared" si="52"/>
        <v>2026</v>
      </c>
      <c r="BG648" s="67">
        <v>4.0364329999999997</v>
      </c>
      <c r="BH648" s="67">
        <v>1.785844</v>
      </c>
      <c r="BI648" s="67">
        <v>62.5</v>
      </c>
      <c r="BJ648" s="67">
        <v>2.4700000000000002</v>
      </c>
      <c r="BK648" s="67">
        <v>2.38</v>
      </c>
      <c r="BL648" s="67">
        <v>2.19</v>
      </c>
    </row>
    <row r="649" spans="1:64" x14ac:dyDescent="0.2">
      <c r="A649" s="57">
        <v>46327</v>
      </c>
      <c r="B649" s="58">
        <f t="shared" si="52"/>
        <v>2026</v>
      </c>
      <c r="BG649" s="67">
        <v>3.8944299999999998</v>
      </c>
      <c r="BH649" s="67">
        <v>1.6935450000000001</v>
      </c>
      <c r="BI649" s="67">
        <v>62.5</v>
      </c>
      <c r="BJ649" s="67">
        <v>2.44</v>
      </c>
      <c r="BK649" s="67">
        <v>2.36</v>
      </c>
      <c r="BL649" s="67">
        <v>2.13</v>
      </c>
    </row>
    <row r="650" spans="1:64" x14ac:dyDescent="0.2">
      <c r="A650" s="57">
        <v>46357</v>
      </c>
      <c r="B650" s="58">
        <f t="shared" si="52"/>
        <v>2026</v>
      </c>
      <c r="BG650" s="67">
        <v>3.8764219999999998</v>
      </c>
      <c r="BH650" s="67">
        <v>1.765657</v>
      </c>
      <c r="BI650" s="67">
        <v>62.5</v>
      </c>
      <c r="BJ650" s="67">
        <v>2.35</v>
      </c>
      <c r="BK650" s="67">
        <v>2.33</v>
      </c>
      <c r="BL650" s="67">
        <v>2</v>
      </c>
    </row>
  </sheetData>
  <hyperlinks>
    <hyperlink ref="AM2" r:id="rId1" xr:uid="{D05743BC-FA7E-4EB0-8C8C-72929A89544E}"/>
    <hyperlink ref="AL2" r:id="rId2" xr:uid="{83E5E0B2-D9A4-4081-86C5-8E6DCA1BD659}"/>
    <hyperlink ref="AN2" r:id="rId3" xr:uid="{89D55291-1AC6-4B13-9C04-E2C635E13215}"/>
    <hyperlink ref="AO2" r:id="rId4" xr:uid="{E63C78BB-A947-4E63-9087-B43F97B1012B}"/>
    <hyperlink ref="AP2" r:id="rId5" xr:uid="{E84E8334-6C52-41C9-98F0-6E97D0DE56D2}"/>
    <hyperlink ref="AQ2" r:id="rId6" xr:uid="{C0DED626-ADCA-43B7-94BE-D0C2562022E8}"/>
    <hyperlink ref="AZ2" r:id="rId7" xr:uid="{0B2E05D5-6C39-4B03-B57D-06F018B34165}"/>
    <hyperlink ref="BA2" r:id="rId8" xr:uid="{C53E84C3-726C-44CF-8E04-4157C3A00A48}"/>
    <hyperlink ref="BB2" r:id="rId9" xr:uid="{C2A38A7E-6FB1-49B1-8383-F83BCB953349}"/>
    <hyperlink ref="BC2" r:id="rId10" xr:uid="{D08E4D79-DE23-4BDC-8514-AB6BFFDD9A8E}"/>
    <hyperlink ref="BD2" r:id="rId11" xr:uid="{C348C333-D681-49A3-99A1-9E77C46A5630}"/>
  </hyperlinks>
  <pageMargins left="0.7" right="0.7" top="0.75" bottom="0.75" header="0.3" footer="0.3"/>
  <pageSetup orientation="portrait" r:id="rId1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43091-EA10-4C9A-BB85-9709304B93A4}">
  <sheetPr>
    <pageSetUpPr fitToPage="1"/>
  </sheetPr>
  <dimension ref="A1:AY164"/>
  <sheetViews>
    <sheetView showGridLines="0" zoomScaleNormal="100" workbookViewId="0">
      <pane xSplit="1" ySplit="3" topLeftCell="T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.85546875" defaultRowHeight="11.25" x14ac:dyDescent="0.2"/>
  <cols>
    <col min="1" max="1" width="53.42578125" style="19" bestFit="1" customWidth="1"/>
    <col min="2" max="23" width="9.28515625" style="19" customWidth="1"/>
    <col min="24" max="24" width="9.28515625" style="121" customWidth="1"/>
    <col min="25" max="51" width="9.28515625" style="19" customWidth="1"/>
    <col min="52" max="16384" width="8.85546875" style="19"/>
  </cols>
  <sheetData>
    <row r="1" spans="1:51" s="83" customFormat="1" ht="12" thickBot="1" x14ac:dyDescent="0.25">
      <c r="A1" s="80" t="s">
        <v>141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2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</row>
    <row r="2" spans="1:51" ht="12" thickTop="1" x14ac:dyDescent="0.2">
      <c r="A2" s="84"/>
      <c r="B2" s="85">
        <v>2001</v>
      </c>
      <c r="C2" s="85">
        <v>2002</v>
      </c>
      <c r="D2" s="85">
        <v>2003</v>
      </c>
      <c r="E2" s="85">
        <v>2004</v>
      </c>
      <c r="F2" s="85">
        <v>2005</v>
      </c>
      <c r="G2" s="85">
        <v>2006</v>
      </c>
      <c r="H2" s="85">
        <v>2007</v>
      </c>
      <c r="I2" s="85">
        <v>2008</v>
      </c>
      <c r="J2" s="85">
        <v>2009</v>
      </c>
      <c r="K2" s="85">
        <v>2010</v>
      </c>
      <c r="L2" s="85">
        <v>2011</v>
      </c>
      <c r="M2" s="85">
        <v>2012</v>
      </c>
      <c r="N2" s="85">
        <v>2013</v>
      </c>
      <c r="O2" s="85">
        <v>2014</v>
      </c>
      <c r="P2" s="85">
        <v>2015</v>
      </c>
      <c r="Q2" s="85">
        <v>2016</v>
      </c>
      <c r="R2" s="85">
        <v>2017</v>
      </c>
      <c r="S2" s="85">
        <v>2018</v>
      </c>
      <c r="T2" s="85">
        <v>2019</v>
      </c>
      <c r="U2" s="85">
        <v>2020</v>
      </c>
      <c r="V2" s="85">
        <v>2021</v>
      </c>
      <c r="W2" s="85">
        <v>2022</v>
      </c>
      <c r="X2" s="85">
        <v>2023</v>
      </c>
      <c r="Y2" s="85">
        <v>2024</v>
      </c>
      <c r="Z2" s="85" t="s">
        <v>142</v>
      </c>
      <c r="AA2" s="85" t="s">
        <v>143</v>
      </c>
      <c r="AB2" s="85" t="s">
        <v>144</v>
      </c>
      <c r="AC2" s="85">
        <v>2028</v>
      </c>
      <c r="AD2" s="85">
        <v>2029</v>
      </c>
      <c r="AE2" s="85">
        <v>2030</v>
      </c>
      <c r="AF2" s="85">
        <v>2031</v>
      </c>
      <c r="AG2" s="85">
        <v>2032</v>
      </c>
      <c r="AH2" s="85">
        <v>2033</v>
      </c>
      <c r="AI2" s="85">
        <v>2034</v>
      </c>
      <c r="AJ2" s="85">
        <v>2035</v>
      </c>
      <c r="AK2" s="85">
        <v>2036</v>
      </c>
      <c r="AL2" s="85">
        <v>2037</v>
      </c>
      <c r="AM2" s="85">
        <v>2038</v>
      </c>
      <c r="AN2" s="85">
        <v>2039</v>
      </c>
      <c r="AO2" s="85">
        <v>2040</v>
      </c>
      <c r="AP2" s="85">
        <v>2041</v>
      </c>
      <c r="AQ2" s="85">
        <v>2042</v>
      </c>
      <c r="AR2" s="85">
        <v>2043</v>
      </c>
      <c r="AS2" s="85">
        <v>2044</v>
      </c>
      <c r="AT2" s="85">
        <v>2045</v>
      </c>
      <c r="AU2" s="85">
        <v>2046</v>
      </c>
      <c r="AV2" s="85">
        <v>2047</v>
      </c>
      <c r="AW2" s="85">
        <v>2048</v>
      </c>
      <c r="AX2" s="85">
        <v>2049</v>
      </c>
      <c r="AY2" s="85">
        <v>2050</v>
      </c>
    </row>
    <row r="3" spans="1:51" x14ac:dyDescent="0.2">
      <c r="A3" s="80" t="s">
        <v>145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</row>
    <row r="4" spans="1:51" x14ac:dyDescent="0.2">
      <c r="A4" s="84" t="s">
        <v>146</v>
      </c>
      <c r="B4" s="88">
        <v>0</v>
      </c>
      <c r="C4" s="88">
        <f t="shared" ref="C4:K4" si="0">B11</f>
        <v>0</v>
      </c>
      <c r="D4" s="88">
        <f t="shared" si="0"/>
        <v>0</v>
      </c>
      <c r="E4" s="88">
        <f t="shared" si="0"/>
        <v>0</v>
      </c>
      <c r="F4" s="88">
        <f t="shared" si="0"/>
        <v>0</v>
      </c>
      <c r="G4" s="88">
        <f t="shared" si="0"/>
        <v>0</v>
      </c>
      <c r="H4" s="88">
        <f t="shared" si="0"/>
        <v>0</v>
      </c>
      <c r="I4" s="88">
        <f t="shared" si="0"/>
        <v>0</v>
      </c>
      <c r="J4" s="88">
        <f t="shared" si="0"/>
        <v>0</v>
      </c>
      <c r="K4" s="88">
        <f t="shared" si="0"/>
        <v>29.861999999999998</v>
      </c>
      <c r="L4" s="88">
        <f>K11</f>
        <v>28.224</v>
      </c>
      <c r="M4" s="88">
        <f>L11</f>
        <v>91.380870000000016</v>
      </c>
      <c r="N4" s="88">
        <f t="shared" ref="N4:AY4" si="1">M11</f>
        <v>83.342952000000011</v>
      </c>
      <c r="O4" s="88">
        <f t="shared" si="1"/>
        <v>160.007778</v>
      </c>
      <c r="P4" s="88">
        <f t="shared" si="1"/>
        <v>131.485998</v>
      </c>
      <c r="Q4" s="88">
        <f t="shared" si="1"/>
        <v>165.61855799999998</v>
      </c>
      <c r="R4" s="88">
        <f t="shared" si="1"/>
        <v>268.70508000000001</v>
      </c>
      <c r="S4" s="88">
        <f t="shared" si="1"/>
        <v>179.25385799999998</v>
      </c>
      <c r="T4" s="88">
        <f t="shared" si="1"/>
        <v>195.81311399999998</v>
      </c>
      <c r="U4" s="88">
        <f t="shared" si="1"/>
        <v>164.07808199999999</v>
      </c>
      <c r="V4" s="88">
        <f t="shared" si="1"/>
        <v>153.94617000000002</v>
      </c>
      <c r="W4" s="88">
        <f t="shared" si="1"/>
        <v>175.87495799999999</v>
      </c>
      <c r="X4" s="88">
        <f t="shared" si="1"/>
        <v>151.529742</v>
      </c>
      <c r="Y4" s="88">
        <f>X11</f>
        <v>160.165908</v>
      </c>
      <c r="Z4" s="89">
        <f>Y11</f>
        <v>149.18660399999999</v>
      </c>
      <c r="AA4" s="89">
        <f t="shared" si="1"/>
        <v>345.14104086422662</v>
      </c>
      <c r="AB4" s="89">
        <f t="shared" si="1"/>
        <v>242.52402484061992</v>
      </c>
      <c r="AC4" s="89">
        <f t="shared" si="1"/>
        <v>264.671393443265</v>
      </c>
      <c r="AD4" s="89">
        <f t="shared" si="1"/>
        <v>283.57561827033499</v>
      </c>
      <c r="AE4" s="89">
        <f t="shared" si="1"/>
        <v>246.74338105665737</v>
      </c>
      <c r="AF4" s="89">
        <f t="shared" si="1"/>
        <v>221.63135017122363</v>
      </c>
      <c r="AG4" s="89">
        <f t="shared" si="1"/>
        <v>188.75448861742217</v>
      </c>
      <c r="AH4" s="89">
        <f t="shared" si="1"/>
        <v>230.27764375049679</v>
      </c>
      <c r="AI4" s="89">
        <f t="shared" si="1"/>
        <v>204.13966238211754</v>
      </c>
      <c r="AJ4" s="89">
        <f t="shared" si="1"/>
        <v>202.08233909985108</v>
      </c>
      <c r="AK4" s="89">
        <f t="shared" si="1"/>
        <v>222.92519598919796</v>
      </c>
      <c r="AL4" s="89">
        <f t="shared" si="1"/>
        <v>158.07084919642932</v>
      </c>
      <c r="AM4" s="89">
        <f t="shared" si="1"/>
        <v>167.85593944316525</v>
      </c>
      <c r="AN4" s="89">
        <f t="shared" si="1"/>
        <v>166.6149808778822</v>
      </c>
      <c r="AO4" s="89">
        <f t="shared" si="1"/>
        <v>183.24991489577167</v>
      </c>
      <c r="AP4" s="89">
        <f t="shared" si="1"/>
        <v>164.39982553467917</v>
      </c>
      <c r="AQ4" s="89">
        <f t="shared" si="1"/>
        <v>180.77756237423654</v>
      </c>
      <c r="AR4" s="89">
        <f t="shared" si="1"/>
        <v>210.32606811033372</v>
      </c>
      <c r="AS4" s="89">
        <f t="shared" si="1"/>
        <v>196.53026802900837</v>
      </c>
      <c r="AT4" s="89">
        <f t="shared" si="1"/>
        <v>207.03016613602108</v>
      </c>
      <c r="AU4" s="89">
        <f t="shared" si="1"/>
        <v>218.95244450353619</v>
      </c>
      <c r="AV4" s="89">
        <f t="shared" si="1"/>
        <v>229.61783303096655</v>
      </c>
      <c r="AW4" s="89">
        <f t="shared" si="1"/>
        <v>240.21170043842494</v>
      </c>
      <c r="AX4" s="89">
        <f t="shared" si="1"/>
        <v>257.59906517122448</v>
      </c>
      <c r="AY4" s="89">
        <f t="shared" si="1"/>
        <v>282.09511960936015</v>
      </c>
    </row>
    <row r="5" spans="1:51" x14ac:dyDescent="0.2">
      <c r="A5" s="84" t="s">
        <v>147</v>
      </c>
      <c r="B5" s="88">
        <f t="shared" ref="B5:V5" si="2">B37</f>
        <v>8.5739999999999998</v>
      </c>
      <c r="C5" s="88">
        <f t="shared" si="2"/>
        <v>10.482000000000001</v>
      </c>
      <c r="D5" s="88">
        <f t="shared" si="2"/>
        <v>14.211000000000002</v>
      </c>
      <c r="E5" s="88">
        <f t="shared" si="2"/>
        <v>27.983000000000004</v>
      </c>
      <c r="F5" s="88">
        <f t="shared" si="2"/>
        <v>90.789000000000001</v>
      </c>
      <c r="G5" s="88">
        <f t="shared" si="2"/>
        <v>250.44000000000003</v>
      </c>
      <c r="H5" s="88">
        <f t="shared" si="2"/>
        <v>489.82600000000002</v>
      </c>
      <c r="I5" s="88">
        <f t="shared" si="2"/>
        <v>678.10699999999997</v>
      </c>
      <c r="J5" s="88">
        <f t="shared" si="2"/>
        <v>515.80700000000002</v>
      </c>
      <c r="K5" s="88">
        <f t="shared" si="2"/>
        <v>343.44400000000002</v>
      </c>
      <c r="L5" s="88">
        <f t="shared" si="2"/>
        <v>1037.0903299999998</v>
      </c>
      <c r="M5" s="88">
        <f t="shared" si="2"/>
        <v>1016.947679</v>
      </c>
      <c r="N5" s="88">
        <f t="shared" si="2"/>
        <v>1384.5936820000002</v>
      </c>
      <c r="O5" s="88">
        <f t="shared" si="2"/>
        <v>1307.213117</v>
      </c>
      <c r="P5" s="88">
        <f t="shared" si="2"/>
        <v>1254.2727239999999</v>
      </c>
      <c r="Q5" s="88">
        <f t="shared" si="2"/>
        <v>1633.1071199999999</v>
      </c>
      <c r="R5" s="88">
        <f t="shared" si="2"/>
        <v>1588.24974</v>
      </c>
      <c r="S5" s="88">
        <f t="shared" si="2"/>
        <v>1855.4527500000002</v>
      </c>
      <c r="T5" s="88">
        <f t="shared" si="2"/>
        <v>1713.7735769999999</v>
      </c>
      <c r="U5" s="88">
        <f t="shared" si="2"/>
        <v>1824.8736379999998</v>
      </c>
      <c r="V5" s="88">
        <f t="shared" si="2"/>
        <v>1704.627334</v>
      </c>
      <c r="W5" s="88">
        <f>W37</f>
        <v>1620.2090629999998</v>
      </c>
      <c r="X5" s="88">
        <f>X37</f>
        <v>1672.1473329999999</v>
      </c>
      <c r="Y5" s="88">
        <f>Y37</f>
        <v>1669.706332</v>
      </c>
      <c r="Z5" s="89">
        <f t="shared" ref="Z5:AY5" si="3">Z37</f>
        <v>1585.9544368642269</v>
      </c>
      <c r="AA5" s="89">
        <f t="shared" si="3"/>
        <v>1462.3829839763932</v>
      </c>
      <c r="AB5" s="89">
        <f t="shared" si="3"/>
        <v>1472.147368602645</v>
      </c>
      <c r="AC5" s="89">
        <f t="shared" si="3"/>
        <v>1173.90422482707</v>
      </c>
      <c r="AD5" s="89">
        <f t="shared" si="3"/>
        <v>1353.1677627863223</v>
      </c>
      <c r="AE5" s="89">
        <f t="shared" si="3"/>
        <v>1369.8879691145664</v>
      </c>
      <c r="AF5" s="89">
        <f>AF37</f>
        <v>1362.1231384461985</v>
      </c>
      <c r="AG5" s="89">
        <f t="shared" si="3"/>
        <v>1441.5231551330751</v>
      </c>
      <c r="AH5" s="89">
        <f t="shared" si="3"/>
        <v>1353.8620186316205</v>
      </c>
      <c r="AI5" s="89">
        <f t="shared" si="3"/>
        <v>1322.9426767177338</v>
      </c>
      <c r="AJ5" s="89">
        <f t="shared" si="3"/>
        <v>1270.8428568893469</v>
      </c>
      <c r="AK5" s="89">
        <f t="shared" si="3"/>
        <v>1065.1456532072314</v>
      </c>
      <c r="AL5" s="89">
        <f t="shared" si="3"/>
        <v>864.78509024673599</v>
      </c>
      <c r="AM5" s="89">
        <f t="shared" si="3"/>
        <v>848.75904143471689</v>
      </c>
      <c r="AN5" s="89">
        <f t="shared" si="3"/>
        <v>706.63493401788946</v>
      </c>
      <c r="AO5" s="89">
        <f t="shared" si="3"/>
        <v>426.14991063890761</v>
      </c>
      <c r="AP5" s="89">
        <f t="shared" si="3"/>
        <v>471.37773683955726</v>
      </c>
      <c r="AQ5" s="89">
        <f t="shared" si="3"/>
        <v>464.54849373609727</v>
      </c>
      <c r="AR5" s="89">
        <f t="shared" si="3"/>
        <v>386.20417591867465</v>
      </c>
      <c r="AS5" s="89">
        <f t="shared" si="3"/>
        <v>390.4998621070128</v>
      </c>
      <c r="AT5" s="89">
        <f t="shared" si="3"/>
        <v>391.92223036751511</v>
      </c>
      <c r="AU5" s="89">
        <f t="shared" si="3"/>
        <v>390.66532852743046</v>
      </c>
      <c r="AV5" s="89">
        <f t="shared" si="3"/>
        <v>390.5937954074584</v>
      </c>
      <c r="AW5" s="89">
        <f t="shared" si="3"/>
        <v>397.38728073279958</v>
      </c>
      <c r="AX5" s="89">
        <f t="shared" si="3"/>
        <v>404.49595843813563</v>
      </c>
      <c r="AY5" s="89">
        <f t="shared" si="3"/>
        <v>413.16160971614966</v>
      </c>
    </row>
    <row r="6" spans="1:51" s="93" customFormat="1" x14ac:dyDescent="0.2">
      <c r="A6" s="90" t="s">
        <v>148</v>
      </c>
      <c r="B6" s="91">
        <f t="shared" ref="B6:V6" si="4">B53</f>
        <v>1.9267380952380955</v>
      </c>
      <c r="C6" s="91">
        <f t="shared" si="4"/>
        <v>4.6985952380952378</v>
      </c>
      <c r="D6" s="91">
        <f t="shared" si="4"/>
        <v>2.3048571428571427</v>
      </c>
      <c r="E6" s="91">
        <f t="shared" si="4"/>
        <v>2.3938809523809521</v>
      </c>
      <c r="F6" s="91">
        <f t="shared" si="4"/>
        <v>5.0878571428571426</v>
      </c>
      <c r="G6" s="91">
        <f t="shared" si="4"/>
        <v>26.317</v>
      </c>
      <c r="H6" s="91">
        <f t="shared" si="4"/>
        <v>82.261047619047616</v>
      </c>
      <c r="I6" s="91">
        <f t="shared" si="4"/>
        <v>184.64359523809526</v>
      </c>
      <c r="J6" s="91">
        <f t="shared" si="4"/>
        <v>45.378</v>
      </c>
      <c r="K6" s="91">
        <f t="shared" si="4"/>
        <v>13.427523809523809</v>
      </c>
      <c r="L6" s="91">
        <f t="shared" si="4"/>
        <v>44.459571999999994</v>
      </c>
      <c r="M6" s="91">
        <f t="shared" si="4"/>
        <v>33.446861999999996</v>
      </c>
      <c r="N6" s="91">
        <f t="shared" si="4"/>
        <v>183.79637399999999</v>
      </c>
      <c r="O6" s="91">
        <f t="shared" si="4"/>
        <v>181.51008099999999</v>
      </c>
      <c r="P6" s="91">
        <f t="shared" si="4"/>
        <v>335.66485599999999</v>
      </c>
      <c r="Q6" s="91">
        <f t="shared" si="4"/>
        <v>674.168317</v>
      </c>
      <c r="R6" s="91">
        <f t="shared" si="4"/>
        <v>461.91464400000007</v>
      </c>
      <c r="S6" s="91">
        <f t="shared" si="4"/>
        <v>175.141321</v>
      </c>
      <c r="T6" s="91">
        <f t="shared" si="4"/>
        <v>184.74155299999995</v>
      </c>
      <c r="U6" s="91">
        <f t="shared" si="4"/>
        <v>209.493674</v>
      </c>
      <c r="V6" s="91">
        <f t="shared" si="4"/>
        <v>208.45072699999997</v>
      </c>
      <c r="W6" s="91">
        <f>W53</f>
        <v>240.324591</v>
      </c>
      <c r="X6" s="91">
        <f>X53</f>
        <v>511.34665100000001</v>
      </c>
      <c r="Y6" s="91">
        <f>Y53</f>
        <v>404.28373199999999</v>
      </c>
      <c r="Z6" s="92">
        <f>'[3]Monthly Gallon Summary'!Q$47/1000000</f>
        <v>340</v>
      </c>
      <c r="AA6" s="92">
        <f>'[3]Monthly Gallon Summary'!R$47/1000000</f>
        <v>190</v>
      </c>
      <c r="AB6" s="92">
        <f>'[3]Monthly Gallon Summary'!S$47/1000000</f>
        <v>200</v>
      </c>
      <c r="AC6" s="92">
        <f>'[3]Monthly Gallon Summary'!T$47/1000000</f>
        <v>220</v>
      </c>
      <c r="AD6" s="92">
        <f>'[3]Monthly Gallon Summary'!U$47/1000000</f>
        <v>220</v>
      </c>
      <c r="AE6" s="92">
        <f>'[3]Monthly Gallon Summary'!V$47/1000000</f>
        <v>230</v>
      </c>
      <c r="AF6" s="92">
        <f>'[3]Monthly Gallon Summary'!W$47/1000000</f>
        <v>210</v>
      </c>
      <c r="AG6" s="92">
        <f>'[3]Monthly Gallon Summary'!X$47/1000000</f>
        <v>190</v>
      </c>
      <c r="AH6" s="92">
        <f>'[3]Monthly Gallon Summary'!Y$47/1000000</f>
        <v>180</v>
      </c>
      <c r="AI6" s="92">
        <f>'[3]Monthly Gallon Summary'!Z$47/1000000</f>
        <v>175</v>
      </c>
      <c r="AJ6" s="92">
        <f>'[3]Monthly Gallon Summary'!AA$47/1000000</f>
        <v>160</v>
      </c>
      <c r="AK6" s="92">
        <f>'[3]Monthly Gallon Summary'!AB$47/1000000</f>
        <v>130</v>
      </c>
      <c r="AL6" s="92">
        <f>'[3]Monthly Gallon Summary'!AC$47/1000000</f>
        <v>110</v>
      </c>
      <c r="AM6" s="92">
        <f>'[3]Monthly Gallon Summary'!AD$47/1000000</f>
        <v>90</v>
      </c>
      <c r="AN6" s="92">
        <f>'[3]Monthly Gallon Summary'!AE$47/1000000</f>
        <v>75</v>
      </c>
      <c r="AO6" s="92">
        <f>'[3]Monthly Gallon Summary'!AF$47/1000000</f>
        <v>75</v>
      </c>
      <c r="AP6" s="92">
        <f>'[3]Monthly Gallon Summary'!AG$47/1000000</f>
        <v>75</v>
      </c>
      <c r="AQ6" s="92">
        <f>'[3]Monthly Gallon Summary'!AH$47/1000000</f>
        <v>75.000011999999998</v>
      </c>
      <c r="AR6" s="92">
        <f>'[3]Monthly Gallon Summary'!AI$47/1000000</f>
        <v>75.000023999999996</v>
      </c>
      <c r="AS6" s="92">
        <f>'[3]Monthly Gallon Summary'!AJ$47/1000000</f>
        <v>75.000035999999994</v>
      </c>
      <c r="AT6" s="92">
        <f>'[3]Monthly Gallon Summary'!AK$47/1000000</f>
        <v>75.000048000000007</v>
      </c>
      <c r="AU6" s="92">
        <f>'[3]Monthly Gallon Summary'!AL$47/1000000</f>
        <v>75.000060000000005</v>
      </c>
      <c r="AV6" s="92">
        <f>'[3]Monthly Gallon Summary'!AM$47/1000000</f>
        <v>75.000072000000003</v>
      </c>
      <c r="AW6" s="92">
        <f>'[3]Monthly Gallon Summary'!AN$47/1000000</f>
        <v>75.000084000000001</v>
      </c>
      <c r="AX6" s="92">
        <f>'[3]Monthly Gallon Summary'!AO$47/1000000</f>
        <v>75.000095999999999</v>
      </c>
      <c r="AY6" s="92">
        <f>'[3]Monthly Gallon Summary'!AP$47/1000000</f>
        <v>75.000107999999997</v>
      </c>
    </row>
    <row r="7" spans="1:51" x14ac:dyDescent="0.2">
      <c r="A7" s="94" t="s">
        <v>149</v>
      </c>
      <c r="B7" s="95">
        <f t="shared" ref="B7:K7" si="5">B4+B5+B6</f>
        <v>10.500738095238095</v>
      </c>
      <c r="C7" s="95">
        <f t="shared" si="5"/>
        <v>15.18059523809524</v>
      </c>
      <c r="D7" s="95">
        <f t="shared" si="5"/>
        <v>16.515857142857143</v>
      </c>
      <c r="E7" s="95">
        <f t="shared" si="5"/>
        <v>30.376880952380958</v>
      </c>
      <c r="F7" s="95">
        <f t="shared" si="5"/>
        <v>95.876857142857148</v>
      </c>
      <c r="G7" s="95">
        <f t="shared" si="5"/>
        <v>276.75700000000001</v>
      </c>
      <c r="H7" s="95">
        <f t="shared" si="5"/>
        <v>572.08704761904767</v>
      </c>
      <c r="I7" s="95">
        <f t="shared" si="5"/>
        <v>862.75059523809523</v>
      </c>
      <c r="J7" s="95">
        <f t="shared" si="5"/>
        <v>561.18500000000006</v>
      </c>
      <c r="K7" s="95">
        <f t="shared" si="5"/>
        <v>386.73352380952383</v>
      </c>
      <c r="L7" s="95">
        <f>L4+L5+L6</f>
        <v>1109.7739019999997</v>
      </c>
      <c r="M7" s="95">
        <f t="shared" ref="M7:AY7" si="6">M4+M5+M6</f>
        <v>1141.7754110000001</v>
      </c>
      <c r="N7" s="95">
        <f t="shared" si="6"/>
        <v>1651.7330080000002</v>
      </c>
      <c r="O7" s="95">
        <f t="shared" si="6"/>
        <v>1648.7309759999998</v>
      </c>
      <c r="P7" s="95">
        <f t="shared" si="6"/>
        <v>1721.4235779999999</v>
      </c>
      <c r="Q7" s="95">
        <f t="shared" si="6"/>
        <v>2472.8939949999999</v>
      </c>
      <c r="R7" s="95">
        <f t="shared" si="6"/>
        <v>2318.8694639999999</v>
      </c>
      <c r="S7" s="95">
        <f t="shared" si="6"/>
        <v>2209.847929</v>
      </c>
      <c r="T7" s="95">
        <f t="shared" si="6"/>
        <v>2094.3282439999998</v>
      </c>
      <c r="U7" s="95">
        <f t="shared" si="6"/>
        <v>2198.4453939999999</v>
      </c>
      <c r="V7" s="95">
        <f t="shared" si="6"/>
        <v>2067.0242309999999</v>
      </c>
      <c r="W7" s="95">
        <f t="shared" si="6"/>
        <v>2036.4086119999997</v>
      </c>
      <c r="X7" s="95">
        <f>X4+X5+X6</f>
        <v>2335.0237259999999</v>
      </c>
      <c r="Y7" s="95">
        <f>Y4+Y5+Y6</f>
        <v>2234.155972</v>
      </c>
      <c r="Z7" s="96">
        <f t="shared" si="6"/>
        <v>2075.1410408642269</v>
      </c>
      <c r="AA7" s="96">
        <f t="shared" si="6"/>
        <v>1997.5240248406199</v>
      </c>
      <c r="AB7" s="96">
        <f t="shared" si="6"/>
        <v>1914.6713934432648</v>
      </c>
      <c r="AC7" s="96">
        <f t="shared" si="6"/>
        <v>1658.5756182703351</v>
      </c>
      <c r="AD7" s="96">
        <f t="shared" si="6"/>
        <v>1856.7433810566572</v>
      </c>
      <c r="AE7" s="96">
        <f t="shared" si="6"/>
        <v>1846.6313501712239</v>
      </c>
      <c r="AF7" s="96">
        <f t="shared" si="6"/>
        <v>1793.7544886174221</v>
      </c>
      <c r="AG7" s="96">
        <f t="shared" si="6"/>
        <v>1820.2776437504972</v>
      </c>
      <c r="AH7" s="96">
        <f t="shared" si="6"/>
        <v>1764.1396623821172</v>
      </c>
      <c r="AI7" s="96">
        <f t="shared" si="6"/>
        <v>1702.0823390998512</v>
      </c>
      <c r="AJ7" s="96">
        <f t="shared" si="6"/>
        <v>1632.9251959891981</v>
      </c>
      <c r="AK7" s="96">
        <f t="shared" si="6"/>
        <v>1418.0708491964292</v>
      </c>
      <c r="AL7" s="96">
        <f t="shared" si="6"/>
        <v>1132.8559394431654</v>
      </c>
      <c r="AM7" s="96">
        <f t="shared" si="6"/>
        <v>1106.6149808778821</v>
      </c>
      <c r="AN7" s="96">
        <f t="shared" si="6"/>
        <v>948.24991489577167</v>
      </c>
      <c r="AO7" s="96">
        <f t="shared" si="6"/>
        <v>684.39982553467928</v>
      </c>
      <c r="AP7" s="96">
        <f t="shared" si="6"/>
        <v>710.77756237423637</v>
      </c>
      <c r="AQ7" s="96">
        <f t="shared" si="6"/>
        <v>720.32606811033384</v>
      </c>
      <c r="AR7" s="96">
        <f t="shared" si="6"/>
        <v>671.53026802900831</v>
      </c>
      <c r="AS7" s="96">
        <f t="shared" si="6"/>
        <v>662.03016613602119</v>
      </c>
      <c r="AT7" s="96">
        <f t="shared" si="6"/>
        <v>673.95244450353619</v>
      </c>
      <c r="AU7" s="96">
        <f t="shared" si="6"/>
        <v>684.61783303096661</v>
      </c>
      <c r="AV7" s="96">
        <f t="shared" si="6"/>
        <v>695.21170043842494</v>
      </c>
      <c r="AW7" s="96">
        <f t="shared" si="6"/>
        <v>712.59906517122454</v>
      </c>
      <c r="AX7" s="96">
        <f t="shared" si="6"/>
        <v>737.09511960936015</v>
      </c>
      <c r="AY7" s="96">
        <f t="shared" si="6"/>
        <v>770.25683732550976</v>
      </c>
    </row>
    <row r="8" spans="1:51" x14ac:dyDescent="0.2">
      <c r="A8" s="97" t="s">
        <v>150</v>
      </c>
      <c r="B8" s="88">
        <f t="shared" ref="B8:V8" si="7">B10-B9</f>
        <v>10.500738095238095</v>
      </c>
      <c r="C8" s="88">
        <f t="shared" si="7"/>
        <v>15.18059523809524</v>
      </c>
      <c r="D8" s="88">
        <f t="shared" si="7"/>
        <v>16.515857142857143</v>
      </c>
      <c r="E8" s="88">
        <f t="shared" si="7"/>
        <v>30.376880952380958</v>
      </c>
      <c r="F8" s="88">
        <f t="shared" si="7"/>
        <v>95.876857142857148</v>
      </c>
      <c r="G8" s="88">
        <f t="shared" si="7"/>
        <v>276.75700000000001</v>
      </c>
      <c r="H8" s="88">
        <f t="shared" si="7"/>
        <v>572.08704761904767</v>
      </c>
      <c r="I8" s="88">
        <f t="shared" si="7"/>
        <v>862.75059523809523</v>
      </c>
      <c r="J8" s="88">
        <f t="shared" si="7"/>
        <v>531.32300000000009</v>
      </c>
      <c r="K8" s="88">
        <f t="shared" si="7"/>
        <v>358.50952380952384</v>
      </c>
      <c r="L8" s="88">
        <f t="shared" si="7"/>
        <v>1018.3930319999997</v>
      </c>
      <c r="M8" s="88">
        <f t="shared" si="7"/>
        <v>930.09045500000013</v>
      </c>
      <c r="N8" s="88">
        <f t="shared" si="7"/>
        <v>1295.3896360000003</v>
      </c>
      <c r="O8" s="88">
        <f t="shared" si="7"/>
        <v>1434.3256799999997</v>
      </c>
      <c r="P8" s="88">
        <f t="shared" si="7"/>
        <v>1467.993226</v>
      </c>
      <c r="Q8" s="88">
        <f t="shared" si="7"/>
        <v>2116.0650609999998</v>
      </c>
      <c r="R8" s="88">
        <f t="shared" si="7"/>
        <v>2046.0291479999999</v>
      </c>
      <c r="S8" s="88">
        <f t="shared" si="7"/>
        <v>1910.2824249999999</v>
      </c>
      <c r="T8" s="88">
        <f t="shared" si="7"/>
        <v>1815.5751679999998</v>
      </c>
      <c r="U8" s="88">
        <f t="shared" si="7"/>
        <v>1899.2840979999999</v>
      </c>
      <c r="V8" s="88">
        <f t="shared" si="7"/>
        <v>1704.146121</v>
      </c>
      <c r="W8" s="88">
        <f>W10-W9</f>
        <v>1646.6928799999998</v>
      </c>
      <c r="X8" s="88">
        <f>X10-X9</f>
        <v>1915.7442780000001</v>
      </c>
      <c r="Y8" s="88">
        <f>Y10-Y9</f>
        <v>1900.21435</v>
      </c>
      <c r="Z8" s="89">
        <f>Z10-Z9</f>
        <v>1600.0000000000002</v>
      </c>
      <c r="AA8" s="89">
        <f t="shared" ref="AA8:AY8" si="8">AA10-AA9</f>
        <v>1625</v>
      </c>
      <c r="AB8" s="89">
        <f t="shared" si="8"/>
        <v>1524.9999999999998</v>
      </c>
      <c r="AC8" s="89">
        <f t="shared" si="8"/>
        <v>1250</v>
      </c>
      <c r="AD8" s="89">
        <f t="shared" si="8"/>
        <v>1499.9999999999998</v>
      </c>
      <c r="AE8" s="89">
        <f t="shared" si="8"/>
        <v>1525.0000000000002</v>
      </c>
      <c r="AF8" s="89">
        <f t="shared" si="8"/>
        <v>1500</v>
      </c>
      <c r="AG8" s="89">
        <f t="shared" si="8"/>
        <v>1475.0000000000005</v>
      </c>
      <c r="AH8" s="89">
        <f t="shared" si="8"/>
        <v>1449.9999999999995</v>
      </c>
      <c r="AI8" s="89">
        <f t="shared" si="8"/>
        <v>1375</v>
      </c>
      <c r="AJ8" s="89">
        <f t="shared" si="8"/>
        <v>1300</v>
      </c>
      <c r="AK8" s="89">
        <f t="shared" si="8"/>
        <v>1150</v>
      </c>
      <c r="AL8" s="89">
        <f t="shared" si="8"/>
        <v>850.00000000000023</v>
      </c>
      <c r="AM8" s="89">
        <f t="shared" si="8"/>
        <v>799.99999999999989</v>
      </c>
      <c r="AN8" s="89">
        <f t="shared" si="8"/>
        <v>650</v>
      </c>
      <c r="AO8" s="89">
        <f t="shared" si="8"/>
        <v>400.00000000000011</v>
      </c>
      <c r="AP8" s="89">
        <f t="shared" si="8"/>
        <v>399.99999999999977</v>
      </c>
      <c r="AQ8" s="89">
        <f t="shared" si="8"/>
        <v>400.00000000000011</v>
      </c>
      <c r="AR8" s="89">
        <f t="shared" si="8"/>
        <v>399.99999999999994</v>
      </c>
      <c r="AS8" s="89">
        <f t="shared" si="8"/>
        <v>350.00000000000011</v>
      </c>
      <c r="AT8" s="89">
        <f t="shared" si="8"/>
        <v>350</v>
      </c>
      <c r="AU8" s="89">
        <f t="shared" si="8"/>
        <v>350.00000000000006</v>
      </c>
      <c r="AV8" s="89">
        <f t="shared" si="8"/>
        <v>350</v>
      </c>
      <c r="AW8" s="89">
        <f t="shared" si="8"/>
        <v>350.00000000000006</v>
      </c>
      <c r="AX8" s="89">
        <f t="shared" si="8"/>
        <v>350</v>
      </c>
      <c r="AY8" s="89">
        <f t="shared" si="8"/>
        <v>349.99999999999989</v>
      </c>
    </row>
    <row r="9" spans="1:51" x14ac:dyDescent="0.2">
      <c r="A9" s="84" t="s">
        <v>151</v>
      </c>
      <c r="B9" s="88">
        <f t="shared" ref="B9:V9" si="9">B69</f>
        <v>0</v>
      </c>
      <c r="C9" s="88">
        <f t="shared" si="9"/>
        <v>0</v>
      </c>
      <c r="D9" s="88">
        <f t="shared" si="9"/>
        <v>0</v>
      </c>
      <c r="E9" s="88">
        <f t="shared" si="9"/>
        <v>0</v>
      </c>
      <c r="F9" s="88">
        <f t="shared" si="9"/>
        <v>0</v>
      </c>
      <c r="G9" s="88">
        <f t="shared" si="9"/>
        <v>0</v>
      </c>
      <c r="H9" s="88">
        <f t="shared" si="9"/>
        <v>0</v>
      </c>
      <c r="I9" s="88">
        <f t="shared" si="9"/>
        <v>0</v>
      </c>
      <c r="J9" s="88">
        <f t="shared" si="9"/>
        <v>0</v>
      </c>
      <c r="K9" s="88">
        <f t="shared" si="9"/>
        <v>0</v>
      </c>
      <c r="L9" s="88">
        <f t="shared" si="9"/>
        <v>0</v>
      </c>
      <c r="M9" s="88">
        <f t="shared" si="9"/>
        <v>128.342004</v>
      </c>
      <c r="N9" s="88">
        <f t="shared" si="9"/>
        <v>196.33559400000001</v>
      </c>
      <c r="O9" s="88">
        <f t="shared" si="9"/>
        <v>82.919297999999998</v>
      </c>
      <c r="P9" s="88">
        <f t="shared" si="9"/>
        <v>87.811793999999992</v>
      </c>
      <c r="Q9" s="88">
        <f t="shared" si="9"/>
        <v>88.123853999999966</v>
      </c>
      <c r="R9" s="88">
        <f t="shared" si="9"/>
        <v>93.586458000000007</v>
      </c>
      <c r="S9" s="88">
        <f t="shared" si="9"/>
        <v>103.75238999999999</v>
      </c>
      <c r="T9" s="88">
        <f t="shared" si="9"/>
        <v>114.67499400000001</v>
      </c>
      <c r="U9" s="88">
        <f t="shared" si="9"/>
        <v>145.21512599999997</v>
      </c>
      <c r="V9" s="88">
        <f t="shared" si="9"/>
        <v>187.00315200000003</v>
      </c>
      <c r="W9" s="88">
        <f>W69</f>
        <v>238.18598999999998</v>
      </c>
      <c r="X9" s="88">
        <f>X69</f>
        <v>259.11353999999994</v>
      </c>
      <c r="Y9" s="88">
        <f>Y69</f>
        <v>184.75501800000001</v>
      </c>
      <c r="Z9" s="89">
        <f>MROUND(FORECAST(Z5,P9:Y9,P5:Y5)*0.75,5)+20</f>
        <v>130</v>
      </c>
      <c r="AA9" s="89">
        <f>MROUND(FORECAST(AA5,Q9:Z9,Q5:Z5)*0.75,5)</f>
        <v>130</v>
      </c>
      <c r="AB9" s="89">
        <f>MROUND(FORECAST(AB5,R9:AA9,R5:AA5)*0.75,5)</f>
        <v>125</v>
      </c>
      <c r="AC9" s="89">
        <f>MROUND(FORECAST(AC5,S9:AB9,S5:AB5)*0.75,5)</f>
        <v>125</v>
      </c>
      <c r="AD9" s="89">
        <f>MROUND(FORECAST(AD5,T9:AC9,T5:AC5)*0.75,5)+5</f>
        <v>110</v>
      </c>
      <c r="AE9" s="89">
        <f>MROUND(FORECAST(AE5,U9:AD9,U5:AD5)*0.75,5)</f>
        <v>100</v>
      </c>
      <c r="AF9" s="89">
        <f>MROUND(FORECAST(AF5,V9:AE9,V5:AE5)*0.75,5)+10</f>
        <v>105</v>
      </c>
      <c r="AG9" s="89">
        <f>MROUND(FORECAST(AG5,W9:AF9,W5:AF5)*0.75,5)+10</f>
        <v>115</v>
      </c>
      <c r="AH9" s="89">
        <f>MROUND(FORECAST(AH5,X9:AG9,X5:AG5)*0.75,5)+25</f>
        <v>110</v>
      </c>
      <c r="AI9" s="89">
        <f>MROUND(FORECAST(AI5,Y9:AH9,Y5:AH5)*0.75,5)+40</f>
        <v>125</v>
      </c>
      <c r="AJ9" s="89">
        <f>MROUND(FORECAST(AJ5,Z9:AI9,Z5:AI5)*0.75,5)+25</f>
        <v>110</v>
      </c>
      <c r="AK9" s="89">
        <f>MROUND(FORECAST(AK5,AA9:AJ9,AA5:AJ5)*0.75,5)+25</f>
        <v>110</v>
      </c>
      <c r="AL9" s="89">
        <f>MROUND(FORECAST(AL5,AB9:AK9,AB5:AK5)*0.75,5)+30</f>
        <v>115</v>
      </c>
      <c r="AM9" s="89">
        <f>MROUND(FORECAST(AM5,AC9:AL9,AC5:AL5)*0.75,5)+50</f>
        <v>140</v>
      </c>
      <c r="AN9" s="89">
        <f>MROUND(FORECAST(AN5,AD9:AM9,AD5:AM5)*0.75,5)+20</f>
        <v>115</v>
      </c>
      <c r="AO9" s="89">
        <f>MROUND(FORECAST(AO5,AE9:AN9,AE5:AN5)*0.75,5)+25</f>
        <v>120</v>
      </c>
      <c r="AP9" s="89">
        <f>MROUND(FORECAST(AP5,AF9:AO9,AF5:AO5)*0.75,5)+40</f>
        <v>130</v>
      </c>
      <c r="AQ9" s="89">
        <f>MROUND(FORECAST(AQ5,AG9:AP9,AG5:AP5)*0.75,5)+15</f>
        <v>110</v>
      </c>
      <c r="AR9" s="89">
        <f>MROUND(FORECAST(AR5,AH9:AQ9,AH5:AQ5)*0.75,5)-15</f>
        <v>75</v>
      </c>
      <c r="AS9" s="89">
        <f t="shared" ref="AS9:AX9" si="10">MROUND(FORECAST(AS5,AI9:AR9,AI5:AR5)*0.75,5)+25</f>
        <v>105</v>
      </c>
      <c r="AT9" s="89">
        <f t="shared" si="10"/>
        <v>105</v>
      </c>
      <c r="AU9" s="89">
        <f t="shared" si="10"/>
        <v>105</v>
      </c>
      <c r="AV9" s="89">
        <f t="shared" si="10"/>
        <v>105</v>
      </c>
      <c r="AW9" s="89">
        <f t="shared" si="10"/>
        <v>105</v>
      </c>
      <c r="AX9" s="89">
        <f t="shared" si="10"/>
        <v>105</v>
      </c>
      <c r="AY9" s="89">
        <f>MROUND(FORECAST(AY5,AO9:AX9,AO5:AX5)*0.75,5)+30</f>
        <v>110</v>
      </c>
    </row>
    <row r="10" spans="1:51" x14ac:dyDescent="0.2">
      <c r="A10" s="98" t="s">
        <v>152</v>
      </c>
      <c r="B10" s="99">
        <f t="shared" ref="B10:AY10" si="11">B7-B11</f>
        <v>10.500738095238095</v>
      </c>
      <c r="C10" s="99">
        <f t="shared" si="11"/>
        <v>15.18059523809524</v>
      </c>
      <c r="D10" s="99">
        <f t="shared" si="11"/>
        <v>16.515857142857143</v>
      </c>
      <c r="E10" s="99">
        <f t="shared" si="11"/>
        <v>30.376880952380958</v>
      </c>
      <c r="F10" s="99">
        <f t="shared" si="11"/>
        <v>95.876857142857148</v>
      </c>
      <c r="G10" s="99">
        <f t="shared" si="11"/>
        <v>276.75700000000001</v>
      </c>
      <c r="H10" s="99">
        <f t="shared" si="11"/>
        <v>572.08704761904767</v>
      </c>
      <c r="I10" s="99">
        <f t="shared" si="11"/>
        <v>862.75059523809523</v>
      </c>
      <c r="J10" s="99">
        <f t="shared" si="11"/>
        <v>531.32300000000009</v>
      </c>
      <c r="K10" s="99">
        <f t="shared" si="11"/>
        <v>358.50952380952384</v>
      </c>
      <c r="L10" s="99">
        <f t="shared" si="11"/>
        <v>1018.3930319999997</v>
      </c>
      <c r="M10" s="99">
        <f t="shared" si="11"/>
        <v>1058.4324590000001</v>
      </c>
      <c r="N10" s="99">
        <f t="shared" si="11"/>
        <v>1491.7252300000002</v>
      </c>
      <c r="O10" s="99">
        <f t="shared" si="11"/>
        <v>1517.2449779999997</v>
      </c>
      <c r="P10" s="99">
        <f t="shared" si="11"/>
        <v>1555.80502</v>
      </c>
      <c r="Q10" s="99">
        <f t="shared" si="11"/>
        <v>2204.1889149999997</v>
      </c>
      <c r="R10" s="99">
        <f t="shared" si="11"/>
        <v>2139.6156059999998</v>
      </c>
      <c r="S10" s="99">
        <f t="shared" si="11"/>
        <v>2014.034815</v>
      </c>
      <c r="T10" s="99">
        <f t="shared" si="11"/>
        <v>1930.2501619999998</v>
      </c>
      <c r="U10" s="99">
        <f t="shared" si="11"/>
        <v>2044.4992239999999</v>
      </c>
      <c r="V10" s="99">
        <f t="shared" si="11"/>
        <v>1891.149273</v>
      </c>
      <c r="W10" s="99">
        <f t="shared" si="11"/>
        <v>1884.8788699999998</v>
      </c>
      <c r="X10" s="99">
        <f t="shared" si="11"/>
        <v>2174.857818</v>
      </c>
      <c r="Y10" s="99">
        <f t="shared" si="11"/>
        <v>2084.969368</v>
      </c>
      <c r="Z10" s="100">
        <f t="shared" si="11"/>
        <v>1730.0000000000002</v>
      </c>
      <c r="AA10" s="100">
        <f t="shared" si="11"/>
        <v>1755</v>
      </c>
      <c r="AB10" s="100">
        <f t="shared" si="11"/>
        <v>1649.9999999999998</v>
      </c>
      <c r="AC10" s="100">
        <f t="shared" si="11"/>
        <v>1375</v>
      </c>
      <c r="AD10" s="100">
        <f t="shared" si="11"/>
        <v>1609.9999999999998</v>
      </c>
      <c r="AE10" s="100">
        <f t="shared" si="11"/>
        <v>1625.0000000000002</v>
      </c>
      <c r="AF10" s="100">
        <f t="shared" si="11"/>
        <v>1605</v>
      </c>
      <c r="AG10" s="100">
        <f t="shared" si="11"/>
        <v>1590.0000000000005</v>
      </c>
      <c r="AH10" s="100">
        <f t="shared" si="11"/>
        <v>1559.9999999999995</v>
      </c>
      <c r="AI10" s="100">
        <f t="shared" si="11"/>
        <v>1500</v>
      </c>
      <c r="AJ10" s="100">
        <f t="shared" si="11"/>
        <v>1410</v>
      </c>
      <c r="AK10" s="100">
        <f t="shared" si="11"/>
        <v>1260</v>
      </c>
      <c r="AL10" s="100">
        <f t="shared" si="11"/>
        <v>965.00000000000023</v>
      </c>
      <c r="AM10" s="100">
        <f t="shared" si="11"/>
        <v>939.99999999999989</v>
      </c>
      <c r="AN10" s="100">
        <f t="shared" si="11"/>
        <v>765</v>
      </c>
      <c r="AO10" s="100">
        <f t="shared" si="11"/>
        <v>520.00000000000011</v>
      </c>
      <c r="AP10" s="100">
        <f t="shared" si="11"/>
        <v>529.99999999999977</v>
      </c>
      <c r="AQ10" s="100">
        <f t="shared" si="11"/>
        <v>510.00000000000011</v>
      </c>
      <c r="AR10" s="100">
        <f t="shared" si="11"/>
        <v>474.99999999999994</v>
      </c>
      <c r="AS10" s="100">
        <f t="shared" si="11"/>
        <v>455.00000000000011</v>
      </c>
      <c r="AT10" s="100">
        <f t="shared" si="11"/>
        <v>455</v>
      </c>
      <c r="AU10" s="100">
        <f t="shared" si="11"/>
        <v>455.00000000000006</v>
      </c>
      <c r="AV10" s="100">
        <f t="shared" si="11"/>
        <v>455</v>
      </c>
      <c r="AW10" s="100">
        <f t="shared" si="11"/>
        <v>455.00000000000006</v>
      </c>
      <c r="AX10" s="100">
        <f t="shared" si="11"/>
        <v>455</v>
      </c>
      <c r="AY10" s="100">
        <f t="shared" si="11"/>
        <v>459.99999999999989</v>
      </c>
    </row>
    <row r="11" spans="1:51" x14ac:dyDescent="0.2">
      <c r="A11" s="97" t="s">
        <v>153</v>
      </c>
      <c r="B11" s="88">
        <f t="shared" ref="B11:AY11" si="12">B100</f>
        <v>0</v>
      </c>
      <c r="C11" s="88">
        <f t="shared" si="12"/>
        <v>0</v>
      </c>
      <c r="D11" s="88">
        <f t="shared" si="12"/>
        <v>0</v>
      </c>
      <c r="E11" s="88">
        <f t="shared" si="12"/>
        <v>0</v>
      </c>
      <c r="F11" s="88">
        <f t="shared" si="12"/>
        <v>0</v>
      </c>
      <c r="G11" s="88">
        <f t="shared" si="12"/>
        <v>0</v>
      </c>
      <c r="H11" s="88">
        <f t="shared" si="12"/>
        <v>0</v>
      </c>
      <c r="I11" s="88">
        <f t="shared" si="12"/>
        <v>0</v>
      </c>
      <c r="J11" s="88">
        <f t="shared" si="12"/>
        <v>29.861999999999998</v>
      </c>
      <c r="K11" s="88">
        <f t="shared" si="12"/>
        <v>28.224</v>
      </c>
      <c r="L11" s="88">
        <f t="shared" si="12"/>
        <v>91.380870000000016</v>
      </c>
      <c r="M11" s="88">
        <f t="shared" si="12"/>
        <v>83.342952000000011</v>
      </c>
      <c r="N11" s="88">
        <f t="shared" si="12"/>
        <v>160.007778</v>
      </c>
      <c r="O11" s="88">
        <f t="shared" si="12"/>
        <v>131.485998</v>
      </c>
      <c r="P11" s="88">
        <f t="shared" si="12"/>
        <v>165.61855799999998</v>
      </c>
      <c r="Q11" s="88">
        <f t="shared" si="12"/>
        <v>268.70508000000001</v>
      </c>
      <c r="R11" s="88">
        <f t="shared" si="12"/>
        <v>179.25385799999998</v>
      </c>
      <c r="S11" s="88">
        <f t="shared" si="12"/>
        <v>195.81311399999998</v>
      </c>
      <c r="T11" s="88">
        <f t="shared" si="12"/>
        <v>164.07808199999999</v>
      </c>
      <c r="U11" s="88">
        <f t="shared" si="12"/>
        <v>153.94617000000002</v>
      </c>
      <c r="V11" s="88">
        <f t="shared" si="12"/>
        <v>175.87495799999999</v>
      </c>
      <c r="W11" s="88">
        <f t="shared" si="12"/>
        <v>151.529742</v>
      </c>
      <c r="X11" s="88">
        <f t="shared" si="12"/>
        <v>160.165908</v>
      </c>
      <c r="Y11" s="88">
        <f t="shared" si="12"/>
        <v>149.18660399999999</v>
      </c>
      <c r="Z11" s="89">
        <f t="shared" si="12"/>
        <v>345.14104086422662</v>
      </c>
      <c r="AA11" s="89">
        <f t="shared" si="12"/>
        <v>242.52402484061992</v>
      </c>
      <c r="AB11" s="89">
        <f t="shared" si="12"/>
        <v>264.671393443265</v>
      </c>
      <c r="AC11" s="89">
        <f t="shared" si="12"/>
        <v>283.57561827033499</v>
      </c>
      <c r="AD11" s="89">
        <f t="shared" si="12"/>
        <v>246.74338105665737</v>
      </c>
      <c r="AE11" s="89">
        <f t="shared" si="12"/>
        <v>221.63135017122363</v>
      </c>
      <c r="AF11" s="89">
        <f t="shared" si="12"/>
        <v>188.75448861742217</v>
      </c>
      <c r="AG11" s="89">
        <f t="shared" si="12"/>
        <v>230.27764375049679</v>
      </c>
      <c r="AH11" s="89">
        <f t="shared" si="12"/>
        <v>204.13966238211754</v>
      </c>
      <c r="AI11" s="89">
        <f t="shared" si="12"/>
        <v>202.08233909985108</v>
      </c>
      <c r="AJ11" s="89">
        <f t="shared" si="12"/>
        <v>222.92519598919796</v>
      </c>
      <c r="AK11" s="89">
        <f t="shared" si="12"/>
        <v>158.07084919642932</v>
      </c>
      <c r="AL11" s="89">
        <f t="shared" si="12"/>
        <v>167.85593944316525</v>
      </c>
      <c r="AM11" s="89">
        <f t="shared" si="12"/>
        <v>166.6149808778822</v>
      </c>
      <c r="AN11" s="89">
        <f t="shared" si="12"/>
        <v>183.24991489577167</v>
      </c>
      <c r="AO11" s="89">
        <f t="shared" si="12"/>
        <v>164.39982553467917</v>
      </c>
      <c r="AP11" s="89">
        <f t="shared" si="12"/>
        <v>180.77756237423654</v>
      </c>
      <c r="AQ11" s="89">
        <f t="shared" si="12"/>
        <v>210.32606811033372</v>
      </c>
      <c r="AR11" s="89">
        <f t="shared" si="12"/>
        <v>196.53026802900837</v>
      </c>
      <c r="AS11" s="89">
        <f t="shared" si="12"/>
        <v>207.03016613602108</v>
      </c>
      <c r="AT11" s="89">
        <f t="shared" si="12"/>
        <v>218.95244450353619</v>
      </c>
      <c r="AU11" s="89">
        <f t="shared" si="12"/>
        <v>229.61783303096655</v>
      </c>
      <c r="AV11" s="89">
        <f t="shared" si="12"/>
        <v>240.21170043842494</v>
      </c>
      <c r="AW11" s="89">
        <f t="shared" si="12"/>
        <v>257.59906517122448</v>
      </c>
      <c r="AX11" s="89">
        <f t="shared" si="12"/>
        <v>282.09511960936015</v>
      </c>
      <c r="AY11" s="89">
        <f t="shared" si="12"/>
        <v>310.25683732550988</v>
      </c>
    </row>
    <row r="12" spans="1:51" s="93" customFormat="1" x14ac:dyDescent="0.2">
      <c r="A12" s="101" t="s">
        <v>154</v>
      </c>
      <c r="B12" s="102"/>
      <c r="C12" s="102"/>
      <c r="D12" s="102"/>
      <c r="E12" s="102"/>
      <c r="F12" s="102"/>
      <c r="G12" s="102"/>
      <c r="H12" s="103">
        <f>('[4]VO CY Balance Sheets'!AV$354+'[4]FOG CY Balance Sheet'!O$64)/H5</f>
        <v>6.9812746271696611</v>
      </c>
      <c r="I12" s="103">
        <f>('[4]VO CY Balance Sheets'!AW$354+'[4]FOG CY Balance Sheet'!P$64)/I5</f>
        <v>7.2187117962209513</v>
      </c>
      <c r="J12" s="103">
        <f>('[4]VO CY Balance Sheets'!AX$354+'[4]FOG CY Balance Sheet'!Q$64)/J5</f>
        <v>7.0600030631612212</v>
      </c>
      <c r="K12" s="103">
        <f>('[4]VO CY Balance Sheets'!AY$354+'[4]FOG CY Balance Sheet'!R$64)/K5</f>
        <v>6.8337196165896037</v>
      </c>
      <c r="L12" s="103">
        <f>('[4]VO CY Balance Sheets'!AZ$354+'[4]FOG CY Balance Sheet'!S$64)/L5</f>
        <v>6.7284399421601027</v>
      </c>
      <c r="M12" s="103">
        <f>('[4]VO CY Balance Sheets'!BA$354+'[4]FOG CY Balance Sheet'!T$64)/M5</f>
        <v>7.0013434781633439</v>
      </c>
      <c r="N12" s="103">
        <f>('[4]VO CY Balance Sheets'!BB$354+'[4]FOG CY Balance Sheet'!U$64)/N5</f>
        <v>6.7601059586519181</v>
      </c>
      <c r="O12" s="103">
        <f>('[4]VO CY Balance Sheets'!BC$354+'[4]FOG CY Balance Sheet'!V$64)/O5</f>
        <v>6.7700743550601938</v>
      </c>
      <c r="P12" s="103">
        <f>('[4]VO CY Balance Sheets'!BD$354+'[4]FOG CY Balance Sheet'!W$64)/P5</f>
        <v>7.221395974485052</v>
      </c>
      <c r="Q12" s="103">
        <f>('[4]VO CY Balance Sheets'!BE$354+'[4]FOG CY Balance Sheet'!X$64)/Q5</f>
        <v>6.5657971046014421</v>
      </c>
      <c r="R12" s="103">
        <f>('[4]VO CY Balance Sheets'!BF$354+'[4]FOG CY Balance Sheet'!Y$64)/R5</f>
        <v>7.500539556203548</v>
      </c>
      <c r="S12" s="103">
        <f>('[4]VO CY Balance Sheets'!BG$354+'[4]FOG CY Balance Sheet'!Z$64)/S5</f>
        <v>7.4208762124399286</v>
      </c>
      <c r="T12" s="103">
        <f>('[4]VO CY Balance Sheets'!BH$354+'[4]FOG CY Balance Sheet'!AA$64)/T5</f>
        <v>7.4572908289701605</v>
      </c>
      <c r="U12" s="103">
        <f>('[4]VO CY Balance Sheets'!BI$354+'[4]FOG CY Balance Sheet'!AB$64)/U5</f>
        <v>7.3204833821117203</v>
      </c>
      <c r="V12" s="103">
        <f>('[4]VO CY Balance Sheets'!BJ$354+'[4]FOG CY Balance Sheet'!AC$64)/V5</f>
        <v>7.0306535681806386</v>
      </c>
      <c r="W12" s="103">
        <f>('[4]VO CY Balance Sheets'!BK$354+'[4]FOG CY Balance Sheet'!AD$64)/W5</f>
        <v>7.7518012028336312</v>
      </c>
      <c r="X12" s="103">
        <f>('[4]VO CY Balance Sheets'!BL$354+'[4]FOG CY Balance Sheet'!AE$64)/X5</f>
        <v>7.8035725875036261</v>
      </c>
      <c r="Y12" s="103">
        <f>('[4]VO CY Balance Sheets'!BM$354+'[4]FOG CY Balance Sheet'!AF$64)/Y5</f>
        <v>7.487757526428874</v>
      </c>
      <c r="Z12" s="103">
        <f>('[4]VO CY Balance Sheets'!BN$354+'[4]FOG CY Balance Sheet'!AG$64)/Z5</f>
        <v>7.5575224885871499</v>
      </c>
      <c r="AA12" s="103">
        <f>('[4]VO CY Balance Sheets'!BO$354+'[4]FOG CY Balance Sheet'!AH$64)/AA5</f>
        <v>7.6450778829728874</v>
      </c>
      <c r="AB12" s="103">
        <f>('[4]VO CY Balance Sheets'!BP$354+'[4]FOG CY Balance Sheet'!AI$64)/AB5</f>
        <v>7.6816344605267908</v>
      </c>
      <c r="AC12" s="103">
        <f>('[4]VO CY Balance Sheets'!BQ$354+'[4]FOG CY Balance Sheet'!AJ$64)/AC5</f>
        <v>7.5595787842670381</v>
      </c>
      <c r="AD12" s="103">
        <f>('[4]VO CY Balance Sheets'!BR$354+'[4]FOG CY Balance Sheet'!AK$64)/AD5</f>
        <v>7.2040027353358429</v>
      </c>
      <c r="AE12" s="103">
        <f>('[4]VO CY Balance Sheets'!BS$354+'[4]FOG CY Balance Sheet'!AL$64)/AE5</f>
        <v>7.1047255313434512</v>
      </c>
      <c r="AF12" s="103">
        <f>('[4]VO CY Balance Sheets'!BT$354+'[4]FOG CY Balance Sheet'!AM$64)/AF5</f>
        <v>7.0273115202360996</v>
      </c>
      <c r="AG12" s="103">
        <f>('[4]VO CY Balance Sheets'!BU$354+'[4]FOG CY Balance Sheet'!AN$64)/AG5</f>
        <v>6.9469404563474955</v>
      </c>
      <c r="AH12" s="103">
        <f>('[4]VO CY Balance Sheets'!BV$354+'[4]FOG CY Balance Sheet'!AO$64)/AH5</f>
        <v>5.9535191525661046</v>
      </c>
      <c r="AI12" s="103">
        <f>('[4]VO CY Balance Sheets'!BW$354+'[4]FOG CY Balance Sheet'!AP$64)/AI5</f>
        <v>6.8478946404207761</v>
      </c>
      <c r="AJ12" s="103">
        <f>('[4]VO CY Balance Sheets'!BX$354+'[4]FOG CY Balance Sheet'!AQ$64)/AJ5</f>
        <v>6.9807342980359559</v>
      </c>
      <c r="AK12" s="103">
        <f>('[4]VO CY Balance Sheets'!BY$354+'[4]FOG CY Balance Sheet'!AR$64)/AK5</f>
        <v>7.0732810949289826</v>
      </c>
      <c r="AL12" s="103">
        <f>('[4]VO CY Balance Sheets'!BZ$354+'[4]FOG CY Balance Sheet'!AS$64)/AL5</f>
        <v>7.0918492353289668</v>
      </c>
      <c r="AM12" s="103">
        <f>('[4]VO CY Balance Sheets'!CA$354+'[4]FOG CY Balance Sheet'!AT$64)/AM5</f>
        <v>7.0937400439797864</v>
      </c>
      <c r="AN12" s="103">
        <f>('[4]VO CY Balance Sheets'!CB$354+'[4]FOG CY Balance Sheet'!AU$64)/AN5</f>
        <v>8.1759039812920289</v>
      </c>
      <c r="AO12" s="103">
        <f>('[4]VO CY Balance Sheets'!CC$354+'[4]FOG CY Balance Sheet'!AV$64)/AO5</f>
        <v>9.2482185833037072</v>
      </c>
      <c r="AP12" s="103">
        <f>('[4]VO CY Balance Sheets'!CD$354+'[4]FOG CY Balance Sheet'!AW$64)/AP5</f>
        <v>8.7031094437364196</v>
      </c>
      <c r="AQ12" s="103">
        <f>('[4]VO CY Balance Sheets'!CE$354+'[4]FOG CY Balance Sheet'!AX$64)/AQ5</f>
        <v>9.0260538381788233</v>
      </c>
      <c r="AR12" s="103">
        <f>('[4]VO CY Balance Sheets'!CF$354+'[4]FOG CY Balance Sheet'!AY$64)/AR5</f>
        <v>9.500684931935961</v>
      </c>
      <c r="AS12" s="103">
        <f>('[4]VO CY Balance Sheets'!CG$354+'[4]FOG CY Balance Sheet'!AZ$64)/AS5</f>
        <v>9.0935768639819319</v>
      </c>
      <c r="AT12" s="103">
        <f>('[4]VO CY Balance Sheets'!CH$354+'[4]FOG CY Balance Sheet'!BA$64)/AT5</f>
        <v>8.7307475743801159</v>
      </c>
      <c r="AU12" s="103">
        <f>('[4]VO CY Balance Sheets'!CI$354+'[4]FOG CY Balance Sheet'!BB$64)/AU5</f>
        <v>8.3939919036657518</v>
      </c>
      <c r="AV12" s="103">
        <f>('[4]VO CY Balance Sheets'!CJ$354+'[4]FOG CY Balance Sheet'!BC$64)/AV5</f>
        <v>8.0482054640078147</v>
      </c>
      <c r="AW12" s="103">
        <f>('[4]VO CY Balance Sheets'!CK$354+'[4]FOG CY Balance Sheet'!BD$64)/AW5</f>
        <v>7.7999405146013334</v>
      </c>
      <c r="AX12" s="103">
        <f>('[4]VO CY Balance Sheets'!CL$354+'[4]FOG CY Balance Sheet'!BE$64)/AX5</f>
        <v>7.4439789278393729</v>
      </c>
      <c r="AY12" s="103">
        <f>('[4]VO CY Balance Sheets'!CM$354+'[4]FOG CY Balance Sheet'!BF$64)/AY5</f>
        <v>7.4408330966202696</v>
      </c>
    </row>
    <row r="13" spans="1:51" x14ac:dyDescent="0.2">
      <c r="A13" s="104" t="s">
        <v>155</v>
      </c>
      <c r="B13" s="105"/>
      <c r="C13" s="105"/>
      <c r="D13" s="105"/>
      <c r="E13" s="105"/>
      <c r="F13" s="105"/>
      <c r="G13" s="105"/>
      <c r="H13" s="105"/>
      <c r="I13" s="105"/>
      <c r="J13" s="105">
        <f t="shared" ref="J13:AY13" si="13">J11/J8</f>
        <v>5.6203100562181557E-2</v>
      </c>
      <c r="K13" s="105">
        <f t="shared" si="13"/>
        <v>7.8725942061710519E-2</v>
      </c>
      <c r="L13" s="105">
        <f t="shared" si="13"/>
        <v>8.9730454872161816E-2</v>
      </c>
      <c r="M13" s="105">
        <f t="shared" si="13"/>
        <v>8.9607361899010127E-2</v>
      </c>
      <c r="N13" s="105">
        <f t="shared" si="13"/>
        <v>0.12352096508513363</v>
      </c>
      <c r="O13" s="105">
        <f t="shared" si="13"/>
        <v>9.1670950212646277E-2</v>
      </c>
      <c r="P13" s="105">
        <f t="shared" si="13"/>
        <v>0.11281970179881469</v>
      </c>
      <c r="Q13" s="105">
        <f t="shared" si="13"/>
        <v>0.12698337350412878</v>
      </c>
      <c r="R13" s="105">
        <f t="shared" si="13"/>
        <v>8.7610608174972099E-2</v>
      </c>
      <c r="S13" s="105">
        <f t="shared" si="13"/>
        <v>0.10250479794892109</v>
      </c>
      <c r="T13" s="105">
        <f t="shared" si="13"/>
        <v>9.0372508333403254E-2</v>
      </c>
      <c r="U13" s="105">
        <f t="shared" si="13"/>
        <v>8.1054840696086344E-2</v>
      </c>
      <c r="V13" s="105">
        <f t="shared" si="13"/>
        <v>0.10320415358325954</v>
      </c>
      <c r="W13" s="105">
        <f t="shared" si="13"/>
        <v>9.202064564704987E-2</v>
      </c>
      <c r="X13" s="105">
        <f t="shared" si="13"/>
        <v>8.3605056185896642E-2</v>
      </c>
      <c r="Y13" s="106">
        <f t="shared" si="13"/>
        <v>7.8510408049491887E-2</v>
      </c>
      <c r="Z13" s="106">
        <f t="shared" si="13"/>
        <v>0.21571315054014162</v>
      </c>
      <c r="AA13" s="106">
        <f t="shared" si="13"/>
        <v>0.1492455537480738</v>
      </c>
      <c r="AB13" s="106">
        <f t="shared" si="13"/>
        <v>0.17355501209394428</v>
      </c>
      <c r="AC13" s="106">
        <f t="shared" si="13"/>
        <v>0.22686049461626798</v>
      </c>
      <c r="AD13" s="106">
        <f t="shared" si="13"/>
        <v>0.16449558737110495</v>
      </c>
      <c r="AE13" s="106">
        <f t="shared" si="13"/>
        <v>0.14533203289916302</v>
      </c>
      <c r="AF13" s="106">
        <f t="shared" si="13"/>
        <v>0.1258363257449481</v>
      </c>
      <c r="AG13" s="106">
        <f t="shared" si="13"/>
        <v>0.15612043644101473</v>
      </c>
      <c r="AH13" s="106">
        <f t="shared" si="13"/>
        <v>0.14078597405663282</v>
      </c>
      <c r="AI13" s="106">
        <f t="shared" si="13"/>
        <v>0.1469689738908008</v>
      </c>
      <c r="AJ13" s="106">
        <f t="shared" si="13"/>
        <v>0.17148091999169074</v>
      </c>
      <c r="AK13" s="106">
        <f t="shared" si="13"/>
        <v>0.13745291234472115</v>
      </c>
      <c r="AL13" s="106">
        <f t="shared" si="13"/>
        <v>0.19747757581548847</v>
      </c>
      <c r="AM13" s="106">
        <f t="shared" si="13"/>
        <v>0.20826872609735278</v>
      </c>
      <c r="AN13" s="106">
        <f t="shared" si="13"/>
        <v>0.28192294599349488</v>
      </c>
      <c r="AO13" s="106">
        <f t="shared" si="13"/>
        <v>0.41099956383669778</v>
      </c>
      <c r="AP13" s="106">
        <f t="shared" si="13"/>
        <v>0.45194390593559158</v>
      </c>
      <c r="AQ13" s="106">
        <f t="shared" si="13"/>
        <v>0.52581517027583413</v>
      </c>
      <c r="AR13" s="106">
        <f t="shared" si="13"/>
        <v>0.49132567007252098</v>
      </c>
      <c r="AS13" s="106">
        <f t="shared" si="13"/>
        <v>0.59151476038863149</v>
      </c>
      <c r="AT13" s="106">
        <f t="shared" si="13"/>
        <v>0.62557841286724625</v>
      </c>
      <c r="AU13" s="106">
        <f t="shared" si="13"/>
        <v>0.65605095151704718</v>
      </c>
      <c r="AV13" s="106">
        <f t="shared" si="13"/>
        <v>0.68631914410978556</v>
      </c>
      <c r="AW13" s="106">
        <f t="shared" si="13"/>
        <v>0.7359973290606413</v>
      </c>
      <c r="AX13" s="106">
        <f t="shared" si="13"/>
        <v>0.80598605602674334</v>
      </c>
      <c r="AY13" s="106">
        <f t="shared" si="13"/>
        <v>0.88644810664431417</v>
      </c>
    </row>
    <row r="14" spans="1:51" x14ac:dyDescent="0.2">
      <c r="U14" s="107"/>
      <c r="V14" s="107"/>
      <c r="W14" s="107"/>
      <c r="X14" s="107"/>
      <c r="Y14" s="107"/>
      <c r="Z14" s="107"/>
      <c r="AA14" s="107"/>
      <c r="AB14" s="107"/>
      <c r="AC14" s="107"/>
      <c r="AD14" s="107"/>
      <c r="AE14" s="107"/>
      <c r="AF14" s="107"/>
      <c r="AG14" s="107"/>
      <c r="AH14" s="107"/>
      <c r="AI14" s="107"/>
      <c r="AJ14" s="107"/>
      <c r="AK14" s="107"/>
      <c r="AL14" s="107"/>
      <c r="AM14" s="107"/>
      <c r="AN14" s="107"/>
      <c r="AO14" s="107"/>
      <c r="AP14" s="107"/>
      <c r="AQ14" s="107"/>
      <c r="AR14" s="107"/>
      <c r="AS14" s="107"/>
      <c r="AT14" s="107"/>
      <c r="AU14" s="107"/>
      <c r="AV14" s="107"/>
      <c r="AW14" s="107"/>
      <c r="AX14" s="107"/>
      <c r="AY14" s="107"/>
    </row>
    <row r="15" spans="1:51" x14ac:dyDescent="0.2">
      <c r="A15" s="23" t="s">
        <v>156</v>
      </c>
      <c r="B15" s="108"/>
      <c r="C15" s="109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09"/>
      <c r="O15" s="109"/>
      <c r="P15" s="109"/>
      <c r="Q15" s="109"/>
      <c r="R15" s="109"/>
      <c r="S15" s="88">
        <f>BD!S8+RD!U8+Diesel!S8</f>
        <v>65266.268926000004</v>
      </c>
      <c r="T15" s="88">
        <f>BD!T8+RD!V8+Diesel!T8</f>
        <v>64906.612449000007</v>
      </c>
      <c r="U15" s="88">
        <f>BD!U8+RD!W8+Diesel!U8</f>
        <v>60784.367963000004</v>
      </c>
      <c r="V15" s="88">
        <f>BD!V8+RD!X8+Diesel!V8</f>
        <v>64501.526158999994</v>
      </c>
      <c r="W15" s="88">
        <f>BD!W8+RD!Y8+Diesel!W8</f>
        <v>66013.744968400002</v>
      </c>
      <c r="X15" s="88">
        <f>BD!X8+RD!Z8+Diesel!X8</f>
        <v>63703.314615999989</v>
      </c>
      <c r="Y15" s="88">
        <f>BD!Y8+RD!AA8+Diesel!Y8</f>
        <v>61902.8962420854</v>
      </c>
      <c r="Z15" s="88">
        <f>BD!Z8+RD!AB8+Diesel!Z8</f>
        <v>65395.196740538595</v>
      </c>
      <c r="AA15" s="88">
        <f>BD!AA8+RD!AC8+Diesel!AA8</f>
        <v>66718.62320940537</v>
      </c>
      <c r="AB15" s="88">
        <f>BD!AB8+RD!AD8+Diesel!AB8</f>
        <v>68220.263163937212</v>
      </c>
      <c r="AC15" s="88">
        <f>BD!AC8+RD!AE8+Diesel!AC8</f>
        <v>68137.135279575683</v>
      </c>
      <c r="AD15" s="88">
        <f>BD!AD8+RD!AF8+Diesel!AD8</f>
        <v>68972.544675259385</v>
      </c>
      <c r="AE15" s="88">
        <f>BD!AE8+RD!AG8+Diesel!AE8</f>
        <v>69766.211439622552</v>
      </c>
      <c r="AF15" s="88">
        <f>BD!AF8+RD!AH8+Diesel!AF8</f>
        <v>70011.995174320065</v>
      </c>
      <c r="AG15" s="88">
        <f>BD!AG8+RD!AI8+Diesel!AG8</f>
        <v>69422.178015683297</v>
      </c>
      <c r="AH15" s="88">
        <f>BD!AH8+RD!AJ8+Diesel!AH8</f>
        <v>69246.36966715414</v>
      </c>
      <c r="AI15" s="88">
        <f>BD!AI8+RD!AT8+Diesel!AI8</f>
        <v>70207.942304619908</v>
      </c>
      <c r="AJ15" s="88">
        <f>BD!AJ8+RD!AU8+Diesel!AJ8</f>
        <v>69239.101700669024</v>
      </c>
      <c r="AK15" s="88">
        <f>BD!AK8+RD!AV8+Diesel!AK8</f>
        <v>68943.840189322378</v>
      </c>
      <c r="AL15" s="88">
        <f>BD!AL8+RD!AW8+Diesel!AL8</f>
        <v>67752.46025957173</v>
      </c>
      <c r="AM15" s="88">
        <f>BD!AM8+RD!AX8+Diesel!AM8</f>
        <v>68213.129195645568</v>
      </c>
      <c r="AN15" s="88">
        <f>BD!AN8+RD!AY8+Diesel!AN8</f>
        <v>67696.055601967062</v>
      </c>
      <c r="AO15" s="88">
        <f>BD!AO8+RD!AZ8+Diesel!AO8</f>
        <v>60409.505811090654</v>
      </c>
      <c r="AP15" s="88">
        <f>BD!AP8+RD!BA8+Diesel!AP8</f>
        <v>59990.127644504617</v>
      </c>
      <c r="AQ15" s="88">
        <f>BD!AQ8+RD!BB8+Diesel!AQ8</f>
        <v>59544.318560314816</v>
      </c>
      <c r="AR15" s="88">
        <f>BD!AR8+RD!BC8+Diesel!AR8</f>
        <v>59015.993245286823</v>
      </c>
      <c r="AS15" s="88">
        <f>BD!AS8+RD!BD8+Diesel!AS8</f>
        <v>58574.443912870338</v>
      </c>
      <c r="AT15" s="88">
        <f>BD!AT8+RD!BE8+Diesel!AT8</f>
        <v>58264.572525862386</v>
      </c>
      <c r="AU15" s="88">
        <f>BD!AU8+RD!BF8+Diesel!AU8</f>
        <v>57902.109771849922</v>
      </c>
      <c r="AV15" s="88">
        <f>BD!AV8+RD!BG8+Diesel!AV8</f>
        <v>57442.751311998196</v>
      </c>
      <c r="AW15" s="88">
        <f>BD!AW8+RD!BH8+Diesel!AW8</f>
        <v>57084.397346889724</v>
      </c>
      <c r="AX15" s="88">
        <f>BD!AX8+RD!BI8+Diesel!AX8</f>
        <v>56672.441387416067</v>
      </c>
      <c r="AY15" s="88">
        <f>BD!AY8+RD!BJ8+Diesel!AY8</f>
        <v>56242.512473245268</v>
      </c>
    </row>
    <row r="16" spans="1:51" x14ac:dyDescent="0.2"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</row>
    <row r="17" spans="1:51" x14ac:dyDescent="0.2">
      <c r="A17" s="23"/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09"/>
      <c r="Q17" s="109"/>
      <c r="R17" s="109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  <c r="AR17" s="110"/>
      <c r="AS17" s="110"/>
      <c r="AT17" s="110"/>
      <c r="AU17" s="110"/>
      <c r="AV17" s="110"/>
      <c r="AW17" s="110"/>
      <c r="AX17" s="110"/>
      <c r="AY17" s="110"/>
    </row>
    <row r="18" spans="1:51" x14ac:dyDescent="0.2">
      <c r="A18" s="23" t="s">
        <v>157</v>
      </c>
      <c r="B18" s="108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>
        <f t="shared" ref="S18:AY18" si="14">S8/S15</f>
        <v>2.9269061284411865E-2</v>
      </c>
      <c r="T18" s="109">
        <f t="shared" si="14"/>
        <v>2.7972114080465644E-2</v>
      </c>
      <c r="U18" s="109">
        <f t="shared" si="14"/>
        <v>3.1246258892682923E-2</v>
      </c>
      <c r="V18" s="109">
        <f t="shared" si="14"/>
        <v>2.6420244953571814E-2</v>
      </c>
      <c r="W18" s="111">
        <f t="shared" si="14"/>
        <v>2.4944697210986171E-2</v>
      </c>
      <c r="X18" s="111">
        <f t="shared" si="14"/>
        <v>3.0072913623851432E-2</v>
      </c>
      <c r="Y18" s="111">
        <f t="shared" si="14"/>
        <v>3.0696695394812842E-2</v>
      </c>
      <c r="Z18" s="111">
        <f t="shared" si="14"/>
        <v>2.4466628739541012E-2</v>
      </c>
      <c r="AA18" s="111">
        <f t="shared" si="14"/>
        <v>2.4356018182505341E-2</v>
      </c>
      <c r="AB18" s="111">
        <f t="shared" si="14"/>
        <v>2.2354062111067163E-2</v>
      </c>
      <c r="AC18" s="111">
        <f t="shared" si="14"/>
        <v>1.8345355948281131E-2</v>
      </c>
      <c r="AD18" s="111">
        <f t="shared" si="14"/>
        <v>2.1747783948850786E-2</v>
      </c>
      <c r="AE18" s="111">
        <f t="shared" si="14"/>
        <v>2.1858718834399857E-2</v>
      </c>
      <c r="AF18" s="111">
        <f t="shared" si="14"/>
        <v>2.1424900065556054E-2</v>
      </c>
      <c r="AG18" s="111">
        <f t="shared" si="14"/>
        <v>2.1246812505173497E-2</v>
      </c>
      <c r="AH18" s="111">
        <f t="shared" si="14"/>
        <v>2.0939725894219444E-2</v>
      </c>
      <c r="AI18" s="111">
        <f t="shared" si="14"/>
        <v>1.9584678810755013E-2</v>
      </c>
      <c r="AJ18" s="111">
        <f t="shared" si="14"/>
        <v>1.8775517995887558E-2</v>
      </c>
      <c r="AK18" s="111">
        <f t="shared" si="14"/>
        <v>1.6680242888154426E-2</v>
      </c>
      <c r="AL18" s="111">
        <f t="shared" si="14"/>
        <v>1.2545669880377761E-2</v>
      </c>
      <c r="AM18" s="111">
        <f t="shared" si="14"/>
        <v>1.1727947529067006E-2</v>
      </c>
      <c r="AN18" s="111">
        <f t="shared" si="14"/>
        <v>9.601741109139493E-3</v>
      </c>
      <c r="AO18" s="111">
        <f t="shared" si="14"/>
        <v>6.6214744621626029E-3</v>
      </c>
      <c r="AP18" s="111">
        <f t="shared" si="14"/>
        <v>6.6677637755725248E-3</v>
      </c>
      <c r="AQ18" s="111">
        <f t="shared" si="14"/>
        <v>6.717685409311119E-3</v>
      </c>
      <c r="AR18" s="111">
        <f t="shared" si="14"/>
        <v>6.777823739024252E-3</v>
      </c>
      <c r="AS18" s="111">
        <f t="shared" si="14"/>
        <v>5.9753021389434982E-3</v>
      </c>
      <c r="AT18" s="111">
        <f t="shared" si="14"/>
        <v>6.0070808868398122E-3</v>
      </c>
      <c r="AU18" s="111">
        <f t="shared" si="14"/>
        <v>6.0446847511963784E-3</v>
      </c>
      <c r="AV18" s="111">
        <f t="shared" si="14"/>
        <v>6.0930229142226811E-3</v>
      </c>
      <c r="AW18" s="111">
        <f t="shared" si="14"/>
        <v>6.1312725765172681E-3</v>
      </c>
      <c r="AX18" s="111">
        <f t="shared" si="14"/>
        <v>6.1758412277914745E-3</v>
      </c>
      <c r="AY18" s="111">
        <f t="shared" si="14"/>
        <v>6.2230505823596682E-3</v>
      </c>
    </row>
    <row r="19" spans="1:51" s="114" customFormat="1" x14ac:dyDescent="0.2">
      <c r="A19" s="112" t="s">
        <v>158</v>
      </c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95">
        <f>(AVERAGE(Capacity!B86:B97))</f>
        <v>2524.9166666666665</v>
      </c>
      <c r="T19" s="95">
        <f>(AVERAGE(Capacity!B98:B109))</f>
        <v>2543.0833333333335</v>
      </c>
      <c r="U19" s="95">
        <f>(AVERAGE(Capacity!B110:B121))</f>
        <v>2491.25</v>
      </c>
      <c r="V19" s="95">
        <f>(AVERAGE(Capacity!B122:B133))</f>
        <v>2406.6666666666665</v>
      </c>
      <c r="W19" s="95">
        <f>(AVERAGE(Capacity!B134:B145))</f>
        <v>2171.5</v>
      </c>
      <c r="X19" s="95">
        <f>(AVERAGE(Capacity!B146:B157))</f>
        <v>2076.0833333333335</v>
      </c>
      <c r="Y19" s="95">
        <f>(AVERAGE(Capacity!B158:B169))</f>
        <v>2006.0833333333333</v>
      </c>
      <c r="Z19" s="95">
        <f>(AVERAGE(Capacity!B170:B181))</f>
        <v>1892.3333333333328</v>
      </c>
      <c r="AA19" s="95">
        <f>(AVERAGE(Capacity!B182:B193))</f>
        <v>1797.0555555555538</v>
      </c>
      <c r="AB19" s="95">
        <f>(AVERAGE(Capacity!B194:B205))</f>
        <v>1790.388888888886</v>
      </c>
      <c r="AC19" s="95">
        <f>(AVERAGE(Capacity!B206:B217))</f>
        <v>1778.8611111111077</v>
      </c>
      <c r="AD19" s="95">
        <f>(AVERAGE(Capacity!B218:B229))</f>
        <v>1795.6666666666633</v>
      </c>
      <c r="AE19" s="95">
        <f>(AVERAGE(Capacity!B230:B241))</f>
        <v>1781.4999999999973</v>
      </c>
      <c r="AF19" s="95">
        <f>(AVERAGE(Capacity!B242:B253))</f>
        <v>1815.666666666664</v>
      </c>
      <c r="AG19" s="95">
        <f>(AVERAGE(Capacity!B254:B265))</f>
        <v>1830.666666666664</v>
      </c>
      <c r="AH19" s="95">
        <f>(AVERAGE(Capacity!B266:B277))</f>
        <v>1830.666666666664</v>
      </c>
      <c r="AI19" s="95">
        <f>(AVERAGE(Capacity!B278:B289))</f>
        <v>1780.666666666664</v>
      </c>
      <c r="AJ19" s="95">
        <f>(AVERAGE(Capacity!$B290:$B301))</f>
        <v>1780.666666666664</v>
      </c>
      <c r="AK19" s="95">
        <f>(AVERAGE(Capacity!$B302:$B313))</f>
        <v>1666.222222222219</v>
      </c>
      <c r="AL19" s="95">
        <f>(AVERAGE(Capacity!$B314:$B325))</f>
        <v>1452.888888888885</v>
      </c>
      <c r="AM19" s="95">
        <f>(AVERAGE(Capacity!$B326:$B337))</f>
        <v>1239.5555555555511</v>
      </c>
      <c r="AN19" s="95">
        <f>(AVERAGE(Capacity!$B338:$B349))</f>
        <v>1026.2222222222172</v>
      </c>
      <c r="AO19" s="95">
        <f>(AVERAGE(Capacity!$B350:$B361))</f>
        <v>812.88888888888323</v>
      </c>
      <c r="AP19" s="95">
        <f>(AVERAGE(Capacity!$B362:$B373))</f>
        <v>697.05555555554929</v>
      </c>
      <c r="AQ19" s="95">
        <f>(AVERAGE(Capacity!$B374:$B385))</f>
        <v>581.03703703703002</v>
      </c>
      <c r="AR19" s="95">
        <f>(AVERAGE(Capacity!$B386:$B397))</f>
        <v>539.55555555554838</v>
      </c>
      <c r="AS19" s="95">
        <f>(AVERAGE(Capacity!$B398:$B409))</f>
        <v>539.55555555554838</v>
      </c>
      <c r="AT19" s="95">
        <f>(AVERAGE(Capacity!$B410:$B421))</f>
        <v>539.55555555554838</v>
      </c>
      <c r="AU19" s="95">
        <f>AT19</f>
        <v>539.55555555554838</v>
      </c>
      <c r="AV19" s="95">
        <f>AU19</f>
        <v>539.55555555554838</v>
      </c>
      <c r="AW19" s="95">
        <f>AV19</f>
        <v>539.55555555554838</v>
      </c>
      <c r="AX19" s="95">
        <f>AW19</f>
        <v>539.55555555554838</v>
      </c>
      <c r="AY19" s="95">
        <f>AX19</f>
        <v>539.55555555554838</v>
      </c>
    </row>
    <row r="20" spans="1:51" s="117" customFormat="1" x14ac:dyDescent="0.2">
      <c r="A20" s="115" t="s">
        <v>159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>
        <f t="shared" ref="S20:AY20" si="15">S5/S19</f>
        <v>0.73485702498432304</v>
      </c>
      <c r="T20" s="116">
        <f t="shared" si="15"/>
        <v>0.67389595713864392</v>
      </c>
      <c r="U20" s="116">
        <f t="shared" si="15"/>
        <v>0.73251325158053182</v>
      </c>
      <c r="V20" s="116">
        <f t="shared" si="15"/>
        <v>0.70829390609418286</v>
      </c>
      <c r="W20" s="116">
        <f t="shared" si="15"/>
        <v>0.74612436702740037</v>
      </c>
      <c r="X20" s="116">
        <f t="shared" si="15"/>
        <v>0.80543362886846215</v>
      </c>
      <c r="Y20" s="116">
        <f t="shared" si="15"/>
        <v>0.83232152137249205</v>
      </c>
      <c r="Z20" s="116">
        <f t="shared" si="15"/>
        <v>0.83809464692490432</v>
      </c>
      <c r="AA20" s="116">
        <f t="shared" si="15"/>
        <v>0.81376615177837519</v>
      </c>
      <c r="AB20" s="116">
        <f t="shared" si="15"/>
        <v>0.82225005848659982</v>
      </c>
      <c r="AC20" s="116">
        <f t="shared" si="15"/>
        <v>0.65991898833171359</v>
      </c>
      <c r="AD20" s="116">
        <f t="shared" si="15"/>
        <v>0.75357402791144878</v>
      </c>
      <c r="AE20" s="116">
        <f t="shared" si="15"/>
        <v>0.76895198939914033</v>
      </c>
      <c r="AF20" s="116">
        <f t="shared" si="15"/>
        <v>0.75020551043484518</v>
      </c>
      <c r="AG20" s="116">
        <f t="shared" si="15"/>
        <v>0.78743071110692486</v>
      </c>
      <c r="AH20" s="116">
        <f t="shared" si="15"/>
        <v>0.73954589510103186</v>
      </c>
      <c r="AI20" s="116">
        <f t="shared" si="15"/>
        <v>0.74294796521025963</v>
      </c>
      <c r="AJ20" s="116">
        <f t="shared" si="15"/>
        <v>0.7136893617873542</v>
      </c>
      <c r="AK20" s="116">
        <f t="shared" si="15"/>
        <v>0.63925786068718993</v>
      </c>
      <c r="AL20" s="116">
        <f t="shared" si="15"/>
        <v>0.59521763629708202</v>
      </c>
      <c r="AM20" s="116">
        <f t="shared" si="15"/>
        <v>0.6847285203399498</v>
      </c>
      <c r="AN20" s="116">
        <f t="shared" si="15"/>
        <v>0.68857886597672546</v>
      </c>
      <c r="AO20" s="116">
        <f t="shared" si="15"/>
        <v>0.52424127880675164</v>
      </c>
      <c r="AP20" s="116">
        <f t="shared" si="15"/>
        <v>0.6762412738592577</v>
      </c>
      <c r="AQ20" s="116">
        <f t="shared" si="15"/>
        <v>0.79951614806697968</v>
      </c>
      <c r="AR20" s="116">
        <f t="shared" si="15"/>
        <v>0.715782039387998</v>
      </c>
      <c r="AS20" s="116">
        <f t="shared" si="15"/>
        <v>0.72374356650806471</v>
      </c>
      <c r="AT20" s="116">
        <f t="shared" si="15"/>
        <v>0.72637975150487699</v>
      </c>
      <c r="AU20" s="116">
        <f t="shared" si="15"/>
        <v>0.72405023820982717</v>
      </c>
      <c r="AV20" s="116">
        <f t="shared" si="15"/>
        <v>0.72391766035155936</v>
      </c>
      <c r="AW20" s="116">
        <f t="shared" si="15"/>
        <v>0.73650855160528084</v>
      </c>
      <c r="AX20" s="116">
        <f t="shared" si="15"/>
        <v>0.74968361325026134</v>
      </c>
      <c r="AY20" s="116">
        <f t="shared" si="15"/>
        <v>0.76574433431742095</v>
      </c>
    </row>
    <row r="21" spans="1:51" x14ac:dyDescent="0.2">
      <c r="A21" s="23" t="s">
        <v>160</v>
      </c>
      <c r="B21" s="108"/>
      <c r="C21" s="109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09"/>
      <c r="O21" s="109"/>
      <c r="P21" s="109"/>
      <c r="Q21" s="109"/>
      <c r="R21" s="108"/>
      <c r="S21" s="109">
        <f>AVERAGE(Capacity!J110:J121)</f>
        <v>0.7499114579938726</v>
      </c>
      <c r="T21" s="109">
        <f>AVERAGE(Capacity!J98:J109)</f>
        <v>0.71547698759240808</v>
      </c>
      <c r="U21" s="109">
        <f>AVERAGE(Capacity!J110:J121)</f>
        <v>0.7499114579938726</v>
      </c>
      <c r="V21" s="109">
        <f>AVERAGE(Capacity!J122:J133)</f>
        <v>0.77210097952794943</v>
      </c>
      <c r="W21" s="109">
        <f>AVERAGE(Capacity!J134:J145)</f>
        <v>0.72605231870459763</v>
      </c>
      <c r="X21" s="109">
        <f>AVERAGE(Capacity!J146:J157)</f>
        <v>0.76474719161800653</v>
      </c>
      <c r="Y21" s="109">
        <f>AVERAGE(Capacity!J158:J169)</f>
        <v>0.76153589985684411</v>
      </c>
      <c r="Z21" s="109">
        <f>AVERAGE(Capacity!J170:J181)</f>
        <v>0.62265879857989415</v>
      </c>
      <c r="AA21" s="109">
        <f>AVERAGE(Capacity!J182:J193)</f>
        <v>0.60120635157465563</v>
      </c>
      <c r="AB21" s="109">
        <f>AVERAGE(Capacity!J194:J205)</f>
        <v>0.63628854860935569</v>
      </c>
      <c r="AC21" s="109">
        <f>AVERAGE(Capacity!J206:J217)</f>
        <v>0.58510047333309478</v>
      </c>
      <c r="AD21" s="109">
        <f>AVERAGE(Capacity!J218:J229)</f>
        <v>0.61322237018627568</v>
      </c>
      <c r="AE21" s="109">
        <f>AVERAGE(Capacity!J230:J241)</f>
        <v>0.637070668991227</v>
      </c>
      <c r="AF21" s="109">
        <f>AVERAGE(Capacity!J242:J253)</f>
        <v>0.66541643304309284</v>
      </c>
      <c r="AG21" s="109">
        <f>AVERAGE(Capacity!I254:I265)</f>
        <v>0.7524675740970076</v>
      </c>
      <c r="AH21" s="109">
        <f>AVERAGE(Capacity!J266:J277)</f>
        <v>0.74813844414375941</v>
      </c>
      <c r="AI21" s="109">
        <f>AVERAGE(Capacity!J278:J289)</f>
        <v>0.73342527376483402</v>
      </c>
      <c r="AJ21" s="109">
        <f>AVERAGE(Capacity!$J290:$J301)</f>
        <v>0.75890305494407917</v>
      </c>
      <c r="AK21" s="109">
        <f>AVERAGE(Capacity!$J213:$J302)</f>
        <v>0.69887225526432006</v>
      </c>
      <c r="AL21" s="109">
        <f>AVERAGE(Capacity!$J214:$J325)</f>
        <v>0.73279116810787848</v>
      </c>
      <c r="AM21" s="109">
        <f>AVERAGE(Capacity!$J317:$J326)</f>
        <v>0.93309321566137071</v>
      </c>
      <c r="AN21" s="109">
        <f>AVERAGE(Capacity!$J290:$J301)</f>
        <v>0.75890305494407917</v>
      </c>
      <c r="AO21" s="109">
        <f>AVERAGE(Capacity!$J290:$J301)</f>
        <v>0.75890305494407917</v>
      </c>
      <c r="AP21" s="109">
        <f>AVERAGE(Capacity!$J290:$J301)</f>
        <v>0.75890305494407917</v>
      </c>
      <c r="AQ21" s="109">
        <f>AVERAGE(Capacity!$J290:$J301)</f>
        <v>0.75890305494407917</v>
      </c>
      <c r="AR21" s="109">
        <f>AVERAGE(Capacity!$J290:$J301)</f>
        <v>0.75890305494407917</v>
      </c>
      <c r="AS21" s="109">
        <f>AVERAGE(Capacity!$J290:$J301)</f>
        <v>0.75890305494407917</v>
      </c>
      <c r="AT21" s="109">
        <f>AVERAGE(Capacity!$J290:$J301)</f>
        <v>0.75890305494407917</v>
      </c>
      <c r="AU21" s="109">
        <f>AVERAGE(Capacity!$J290:$J301)</f>
        <v>0.75890305494407917</v>
      </c>
      <c r="AV21" s="109">
        <f>AVERAGE(Capacity!$J290:$J301)</f>
        <v>0.75890305494407917</v>
      </c>
      <c r="AW21" s="109">
        <f>AVERAGE(Capacity!$J290:$J301)</f>
        <v>0.75890305494407917</v>
      </c>
      <c r="AX21" s="109">
        <f>AVERAGE(Capacity!$J290:$J301)</f>
        <v>0.75890305494407917</v>
      </c>
      <c r="AY21" s="109">
        <f>AVERAGE(Capacity!$J290:$J301)</f>
        <v>0.75890305494407917</v>
      </c>
    </row>
    <row r="22" spans="1:51" x14ac:dyDescent="0.2">
      <c r="A22" s="23"/>
      <c r="B22" s="108"/>
      <c r="C22" s="109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09"/>
      <c r="O22" s="109"/>
      <c r="P22" s="109"/>
      <c r="Q22" s="109"/>
      <c r="R22" s="108"/>
      <c r="S22" s="108"/>
      <c r="T22" s="108"/>
      <c r="U22" s="108"/>
      <c r="V22" s="108"/>
      <c r="W22" s="108"/>
      <c r="X22" s="118"/>
      <c r="Y22" s="119"/>
      <c r="Z22" s="119"/>
      <c r="AA22" s="119"/>
      <c r="AB22" s="118"/>
      <c r="AC22" s="118"/>
      <c r="AD22" s="120"/>
      <c r="AE22" s="120"/>
      <c r="AF22" s="120"/>
      <c r="AG22" s="120"/>
      <c r="AH22" s="120"/>
      <c r="AI22" s="120"/>
      <c r="AJ22" s="120"/>
      <c r="AK22" s="120"/>
      <c r="AL22" s="120"/>
      <c r="AM22" s="120"/>
      <c r="AN22" s="120"/>
      <c r="AO22" s="120"/>
      <c r="AP22" s="120"/>
      <c r="AQ22" s="120"/>
      <c r="AR22" s="120"/>
      <c r="AS22" s="120"/>
      <c r="AT22" s="120"/>
      <c r="AU22" s="120"/>
      <c r="AV22" s="120"/>
      <c r="AW22" s="120"/>
      <c r="AX22" s="120"/>
      <c r="AY22" s="120"/>
    </row>
    <row r="23" spans="1:51" ht="12" thickBot="1" x14ac:dyDescent="0.25">
      <c r="A23" s="121" t="s">
        <v>161</v>
      </c>
    </row>
    <row r="24" spans="1:51" ht="12" thickBot="1" x14ac:dyDescent="0.25">
      <c r="A24" s="122"/>
      <c r="B24" s="122">
        <f t="shared" ref="B24:AY24" si="16">B2</f>
        <v>2001</v>
      </c>
      <c r="C24" s="122">
        <f t="shared" si="16"/>
        <v>2002</v>
      </c>
      <c r="D24" s="122">
        <f t="shared" si="16"/>
        <v>2003</v>
      </c>
      <c r="E24" s="122">
        <f t="shared" si="16"/>
        <v>2004</v>
      </c>
      <c r="F24" s="122">
        <f t="shared" si="16"/>
        <v>2005</v>
      </c>
      <c r="G24" s="122">
        <f t="shared" si="16"/>
        <v>2006</v>
      </c>
      <c r="H24" s="122">
        <f t="shared" si="16"/>
        <v>2007</v>
      </c>
      <c r="I24" s="122">
        <f t="shared" si="16"/>
        <v>2008</v>
      </c>
      <c r="J24" s="122">
        <f t="shared" si="16"/>
        <v>2009</v>
      </c>
      <c r="K24" s="122">
        <f t="shared" si="16"/>
        <v>2010</v>
      </c>
      <c r="L24" s="122">
        <f t="shared" si="16"/>
        <v>2011</v>
      </c>
      <c r="M24" s="122">
        <f t="shared" si="16"/>
        <v>2012</v>
      </c>
      <c r="N24" s="122">
        <f t="shared" si="16"/>
        <v>2013</v>
      </c>
      <c r="O24" s="122">
        <f t="shared" si="16"/>
        <v>2014</v>
      </c>
      <c r="P24" s="122">
        <f t="shared" si="16"/>
        <v>2015</v>
      </c>
      <c r="Q24" s="122">
        <f t="shared" si="16"/>
        <v>2016</v>
      </c>
      <c r="R24" s="122">
        <f t="shared" si="16"/>
        <v>2017</v>
      </c>
      <c r="S24" s="122">
        <f t="shared" si="16"/>
        <v>2018</v>
      </c>
      <c r="T24" s="122">
        <f t="shared" si="16"/>
        <v>2019</v>
      </c>
      <c r="U24" s="122">
        <f t="shared" si="16"/>
        <v>2020</v>
      </c>
      <c r="V24" s="122">
        <f t="shared" si="16"/>
        <v>2021</v>
      </c>
      <c r="W24" s="122">
        <f t="shared" si="16"/>
        <v>2022</v>
      </c>
      <c r="X24" s="122">
        <f t="shared" si="16"/>
        <v>2023</v>
      </c>
      <c r="Y24" s="122">
        <f t="shared" si="16"/>
        <v>2024</v>
      </c>
      <c r="Z24" s="122" t="str">
        <f t="shared" si="16"/>
        <v>2025e</v>
      </c>
      <c r="AA24" s="122" t="str">
        <f t="shared" si="16"/>
        <v>2026f</v>
      </c>
      <c r="AB24" s="122" t="str">
        <f t="shared" si="16"/>
        <v>2027f</v>
      </c>
      <c r="AC24" s="122">
        <f t="shared" si="16"/>
        <v>2028</v>
      </c>
      <c r="AD24" s="122">
        <f t="shared" si="16"/>
        <v>2029</v>
      </c>
      <c r="AE24" s="122">
        <f t="shared" si="16"/>
        <v>2030</v>
      </c>
      <c r="AF24" s="122">
        <f t="shared" si="16"/>
        <v>2031</v>
      </c>
      <c r="AG24" s="122">
        <f t="shared" si="16"/>
        <v>2032</v>
      </c>
      <c r="AH24" s="122">
        <f t="shared" si="16"/>
        <v>2033</v>
      </c>
      <c r="AI24" s="122">
        <f t="shared" si="16"/>
        <v>2034</v>
      </c>
      <c r="AJ24" s="122">
        <f t="shared" si="16"/>
        <v>2035</v>
      </c>
      <c r="AK24" s="122">
        <f t="shared" si="16"/>
        <v>2036</v>
      </c>
      <c r="AL24" s="122">
        <f t="shared" si="16"/>
        <v>2037</v>
      </c>
      <c r="AM24" s="122">
        <f t="shared" si="16"/>
        <v>2038</v>
      </c>
      <c r="AN24" s="122">
        <f t="shared" si="16"/>
        <v>2039</v>
      </c>
      <c r="AO24" s="122">
        <f t="shared" si="16"/>
        <v>2040</v>
      </c>
      <c r="AP24" s="122">
        <f t="shared" si="16"/>
        <v>2041</v>
      </c>
      <c r="AQ24" s="122">
        <f t="shared" si="16"/>
        <v>2042</v>
      </c>
      <c r="AR24" s="122">
        <f t="shared" si="16"/>
        <v>2043</v>
      </c>
      <c r="AS24" s="122">
        <f t="shared" si="16"/>
        <v>2044</v>
      </c>
      <c r="AT24" s="122">
        <f t="shared" si="16"/>
        <v>2045</v>
      </c>
      <c r="AU24" s="122">
        <f t="shared" si="16"/>
        <v>2046</v>
      </c>
      <c r="AV24" s="122">
        <f t="shared" si="16"/>
        <v>2047</v>
      </c>
      <c r="AW24" s="122">
        <f t="shared" si="16"/>
        <v>2048</v>
      </c>
      <c r="AX24" s="122">
        <f t="shared" si="16"/>
        <v>2049</v>
      </c>
      <c r="AY24" s="122">
        <f t="shared" si="16"/>
        <v>2050</v>
      </c>
    </row>
    <row r="25" spans="1:51" s="93" customFormat="1" x14ac:dyDescent="0.2">
      <c r="A25" s="93" t="s">
        <v>162</v>
      </c>
      <c r="B25" s="123">
        <f>'Monthly Data'!F339</f>
        <v>0.72799999999999998</v>
      </c>
      <c r="C25" s="123">
        <f>'Monthly Data'!F351</f>
        <v>0.89</v>
      </c>
      <c r="D25" s="123">
        <f>'Monthly Data'!F363</f>
        <v>1.2070000000000001</v>
      </c>
      <c r="E25" s="123">
        <f>'Monthly Data'!F375</f>
        <v>2.37</v>
      </c>
      <c r="F25" s="123">
        <f>'Monthly Data'!F387</f>
        <v>7.7110000000000003</v>
      </c>
      <c r="G25" s="123">
        <f>'Monthly Data'!F399</f>
        <v>13.093</v>
      </c>
      <c r="H25" s="123">
        <f>'Monthly Data'!F411</f>
        <v>29.085000000000001</v>
      </c>
      <c r="I25" s="123">
        <f>'Monthly Data'!F423</f>
        <v>50.27</v>
      </c>
      <c r="J25" s="123">
        <f>'Monthly Data'!F435</f>
        <v>42.383000000000003</v>
      </c>
      <c r="K25" s="123">
        <f>'Monthly Data'!$F447</f>
        <v>26.606999999999999</v>
      </c>
      <c r="L25" s="123">
        <f>'[3]Monthly Gallon Summary'!C19/1000000</f>
        <v>33.003428</v>
      </c>
      <c r="M25" s="123">
        <f>'[3]Monthly Gallon Summary'!D19/1000000</f>
        <v>60.117730000000002</v>
      </c>
      <c r="N25" s="123">
        <f>'[3]Monthly Gallon Summary'!E19/1000000</f>
        <v>71.163938000000002</v>
      </c>
      <c r="O25" s="123">
        <f>'[3]Monthly Gallon Summary'!F19/1000000</f>
        <v>56.695627000000002</v>
      </c>
      <c r="P25" s="123">
        <f>'[3]Monthly Gallon Summary'!G19/1000000</f>
        <v>55.879852999999997</v>
      </c>
      <c r="Q25" s="123">
        <f>'[3]Monthly Gallon Summary'!H19/1000000</f>
        <v>85.571710999999993</v>
      </c>
      <c r="R25" s="123">
        <f>'[3]Monthly Gallon Summary'!I19/1000000</f>
        <v>65.936175000000006</v>
      </c>
      <c r="S25" s="123">
        <f>'[3]Monthly Gallon Summary'!J19/1000000</f>
        <v>110.496056</v>
      </c>
      <c r="T25" s="123">
        <f>'[3]Monthly Gallon Summary'!K19/1000000</f>
        <v>107.680155</v>
      </c>
      <c r="U25" s="123">
        <f>'[3]Monthly Gallon Summary'!L19/1000000</f>
        <v>118.403817</v>
      </c>
      <c r="V25" s="123">
        <f>'[3]Monthly Gallon Summary'!M19/1000000</f>
        <v>107.30258499999999</v>
      </c>
      <c r="W25" s="123">
        <f>'[3]Monthly Gallon Summary'!N19/1000000</f>
        <v>90.715014999999994</v>
      </c>
      <c r="X25" s="123">
        <f>'[3]Monthly Gallon Summary'!O19/1000000</f>
        <v>119.548309</v>
      </c>
      <c r="Y25" s="123">
        <f>'[3]Monthly Gallon Summary'!P19/1000000</f>
        <v>121.80522999999999</v>
      </c>
      <c r="Z25" s="123">
        <f>'[3]Monthly Gallon Summary'!Q19/1000000</f>
        <v>65.635810000000006</v>
      </c>
      <c r="AA25" s="124">
        <f>'[3]Monthly Gallon Summary'!R19/1000000</f>
        <v>98.403929712170097</v>
      </c>
      <c r="AB25" s="124">
        <f>'[3]Monthly Gallon Summary'!S19/1000000</f>
        <v>91.177516230390651</v>
      </c>
      <c r="AC25" s="124">
        <f>'[3]Monthly Gallon Summary'!T19/1000000</f>
        <v>74.141256932401518</v>
      </c>
      <c r="AD25" s="124">
        <f>'[3]Monthly Gallon Summary'!U19/1000000</f>
        <v>82.870173621704367</v>
      </c>
      <c r="AE25" s="124">
        <f>'[3]Monthly Gallon Summary'!V19/1000000</f>
        <v>80.201548421605111</v>
      </c>
      <c r="AF25" s="124">
        <f>'[3]Monthly Gallon Summary'!W19/1000000</f>
        <v>85.099990535403052</v>
      </c>
      <c r="AG25" s="124">
        <f>'[3]Monthly Gallon Summary'!X19/1000000</f>
        <v>88.554416594787568</v>
      </c>
      <c r="AH25" s="124">
        <f>'[3]Monthly Gallon Summary'!Y19/1000000</f>
        <v>103.02016423829782</v>
      </c>
      <c r="AI25" s="124">
        <f>'[3]Monthly Gallon Summary'!Z19/1000000</f>
        <v>91.550663978546694</v>
      </c>
      <c r="AJ25" s="124">
        <f>'[3]Monthly Gallon Summary'!AA19/1000000</f>
        <v>89.185582602539839</v>
      </c>
      <c r="AK25" s="124">
        <f>'[3]Monthly Gallon Summary'!AB19/1000000</f>
        <v>72.152327431409546</v>
      </c>
      <c r="AL25" s="124">
        <f>'[3]Monthly Gallon Summary'!AC19/1000000</f>
        <v>59.525288886323779</v>
      </c>
      <c r="AM25" s="124">
        <f>'[3]Monthly Gallon Summary'!AD19/1000000</f>
        <v>59.952771686018004</v>
      </c>
      <c r="AN25" s="124">
        <f>'[3]Monthly Gallon Summary'!AE19/1000000</f>
        <v>48.936842763469805</v>
      </c>
      <c r="AO25" s="124">
        <f>'[3]Monthly Gallon Summary'!AF19/1000000</f>
        <v>29.492825349619935</v>
      </c>
      <c r="AP25" s="124">
        <f>'[3]Monthly Gallon Summary'!AG19/1000000</f>
        <v>32.50772932795882</v>
      </c>
      <c r="AQ25" s="124">
        <f>'[3]Monthly Gallon Summary'!AH19/1000000</f>
        <v>32.228544007321233</v>
      </c>
      <c r="AR25" s="124">
        <f>'[3]Monthly Gallon Summary'!AI19/1000000</f>
        <v>26.844185880740316</v>
      </c>
      <c r="AS25" s="124">
        <f>'[3]Monthly Gallon Summary'!AJ19/1000000</f>
        <v>27.013877851393197</v>
      </c>
      <c r="AT25" s="124">
        <f>'[3]Monthly Gallon Summary'!AK19/1000000</f>
        <v>27.120565456817143</v>
      </c>
      <c r="AU25" s="124">
        <f>'[3]Monthly Gallon Summary'!AL19/1000000</f>
        <v>27.037295703058902</v>
      </c>
      <c r="AV25" s="124">
        <f>'[3]Monthly Gallon Summary'!AM19/1000000</f>
        <v>27.062926746440077</v>
      </c>
      <c r="AW25" s="124">
        <f>'[3]Monthly Gallon Summary'!AN19/1000000</f>
        <v>27.528461504392361</v>
      </c>
      <c r="AX25" s="124">
        <f>'[3]Monthly Gallon Summary'!AO19/1000000</f>
        <v>28.000588079461295</v>
      </c>
      <c r="AY25" s="124">
        <f>'[3]Monthly Gallon Summary'!AP19/1000000</f>
        <v>28.605820310721992</v>
      </c>
    </row>
    <row r="26" spans="1:51" s="93" customFormat="1" x14ac:dyDescent="0.2">
      <c r="A26" s="93" t="s">
        <v>163</v>
      </c>
      <c r="B26" s="123">
        <f>'Monthly Data'!F340</f>
        <v>0.65800000000000003</v>
      </c>
      <c r="C26" s="123">
        <f>'Monthly Data'!F352</f>
        <v>0.80400000000000005</v>
      </c>
      <c r="D26" s="123">
        <f>'Monthly Data'!F364</f>
        <v>1.0900000000000001</v>
      </c>
      <c r="E26" s="123">
        <f>'Monthly Data'!F376</f>
        <v>2.2170000000000001</v>
      </c>
      <c r="F26" s="123">
        <f>'Monthly Data'!F388</f>
        <v>6.9640000000000004</v>
      </c>
      <c r="G26" s="123">
        <f>'Monthly Data'!F400</f>
        <v>11.317</v>
      </c>
      <c r="H26" s="123">
        <f>'Monthly Data'!F412</f>
        <v>23.701000000000001</v>
      </c>
      <c r="I26" s="123">
        <f>'Monthly Data'!F424</f>
        <v>45.104999999999997</v>
      </c>
      <c r="J26" s="123">
        <f>'Monthly Data'!F436</f>
        <v>33.432000000000002</v>
      </c>
      <c r="K26" s="123">
        <f>'Monthly Data'!$F448</f>
        <v>29.245999999999999</v>
      </c>
      <c r="L26" s="123">
        <f>'[3]Monthly Gallon Summary'!C20/1000000</f>
        <v>41.762104000000001</v>
      </c>
      <c r="M26" s="123">
        <f>'[3]Monthly Gallon Summary'!D20/1000000</f>
        <v>72.928196</v>
      </c>
      <c r="N26" s="123">
        <f>'[3]Monthly Gallon Summary'!E20/1000000</f>
        <v>74.517662000000001</v>
      </c>
      <c r="O26" s="123">
        <f>'[3]Monthly Gallon Summary'!F20/1000000</f>
        <v>69.859288000000006</v>
      </c>
      <c r="P26" s="123">
        <f>'[3]Monthly Gallon Summary'!G20/1000000</f>
        <v>62.84731</v>
      </c>
      <c r="Q26" s="123">
        <f>'[3]Monthly Gallon Summary'!H20/1000000</f>
        <v>100.40191799999999</v>
      </c>
      <c r="R26" s="123">
        <f>'[3]Monthly Gallon Summary'!I20/1000000</f>
        <v>78.476257000000004</v>
      </c>
      <c r="S26" s="123">
        <f>'[3]Monthly Gallon Summary'!J20/1000000</f>
        <v>115.536272</v>
      </c>
      <c r="T26" s="123">
        <f>'[3]Monthly Gallon Summary'!K20/1000000</f>
        <v>117.33045199999999</v>
      </c>
      <c r="U26" s="123">
        <f>'[3]Monthly Gallon Summary'!L20/1000000</f>
        <v>128.03300300000001</v>
      </c>
      <c r="V26" s="123">
        <f>'[3]Monthly Gallon Summary'!M20/1000000</f>
        <v>109.88105</v>
      </c>
      <c r="W26" s="123">
        <f>'[3]Monthly Gallon Summary'!N20/1000000</f>
        <v>110.44265</v>
      </c>
      <c r="X26" s="123">
        <f>'[3]Monthly Gallon Summary'!O20/1000000</f>
        <v>114.74260700000001</v>
      </c>
      <c r="Y26" s="123">
        <f>'[3]Monthly Gallon Summary'!P20/1000000</f>
        <v>126.446027</v>
      </c>
      <c r="Z26" s="124">
        <f>'[3]Monthly Gallon Summary'!Q20/1000000</f>
        <v>73.824501999999995</v>
      </c>
      <c r="AA26" s="124">
        <f>'[3]Monthly Gallon Summary'!R20/1000000</f>
        <v>104.39575492991993</v>
      </c>
      <c r="AB26" s="124">
        <f>'[3]Monthly Gallon Summary'!S20/1000000</f>
        <v>97.454869702302531</v>
      </c>
      <c r="AC26" s="124">
        <f>'[3]Monthly Gallon Summary'!T20/1000000</f>
        <v>77.238131167809229</v>
      </c>
      <c r="AD26" s="124">
        <f>'[3]Monthly Gallon Summary'!U20/1000000</f>
        <v>88.125514124583532</v>
      </c>
      <c r="AE26" s="124">
        <f>'[3]Monthly Gallon Summary'!V20/1000000</f>
        <v>85.786369292106784</v>
      </c>
      <c r="AF26" s="124">
        <f>'[3]Monthly Gallon Summary'!W20/1000000</f>
        <v>90.325960577935049</v>
      </c>
      <c r="AG26" s="124">
        <f>'[3]Monthly Gallon Summary'!X20/1000000</f>
        <v>94.003417252430808</v>
      </c>
      <c r="AH26" s="124">
        <f>'[3]Monthly Gallon Summary'!Y20/1000000</f>
        <v>87.994138750292606</v>
      </c>
      <c r="AI26" s="124">
        <f>'[3]Monthly Gallon Summary'!Z20/1000000</f>
        <v>85.805420643432981</v>
      </c>
      <c r="AJ26" s="124">
        <f>'[3]Monthly Gallon Summary'!AA20/1000000</f>
        <v>82.361307922389557</v>
      </c>
      <c r="AK26" s="124">
        <f>'[3]Monthly Gallon Summary'!AB20/1000000</f>
        <v>69.504679762737837</v>
      </c>
      <c r="AL26" s="124">
        <f>'[3]Monthly Gallon Summary'!AC20/1000000</f>
        <v>56.244934347341754</v>
      </c>
      <c r="AM26" s="124">
        <f>'[3]Monthly Gallon Summary'!AD20/1000000</f>
        <v>55.167090064765603</v>
      </c>
      <c r="AN26" s="124">
        <f>'[3]Monthly Gallon Summary'!AE20/1000000</f>
        <v>45.936323337684371</v>
      </c>
      <c r="AO26" s="124">
        <f>'[3]Monthly Gallon Summary'!AF20/1000000</f>
        <v>27.733737867534785</v>
      </c>
      <c r="AP26" s="124">
        <f>'[3]Monthly Gallon Summary'!AG20/1000000</f>
        <v>30.701361125791838</v>
      </c>
      <c r="AQ26" s="124">
        <f>'[3]Monthly Gallon Summary'!AH20/1000000</f>
        <v>30.232122444017659</v>
      </c>
      <c r="AR26" s="124">
        <f>'[3]Monthly Gallon Summary'!AI20/1000000</f>
        <v>25.143292362227889</v>
      </c>
      <c r="AS26" s="124">
        <f>'[3]Monthly Gallon Summary'!AJ20/1000000</f>
        <v>25.426358466015618</v>
      </c>
      <c r="AT26" s="124">
        <f>'[3]Monthly Gallon Summary'!AK20/1000000</f>
        <v>25.522894243461803</v>
      </c>
      <c r="AU26" s="124">
        <f>'[3]Monthly Gallon Summary'!AL20/1000000</f>
        <v>25.442065938274446</v>
      </c>
      <c r="AV26" s="124">
        <f>'[3]Monthly Gallon Summary'!AM20/1000000</f>
        <v>25.432458703081128</v>
      </c>
      <c r="AW26" s="124">
        <f>'[3]Monthly Gallon Summary'!AN20/1000000</f>
        <v>25.876271594432261</v>
      </c>
      <c r="AX26" s="124">
        <f>'[3]Monthly Gallon Summary'!AO20/1000000</f>
        <v>26.341027215544646</v>
      </c>
      <c r="AY26" s="124">
        <f>'[3]Monthly Gallon Summary'!AP20/1000000</f>
        <v>26.905155903602925</v>
      </c>
    </row>
    <row r="27" spans="1:51" s="93" customFormat="1" x14ac:dyDescent="0.2">
      <c r="A27" s="93" t="s">
        <v>164</v>
      </c>
      <c r="B27" s="123">
        <f>'Monthly Data'!F341</f>
        <v>0.72799999999999998</v>
      </c>
      <c r="C27" s="123">
        <f>'Monthly Data'!F353</f>
        <v>0.89</v>
      </c>
      <c r="D27" s="123">
        <f>'Monthly Data'!F365</f>
        <v>1.2070000000000001</v>
      </c>
      <c r="E27" s="123">
        <f>'Monthly Data'!F377</f>
        <v>2.37</v>
      </c>
      <c r="F27" s="123">
        <f>'Monthly Data'!F389</f>
        <v>7.7110000000000003</v>
      </c>
      <c r="G27" s="123">
        <f>'Monthly Data'!F401</f>
        <v>15.436999999999999</v>
      </c>
      <c r="H27" s="123">
        <f>'Monthly Data'!F413</f>
        <v>32.543999999999997</v>
      </c>
      <c r="I27" s="123">
        <f>'Monthly Data'!F425</f>
        <v>49.881999999999998</v>
      </c>
      <c r="J27" s="123">
        <f>'Monthly Data'!F437</f>
        <v>26.594000000000001</v>
      </c>
      <c r="K27" s="123">
        <f>'Monthly Data'!$F449</f>
        <v>33.771999999999998</v>
      </c>
      <c r="L27" s="123">
        <f>'[3]Monthly Gallon Summary'!C21/1000000</f>
        <v>63.521034999999998</v>
      </c>
      <c r="M27" s="123">
        <f>'[3]Monthly Gallon Summary'!D21/1000000</f>
        <v>95.151425000000003</v>
      </c>
      <c r="N27" s="123">
        <f>'[3]Monthly Gallon Summary'!E21/1000000</f>
        <v>101.030322</v>
      </c>
      <c r="O27" s="123">
        <f>'[3]Monthly Gallon Summary'!F21/1000000</f>
        <v>90.811260000000004</v>
      </c>
      <c r="P27" s="123">
        <f>'[3]Monthly Gallon Summary'!G21/1000000</f>
        <v>92.371028999999993</v>
      </c>
      <c r="Q27" s="123">
        <f>'[3]Monthly Gallon Summary'!H21/1000000</f>
        <v>126.756378</v>
      </c>
      <c r="R27" s="123">
        <f>'[3]Monthly Gallon Summary'!I21/1000000</f>
        <v>111.494709</v>
      </c>
      <c r="S27" s="123">
        <f>'[3]Monthly Gallon Summary'!J21/1000000</f>
        <v>145.19473400000001</v>
      </c>
      <c r="T27" s="123">
        <f>'[3]Monthly Gallon Summary'!K21/1000000</f>
        <v>147.65879699999999</v>
      </c>
      <c r="U27" s="123">
        <f>'[3]Monthly Gallon Summary'!L21/1000000</f>
        <v>150.09065799999999</v>
      </c>
      <c r="V27" s="123">
        <f>'[3]Monthly Gallon Summary'!M21/1000000</f>
        <v>150.33690999999999</v>
      </c>
      <c r="W27" s="123">
        <f>'[3]Monthly Gallon Summary'!N21/1000000</f>
        <v>135.86741599999999</v>
      </c>
      <c r="X27" s="123">
        <f>'[3]Monthly Gallon Summary'!O21/1000000</f>
        <v>130.88728499999999</v>
      </c>
      <c r="Y27" s="123">
        <f>'[3]Monthly Gallon Summary'!P21/1000000</f>
        <v>134.36258799999999</v>
      </c>
      <c r="Z27" s="124">
        <f>'[3]Monthly Gallon Summary'!Q21/1000000</f>
        <v>95.833393000000001</v>
      </c>
      <c r="AA27" s="124">
        <f>'[3]Monthly Gallon Summary'!R21/1000000</f>
        <v>114.81194559047434</v>
      </c>
      <c r="AB27" s="124">
        <f>'[3]Monthly Gallon Summary'!S21/1000000</f>
        <v>112.55111686989788</v>
      </c>
      <c r="AC27" s="124">
        <f>'[3]Monthly Gallon Summary'!T21/1000000</f>
        <v>87.967575886595867</v>
      </c>
      <c r="AD27" s="124">
        <f>'[3]Monthly Gallon Summary'!U21/1000000</f>
        <v>100.31300916682284</v>
      </c>
      <c r="AE27" s="124">
        <f>'[3]Monthly Gallon Summary'!V21/1000000</f>
        <v>99.525647188424557</v>
      </c>
      <c r="AF27" s="124">
        <f>'[3]Monthly Gallon Summary'!W21/1000000</f>
        <v>102.73208320875344</v>
      </c>
      <c r="AG27" s="124">
        <f>'[3]Monthly Gallon Summary'!X21/1000000</f>
        <v>107.75301050959034</v>
      </c>
      <c r="AH27" s="124">
        <f>'[3]Monthly Gallon Summary'!Y21/1000000</f>
        <v>100.69633831275597</v>
      </c>
      <c r="AI27" s="124">
        <f>'[3]Monthly Gallon Summary'!Z21/1000000</f>
        <v>98.27504844419046</v>
      </c>
      <c r="AJ27" s="124">
        <f>'[3]Monthly Gallon Summary'!AA21/1000000</f>
        <v>94.448147282101544</v>
      </c>
      <c r="AK27" s="124">
        <f>'[3]Monthly Gallon Summary'!AB21/1000000</f>
        <v>79.529934413270254</v>
      </c>
      <c r="AL27" s="124">
        <f>'[3]Monthly Gallon Summary'!AC21/1000000</f>
        <v>64.454751820695108</v>
      </c>
      <c r="AM27" s="124">
        <f>'[3]Monthly Gallon Summary'!AD21/1000000</f>
        <v>63.215595769091713</v>
      </c>
      <c r="AN27" s="124">
        <f>'[3]Monthly Gallon Summary'!AE21/1000000</f>
        <v>52.668274493032733</v>
      </c>
      <c r="AO27" s="124">
        <f>'[3]Monthly Gallon Summary'!AF21/1000000</f>
        <v>31.833836949735971</v>
      </c>
      <c r="AP27" s="124">
        <f>'[3]Monthly Gallon Summary'!AG21/1000000</f>
        <v>35.218421165871391</v>
      </c>
      <c r="AQ27" s="124">
        <f>'[3]Monthly Gallon Summary'!AH21/1000000</f>
        <v>34.695203778580016</v>
      </c>
      <c r="AR27" s="124">
        <f>'[3]Monthly Gallon Summary'!AI21/1000000</f>
        <v>28.877510744823834</v>
      </c>
      <c r="AS27" s="124">
        <f>'[3]Monthly Gallon Summary'!AJ21/1000000</f>
        <v>29.204532279186378</v>
      </c>
      <c r="AT27" s="124">
        <f>'[3]Monthly Gallon Summary'!AK21/1000000</f>
        <v>29.313876998979243</v>
      </c>
      <c r="AU27" s="124">
        <f>'[3]Monthly Gallon Summary'!AL21/1000000</f>
        <v>29.220072667137213</v>
      </c>
      <c r="AV27" s="124">
        <f>'[3]Monthly Gallon Summary'!AM21/1000000</f>
        <v>29.208559257200321</v>
      </c>
      <c r="AW27" s="124">
        <f>'[3]Monthly Gallon Summary'!AN21/1000000</f>
        <v>29.720146093059704</v>
      </c>
      <c r="AX27" s="124">
        <f>'[3]Monthly Gallon Summary'!AO21/1000000</f>
        <v>30.255812623438469</v>
      </c>
      <c r="AY27" s="124">
        <f>'[3]Monthly Gallon Summary'!AP21/1000000</f>
        <v>30.902250794365855</v>
      </c>
    </row>
    <row r="28" spans="1:51" s="93" customFormat="1" x14ac:dyDescent="0.2">
      <c r="A28" s="93" t="s">
        <v>165</v>
      </c>
      <c r="B28" s="123">
        <f>'Monthly Data'!F342</f>
        <v>0.70499999999999996</v>
      </c>
      <c r="C28" s="123">
        <f>'Monthly Data'!F354</f>
        <v>0.86199999999999999</v>
      </c>
      <c r="D28" s="123">
        <f>'Monthly Data'!F366</f>
        <v>1.1679999999999999</v>
      </c>
      <c r="E28" s="123">
        <f>'Monthly Data'!F378</f>
        <v>2.294</v>
      </c>
      <c r="F28" s="123">
        <f>'Monthly Data'!F390</f>
        <v>7.4619999999999997</v>
      </c>
      <c r="G28" s="123">
        <f>'Monthly Data'!F402</f>
        <v>16.186</v>
      </c>
      <c r="H28" s="123">
        <f>'Monthly Data'!F414</f>
        <v>32.125</v>
      </c>
      <c r="I28" s="123">
        <f>'Monthly Data'!F426</f>
        <v>53.276000000000003</v>
      </c>
      <c r="J28" s="123">
        <f>'Monthly Data'!F438</f>
        <v>28.170999999999999</v>
      </c>
      <c r="K28" s="123">
        <f>'Monthly Data'!$F450</f>
        <v>34.19</v>
      </c>
      <c r="L28" s="123">
        <f>'[3]Monthly Gallon Summary'!C22/1000000</f>
        <v>70.300596999999996</v>
      </c>
      <c r="M28" s="123">
        <f>'[3]Monthly Gallon Summary'!D22/1000000</f>
        <v>92.581598999999997</v>
      </c>
      <c r="N28" s="123">
        <f>'[3]Monthly Gallon Summary'!E22/1000000</f>
        <v>111.043708</v>
      </c>
      <c r="O28" s="123">
        <f>'[3]Monthly Gallon Summary'!F22/1000000</f>
        <v>103.38977300000001</v>
      </c>
      <c r="P28" s="123">
        <f>'[3]Monthly Gallon Summary'!G22/1000000</f>
        <v>106.504091</v>
      </c>
      <c r="Q28" s="123">
        <f>'[3]Monthly Gallon Summary'!H22/1000000</f>
        <v>126.26678800000001</v>
      </c>
      <c r="R28" s="123">
        <f>'[3]Monthly Gallon Summary'!I22/1000000</f>
        <v>124.324164</v>
      </c>
      <c r="S28" s="123">
        <f>'[3]Monthly Gallon Summary'!J22/1000000</f>
        <v>144.63767300000001</v>
      </c>
      <c r="T28" s="123">
        <f>'[3]Monthly Gallon Summary'!K22/1000000</f>
        <v>160.88855599999999</v>
      </c>
      <c r="U28" s="123">
        <f>'[3]Monthly Gallon Summary'!L22/1000000</f>
        <v>149.35612599999999</v>
      </c>
      <c r="V28" s="123">
        <f>'[3]Monthly Gallon Summary'!M22/1000000</f>
        <v>144.39649399999999</v>
      </c>
      <c r="W28" s="123">
        <f>'[3]Monthly Gallon Summary'!N22/1000000</f>
        <v>144.286382</v>
      </c>
      <c r="X28" s="123">
        <f>'[3]Monthly Gallon Summary'!O22/1000000</f>
        <v>133.83552</v>
      </c>
      <c r="Y28" s="123">
        <f>'[3]Monthly Gallon Summary'!P22/1000000</f>
        <v>136.033783</v>
      </c>
      <c r="Z28" s="124">
        <f>'[3]Monthly Gallon Summary'!Q22/1000000</f>
        <v>132.22466772068668</v>
      </c>
      <c r="AA28" s="124">
        <f>'[3]Monthly Gallon Summary'!R22/1000000</f>
        <v>122.41624447003295</v>
      </c>
      <c r="AB28" s="124">
        <f>'[3]Monthly Gallon Summary'!S22/1000000</f>
        <v>122.92134403755736</v>
      </c>
      <c r="AC28" s="124">
        <f>'[3]Monthly Gallon Summary'!T22/1000000</f>
        <v>96.679670029158899</v>
      </c>
      <c r="AD28" s="124">
        <f>'[3]Monthly Gallon Summary'!U22/1000000</f>
        <v>112.10189490846491</v>
      </c>
      <c r="AE28" s="124">
        <f>'[3]Monthly Gallon Summary'!V22/1000000</f>
        <v>113.97790828088256</v>
      </c>
      <c r="AF28" s="124">
        <f>'[3]Monthly Gallon Summary'!W22/1000000</f>
        <v>113.27647506123026</v>
      </c>
      <c r="AG28" s="124">
        <f>'[3]Monthly Gallon Summary'!X22/1000000</f>
        <v>119.7076523851067</v>
      </c>
      <c r="AH28" s="124">
        <f>'[3]Monthly Gallon Summary'!Y22/1000000</f>
        <v>112.29343861396642</v>
      </c>
      <c r="AI28" s="124">
        <f>'[3]Monthly Gallon Summary'!Z22/1000000</f>
        <v>109.86222622683734</v>
      </c>
      <c r="AJ28" s="124">
        <f>'[3]Monthly Gallon Summary'!AA22/1000000</f>
        <v>105.58718965716207</v>
      </c>
      <c r="AK28" s="124">
        <f>'[3]Monthly Gallon Summary'!AB22/1000000</f>
        <v>88.47446267741158</v>
      </c>
      <c r="AL28" s="124">
        <f>'[3]Monthly Gallon Summary'!AC22/1000000</f>
        <v>71.820743607586735</v>
      </c>
      <c r="AM28" s="124">
        <f>'[3]Monthly Gallon Summary'!AD22/1000000</f>
        <v>70.491451620413059</v>
      </c>
      <c r="AN28" s="124">
        <f>'[3]Monthly Gallon Summary'!AE22/1000000</f>
        <v>58.713037719302612</v>
      </c>
      <c r="AO28" s="124">
        <f>'[3]Monthly Gallon Summary'!AF22/1000000</f>
        <v>35.425968714917175</v>
      </c>
      <c r="AP28" s="124">
        <f>'[3]Monthly Gallon Summary'!AG22/1000000</f>
        <v>39.177092053561445</v>
      </c>
      <c r="AQ28" s="124">
        <f>'[3]Monthly Gallon Summary'!AH22/1000000</f>
        <v>38.61054385043272</v>
      </c>
      <c r="AR28" s="124">
        <f>'[3]Monthly Gallon Summary'!AI22/1000000</f>
        <v>32.111140083339045</v>
      </c>
      <c r="AS28" s="124">
        <f>'[3]Monthly Gallon Summary'!AJ22/1000000</f>
        <v>32.470653858680109</v>
      </c>
      <c r="AT28" s="124">
        <f>'[3]Monthly Gallon Summary'!AK22/1000000</f>
        <v>32.588077145624439</v>
      </c>
      <c r="AU28" s="124">
        <f>'[3]Monthly Gallon Summary'!AL22/1000000</f>
        <v>32.48287922203064</v>
      </c>
      <c r="AV28" s="124">
        <f>'[3]Monthly Gallon Summary'!AM22/1000000</f>
        <v>32.476041410351414</v>
      </c>
      <c r="AW28" s="124">
        <f>'[3]Monthly Gallon Summary'!AN22/1000000</f>
        <v>33.042220938280771</v>
      </c>
      <c r="AX28" s="124">
        <f>'[3]Monthly Gallon Summary'!AO22/1000000</f>
        <v>33.634376955314657</v>
      </c>
      <c r="AY28" s="124">
        <f>'[3]Monthly Gallon Summary'!AP22/1000000</f>
        <v>34.354115004330943</v>
      </c>
    </row>
    <row r="29" spans="1:51" s="93" customFormat="1" x14ac:dyDescent="0.2">
      <c r="A29" s="93" t="s">
        <v>166</v>
      </c>
      <c r="B29" s="123">
        <f>'Monthly Data'!F343</f>
        <v>0.72799999999999998</v>
      </c>
      <c r="C29" s="123">
        <f>'Monthly Data'!F355</f>
        <v>0.89</v>
      </c>
      <c r="D29" s="123">
        <f>'Monthly Data'!F367</f>
        <v>1.2070000000000001</v>
      </c>
      <c r="E29" s="123">
        <f>'Monthly Data'!F379</f>
        <v>2.37</v>
      </c>
      <c r="F29" s="123">
        <f>'Monthly Data'!F391</f>
        <v>7.7110000000000003</v>
      </c>
      <c r="G29" s="123">
        <f>'Monthly Data'!F403</f>
        <v>22.302</v>
      </c>
      <c r="H29" s="123">
        <f>'Monthly Data'!F415</f>
        <v>40.24</v>
      </c>
      <c r="I29" s="123">
        <f>'Monthly Data'!F427</f>
        <v>54.27</v>
      </c>
      <c r="J29" s="123">
        <f>'Monthly Data'!F439</f>
        <v>32.100999999999999</v>
      </c>
      <c r="K29" s="123">
        <f>'Monthly Data'!$F451</f>
        <v>31.914999999999999</v>
      </c>
      <c r="L29" s="123">
        <f>'[3]Monthly Gallon Summary'!C23/1000000</f>
        <v>77.877754999999993</v>
      </c>
      <c r="M29" s="123">
        <f>'[3]Monthly Gallon Summary'!D23/1000000</f>
        <v>107.55475800000001</v>
      </c>
      <c r="N29" s="123">
        <f>'[3]Monthly Gallon Summary'!E23/1000000</f>
        <v>118.98187799999999</v>
      </c>
      <c r="O29" s="123">
        <f>'[3]Monthly Gallon Summary'!F23/1000000</f>
        <v>110.374751</v>
      </c>
      <c r="P29" s="123">
        <f>'[3]Monthly Gallon Summary'!G23/1000000</f>
        <v>121.530326</v>
      </c>
      <c r="Q29" s="123">
        <f>'[3]Monthly Gallon Summary'!H23/1000000</f>
        <v>135.28635399999999</v>
      </c>
      <c r="R29" s="123">
        <f>'[3]Monthly Gallon Summary'!I23/1000000</f>
        <v>147.07405800000001</v>
      </c>
      <c r="S29" s="123">
        <f>'[3]Monthly Gallon Summary'!J23/1000000</f>
        <v>166.235446</v>
      </c>
      <c r="T29" s="123">
        <f>'[3]Monthly Gallon Summary'!K23/1000000</f>
        <v>164.04243600000001</v>
      </c>
      <c r="U29" s="123">
        <f>'[3]Monthly Gallon Summary'!L23/1000000</f>
        <v>143.17422300000001</v>
      </c>
      <c r="V29" s="123">
        <f>'[3]Monthly Gallon Summary'!M23/1000000</f>
        <v>150.50194999999999</v>
      </c>
      <c r="W29" s="123">
        <f>'[3]Monthly Gallon Summary'!N23/1000000</f>
        <v>139.87524300000001</v>
      </c>
      <c r="X29" s="123">
        <f>'[3]Monthly Gallon Summary'!O23/1000000</f>
        <v>163.59353300000001</v>
      </c>
      <c r="Y29" s="123">
        <f>'[3]Monthly Gallon Summary'!P23/1000000</f>
        <v>143.48496700000001</v>
      </c>
      <c r="Z29" s="124">
        <f>'[3]Monthly Gallon Summary'!Q23/1000000</f>
        <v>138.26709632826345</v>
      </c>
      <c r="AA29" s="124">
        <f>'[3]Monthly Gallon Summary'!R23/1000000</f>
        <v>130.31019252272381</v>
      </c>
      <c r="AB29" s="124">
        <f>'[3]Monthly Gallon Summary'!S23/1000000</f>
        <v>131.43594445511937</v>
      </c>
      <c r="AC29" s="124">
        <f>'[3]Monthly Gallon Summary'!T23/1000000</f>
        <v>105.5199613953646</v>
      </c>
      <c r="AD29" s="124">
        <f>'[3]Monthly Gallon Summary'!U23/1000000</f>
        <v>119.14925552638401</v>
      </c>
      <c r="AE29" s="124">
        <f>'[3]Monthly Gallon Summary'!V23/1000000</f>
        <v>121.42556667723595</v>
      </c>
      <c r="AF29" s="124">
        <f>'[3]Monthly Gallon Summary'!W23/1000000</f>
        <v>121.19707649309711</v>
      </c>
      <c r="AG29" s="124">
        <f>'[3]Monthly Gallon Summary'!X23/1000000</f>
        <v>128.22064895417901</v>
      </c>
      <c r="AH29" s="124">
        <f>'[3]Monthly Gallon Summary'!Y23/1000000</f>
        <v>120.32428034561735</v>
      </c>
      <c r="AI29" s="124">
        <f>'[3]Monthly Gallon Summary'!Z23/1000000</f>
        <v>117.34815598831487</v>
      </c>
      <c r="AJ29" s="124">
        <f>'[3]Monthly Gallon Summary'!AA23/1000000</f>
        <v>112.88995692296641</v>
      </c>
      <c r="AK29" s="124">
        <f>'[3]Monthly Gallon Summary'!AB23/1000000</f>
        <v>94.659421307093524</v>
      </c>
      <c r="AL29" s="124">
        <f>'[3]Monthly Gallon Summary'!AC23/1000000</f>
        <v>76.834850829395307</v>
      </c>
      <c r="AM29" s="124">
        <f>'[3]Monthly Gallon Summary'!AD23/1000000</f>
        <v>75.39037951696892</v>
      </c>
      <c r="AN29" s="124">
        <f>'[3]Monthly Gallon Summary'!AE23/1000000</f>
        <v>62.758216741239721</v>
      </c>
      <c r="AO29" s="124">
        <f>'[3]Monthly Gallon Summary'!AF23/1000000</f>
        <v>37.862171733304805</v>
      </c>
      <c r="AP29" s="124">
        <f>'[3]Monthly Gallon Summary'!AG23/1000000</f>
        <v>41.880938924156574</v>
      </c>
      <c r="AQ29" s="124">
        <f>'[3]Monthly Gallon Summary'!AH23/1000000</f>
        <v>41.270140080673009</v>
      </c>
      <c r="AR29" s="124">
        <f>'[3]Monthly Gallon Summary'!AI23/1000000</f>
        <v>34.309714241686855</v>
      </c>
      <c r="AS29" s="124">
        <f>'[3]Monthly Gallon Summary'!AJ23/1000000</f>
        <v>34.691843448946358</v>
      </c>
      <c r="AT29" s="124">
        <f>'[3]Monthly Gallon Summary'!AK23/1000000</f>
        <v>34.820435513393946</v>
      </c>
      <c r="AU29" s="124">
        <f>'[3]Monthly Gallon Summary'!AL23/1000000</f>
        <v>34.708333011227737</v>
      </c>
      <c r="AV29" s="124">
        <f>'[3]Monthly Gallon Summary'!AM23/1000000</f>
        <v>34.701083847314344</v>
      </c>
      <c r="AW29" s="124">
        <f>'[3]Monthly Gallon Summary'!AN23/1000000</f>
        <v>35.304660993889478</v>
      </c>
      <c r="AX29" s="124">
        <f>'[3]Monthly Gallon Summary'!AO23/1000000</f>
        <v>35.936612979545345</v>
      </c>
      <c r="AY29" s="124">
        <f>'[3]Monthly Gallon Summary'!AP23/1000000</f>
        <v>36.706661814046271</v>
      </c>
    </row>
    <row r="30" spans="1:51" s="93" customFormat="1" x14ac:dyDescent="0.2">
      <c r="A30" s="93" t="s">
        <v>167</v>
      </c>
      <c r="B30" s="123">
        <f>'Monthly Data'!F344</f>
        <v>0.70499999999999996</v>
      </c>
      <c r="C30" s="123">
        <f>'Monthly Data'!F356</f>
        <v>0.86199999999999999</v>
      </c>
      <c r="D30" s="123">
        <f>'Monthly Data'!F368</f>
        <v>1.1679999999999999</v>
      </c>
      <c r="E30" s="123">
        <f>'Monthly Data'!F380</f>
        <v>2.294</v>
      </c>
      <c r="F30" s="123">
        <f>'Monthly Data'!F392</f>
        <v>7.4619999999999997</v>
      </c>
      <c r="G30" s="123">
        <f>'Monthly Data'!F404</f>
        <v>25.7</v>
      </c>
      <c r="H30" s="123">
        <f>'Monthly Data'!F416</f>
        <v>39.590000000000003</v>
      </c>
      <c r="I30" s="123">
        <f>'Monthly Data'!F428</f>
        <v>60.680999999999997</v>
      </c>
      <c r="J30" s="123">
        <f>'Monthly Data'!F440</f>
        <v>33.588000000000001</v>
      </c>
      <c r="K30" s="123">
        <f>'Monthly Data'!$F452</f>
        <v>27.065999999999999</v>
      </c>
      <c r="L30" s="123">
        <f>'[3]Monthly Gallon Summary'!C24/1000000</f>
        <v>78.205275999999998</v>
      </c>
      <c r="M30" s="123">
        <f>'[3]Monthly Gallon Summary'!D24/1000000</f>
        <v>106.61364399999999</v>
      </c>
      <c r="N30" s="123">
        <f>'[3]Monthly Gallon Summary'!E24/1000000</f>
        <v>117.53991000000001</v>
      </c>
      <c r="O30" s="123">
        <f>'[3]Monthly Gallon Summary'!F24/1000000</f>
        <v>113.673723</v>
      </c>
      <c r="P30" s="123">
        <f>'[3]Monthly Gallon Summary'!G24/1000000</f>
        <v>130.91955100000001</v>
      </c>
      <c r="Q30" s="123">
        <f>'[3]Monthly Gallon Summary'!H24/1000000</f>
        <v>142.59393499999999</v>
      </c>
      <c r="R30" s="123">
        <f>'[3]Monthly Gallon Summary'!I24/1000000</f>
        <v>145.011076</v>
      </c>
      <c r="S30" s="123">
        <f>'[3]Monthly Gallon Summary'!J24/1000000</f>
        <v>160.54822300000001</v>
      </c>
      <c r="T30" s="123">
        <f>'[3]Monthly Gallon Summary'!K24/1000000</f>
        <v>144.10242299999999</v>
      </c>
      <c r="U30" s="123">
        <f>'[3]Monthly Gallon Summary'!L24/1000000</f>
        <v>165.51933</v>
      </c>
      <c r="V30" s="123">
        <f>'[3]Monthly Gallon Summary'!M24/1000000</f>
        <v>154.45711800000001</v>
      </c>
      <c r="W30" s="123">
        <f>'[3]Monthly Gallon Summary'!N24/1000000</f>
        <v>142.855221</v>
      </c>
      <c r="X30" s="123">
        <f>'[3]Monthly Gallon Summary'!O24/1000000</f>
        <v>153.00629499999999</v>
      </c>
      <c r="Y30" s="123">
        <f>'[3]Monthly Gallon Summary'!P24/1000000</f>
        <v>135.25250299999999</v>
      </c>
      <c r="Z30" s="124">
        <f>'[3]Monthly Gallon Summary'!Q24/1000000</f>
        <v>140.04505030770056</v>
      </c>
      <c r="AA30" s="124">
        <f>'[3]Monthly Gallon Summary'!R24/1000000</f>
        <v>128.35965365193624</v>
      </c>
      <c r="AB30" s="124">
        <f>'[3]Monthly Gallon Summary'!S24/1000000</f>
        <v>128.33001229655264</v>
      </c>
      <c r="AC30" s="124">
        <f>'[3]Monthly Gallon Summary'!T24/1000000</f>
        <v>102.09175937814935</v>
      </c>
      <c r="AD30" s="124">
        <f>'[3]Monthly Gallon Summary'!U24/1000000</f>
        <v>116.23847960861514</v>
      </c>
      <c r="AE30" s="124">
        <f>'[3]Monthly Gallon Summary'!V24/1000000</f>
        <v>119.55874984713495</v>
      </c>
      <c r="AF30" s="124">
        <f>'[3]Monthly Gallon Summary'!W24/1000000</f>
        <v>118.55553076508413</v>
      </c>
      <c r="AG30" s="124">
        <f>'[3]Monthly Gallon Summary'!X24/1000000</f>
        <v>125.23551115922807</v>
      </c>
      <c r="AH30" s="124">
        <f>'[3]Monthly Gallon Summary'!Y24/1000000</f>
        <v>117.53272866920386</v>
      </c>
      <c r="AI30" s="124">
        <f>'[3]Monthly Gallon Summary'!Z24/1000000</f>
        <v>114.81468613028248</v>
      </c>
      <c r="AJ30" s="124">
        <f>'[3]Monthly Gallon Summary'!AA24/1000000</f>
        <v>110.51632332493848</v>
      </c>
      <c r="AK30" s="124">
        <f>'[3]Monthly Gallon Summary'!AB24/1000000</f>
        <v>92.562963773777327</v>
      </c>
      <c r="AL30" s="124">
        <f>'[3]Monthly Gallon Summary'!AC24/1000000</f>
        <v>75.131863807259094</v>
      </c>
      <c r="AM30" s="124">
        <f>'[3]Monthly Gallon Summary'!AD24/1000000</f>
        <v>73.739981688929404</v>
      </c>
      <c r="AN30" s="124">
        <f>'[3]Monthly Gallon Summary'!AE24/1000000</f>
        <v>61.408734843822373</v>
      </c>
      <c r="AO30" s="124">
        <f>'[3]Monthly Gallon Summary'!AF24/1000000</f>
        <v>37.057040818554832</v>
      </c>
      <c r="AP30" s="124">
        <f>'[3]Monthly Gallon Summary'!AG24/1000000</f>
        <v>40.977202278882359</v>
      </c>
      <c r="AQ30" s="124">
        <f>'[3]Monthly Gallon Summary'!AH24/1000000</f>
        <v>40.383088553454257</v>
      </c>
      <c r="AR30" s="124">
        <f>'[3]Monthly Gallon Summary'!AI24/1000000</f>
        <v>33.582137001945213</v>
      </c>
      <c r="AS30" s="124">
        <f>'[3]Monthly Gallon Summary'!AJ24/1000000</f>
        <v>33.957841315480309</v>
      </c>
      <c r="AT30" s="124">
        <f>'[3]Monthly Gallon Summary'!AK24/1000000</f>
        <v>34.081911750806213</v>
      </c>
      <c r="AU30" s="124">
        <f>'[3]Monthly Gallon Summary'!AL24/1000000</f>
        <v>33.971174015363587</v>
      </c>
      <c r="AV30" s="124">
        <f>'[3]Monthly Gallon Summary'!AM24/1000000</f>
        <v>33.96417510207489</v>
      </c>
      <c r="AW30" s="124">
        <f>'[3]Monthly Gallon Summary'!AN24/1000000</f>
        <v>34.556067683388257</v>
      </c>
      <c r="AX30" s="124">
        <f>'[3]Monthly Gallon Summary'!AO24/1000000</f>
        <v>35.17516587181332</v>
      </c>
      <c r="AY30" s="124">
        <f>'[3]Monthly Gallon Summary'!AP24/1000000</f>
        <v>35.92815791919336</v>
      </c>
    </row>
    <row r="31" spans="1:51" s="93" customFormat="1" x14ac:dyDescent="0.2">
      <c r="A31" s="93" t="s">
        <v>168</v>
      </c>
      <c r="B31" s="123">
        <f>'Monthly Data'!F345</f>
        <v>0.72799999999999998</v>
      </c>
      <c r="C31" s="123">
        <f>'Monthly Data'!F357</f>
        <v>0.89</v>
      </c>
      <c r="D31" s="123">
        <f>'Monthly Data'!F369</f>
        <v>1.2070000000000001</v>
      </c>
      <c r="E31" s="123">
        <f>'Monthly Data'!F381</f>
        <v>2.37</v>
      </c>
      <c r="F31" s="123">
        <f>'Monthly Data'!F393</f>
        <v>7.7110000000000003</v>
      </c>
      <c r="G31" s="123">
        <f>'Monthly Data'!F405</f>
        <v>22.675999999999998</v>
      </c>
      <c r="H31" s="123">
        <f>'Monthly Data'!F417</f>
        <v>51.963999999999999</v>
      </c>
      <c r="I31" s="123">
        <f>'Monthly Data'!F429</f>
        <v>67.366</v>
      </c>
      <c r="J31" s="123">
        <f>'Monthly Data'!F441</f>
        <v>43.256</v>
      </c>
      <c r="K31" s="123">
        <f>'Monthly Data'!$F453</f>
        <v>27.597000000000001</v>
      </c>
      <c r="L31" s="123">
        <f>'[3]Monthly Gallon Summary'!C25/1000000</f>
        <v>87.034571</v>
      </c>
      <c r="M31" s="123">
        <f>'[3]Monthly Gallon Summary'!D25/1000000</f>
        <v>97.342403000000004</v>
      </c>
      <c r="N31" s="123">
        <f>'[3]Monthly Gallon Summary'!E25/1000000</f>
        <v>128.491052</v>
      </c>
      <c r="O31" s="123">
        <f>'[3]Monthly Gallon Summary'!F25/1000000</f>
        <v>128.244034</v>
      </c>
      <c r="P31" s="123">
        <f>'[3]Monthly Gallon Summary'!G25/1000000</f>
        <v>129.17303899999999</v>
      </c>
      <c r="Q31" s="123">
        <f>'[3]Monthly Gallon Summary'!H25/1000000</f>
        <v>137.963278</v>
      </c>
      <c r="R31" s="123">
        <f>'[3]Monthly Gallon Summary'!I25/1000000</f>
        <v>150.29036400000001</v>
      </c>
      <c r="S31" s="123">
        <f>'[3]Monthly Gallon Summary'!J25/1000000</f>
        <v>169.77986999999999</v>
      </c>
      <c r="T31" s="123">
        <f>'[3]Monthly Gallon Summary'!K25/1000000</f>
        <v>169.452631</v>
      </c>
      <c r="U31" s="123">
        <f>'[3]Monthly Gallon Summary'!L25/1000000</f>
        <v>162.73826500000001</v>
      </c>
      <c r="V31" s="123">
        <f>'[3]Monthly Gallon Summary'!M25/1000000</f>
        <v>146.89033800000001</v>
      </c>
      <c r="W31" s="123">
        <f>'[3]Monthly Gallon Summary'!N25/1000000</f>
        <v>137.54586599999999</v>
      </c>
      <c r="X31" s="123">
        <f>'[3]Monthly Gallon Summary'!O25/1000000</f>
        <v>142.593233</v>
      </c>
      <c r="Y31" s="123">
        <f>'[3]Monthly Gallon Summary'!P25/1000000</f>
        <v>145.55825100000001</v>
      </c>
      <c r="Z31" s="124">
        <f>'[3]Monthly Gallon Summary'!Q25/1000000</f>
        <v>137.42565782361211</v>
      </c>
      <c r="AA31" s="124">
        <f>'[3]Monthly Gallon Summary'!R25/1000000</f>
        <v>125.90383135632521</v>
      </c>
      <c r="AB31" s="124">
        <f>'[3]Monthly Gallon Summary'!S25/1000000</f>
        <v>126.72034827339972</v>
      </c>
      <c r="AC31" s="124">
        <f>'[3]Monthly Gallon Summary'!T25/1000000</f>
        <v>101.33561418540273</v>
      </c>
      <c r="AD31" s="124">
        <f>'[3]Monthly Gallon Summary'!U25/1000000</f>
        <v>117.07894628193803</v>
      </c>
      <c r="AE31" s="124">
        <f>'[3]Monthly Gallon Summary'!V25/1000000</f>
        <v>118.27757384951545</v>
      </c>
      <c r="AF31" s="124">
        <f>'[3]Monthly Gallon Summary'!W25/1000000</f>
        <v>117.50734935108257</v>
      </c>
      <c r="AG31" s="124">
        <f>'[3]Monthly Gallon Summary'!X25/1000000</f>
        <v>124.41077471316451</v>
      </c>
      <c r="AH31" s="124">
        <f>'[3]Monthly Gallon Summary'!Y25/1000000</f>
        <v>116.91312398936599</v>
      </c>
      <c r="AI31" s="124">
        <f>'[3]Monthly Gallon Summary'!Z25/1000000</f>
        <v>114.25142522002986</v>
      </c>
      <c r="AJ31" s="124">
        <f>'[3]Monthly Gallon Summary'!AA25/1000000</f>
        <v>109.71315000842171</v>
      </c>
      <c r="AK31" s="124">
        <f>'[3]Monthly Gallon Summary'!AB25/1000000</f>
        <v>91.955704225734934</v>
      </c>
      <c r="AL31" s="124">
        <f>'[3]Monthly Gallon Summary'!AC25/1000000</f>
        <v>74.676173923987449</v>
      </c>
      <c r="AM31" s="124">
        <f>'[3]Monthly Gallon Summary'!AD25/1000000</f>
        <v>73.302088254906749</v>
      </c>
      <c r="AN31" s="124">
        <f>'[3]Monthly Gallon Summary'!AE25/1000000</f>
        <v>61.034821961538093</v>
      </c>
      <c r="AO31" s="124">
        <f>'[3]Monthly Gallon Summary'!AF25/1000000</f>
        <v>36.821600708692031</v>
      </c>
      <c r="AP31" s="124">
        <f>'[3]Monthly Gallon Summary'!AG25/1000000</f>
        <v>40.726110852190033</v>
      </c>
      <c r="AQ31" s="124">
        <f>'[3]Monthly Gallon Summary'!AH25/1000000</f>
        <v>40.140155453395899</v>
      </c>
      <c r="AR31" s="124">
        <f>'[3]Monthly Gallon Summary'!AI25/1000000</f>
        <v>33.381409638825247</v>
      </c>
      <c r="AS31" s="124">
        <f>'[3]Monthly Gallon Summary'!AJ25/1000000</f>
        <v>33.752769407070602</v>
      </c>
      <c r="AT31" s="124">
        <f>'[3]Monthly Gallon Summary'!AK25/1000000</f>
        <v>33.875153106504776</v>
      </c>
      <c r="AU31" s="124">
        <f>'[3]Monthly Gallon Summary'!AL25/1000000</f>
        <v>33.766684910991088</v>
      </c>
      <c r="AV31" s="124">
        <f>'[3]Monthly Gallon Summary'!AM25/1000000</f>
        <v>33.759897603563338</v>
      </c>
      <c r="AW31" s="124">
        <f>'[3]Monthly Gallon Summary'!AN25/1000000</f>
        <v>34.347972961582009</v>
      </c>
      <c r="AX31" s="124">
        <f>'[3]Monthly Gallon Summary'!AO25/1000000</f>
        <v>34.963170482454458</v>
      </c>
      <c r="AY31" s="124">
        <f>'[3]Monthly Gallon Summary'!AP25/1000000</f>
        <v>35.711576723966395</v>
      </c>
    </row>
    <row r="32" spans="1:51" s="93" customFormat="1" x14ac:dyDescent="0.2">
      <c r="A32" s="93" t="s">
        <v>169</v>
      </c>
      <c r="B32" s="123">
        <f>'Monthly Data'!F346</f>
        <v>0.72799999999999998</v>
      </c>
      <c r="C32" s="123">
        <f>'Monthly Data'!F358</f>
        <v>0.89</v>
      </c>
      <c r="D32" s="123">
        <f>'Monthly Data'!F370</f>
        <v>1.2070000000000001</v>
      </c>
      <c r="E32" s="123">
        <f>'Monthly Data'!F382</f>
        <v>2.37</v>
      </c>
      <c r="F32" s="123">
        <f>'Monthly Data'!F394</f>
        <v>7.7110000000000003</v>
      </c>
      <c r="G32" s="123">
        <f>'Monthly Data'!F406</f>
        <v>28.917999999999999</v>
      </c>
      <c r="H32" s="123">
        <f>'Monthly Data'!F418</f>
        <v>54.51</v>
      </c>
      <c r="I32" s="123">
        <f>'Monthly Data'!F430</f>
        <v>68.155000000000001</v>
      </c>
      <c r="J32" s="123">
        <f>'Monthly Data'!F442</f>
        <v>44.996000000000002</v>
      </c>
      <c r="K32" s="123">
        <f>'Monthly Data'!$F454</f>
        <v>27.427</v>
      </c>
      <c r="L32" s="123">
        <f>'[3]Monthly Gallon Summary'!C26/1000000</f>
        <v>100.953452</v>
      </c>
      <c r="M32" s="123">
        <f>'[3]Monthly Gallon Summary'!D26/1000000</f>
        <v>96.353438999999995</v>
      </c>
      <c r="N32" s="123">
        <f>'[3]Monthly Gallon Summary'!E26/1000000</f>
        <v>129.887145</v>
      </c>
      <c r="O32" s="123">
        <f>'[3]Monthly Gallon Summary'!F26/1000000</f>
        <v>127.450802</v>
      </c>
      <c r="P32" s="123">
        <f>'[3]Monthly Gallon Summary'!G26/1000000</f>
        <v>125.61066700000001</v>
      </c>
      <c r="Q32" s="123">
        <f>'[3]Monthly Gallon Summary'!H26/1000000</f>
        <v>161.646399</v>
      </c>
      <c r="R32" s="123">
        <f>'[3]Monthly Gallon Summary'!I26/1000000</f>
        <v>157.53669600000001</v>
      </c>
      <c r="S32" s="123">
        <f>'[3]Monthly Gallon Summary'!J26/1000000</f>
        <v>180.63129699999999</v>
      </c>
      <c r="T32" s="123">
        <f>'[3]Monthly Gallon Summary'!K26/1000000</f>
        <v>153.59869699999999</v>
      </c>
      <c r="U32" s="123">
        <f>'[3]Monthly Gallon Summary'!L26/1000000</f>
        <v>171.49349900000001</v>
      </c>
      <c r="V32" s="123">
        <f>'[3]Monthly Gallon Summary'!M26/1000000</f>
        <v>154.582245</v>
      </c>
      <c r="W32" s="123">
        <f>'[3]Monthly Gallon Summary'!N26/1000000</f>
        <v>151.83311800000001</v>
      </c>
      <c r="X32" s="123">
        <f>'[3]Monthly Gallon Summary'!O26/1000000</f>
        <v>152.399674</v>
      </c>
      <c r="Y32" s="123">
        <f>'[3]Monthly Gallon Summary'!P26/1000000</f>
        <v>138.60076799999999</v>
      </c>
      <c r="Z32" s="124">
        <f>'[3]Monthly Gallon Summary'!Q26/1000000</f>
        <v>143.75208298970304</v>
      </c>
      <c r="AA32" s="124">
        <f>'[3]Monthly Gallon Summary'!R26/1000000</f>
        <v>131.47590829297098</v>
      </c>
      <c r="AB32" s="124">
        <f>'[3]Monthly Gallon Summary'!S26/1000000</f>
        <v>132.11022097514308</v>
      </c>
      <c r="AC32" s="124">
        <f>'[3]Monthly Gallon Summary'!T26/1000000</f>
        <v>104.38894090277211</v>
      </c>
      <c r="AD32" s="124">
        <f>'[3]Monthly Gallon Summary'!U26/1000000</f>
        <v>119.60491214286449</v>
      </c>
      <c r="AE32" s="124">
        <f>'[3]Monthly Gallon Summary'!V26/1000000</f>
        <v>122.72177214856309</v>
      </c>
      <c r="AF32" s="124">
        <f>'[3]Monthly Gallon Summary'!W26/1000000</f>
        <v>121.69132380987105</v>
      </c>
      <c r="AG32" s="124">
        <f>'[3]Monthly Gallon Summary'!X26/1000000</f>
        <v>128.60759397721606</v>
      </c>
      <c r="AH32" s="124">
        <f>'[3]Monthly Gallon Summary'!Y26/1000000</f>
        <v>120.6319640264517</v>
      </c>
      <c r="AI32" s="124">
        <f>'[3]Monthly Gallon Summary'!Z26/1000000</f>
        <v>117.91826370912712</v>
      </c>
      <c r="AJ32" s="124">
        <f>'[3]Monthly Gallon Summary'!AA26/1000000</f>
        <v>113.46237729517195</v>
      </c>
      <c r="AK32" s="124">
        <f>'[3]Monthly Gallon Summary'!AB26/1000000</f>
        <v>95.034666632337192</v>
      </c>
      <c r="AL32" s="124">
        <f>'[3]Monthly Gallon Summary'!AC26/1000000</f>
        <v>77.143115833632677</v>
      </c>
      <c r="AM32" s="124">
        <f>'[3]Monthly Gallon Summary'!AD26/1000000</f>
        <v>75.711171137630075</v>
      </c>
      <c r="AN32" s="124">
        <f>'[3]Monthly Gallon Summary'!AE26/1000000</f>
        <v>63.05674179322115</v>
      </c>
      <c r="AO32" s="124">
        <f>'[3]Monthly Gallon Summary'!AF26/1000000</f>
        <v>38.051462875882628</v>
      </c>
      <c r="AP32" s="124">
        <f>'[3]Monthly Gallon Summary'!AG26/1000000</f>
        <v>42.076809084460407</v>
      </c>
      <c r="AQ32" s="124">
        <f>'[3]Monthly Gallon Summary'!AH26/1000000</f>
        <v>41.467524428641973</v>
      </c>
      <c r="AR32" s="124">
        <f>'[3]Monthly Gallon Summary'!AI26/1000000</f>
        <v>34.485499880381511</v>
      </c>
      <c r="AS32" s="124">
        <f>'[3]Monthly Gallon Summary'!AJ26/1000000</f>
        <v>34.871762705735399</v>
      </c>
      <c r="AT32" s="124">
        <f>'[3]Monthly Gallon Summary'!AK26/1000000</f>
        <v>34.998692538332854</v>
      </c>
      <c r="AU32" s="124">
        <f>'[3]Monthly Gallon Summary'!AL26/1000000</f>
        <v>34.885090858536358</v>
      </c>
      <c r="AV32" s="124">
        <f>'[3]Monthly Gallon Summary'!AM26/1000000</f>
        <v>34.877826004123357</v>
      </c>
      <c r="AW32" s="124">
        <f>'[3]Monthly Gallon Summary'!AN26/1000000</f>
        <v>35.485784261556915</v>
      </c>
      <c r="AX32" s="124">
        <f>'[3]Monthly Gallon Summary'!AO26/1000000</f>
        <v>36.121693268018838</v>
      </c>
      <c r="AY32" s="124">
        <f>'[3]Monthly Gallon Summary'!AP26/1000000</f>
        <v>36.894795723247441</v>
      </c>
    </row>
    <row r="33" spans="1:51" s="93" customFormat="1" x14ac:dyDescent="0.2">
      <c r="A33" s="93" t="s">
        <v>170</v>
      </c>
      <c r="B33" s="123">
        <f>'Monthly Data'!F347</f>
        <v>0.70499999999999996</v>
      </c>
      <c r="C33" s="123">
        <f>'Monthly Data'!F359</f>
        <v>0.86199999999999999</v>
      </c>
      <c r="D33" s="123">
        <f>'Monthly Data'!F371</f>
        <v>1.1679999999999999</v>
      </c>
      <c r="E33" s="123">
        <f>'Monthly Data'!F383</f>
        <v>2.294</v>
      </c>
      <c r="F33" s="123">
        <f>'Monthly Data'!F395</f>
        <v>7.4619999999999997</v>
      </c>
      <c r="G33" s="123">
        <f>'Monthly Data'!F407</f>
        <v>25.131</v>
      </c>
      <c r="H33" s="123">
        <f>'Monthly Data'!F419</f>
        <v>51.393999999999998</v>
      </c>
      <c r="I33" s="123">
        <f>'Monthly Data'!F431</f>
        <v>63.024000000000001</v>
      </c>
      <c r="J33" s="123">
        <f>'Monthly Data'!F443</f>
        <v>48.716999999999999</v>
      </c>
      <c r="K33" s="123">
        <f>'Monthly Data'!$F455</f>
        <v>30.356999999999999</v>
      </c>
      <c r="L33" s="123">
        <f>'[3]Monthly Gallon Summary'!C27/1000000</f>
        <v>114.227507</v>
      </c>
      <c r="M33" s="123">
        <f>'[3]Monthly Gallon Summary'!D27/1000000</f>
        <v>81.339106000000001</v>
      </c>
      <c r="N33" s="123">
        <f>'[3]Monthly Gallon Summary'!E27/1000000</f>
        <v>127.648582</v>
      </c>
      <c r="O33" s="123">
        <f>'[3]Monthly Gallon Summary'!F27/1000000</f>
        <v>124.53519</v>
      </c>
      <c r="P33" s="123">
        <f>'[3]Monthly Gallon Summary'!G27/1000000</f>
        <v>117.82915800000001</v>
      </c>
      <c r="Q33" s="123">
        <f>'[3]Monthly Gallon Summary'!H27/1000000</f>
        <v>146.66405499999999</v>
      </c>
      <c r="R33" s="123">
        <f>'[3]Monthly Gallon Summary'!I27/1000000</f>
        <v>148.333215</v>
      </c>
      <c r="S33" s="123">
        <f>'[3]Monthly Gallon Summary'!J27/1000000</f>
        <v>157.00635600000001</v>
      </c>
      <c r="T33" s="123">
        <f>'[3]Monthly Gallon Summary'!K27/1000000</f>
        <v>143.65981099999999</v>
      </c>
      <c r="U33" s="123">
        <f>'[3]Monthly Gallon Summary'!L27/1000000</f>
        <v>167.865219</v>
      </c>
      <c r="V33" s="123">
        <f>'[3]Monthly Gallon Summary'!M27/1000000</f>
        <v>139.934774</v>
      </c>
      <c r="W33" s="123">
        <f>'[3]Monthly Gallon Summary'!N27/1000000</f>
        <v>141.86094499999999</v>
      </c>
      <c r="X33" s="123">
        <f>'[3]Monthly Gallon Summary'!O27/1000000</f>
        <v>144.88663500000001</v>
      </c>
      <c r="Y33" s="123">
        <f>'[3]Monthly Gallon Summary'!P27/1000000</f>
        <v>132.467476</v>
      </c>
      <c r="Z33" s="124">
        <f>'[3]Monthly Gallon Summary'!Q27/1000000</f>
        <v>135.73974892643582</v>
      </c>
      <c r="AA33" s="124">
        <f>'[3]Monthly Gallon Summary'!R27/1000000</f>
        <v>123.09904401997576</v>
      </c>
      <c r="AB33" s="124">
        <f>'[3]Monthly Gallon Summary'!S27/1000000</f>
        <v>124.57287540011436</v>
      </c>
      <c r="AC33" s="124">
        <f>'[3]Monthly Gallon Summary'!T27/1000000</f>
        <v>98.628047359791367</v>
      </c>
      <c r="AD33" s="124">
        <f>'[3]Monthly Gallon Summary'!U27/1000000</f>
        <v>113.01766914022888</v>
      </c>
      <c r="AE33" s="124">
        <f>'[3]Monthly Gallon Summary'!V27/1000000</f>
        <v>115.67009434432832</v>
      </c>
      <c r="AF33" s="124">
        <f>'[3]Monthly Gallon Summary'!W27/1000000</f>
        <v>114.64963328719929</v>
      </c>
      <c r="AG33" s="124">
        <f>'[3]Monthly Gallon Summary'!X27/1000000</f>
        <v>121.33021216149899</v>
      </c>
      <c r="AH33" s="124">
        <f>'[3]Monthly Gallon Summary'!Y27/1000000</f>
        <v>113.81828734066346</v>
      </c>
      <c r="AI33" s="124">
        <f>'[3]Monthly Gallon Summary'!Z27/1000000</f>
        <v>111.23175862128012</v>
      </c>
      <c r="AJ33" s="124">
        <f>'[3]Monthly Gallon Summary'!AA27/1000000</f>
        <v>106.99232087279445</v>
      </c>
      <c r="AK33" s="124">
        <f>'[3]Monthly Gallon Summary'!AB27/1000000</f>
        <v>89.623621266138628</v>
      </c>
      <c r="AL33" s="124">
        <f>'[3]Monthly Gallon Summary'!AC27/1000000</f>
        <v>72.765236805982838</v>
      </c>
      <c r="AM33" s="124">
        <f>'[3]Monthly Gallon Summary'!AD27/1000000</f>
        <v>71.411522756728317</v>
      </c>
      <c r="AN33" s="124">
        <f>'[3]Monthly Gallon Summary'!AE27/1000000</f>
        <v>59.470379481899116</v>
      </c>
      <c r="AO33" s="124">
        <f>'[3]Monthly Gallon Summary'!AF27/1000000</f>
        <v>35.884399764903748</v>
      </c>
      <c r="AP33" s="124">
        <f>'[3]Monthly Gallon Summary'!AG27/1000000</f>
        <v>39.682827098170897</v>
      </c>
      <c r="AQ33" s="124">
        <f>'[3]Monthly Gallon Summary'!AH27/1000000</f>
        <v>39.109295640294704</v>
      </c>
      <c r="AR33" s="124">
        <f>'[3]Monthly Gallon Summary'!AI27/1000000</f>
        <v>32.522701503456489</v>
      </c>
      <c r="AS33" s="124">
        <f>'[3]Monthly Gallon Summary'!AJ27/1000000</f>
        <v>32.886360264410747</v>
      </c>
      <c r="AT33" s="124">
        <f>'[3]Monthly Gallon Summary'!AK27/1000000</f>
        <v>33.006169618444879</v>
      </c>
      <c r="AU33" s="124">
        <f>'[3]Monthly Gallon Summary'!AL27/1000000</f>
        <v>32.899363618523417</v>
      </c>
      <c r="AV33" s="124">
        <f>'[3]Monthly Gallon Summary'!AM27/1000000</f>
        <v>32.892660596924593</v>
      </c>
      <c r="AW33" s="124">
        <f>'[3]Monthly Gallon Summary'!AN27/1000000</f>
        <v>33.465748392685732</v>
      </c>
      <c r="AX33" s="124">
        <f>'[3]Monthly Gallon Summary'!AO27/1000000</f>
        <v>34.065324606918729</v>
      </c>
      <c r="AY33" s="124">
        <f>'[3]Monthly Gallon Summary'!AP27/1000000</f>
        <v>34.794525866983548</v>
      </c>
    </row>
    <row r="34" spans="1:51" s="93" customFormat="1" x14ac:dyDescent="0.2">
      <c r="A34" s="93" t="s">
        <v>171</v>
      </c>
      <c r="B34" s="123">
        <f>'Monthly Data'!F348</f>
        <v>0.72799999999999998</v>
      </c>
      <c r="C34" s="123">
        <f>'Monthly Data'!F360</f>
        <v>0.89</v>
      </c>
      <c r="D34" s="123">
        <f>'Monthly Data'!F372</f>
        <v>1.2070000000000001</v>
      </c>
      <c r="E34" s="123">
        <f>'Monthly Data'!F384</f>
        <v>2.37</v>
      </c>
      <c r="F34" s="123">
        <f>'Monthly Data'!F396</f>
        <v>7.7110000000000003</v>
      </c>
      <c r="G34" s="123">
        <f>'Monthly Data'!F408</f>
        <v>23.036999999999999</v>
      </c>
      <c r="H34" s="123">
        <f>'Monthly Data'!F420</f>
        <v>49.887999999999998</v>
      </c>
      <c r="I34" s="123">
        <f>'Monthly Data'!F432</f>
        <v>61.515000000000001</v>
      </c>
      <c r="J34" s="123">
        <f>'Monthly Data'!F444</f>
        <v>57.444000000000003</v>
      </c>
      <c r="K34" s="123">
        <f>'Monthly Data'!$F456</f>
        <v>28.404</v>
      </c>
      <c r="L34" s="123">
        <f>'[3]Monthly Gallon Summary'!C28/1000000</f>
        <v>113.67755</v>
      </c>
      <c r="M34" s="123">
        <f>'[3]Monthly Gallon Summary'!D28/1000000</f>
        <v>80.712244999999996</v>
      </c>
      <c r="N34" s="123">
        <f>'[3]Monthly Gallon Summary'!E28/1000000</f>
        <v>131.44184799999999</v>
      </c>
      <c r="O34" s="123">
        <f>'[3]Monthly Gallon Summary'!F28/1000000</f>
        <v>121.338129</v>
      </c>
      <c r="P34" s="123">
        <f>'[3]Monthly Gallon Summary'!G28/1000000</f>
        <v>105.030916</v>
      </c>
      <c r="Q34" s="123">
        <f>'[3]Monthly Gallon Summary'!H28/1000000</f>
        <v>143.08536799999999</v>
      </c>
      <c r="R34" s="123">
        <f>'[3]Monthly Gallon Summary'!I28/1000000</f>
        <v>149.34791799999999</v>
      </c>
      <c r="S34" s="123">
        <f>'[3]Monthly Gallon Summary'!J28/1000000</f>
        <v>171.276906</v>
      </c>
      <c r="T34" s="123">
        <f>'[3]Monthly Gallon Summary'!K28/1000000</f>
        <v>146.61836</v>
      </c>
      <c r="U34" s="123">
        <f>'[3]Monthly Gallon Summary'!L28/1000000</f>
        <v>149.48975999999999</v>
      </c>
      <c r="V34" s="123">
        <f>'[3]Monthly Gallon Summary'!M28/1000000</f>
        <v>139.77887799999999</v>
      </c>
      <c r="W34" s="123">
        <f>'[3]Monthly Gallon Summary'!N28/1000000</f>
        <v>138.04023000000001</v>
      </c>
      <c r="X34" s="123">
        <f>'[3]Monthly Gallon Summary'!O28/1000000</f>
        <v>144.78652500000001</v>
      </c>
      <c r="Y34" s="123">
        <f>'[3]Monthly Gallon Summary'!P28/1000000</f>
        <v>147.634604</v>
      </c>
      <c r="Z34" s="124">
        <f>'[3]Monthly Gallon Summary'!Q28/1000000</f>
        <v>134.44971249941986</v>
      </c>
      <c r="AA34" s="124">
        <f>'[3]Monthly Gallon Summary'!R28/1000000</f>
        <v>124.89567774049517</v>
      </c>
      <c r="AB34" s="124">
        <f>'[3]Monthly Gallon Summary'!S28/1000000</f>
        <v>126.79441422090545</v>
      </c>
      <c r="AC34" s="124">
        <f>'[3]Monthly Gallon Summary'!T28/1000000</f>
        <v>101.33016527627791</v>
      </c>
      <c r="AD34" s="124">
        <f>'[3]Monthly Gallon Summary'!U28/1000000</f>
        <v>116.80982376312448</v>
      </c>
      <c r="AE34" s="124">
        <f>'[3]Monthly Gallon Summary'!V28/1000000</f>
        <v>117.45510854819993</v>
      </c>
      <c r="AF34" s="124">
        <f>'[3]Monthly Gallon Summary'!W28/1000000</f>
        <v>117.09529115289834</v>
      </c>
      <c r="AG34" s="124">
        <f>'[3]Monthly Gallon Summary'!X28/1000000</f>
        <v>124.09622652302906</v>
      </c>
      <c r="AH34" s="124">
        <f>'[3]Monthly Gallon Summary'!Y28/1000000</f>
        <v>116.53679255036796</v>
      </c>
      <c r="AI34" s="124">
        <f>'[3]Monthly Gallon Summary'!Z28/1000000</f>
        <v>113.81999863931493</v>
      </c>
      <c r="AJ34" s="124">
        <f>'[3]Monthly Gallon Summary'!AA28/1000000</f>
        <v>109.26448576943095</v>
      </c>
      <c r="AK34" s="124">
        <f>'[3]Monthly Gallon Summary'!AB28/1000000</f>
        <v>91.628278048741819</v>
      </c>
      <c r="AL34" s="124">
        <f>'[3]Monthly Gallon Summary'!AC28/1000000</f>
        <v>74.398617004710644</v>
      </c>
      <c r="AM34" s="124">
        <f>'[3]Monthly Gallon Summary'!AD28/1000000</f>
        <v>73.008361632279659</v>
      </c>
      <c r="AN34" s="124">
        <f>'[3]Monthly Gallon Summary'!AE28/1000000</f>
        <v>60.768658407289259</v>
      </c>
      <c r="AO34" s="124">
        <f>'[3]Monthly Gallon Summary'!AF28/1000000</f>
        <v>36.634810127377889</v>
      </c>
      <c r="AP34" s="124">
        <f>'[3]Monthly Gallon Summary'!AG28/1000000</f>
        <v>40.531580883837222</v>
      </c>
      <c r="AQ34" s="124">
        <f>'[3]Monthly Gallon Summary'!AH28/1000000</f>
        <v>39.942714021808484</v>
      </c>
      <c r="AR34" s="124">
        <f>'[3]Monthly Gallon Summary'!AI28/1000000</f>
        <v>33.197674960756878</v>
      </c>
      <c r="AS34" s="124">
        <f>'[3]Monthly Gallon Summary'!AJ28/1000000</f>
        <v>33.565748809970579</v>
      </c>
      <c r="AT34" s="124">
        <f>'[3]Monthly Gallon Summary'!AK28/1000000</f>
        <v>33.688647718583333</v>
      </c>
      <c r="AU34" s="124">
        <f>'[3]Monthly Gallon Summary'!AL28/1000000</f>
        <v>33.581312243334757</v>
      </c>
      <c r="AV34" s="124">
        <f>'[3]Monthly Gallon Summary'!AM28/1000000</f>
        <v>33.575537819567167</v>
      </c>
      <c r="AW34" s="124">
        <f>'[3]Monthly Gallon Summary'!AN28/1000000</f>
        <v>34.158540693213808</v>
      </c>
      <c r="AX34" s="124">
        <f>'[3]Monthly Gallon Summary'!AO28/1000000</f>
        <v>34.768953886756165</v>
      </c>
      <c r="AY34" s="124">
        <f>'[3]Monthly Gallon Summary'!AP28/1000000</f>
        <v>35.514388430512568</v>
      </c>
    </row>
    <row r="35" spans="1:51" s="93" customFormat="1" x14ac:dyDescent="0.2">
      <c r="A35" s="93" t="s">
        <v>172</v>
      </c>
      <c r="B35" s="123">
        <f>'Monthly Data'!F349</f>
        <v>0.70499999999999996</v>
      </c>
      <c r="C35" s="123">
        <f>'Monthly Data'!F361</f>
        <v>0.86199999999999999</v>
      </c>
      <c r="D35" s="123">
        <f>'Monthly Data'!F373</f>
        <v>1.1679999999999999</v>
      </c>
      <c r="E35" s="123">
        <f>'Monthly Data'!F385</f>
        <v>2.294</v>
      </c>
      <c r="F35" s="123">
        <f>'Monthly Data'!F397</f>
        <v>7.4619999999999997</v>
      </c>
      <c r="G35" s="123">
        <f>'Monthly Data'!F409</f>
        <v>21.858000000000001</v>
      </c>
      <c r="H35" s="123">
        <f>'Monthly Data'!F421</f>
        <v>41.701000000000001</v>
      </c>
      <c r="I35" s="123">
        <f>'Monthly Data'!F433</f>
        <v>60.395000000000003</v>
      </c>
      <c r="J35" s="123">
        <f>'Monthly Data'!F445</f>
        <v>63.682000000000002</v>
      </c>
      <c r="K35" s="123">
        <f>'Monthly Data'!$F457</f>
        <v>22.167999999999999</v>
      </c>
      <c r="L35" s="123">
        <f>'[3]Monthly Gallon Summary'!C29/1000000</f>
        <v>105.78351000000001</v>
      </c>
      <c r="M35" s="123">
        <f>'[3]Monthly Gallon Summary'!D29/1000000</f>
        <v>68.025279999999995</v>
      </c>
      <c r="N35" s="123">
        <f>'[3]Monthly Gallon Summary'!E29/1000000</f>
        <v>111.90079299999999</v>
      </c>
      <c r="O35" s="123">
        <f>'[3]Monthly Gallon Summary'!F29/1000000</f>
        <v>97.343855000000005</v>
      </c>
      <c r="P35" s="123">
        <f>'[3]Monthly Gallon Summary'!G29/1000000</f>
        <v>96.476718000000005</v>
      </c>
      <c r="Q35" s="123">
        <f>'[3]Monthly Gallon Summary'!H29/1000000</f>
        <v>139.70768699999999</v>
      </c>
      <c r="R35" s="123">
        <f>'[3]Monthly Gallon Summary'!I29/1000000</f>
        <v>147.82994500000001</v>
      </c>
      <c r="S35" s="123">
        <f>'[3]Monthly Gallon Summary'!J29/1000000</f>
        <v>150.78054</v>
      </c>
      <c r="T35" s="123">
        <f>'[3]Monthly Gallon Summary'!K29/1000000</f>
        <v>119.139678</v>
      </c>
      <c r="U35" s="123">
        <f>'[3]Monthly Gallon Summary'!L29/1000000</f>
        <v>142.82851700000001</v>
      </c>
      <c r="V35" s="123">
        <f>'[3]Monthly Gallon Summary'!M29/1000000</f>
        <v>140.856752</v>
      </c>
      <c r="W35" s="123">
        <f>'[3]Monthly Gallon Summary'!N29/1000000</f>
        <v>141.29557600000001</v>
      </c>
      <c r="X35" s="123">
        <f>'[3]Monthly Gallon Summary'!O29/1000000</f>
        <v>136.02101999999999</v>
      </c>
      <c r="Y35" s="123">
        <f>'[3]Monthly Gallon Summary'!P29/1000000</f>
        <v>133.18980199999999</v>
      </c>
      <c r="Z35" s="124">
        <f>'[3]Monthly Gallon Summary'!Q29/1000000</f>
        <v>129.61467822144294</v>
      </c>
      <c r="AA35" s="124">
        <f>'[3]Monthly Gallon Summary'!R29/1000000</f>
        <v>120.63085393563155</v>
      </c>
      <c r="AB35" s="124">
        <f>'[3]Monthly Gallon Summary'!S29/1000000</f>
        <v>121.39190359820768</v>
      </c>
      <c r="AC35" s="124">
        <f>'[3]Monthly Gallon Summary'!T29/1000000</f>
        <v>95.651513565506818</v>
      </c>
      <c r="AD35" s="124">
        <f>'[3]Monthly Gallon Summary'!U29/1000000</f>
        <v>110.44501974230791</v>
      </c>
      <c r="AE35" s="124">
        <f>'[3]Monthly Gallon Summary'!V29/1000000</f>
        <v>112.2935020543384</v>
      </c>
      <c r="AF35" s="124">
        <f>'[3]Monthly Gallon Summary'!W29/1000000</f>
        <v>111.7362632720652</v>
      </c>
      <c r="AG35" s="124">
        <f>'[3]Monthly Gallon Summary'!X29/1000000</f>
        <v>118.10642576109532</v>
      </c>
      <c r="AH35" s="124">
        <f>'[3]Monthly Gallon Summary'!Y29/1000000</f>
        <v>110.76695187518163</v>
      </c>
      <c r="AI35" s="124">
        <f>'[3]Monthly Gallon Summary'!Z29/1000000</f>
        <v>108.31151502438718</v>
      </c>
      <c r="AJ35" s="124">
        <f>'[3]Monthly Gallon Summary'!AA29/1000000</f>
        <v>104.10797244294466</v>
      </c>
      <c r="AK35" s="124">
        <f>'[3]Monthly Gallon Summary'!AB29/1000000</f>
        <v>87.243459486070478</v>
      </c>
      <c r="AL35" s="124">
        <f>'[3]Monthly Gallon Summary'!AC29/1000000</f>
        <v>70.804481280589854</v>
      </c>
      <c r="AM35" s="124">
        <f>'[3]Monthly Gallon Summary'!AD29/1000000</f>
        <v>69.480637128251175</v>
      </c>
      <c r="AN35" s="124">
        <f>'[3]Monthly Gallon Summary'!AE29/1000000</f>
        <v>57.849376496037237</v>
      </c>
      <c r="AO35" s="124">
        <f>'[3]Monthly Gallon Summary'!AF29/1000000</f>
        <v>34.876109645105586</v>
      </c>
      <c r="AP35" s="124">
        <f>'[3]Monthly Gallon Summary'!AG29/1000000</f>
        <v>38.578193835964008</v>
      </c>
      <c r="AQ35" s="124">
        <f>'[3]Monthly Gallon Summary'!AH29/1000000</f>
        <v>38.014510466681941</v>
      </c>
      <c r="AR35" s="124">
        <f>'[3]Monthly Gallon Summary'!AI29/1000000</f>
        <v>31.594534541580728</v>
      </c>
      <c r="AS35" s="124">
        <f>'[3]Monthly Gallon Summary'!AJ29/1000000</f>
        <v>31.946974386598431</v>
      </c>
      <c r="AT35" s="124">
        <f>'[3]Monthly Gallon Summary'!AK29/1000000</f>
        <v>32.063511185896715</v>
      </c>
      <c r="AU35" s="124">
        <f>'[3]Monthly Gallon Summary'!AL29/1000000</f>
        <v>31.96017118409096</v>
      </c>
      <c r="AV35" s="124">
        <f>'[3]Monthly Gallon Summary'!AM29/1000000</f>
        <v>31.954790816344946</v>
      </c>
      <c r="AW35" s="124">
        <f>'[3]Monthly Gallon Summary'!AN29/1000000</f>
        <v>32.509964415392069</v>
      </c>
      <c r="AX35" s="124">
        <f>'[3]Monthly Gallon Summary'!AO29/1000000</f>
        <v>33.090960839761159</v>
      </c>
      <c r="AY35" s="124">
        <f>'[3]Monthly Gallon Summary'!AP29/1000000</f>
        <v>33.800325727959844</v>
      </c>
    </row>
    <row r="36" spans="1:51" s="93" customFormat="1" x14ac:dyDescent="0.2">
      <c r="A36" s="93" t="s">
        <v>173</v>
      </c>
      <c r="B36" s="123">
        <f>'Monthly Data'!F350</f>
        <v>0.72799999999999998</v>
      </c>
      <c r="C36" s="123">
        <f>'Monthly Data'!F362</f>
        <v>0.89</v>
      </c>
      <c r="D36" s="123">
        <f>'Monthly Data'!F374</f>
        <v>1.2070000000000001</v>
      </c>
      <c r="E36" s="123">
        <f>'Monthly Data'!F386</f>
        <v>2.37</v>
      </c>
      <c r="F36" s="123">
        <f>'Monthly Data'!F398</f>
        <v>7.7110000000000003</v>
      </c>
      <c r="G36" s="123">
        <f>'Monthly Data'!F410</f>
        <v>24.785</v>
      </c>
      <c r="H36" s="123">
        <f>'Monthly Data'!F422</f>
        <v>43.084000000000003</v>
      </c>
      <c r="I36" s="123">
        <f>'Monthly Data'!F434</f>
        <v>44.167999999999999</v>
      </c>
      <c r="J36" s="123">
        <f>'Monthly Data'!F446</f>
        <v>61.442999999999998</v>
      </c>
      <c r="K36" s="123">
        <f>'Monthly Data'!$F458</f>
        <v>24.695</v>
      </c>
      <c r="L36" s="123">
        <f>'[3]Monthly Gallon Summary'!C30/1000000</f>
        <v>150.74354500000001</v>
      </c>
      <c r="M36" s="123">
        <f>'[3]Monthly Gallon Summary'!D30/1000000</f>
        <v>58.227854000000001</v>
      </c>
      <c r="N36" s="123">
        <f>'[3]Monthly Gallon Summary'!E30/1000000</f>
        <v>160.946844</v>
      </c>
      <c r="O36" s="123">
        <f>'[3]Monthly Gallon Summary'!F30/1000000</f>
        <v>163.49668500000001</v>
      </c>
      <c r="P36" s="123">
        <f>'[3]Monthly Gallon Summary'!G30/1000000</f>
        <v>110.100066</v>
      </c>
      <c r="Q36" s="123">
        <f>'[3]Monthly Gallon Summary'!H30/1000000</f>
        <v>187.16324900000001</v>
      </c>
      <c r="R36" s="123">
        <f>'[3]Monthly Gallon Summary'!I30/1000000</f>
        <v>162.59516300000001</v>
      </c>
      <c r="S36" s="123">
        <f>'[3]Monthly Gallon Summary'!J30/1000000</f>
        <v>183.32937699999999</v>
      </c>
      <c r="T36" s="123">
        <f>'[3]Monthly Gallon Summary'!K30/1000000</f>
        <v>139.60158100000001</v>
      </c>
      <c r="U36" s="123">
        <f>'[3]Monthly Gallon Summary'!L30/1000000</f>
        <v>175.88122100000001</v>
      </c>
      <c r="V36" s="123">
        <f>'[3]Monthly Gallon Summary'!M30/1000000</f>
        <v>165.70823999999999</v>
      </c>
      <c r="W36" s="123">
        <f>'[3]Monthly Gallon Summary'!N30/1000000</f>
        <v>145.59140099999999</v>
      </c>
      <c r="X36" s="123">
        <f>'[3]Monthly Gallon Summary'!O30/1000000</f>
        <v>135.84669700000001</v>
      </c>
      <c r="Y36" s="123">
        <f>'[3]Monthly Gallon Summary'!P30/1000000</f>
        <v>174.87033299999999</v>
      </c>
      <c r="Z36" s="124">
        <f>'[3]Monthly Gallon Summary'!Q30/1000000</f>
        <v>259.14203704696234</v>
      </c>
      <c r="AA36" s="124">
        <f>'[3]Monthly Gallon Summary'!R30/1000000</f>
        <v>137.67994775373728</v>
      </c>
      <c r="AB36" s="124">
        <f>'[3]Monthly Gallon Summary'!S30/1000000</f>
        <v>156.6868025430542</v>
      </c>
      <c r="AC36" s="124">
        <f>'[3]Monthly Gallon Summary'!T30/1000000</f>
        <v>128.93158874783975</v>
      </c>
      <c r="AD36" s="124">
        <f>'[3]Monthly Gallon Summary'!U30/1000000</f>
        <v>157.41306475928371</v>
      </c>
      <c r="AE36" s="124">
        <f>'[3]Monthly Gallon Summary'!V30/1000000</f>
        <v>162.99412846223143</v>
      </c>
      <c r="AF36" s="124">
        <f>'[3]Monthly Gallon Summary'!W30/1000000</f>
        <v>148.25616093157899</v>
      </c>
      <c r="AG36" s="124">
        <f>'[3]Monthly Gallon Summary'!X30/1000000</f>
        <v>161.49726514174827</v>
      </c>
      <c r="AH36" s="124">
        <f>'[3]Monthly Gallon Summary'!Y30/1000000</f>
        <v>133.33380991945589</v>
      </c>
      <c r="AI36" s="124">
        <f>'[3]Monthly Gallon Summary'!Z30/1000000</f>
        <v>139.75351409198944</v>
      </c>
      <c r="AJ36" s="124">
        <f>'[3]Monthly Gallon Summary'!AA30/1000000</f>
        <v>132.31404278848527</v>
      </c>
      <c r="AK36" s="124">
        <f>'[3]Monthly Gallon Summary'!AB30/1000000</f>
        <v>112.77613418250846</v>
      </c>
      <c r="AL36" s="124">
        <f>'[3]Monthly Gallon Summary'!AC30/1000000</f>
        <v>90.98503209923085</v>
      </c>
      <c r="AM36" s="124">
        <f>'[3]Monthly Gallon Summary'!AD30/1000000</f>
        <v>87.887990178734228</v>
      </c>
      <c r="AN36" s="124">
        <f>'[3]Monthly Gallon Summary'!AE30/1000000</f>
        <v>74.033525979352916</v>
      </c>
      <c r="AO36" s="124">
        <f>'[3]Monthly Gallon Summary'!AF30/1000000</f>
        <v>44.475946083278266</v>
      </c>
      <c r="AP36" s="124">
        <f>'[3]Monthly Gallon Summary'!AG30/1000000</f>
        <v>49.319470208712247</v>
      </c>
      <c r="AQ36" s="124">
        <f>'[3]Monthly Gallon Summary'!AH30/1000000</f>
        <v>48.454651010795352</v>
      </c>
      <c r="AR36" s="124">
        <f>'[3]Monthly Gallon Summary'!AI30/1000000</f>
        <v>40.154375078910661</v>
      </c>
      <c r="AS36" s="124">
        <f>'[3]Monthly Gallon Summary'!AJ30/1000000</f>
        <v>40.711139313525095</v>
      </c>
      <c r="AT36" s="124">
        <f>'[3]Monthly Gallon Summary'!AK30/1000000</f>
        <v>40.84229509066973</v>
      </c>
      <c r="AU36" s="124">
        <f>'[3]Monthly Gallon Summary'!AL30/1000000</f>
        <v>40.710885154861344</v>
      </c>
      <c r="AV36" s="124">
        <f>'[3]Monthly Gallon Summary'!AM30/1000000</f>
        <v>40.68783750047286</v>
      </c>
      <c r="AW36" s="124">
        <f>'[3]Monthly Gallon Summary'!AN30/1000000</f>
        <v>41.391441200926238</v>
      </c>
      <c r="AX36" s="124">
        <f>'[3]Monthly Gallon Summary'!AO30/1000000</f>
        <v>42.142271629108535</v>
      </c>
      <c r="AY36" s="124">
        <f>'[3]Monthly Gallon Summary'!AP30/1000000</f>
        <v>43.043835497218531</v>
      </c>
    </row>
    <row r="37" spans="1:51" x14ac:dyDescent="0.2">
      <c r="A37" s="117" t="s">
        <v>174</v>
      </c>
      <c r="B37" s="115">
        <f t="shared" ref="B37:K37" si="17">SUM(B25:B36)</f>
        <v>8.5739999999999998</v>
      </c>
      <c r="C37" s="115">
        <f t="shared" si="17"/>
        <v>10.482000000000001</v>
      </c>
      <c r="D37" s="115">
        <f t="shared" si="17"/>
        <v>14.211000000000002</v>
      </c>
      <c r="E37" s="115">
        <f t="shared" si="17"/>
        <v>27.983000000000004</v>
      </c>
      <c r="F37" s="115">
        <f t="shared" si="17"/>
        <v>90.789000000000001</v>
      </c>
      <c r="G37" s="115">
        <f t="shared" si="17"/>
        <v>250.44000000000003</v>
      </c>
      <c r="H37" s="115">
        <f t="shared" si="17"/>
        <v>489.82600000000002</v>
      </c>
      <c r="I37" s="115">
        <f t="shared" si="17"/>
        <v>678.10699999999997</v>
      </c>
      <c r="J37" s="115">
        <f t="shared" si="17"/>
        <v>515.80700000000002</v>
      </c>
      <c r="K37" s="115">
        <f t="shared" si="17"/>
        <v>343.44400000000002</v>
      </c>
      <c r="L37" s="115">
        <f>SUM(L25:L36)</f>
        <v>1037.0903299999998</v>
      </c>
      <c r="M37" s="115">
        <f t="shared" ref="M37:AY37" si="18">SUM(M25:M36)</f>
        <v>1016.947679</v>
      </c>
      <c r="N37" s="115">
        <f t="shared" si="18"/>
        <v>1384.5936820000002</v>
      </c>
      <c r="O37" s="115">
        <f t="shared" si="18"/>
        <v>1307.213117</v>
      </c>
      <c r="P37" s="115">
        <f t="shared" si="18"/>
        <v>1254.2727239999999</v>
      </c>
      <c r="Q37" s="115">
        <f t="shared" si="18"/>
        <v>1633.1071199999999</v>
      </c>
      <c r="R37" s="115">
        <f t="shared" si="18"/>
        <v>1588.24974</v>
      </c>
      <c r="S37" s="115">
        <f t="shared" si="18"/>
        <v>1855.4527500000002</v>
      </c>
      <c r="T37" s="115">
        <f t="shared" si="18"/>
        <v>1713.7735769999999</v>
      </c>
      <c r="U37" s="115">
        <f t="shared" si="18"/>
        <v>1824.8736379999998</v>
      </c>
      <c r="V37" s="115">
        <f t="shared" si="18"/>
        <v>1704.627334</v>
      </c>
      <c r="W37" s="115">
        <f t="shared" si="18"/>
        <v>1620.2090629999998</v>
      </c>
      <c r="X37" s="115">
        <f t="shared" si="18"/>
        <v>1672.1473329999999</v>
      </c>
      <c r="Y37" s="115">
        <f t="shared" si="18"/>
        <v>1669.706332</v>
      </c>
      <c r="Z37" s="125">
        <f t="shared" si="18"/>
        <v>1585.9544368642269</v>
      </c>
      <c r="AA37" s="125">
        <f t="shared" si="18"/>
        <v>1462.3829839763932</v>
      </c>
      <c r="AB37" s="125">
        <f t="shared" si="18"/>
        <v>1472.147368602645</v>
      </c>
      <c r="AC37" s="125">
        <f t="shared" si="18"/>
        <v>1173.90422482707</v>
      </c>
      <c r="AD37" s="125">
        <f t="shared" si="18"/>
        <v>1353.1677627863223</v>
      </c>
      <c r="AE37" s="125">
        <f t="shared" si="18"/>
        <v>1369.8879691145664</v>
      </c>
      <c r="AF37" s="125">
        <f t="shared" si="18"/>
        <v>1362.1231384461985</v>
      </c>
      <c r="AG37" s="125">
        <f t="shared" si="18"/>
        <v>1441.5231551330751</v>
      </c>
      <c r="AH37" s="125">
        <f t="shared" si="18"/>
        <v>1353.8620186316205</v>
      </c>
      <c r="AI37" s="125">
        <f t="shared" si="18"/>
        <v>1322.9426767177338</v>
      </c>
      <c r="AJ37" s="125">
        <f t="shared" si="18"/>
        <v>1270.8428568893469</v>
      </c>
      <c r="AK37" s="125">
        <f t="shared" si="18"/>
        <v>1065.1456532072314</v>
      </c>
      <c r="AL37" s="125">
        <f t="shared" si="18"/>
        <v>864.78509024673599</v>
      </c>
      <c r="AM37" s="125">
        <f t="shared" si="18"/>
        <v>848.75904143471689</v>
      </c>
      <c r="AN37" s="125">
        <f t="shared" si="18"/>
        <v>706.63493401788946</v>
      </c>
      <c r="AO37" s="125">
        <f t="shared" si="18"/>
        <v>426.14991063890761</v>
      </c>
      <c r="AP37" s="125">
        <f t="shared" si="18"/>
        <v>471.37773683955726</v>
      </c>
      <c r="AQ37" s="125">
        <f t="shared" si="18"/>
        <v>464.54849373609727</v>
      </c>
      <c r="AR37" s="125">
        <f t="shared" si="18"/>
        <v>386.20417591867465</v>
      </c>
      <c r="AS37" s="125">
        <f t="shared" si="18"/>
        <v>390.4998621070128</v>
      </c>
      <c r="AT37" s="125">
        <f t="shared" si="18"/>
        <v>391.92223036751511</v>
      </c>
      <c r="AU37" s="125">
        <f t="shared" si="18"/>
        <v>390.66532852743046</v>
      </c>
      <c r="AV37" s="125">
        <f t="shared" si="18"/>
        <v>390.5937954074584</v>
      </c>
      <c r="AW37" s="125">
        <f t="shared" si="18"/>
        <v>397.38728073279958</v>
      </c>
      <c r="AX37" s="125">
        <f t="shared" si="18"/>
        <v>404.49595843813563</v>
      </c>
      <c r="AY37" s="125">
        <f t="shared" si="18"/>
        <v>413.16160971614966</v>
      </c>
    </row>
    <row r="38" spans="1:51" x14ac:dyDescent="0.2">
      <c r="X38" s="25"/>
    </row>
    <row r="39" spans="1:51" ht="12" thickBot="1" x14ac:dyDescent="0.25">
      <c r="A39" s="121" t="s">
        <v>175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6"/>
      <c r="Y39" s="127"/>
      <c r="Z39" s="127"/>
      <c r="AA39" s="127"/>
      <c r="AB39" s="127"/>
      <c r="AC39" s="127"/>
      <c r="AD39" s="127"/>
      <c r="AE39" s="127"/>
      <c r="AF39" s="127"/>
      <c r="AG39" s="127"/>
      <c r="AH39" s="127"/>
      <c r="AI39" s="127"/>
      <c r="AJ39" s="127"/>
      <c r="AK39" s="127"/>
      <c r="AL39" s="127"/>
      <c r="AM39" s="127"/>
      <c r="AN39" s="127"/>
      <c r="AO39" s="127"/>
      <c r="AP39" s="127"/>
      <c r="AQ39" s="127"/>
      <c r="AR39" s="127"/>
      <c r="AS39" s="127"/>
      <c r="AT39" s="127"/>
      <c r="AU39" s="127"/>
      <c r="AV39" s="127"/>
      <c r="AW39" s="127"/>
      <c r="AX39" s="127"/>
      <c r="AY39" s="127"/>
    </row>
    <row r="40" spans="1:51" ht="12" thickBot="1" x14ac:dyDescent="0.25">
      <c r="A40" s="122"/>
      <c r="B40" s="128">
        <f t="shared" ref="B40:AY40" si="19">B2</f>
        <v>2001</v>
      </c>
      <c r="C40" s="128">
        <f t="shared" si="19"/>
        <v>2002</v>
      </c>
      <c r="D40" s="128">
        <f t="shared" si="19"/>
        <v>2003</v>
      </c>
      <c r="E40" s="128">
        <f t="shared" si="19"/>
        <v>2004</v>
      </c>
      <c r="F40" s="128">
        <f t="shared" si="19"/>
        <v>2005</v>
      </c>
      <c r="G40" s="128">
        <f t="shared" si="19"/>
        <v>2006</v>
      </c>
      <c r="H40" s="128">
        <f t="shared" si="19"/>
        <v>2007</v>
      </c>
      <c r="I40" s="128">
        <f t="shared" si="19"/>
        <v>2008</v>
      </c>
      <c r="J40" s="128">
        <f t="shared" si="19"/>
        <v>2009</v>
      </c>
      <c r="K40" s="128">
        <f t="shared" si="19"/>
        <v>2010</v>
      </c>
      <c r="L40" s="128">
        <f t="shared" si="19"/>
        <v>2011</v>
      </c>
      <c r="M40" s="128">
        <f t="shared" si="19"/>
        <v>2012</v>
      </c>
      <c r="N40" s="128">
        <f t="shared" si="19"/>
        <v>2013</v>
      </c>
      <c r="O40" s="128">
        <f t="shared" si="19"/>
        <v>2014</v>
      </c>
      <c r="P40" s="128">
        <f t="shared" si="19"/>
        <v>2015</v>
      </c>
      <c r="Q40" s="128">
        <f t="shared" si="19"/>
        <v>2016</v>
      </c>
      <c r="R40" s="128">
        <f t="shared" si="19"/>
        <v>2017</v>
      </c>
      <c r="S40" s="128">
        <f t="shared" si="19"/>
        <v>2018</v>
      </c>
      <c r="T40" s="128">
        <f t="shared" si="19"/>
        <v>2019</v>
      </c>
      <c r="U40" s="128">
        <f t="shared" si="19"/>
        <v>2020</v>
      </c>
      <c r="V40" s="128">
        <f t="shared" si="19"/>
        <v>2021</v>
      </c>
      <c r="W40" s="128">
        <f t="shared" si="19"/>
        <v>2022</v>
      </c>
      <c r="X40" s="128">
        <f t="shared" si="19"/>
        <v>2023</v>
      </c>
      <c r="Y40" s="128">
        <f t="shared" si="19"/>
        <v>2024</v>
      </c>
      <c r="Z40" s="128" t="str">
        <f t="shared" si="19"/>
        <v>2025e</v>
      </c>
      <c r="AA40" s="128" t="str">
        <f t="shared" si="19"/>
        <v>2026f</v>
      </c>
      <c r="AB40" s="128" t="str">
        <f t="shared" si="19"/>
        <v>2027f</v>
      </c>
      <c r="AC40" s="128">
        <f t="shared" si="19"/>
        <v>2028</v>
      </c>
      <c r="AD40" s="128">
        <f t="shared" si="19"/>
        <v>2029</v>
      </c>
      <c r="AE40" s="128">
        <f t="shared" si="19"/>
        <v>2030</v>
      </c>
      <c r="AF40" s="128">
        <f t="shared" si="19"/>
        <v>2031</v>
      </c>
      <c r="AG40" s="128">
        <f t="shared" si="19"/>
        <v>2032</v>
      </c>
      <c r="AH40" s="128">
        <f t="shared" si="19"/>
        <v>2033</v>
      </c>
      <c r="AI40" s="128">
        <f t="shared" si="19"/>
        <v>2034</v>
      </c>
      <c r="AJ40" s="128">
        <f t="shared" si="19"/>
        <v>2035</v>
      </c>
      <c r="AK40" s="128">
        <f t="shared" si="19"/>
        <v>2036</v>
      </c>
      <c r="AL40" s="128">
        <f t="shared" si="19"/>
        <v>2037</v>
      </c>
      <c r="AM40" s="128">
        <f t="shared" si="19"/>
        <v>2038</v>
      </c>
      <c r="AN40" s="128">
        <f t="shared" si="19"/>
        <v>2039</v>
      </c>
      <c r="AO40" s="128">
        <f t="shared" si="19"/>
        <v>2040</v>
      </c>
      <c r="AP40" s="128">
        <f t="shared" si="19"/>
        <v>2041</v>
      </c>
      <c r="AQ40" s="128">
        <f t="shared" si="19"/>
        <v>2042</v>
      </c>
      <c r="AR40" s="128">
        <f t="shared" si="19"/>
        <v>2043</v>
      </c>
      <c r="AS40" s="128">
        <f t="shared" si="19"/>
        <v>2044</v>
      </c>
      <c r="AT40" s="128">
        <f t="shared" si="19"/>
        <v>2045</v>
      </c>
      <c r="AU40" s="128">
        <f t="shared" si="19"/>
        <v>2046</v>
      </c>
      <c r="AV40" s="128">
        <f t="shared" si="19"/>
        <v>2047</v>
      </c>
      <c r="AW40" s="128">
        <f t="shared" si="19"/>
        <v>2048</v>
      </c>
      <c r="AX40" s="128">
        <f t="shared" si="19"/>
        <v>2049</v>
      </c>
      <c r="AY40" s="128">
        <f t="shared" si="19"/>
        <v>2050</v>
      </c>
    </row>
    <row r="41" spans="1:51" x14ac:dyDescent="0.2">
      <c r="A41" s="19" t="s">
        <v>162</v>
      </c>
      <c r="B41" s="129">
        <f>'Monthly Data'!H339/42</f>
        <v>7.1047619047619054E-2</v>
      </c>
      <c r="C41" s="129">
        <f>'Monthly Data'!H351/42</f>
        <v>0.32961904761904759</v>
      </c>
      <c r="D41" s="129">
        <f>'Monthly Data'!H363/42</f>
        <v>0.33726190476190476</v>
      </c>
      <c r="E41" s="129">
        <f>'Monthly Data'!H375/42</f>
        <v>0.252</v>
      </c>
      <c r="F41" s="129">
        <f>'Monthly Data'!H387/42</f>
        <v>0.35452380952380952</v>
      </c>
      <c r="G41" s="129">
        <f>'Monthly Data'!H399/42</f>
        <v>0.53928571428571426</v>
      </c>
      <c r="H41" s="129">
        <f>'Monthly Data'!H411/42</f>
        <v>5.8391904761904767</v>
      </c>
      <c r="I41" s="129">
        <f>'Monthly Data'!H423/42</f>
        <v>14.730976190476191</v>
      </c>
      <c r="J41" s="129">
        <f>'Monthly Data'!H435/42</f>
        <v>6.4195476190476182</v>
      </c>
      <c r="K41" s="129">
        <f>'Monthly Data'!H447/42</f>
        <v>1.0003333333333333</v>
      </c>
      <c r="L41" s="123">
        <f>'[3]Monthly Gallon Summary'!C35/1000000</f>
        <v>2.6364239999999999</v>
      </c>
      <c r="M41" s="123">
        <f>'[3]Monthly Gallon Summary'!D35/1000000</f>
        <v>1.038381</v>
      </c>
      <c r="N41" s="123">
        <f>'[3]Monthly Gallon Summary'!E35/1000000</f>
        <v>0.97598399999999996</v>
      </c>
      <c r="O41" s="123">
        <f>'[3]Monthly Gallon Summary'!F35/1000000</f>
        <v>1.981954</v>
      </c>
      <c r="P41" s="123">
        <f>'[3]Monthly Gallon Summary'!G35/1000000</f>
        <v>8.6264450000000004</v>
      </c>
      <c r="Q41" s="123">
        <f>'[3]Monthly Gallon Summary'!H35/1000000</f>
        <v>20.718361999999999</v>
      </c>
      <c r="R41" s="123">
        <f>'[3]Monthly Gallon Summary'!I35/1000000</f>
        <v>21.190089</v>
      </c>
      <c r="S41" s="123">
        <f>'[3]Monthly Gallon Summary'!J35/1000000</f>
        <v>10.696089000000001</v>
      </c>
      <c r="T41" s="123">
        <f>'[3]Monthly Gallon Summary'!K35/1000000</f>
        <v>11.809234</v>
      </c>
      <c r="U41" s="123">
        <f>'[3]Monthly Gallon Summary'!L35/1000000</f>
        <v>13.737888</v>
      </c>
      <c r="V41" s="123">
        <f>'[3]Monthly Gallon Summary'!M35/1000000</f>
        <v>8.5362189999999991</v>
      </c>
      <c r="W41" s="123">
        <f>'[3]Monthly Gallon Summary'!N35/1000000</f>
        <v>12.701046</v>
      </c>
      <c r="X41" s="123">
        <f>'[3]Monthly Gallon Summary'!O35/1000000</f>
        <v>24.582474000000001</v>
      </c>
      <c r="Y41" s="123">
        <f>'[3]Monthly Gallon Summary'!P35/1000000</f>
        <v>40.314732999999997</v>
      </c>
      <c r="Z41" s="123">
        <f>'[3]Monthly Gallon Summary'!Q35/1000000</f>
        <v>3.1353550000000001</v>
      </c>
      <c r="AA41" s="124">
        <f>'[3]Monthly Gallon Summary'!R35/1000000</f>
        <v>10.025806092925757</v>
      </c>
      <c r="AB41" s="124">
        <f>'[3]Monthly Gallon Summary'!S35/1000000</f>
        <v>10.847888627231512</v>
      </c>
      <c r="AC41" s="124">
        <f>'[3]Monthly Gallon Summary'!T35/1000000</f>
        <v>11.977678325456974</v>
      </c>
      <c r="AD41" s="124">
        <f>'[3]Monthly Gallon Summary'!U35/1000000</f>
        <v>12.452286649546627</v>
      </c>
      <c r="AE41" s="124">
        <f>'[3]Monthly Gallon Summary'!V35/1000000</f>
        <v>9.5221994699888874</v>
      </c>
      <c r="AF41" s="124">
        <f>'[3]Monthly Gallon Summary'!W35/1000000</f>
        <v>10.861726815737216</v>
      </c>
      <c r="AG41" s="124">
        <f>'[3]Monthly Gallon Summary'!X35/1000000</f>
        <v>9.7923501654746588</v>
      </c>
      <c r="AH41" s="124">
        <f>'[3]Monthly Gallon Summary'!Y35/1000000</f>
        <v>9.1860966885203599</v>
      </c>
      <c r="AI41" s="124">
        <f>'[3]Monthly Gallon Summary'!Z35/1000000</f>
        <v>8.8034616146814137</v>
      </c>
      <c r="AJ41" s="124">
        <f>'[3]Monthly Gallon Summary'!AA35/1000000</f>
        <v>7.8238919398014284</v>
      </c>
      <c r="AK41" s="124">
        <f>'[3]Monthly Gallon Summary'!AB35/1000000</f>
        <v>6.6019437586316494</v>
      </c>
      <c r="AL41" s="124">
        <f>'[3]Monthly Gallon Summary'!AC35/1000000</f>
        <v>5.5603016268048444</v>
      </c>
      <c r="AM41" s="124">
        <f>'[3]Monthly Gallon Summary'!AD35/1000000</f>
        <v>4.526904114648441</v>
      </c>
      <c r="AN41" s="124">
        <f>'[3]Monthly Gallon Summary'!AE35/1000000</f>
        <v>3.7575003445001256</v>
      </c>
      <c r="AO41" s="124">
        <f>'[3]Monthly Gallon Summary'!AF35/1000000</f>
        <v>3.7527267855380289</v>
      </c>
      <c r="AP41" s="124">
        <f>'[3]Monthly Gallon Summary'!AG35/1000000</f>
        <v>3.7811525984567327</v>
      </c>
      <c r="AQ41" s="124">
        <f>'[3]Monthly Gallon Summary'!AH35/1000000</f>
        <v>3.7726925535202658</v>
      </c>
      <c r="AR41" s="124">
        <f>'[3]Monthly Gallon Summary'!AI35/1000000</f>
        <v>3.7674972685891528</v>
      </c>
      <c r="AS41" s="124">
        <f>'[3]Monthly Gallon Summary'!AJ35/1000000</f>
        <v>3.7663163101208617</v>
      </c>
      <c r="AT41" s="124">
        <f>'[3]Monthly Gallon Summary'!AK35/1000000</f>
        <v>3.7680799032450087</v>
      </c>
      <c r="AU41" s="124">
        <f>'[3]Monthly Gallon Summary'!AL35/1000000</f>
        <v>3.7711507267864048</v>
      </c>
      <c r="AV41" s="124">
        <f>'[3]Monthly Gallon Summary'!AM35/1000000</f>
        <v>3.7691503524523386</v>
      </c>
      <c r="AW41" s="124">
        <f>'[3]Monthly Gallon Summary'!AN35/1000000</f>
        <v>3.7684419122387531</v>
      </c>
      <c r="AX41" s="124">
        <f>'[3]Monthly Gallon Summary'!AO35/1000000</f>
        <v>3.7686308409686737</v>
      </c>
      <c r="AY41" s="124">
        <f>'[3]Monthly Gallon Summary'!AP35/1000000</f>
        <v>3.769093747138236</v>
      </c>
    </row>
    <row r="42" spans="1:51" x14ac:dyDescent="0.2">
      <c r="A42" s="19" t="s">
        <v>163</v>
      </c>
      <c r="B42" s="129">
        <f>'Monthly Data'!H340/42</f>
        <v>3.3642857142857141E-2</v>
      </c>
      <c r="C42" s="129">
        <f>'Monthly Data'!H352/42</f>
        <v>0.68547619047619046</v>
      </c>
      <c r="D42" s="129">
        <f>'Monthly Data'!H364/42</f>
        <v>6.4690476190476187E-2</v>
      </c>
      <c r="E42" s="129">
        <f>'Monthly Data'!H376/42</f>
        <v>0.44869047619047614</v>
      </c>
      <c r="F42" s="129">
        <f>'Monthly Data'!H388/42</f>
        <v>0.80395238095238086</v>
      </c>
      <c r="G42" s="129">
        <f>'Monthly Data'!H400/42</f>
        <v>0.47157142857142859</v>
      </c>
      <c r="H42" s="129">
        <f>'Monthly Data'!H412/42</f>
        <v>3.6367142857142856</v>
      </c>
      <c r="I42" s="129">
        <f>'Monthly Data'!H424/42</f>
        <v>20.629857142857141</v>
      </c>
      <c r="J42" s="129">
        <f>'Monthly Data'!H436/42</f>
        <v>3.8767857142857141</v>
      </c>
      <c r="K42" s="129">
        <f>'Monthly Data'!H448/42</f>
        <v>0.765452380952381</v>
      </c>
      <c r="L42" s="123">
        <f>'[3]Monthly Gallon Summary'!C36/1000000</f>
        <v>1.3360449999999999</v>
      </c>
      <c r="M42" s="123">
        <f>'[3]Monthly Gallon Summary'!D36/1000000</f>
        <v>4.022017</v>
      </c>
      <c r="N42" s="123">
        <f>'[3]Monthly Gallon Summary'!E36/1000000</f>
        <v>3.0736110000000001</v>
      </c>
      <c r="O42" s="123">
        <f>'[3]Monthly Gallon Summary'!F36/1000000</f>
        <v>3.8950939999999998</v>
      </c>
      <c r="P42" s="123">
        <f>'[3]Monthly Gallon Summary'!G36/1000000</f>
        <v>5.0250909999999998</v>
      </c>
      <c r="Q42" s="123">
        <f>'[3]Monthly Gallon Summary'!H36/1000000</f>
        <v>13.775403000000001</v>
      </c>
      <c r="R42" s="123">
        <f>'[3]Monthly Gallon Summary'!I36/1000000</f>
        <v>29.772126</v>
      </c>
      <c r="S42" s="123">
        <f>'[3]Monthly Gallon Summary'!J36/1000000</f>
        <v>11.584681</v>
      </c>
      <c r="T42" s="123">
        <f>'[3]Monthly Gallon Summary'!K36/1000000</f>
        <v>10.968228</v>
      </c>
      <c r="U42" s="123">
        <f>'[3]Monthly Gallon Summary'!L36/1000000</f>
        <v>11.466901999999999</v>
      </c>
      <c r="V42" s="123">
        <f>'[3]Monthly Gallon Summary'!M36/1000000</f>
        <v>7.661613</v>
      </c>
      <c r="W42" s="123">
        <f>'[3]Monthly Gallon Summary'!N36/1000000</f>
        <v>6.7438250000000002</v>
      </c>
      <c r="X42" s="123">
        <f>'[3]Monthly Gallon Summary'!O36/1000000</f>
        <v>40.796312999999998</v>
      </c>
      <c r="Y42" s="123">
        <f>'[3]Monthly Gallon Summary'!P36/1000000</f>
        <v>53.484825000000001</v>
      </c>
      <c r="Z42" s="124">
        <f>'[3]Monthly Gallon Summary'!Q36/1000000</f>
        <v>6.4091129999999996</v>
      </c>
      <c r="AA42" s="124">
        <f>'[3]Monthly Gallon Summary'!R36/1000000</f>
        <v>12.754540988961798</v>
      </c>
      <c r="AB42" s="124">
        <f>'[3]Monthly Gallon Summary'!S36/1000000</f>
        <v>14.182597242042267</v>
      </c>
      <c r="AC42" s="124">
        <f>'[3]Monthly Gallon Summary'!T36/1000000</f>
        <v>16.988271552466347</v>
      </c>
      <c r="AD42" s="124">
        <f>'[3]Monthly Gallon Summary'!U36/1000000</f>
        <v>16.693603390226045</v>
      </c>
      <c r="AE42" s="124">
        <f>'[3]Monthly Gallon Summary'!V36/1000000</f>
        <v>13.176469247820672</v>
      </c>
      <c r="AF42" s="124">
        <f>'[3]Monthly Gallon Summary'!W36/1000000</f>
        <v>14.619859725017546</v>
      </c>
      <c r="AG42" s="124">
        <f>'[3]Monthly Gallon Summary'!X36/1000000</f>
        <v>13.310696499943377</v>
      </c>
      <c r="AH42" s="124">
        <f>'[3]Monthly Gallon Summary'!Y36/1000000</f>
        <v>12.581310350266651</v>
      </c>
      <c r="AI42" s="124">
        <f>'[3]Monthly Gallon Summary'!Z36/1000000</f>
        <v>11.958096468274761</v>
      </c>
      <c r="AJ42" s="124">
        <f>'[3]Monthly Gallon Summary'!AA36/1000000</f>
        <v>10.663379864580387</v>
      </c>
      <c r="AK42" s="124">
        <f>'[3]Monthly Gallon Summary'!AB36/1000000</f>
        <v>8.9697645661756855</v>
      </c>
      <c r="AL42" s="124">
        <f>'[3]Monthly Gallon Summary'!AC36/1000000</f>
        <v>7.5726434160676579</v>
      </c>
      <c r="AM42" s="124">
        <f>'[3]Monthly Gallon Summary'!AD36/1000000</f>
        <v>6.1683013508382301</v>
      </c>
      <c r="AN42" s="124">
        <f>'[3]Monthly Gallon Summary'!AE36/1000000</f>
        <v>5.1126525187146683</v>
      </c>
      <c r="AO42" s="124">
        <f>'[3]Monthly Gallon Summary'!AF36/1000000</f>
        <v>5.1088595198730031</v>
      </c>
      <c r="AP42" s="124">
        <f>'[3]Monthly Gallon Summary'!AG36/1000000</f>
        <v>5.1456595893233192</v>
      </c>
      <c r="AQ42" s="124">
        <f>'[3]Monthly Gallon Summary'!AH36/1000000</f>
        <v>5.1367274226147428</v>
      </c>
      <c r="AR42" s="124">
        <f>'[3]Monthly Gallon Summary'!AI36/1000000</f>
        <v>5.1292711156469162</v>
      </c>
      <c r="AS42" s="124">
        <f>'[3]Monthly Gallon Summary'!AJ36/1000000</f>
        <v>5.1266364332345304</v>
      </c>
      <c r="AT42" s="124">
        <f>'[3]Monthly Gallon Summary'!AK36/1000000</f>
        <v>5.1294336161385026</v>
      </c>
      <c r="AU42" s="124">
        <f>'[3]Monthly Gallon Summary'!AL36/1000000</f>
        <v>5.1335486353916027</v>
      </c>
      <c r="AV42" s="124">
        <f>'[3]Monthly Gallon Summary'!AM36/1000000</f>
        <v>5.1311264446052594</v>
      </c>
      <c r="AW42" s="124">
        <f>'[3]Monthly Gallon Summary'!AN36/1000000</f>
        <v>5.1300062490033627</v>
      </c>
      <c r="AX42" s="124">
        <f>'[3]Monthly Gallon Summary'!AO36/1000000</f>
        <v>5.1301532756746511</v>
      </c>
      <c r="AY42" s="124">
        <f>'[3]Monthly Gallon Summary'!AP36/1000000</f>
        <v>5.1308566441626766</v>
      </c>
    </row>
    <row r="43" spans="1:51" x14ac:dyDescent="0.2">
      <c r="A43" s="19" t="s">
        <v>164</v>
      </c>
      <c r="B43" s="129">
        <f>'Monthly Data'!H341/42</f>
        <v>0.16542857142857142</v>
      </c>
      <c r="C43" s="129">
        <f>'Monthly Data'!H353/42</f>
        <v>1.0363333333333333</v>
      </c>
      <c r="D43" s="129">
        <f>'Monthly Data'!H365/42</f>
        <v>0.10102380952380953</v>
      </c>
      <c r="E43" s="129">
        <f>'Monthly Data'!H377/42</f>
        <v>0.10083333333333334</v>
      </c>
      <c r="F43" s="129">
        <f>'Monthly Data'!H389/42</f>
        <v>0.30738095238095237</v>
      </c>
      <c r="G43" s="129">
        <f>'Monthly Data'!H401/42</f>
        <v>0.97209523809523812</v>
      </c>
      <c r="H43" s="129">
        <f>'Monthly Data'!H413/42</f>
        <v>2.7954761904761902</v>
      </c>
      <c r="I43" s="129">
        <f>'Monthly Data'!H425/42</f>
        <v>6.7379047619047627</v>
      </c>
      <c r="J43" s="129">
        <f>'Monthly Data'!H437/42</f>
        <v>9.4384047619047617</v>
      </c>
      <c r="K43" s="129">
        <f>'Monthly Data'!H449/42</f>
        <v>1.4686666666666666</v>
      </c>
      <c r="L43" s="123">
        <f>'[3]Monthly Gallon Summary'!C37/1000000</f>
        <v>4.6276450000000002</v>
      </c>
      <c r="M43" s="123">
        <f>'[3]Monthly Gallon Summary'!D37/1000000</f>
        <v>4.3100740000000002</v>
      </c>
      <c r="N43" s="123">
        <f>'[3]Monthly Gallon Summary'!E37/1000000</f>
        <v>9.3694220000000001</v>
      </c>
      <c r="O43" s="123">
        <f>'[3]Monthly Gallon Summary'!F37/1000000</f>
        <v>13.088433999999999</v>
      </c>
      <c r="P43" s="123">
        <f>'[3]Monthly Gallon Summary'!G37/1000000</f>
        <v>13.440537000000001</v>
      </c>
      <c r="Q43" s="123">
        <f>'[3]Monthly Gallon Summary'!H37/1000000</f>
        <v>9.8157840000000007</v>
      </c>
      <c r="R43" s="123">
        <f>'[3]Monthly Gallon Summary'!I37/1000000</f>
        <v>40.549914999999999</v>
      </c>
      <c r="S43" s="123">
        <f>'[3]Monthly Gallon Summary'!J37/1000000</f>
        <v>15.643523</v>
      </c>
      <c r="T43" s="123">
        <f>'[3]Monthly Gallon Summary'!K37/1000000</f>
        <v>12.055979000000001</v>
      </c>
      <c r="U43" s="123">
        <f>'[3]Monthly Gallon Summary'!L37/1000000</f>
        <v>18.577254</v>
      </c>
      <c r="V43" s="123">
        <f>'[3]Monthly Gallon Summary'!M37/1000000</f>
        <v>15.146974</v>
      </c>
      <c r="W43" s="123">
        <f>'[3]Monthly Gallon Summary'!N37/1000000</f>
        <v>22.680676999999999</v>
      </c>
      <c r="X43" s="123">
        <f>'[3]Monthly Gallon Summary'!O37/1000000</f>
        <v>44.788401</v>
      </c>
      <c r="Y43" s="123">
        <f>'[3]Monthly Gallon Summary'!P37/1000000</f>
        <v>29.890832</v>
      </c>
      <c r="Z43" s="124">
        <f>'[3]Monthly Gallon Summary'!Q37/1000000</f>
        <v>3.9015749999999998</v>
      </c>
      <c r="AA43" s="124">
        <f>'[3]Monthly Gallon Summary'!R37/1000000</f>
        <v>13.073719046305515</v>
      </c>
      <c r="AB43" s="124">
        <f>'[3]Monthly Gallon Summary'!S37/1000000</f>
        <v>13.665751063533881</v>
      </c>
      <c r="AC43" s="124">
        <f>'[3]Monthly Gallon Summary'!T37/1000000</f>
        <v>14.189017273756305</v>
      </c>
      <c r="AD43" s="124">
        <f>'[3]Monthly Gallon Summary'!U37/1000000</f>
        <v>12.194340486072694</v>
      </c>
      <c r="AE43" s="124">
        <f>'[3]Monthly Gallon Summary'!V37/1000000</f>
        <v>11.209925350447634</v>
      </c>
      <c r="AF43" s="124">
        <f>'[3]Monthly Gallon Summary'!W37/1000000</f>
        <v>12.745168090777705</v>
      </c>
      <c r="AG43" s="124">
        <f>'[3]Monthly Gallon Summary'!X37/1000000</f>
        <v>11.259998546547925</v>
      </c>
      <c r="AH43" s="124">
        <f>'[3]Monthly Gallon Summary'!Y37/1000000</f>
        <v>10.362356032306923</v>
      </c>
      <c r="AI43" s="124">
        <f>'[3]Monthly Gallon Summary'!Z37/1000000</f>
        <v>9.8155951345405388</v>
      </c>
      <c r="AJ43" s="124">
        <f>'[3]Monthly Gallon Summary'!AA37/1000000</f>
        <v>8.9978547256236716</v>
      </c>
      <c r="AK43" s="124">
        <f>'[3]Monthly Gallon Summary'!AB37/1000000</f>
        <v>7.5557665889328733</v>
      </c>
      <c r="AL43" s="124">
        <f>'[3]Monthly Gallon Summary'!AC37/1000000</f>
        <v>6.3222428899098349</v>
      </c>
      <c r="AM43" s="124">
        <f>'[3]Monthly Gallon Summary'!AD37/1000000</f>
        <v>5.1322428919446965</v>
      </c>
      <c r="AN43" s="124">
        <f>'[3]Monthly Gallon Summary'!AE37/1000000</f>
        <v>4.2658310786787537</v>
      </c>
      <c r="AO43" s="124">
        <f>'[3]Monthly Gallon Summary'!AF37/1000000</f>
        <v>4.2841510851889151</v>
      </c>
      <c r="AP43" s="124">
        <f>'[3]Monthly Gallon Summary'!AG37/1000000</f>
        <v>4.3062866460398546</v>
      </c>
      <c r="AQ43" s="124">
        <f>'[3]Monthly Gallon Summary'!AH37/1000000</f>
        <v>4.2901341632521275</v>
      </c>
      <c r="AR43" s="124">
        <f>'[3]Monthly Gallon Summary'!AI37/1000000</f>
        <v>4.2843567817508355</v>
      </c>
      <c r="AS43" s="124">
        <f>'[3]Monthly Gallon Summary'!AJ37/1000000</f>
        <v>4.2861543509820974</v>
      </c>
      <c r="AT43" s="124">
        <f>'[3]Monthly Gallon Summary'!AK37/1000000</f>
        <v>4.2902194054427651</v>
      </c>
      <c r="AU43" s="124">
        <f>'[3]Monthly Gallon Summary'!AL37/1000000</f>
        <v>4.2914332694935355</v>
      </c>
      <c r="AV43" s="124">
        <f>'[3]Monthly Gallon Summary'!AM37/1000000</f>
        <v>4.2884625941842716</v>
      </c>
      <c r="AW43" s="124">
        <f>'[3]Monthly Gallon Summary'!AN37/1000000</f>
        <v>4.2881282803707004</v>
      </c>
      <c r="AX43" s="124">
        <f>'[3]Monthly Gallon Summary'!AO37/1000000</f>
        <v>4.2888825800946746</v>
      </c>
      <c r="AY43" s="124">
        <f>'[3]Monthly Gallon Summary'!AP37/1000000</f>
        <v>4.289428225917189</v>
      </c>
    </row>
    <row r="44" spans="1:51" x14ac:dyDescent="0.2">
      <c r="A44" s="19" t="s">
        <v>165</v>
      </c>
      <c r="B44" s="129">
        <f>'Monthly Data'!H342/42</f>
        <v>5.1333333333333335E-2</v>
      </c>
      <c r="C44" s="129">
        <f>'Monthly Data'!H354/42</f>
        <v>0.2370714285714286</v>
      </c>
      <c r="D44" s="129">
        <f>'Monthly Data'!H366/42</f>
        <v>9.514285714285714E-2</v>
      </c>
      <c r="E44" s="129">
        <f>'Monthly Data'!H378/42</f>
        <v>0.38026190476190475</v>
      </c>
      <c r="F44" s="129">
        <f>'Monthly Data'!H390/42</f>
        <v>0.42290476190476189</v>
      </c>
      <c r="G44" s="129">
        <f>'Monthly Data'!H402/42</f>
        <v>0.41411904761904761</v>
      </c>
      <c r="H44" s="129">
        <f>'Monthly Data'!H414/42</f>
        <v>4.4178809523809521</v>
      </c>
      <c r="I44" s="129">
        <f>'Monthly Data'!H426/42</f>
        <v>16.928976190476192</v>
      </c>
      <c r="J44" s="129">
        <f>'Monthly Data'!H438/42</f>
        <v>1.2679047619047619</v>
      </c>
      <c r="K44" s="129">
        <f>'Monthly Data'!H450/42</f>
        <v>1.1008809523809524</v>
      </c>
      <c r="L44" s="123">
        <f>'[3]Monthly Gallon Summary'!C38/1000000</f>
        <v>2.2117550000000001</v>
      </c>
      <c r="M44" s="123">
        <f>'[3]Monthly Gallon Summary'!D38/1000000</f>
        <v>2.6577419999999998</v>
      </c>
      <c r="N44" s="123">
        <f>'[3]Monthly Gallon Summary'!E38/1000000</f>
        <v>4.7892669999999997</v>
      </c>
      <c r="O44" s="123">
        <f>'[3]Monthly Gallon Summary'!F38/1000000</f>
        <v>5.7594709999999996</v>
      </c>
      <c r="P44" s="123">
        <f>'[3]Monthly Gallon Summary'!G38/1000000</f>
        <v>19.801586</v>
      </c>
      <c r="Q44" s="123">
        <f>'[3]Monthly Gallon Summary'!H38/1000000</f>
        <v>34.059685999999999</v>
      </c>
      <c r="R44" s="123">
        <f>'[3]Monthly Gallon Summary'!I38/1000000</f>
        <v>20.854251999999999</v>
      </c>
      <c r="S44" s="123">
        <f>'[3]Monthly Gallon Summary'!J38/1000000</f>
        <v>15.936188</v>
      </c>
      <c r="T44" s="123">
        <f>'[3]Monthly Gallon Summary'!K38/1000000</f>
        <v>21.520142</v>
      </c>
      <c r="U44" s="123">
        <f>'[3]Monthly Gallon Summary'!L38/1000000</f>
        <v>18.683140000000002</v>
      </c>
      <c r="V44" s="123">
        <f>'[3]Monthly Gallon Summary'!M38/1000000</f>
        <v>17.336621000000001</v>
      </c>
      <c r="W44" s="123">
        <f>'[3]Monthly Gallon Summary'!N38/1000000</f>
        <v>29.87322</v>
      </c>
      <c r="X44" s="123">
        <f>'[3]Monthly Gallon Summary'!O38/1000000</f>
        <v>34.964458</v>
      </c>
      <c r="Y44" s="123">
        <f>'[3]Monthly Gallon Summary'!P38/1000000</f>
        <v>50.717205999999997</v>
      </c>
      <c r="Z44" s="124">
        <f>'[3]Monthly Gallon Summary'!Q38/1000000</f>
        <v>32.480444956097628</v>
      </c>
      <c r="AA44" s="124">
        <f>'[3]Monthly Gallon Summary'!R38/1000000</f>
        <v>18.300201315653236</v>
      </c>
      <c r="AB44" s="124">
        <f>'[3]Monthly Gallon Summary'!S38/1000000</f>
        <v>19.590947583573449</v>
      </c>
      <c r="AC44" s="124">
        <f>'[3]Monthly Gallon Summary'!T38/1000000</f>
        <v>20.69694034873033</v>
      </c>
      <c r="AD44" s="124">
        <f>'[3]Monthly Gallon Summary'!U38/1000000</f>
        <v>22.743163925226785</v>
      </c>
      <c r="AE44" s="124">
        <f>'[3]Monthly Gallon Summary'!V38/1000000</f>
        <v>22.373239803192075</v>
      </c>
      <c r="AF44" s="124">
        <f>'[3]Monthly Gallon Summary'!W38/1000000</f>
        <v>20.545229740602768</v>
      </c>
      <c r="AG44" s="124">
        <f>'[3]Monthly Gallon Summary'!X38/1000000</f>
        <v>18.639267653936876</v>
      </c>
      <c r="AH44" s="124">
        <f>'[3]Monthly Gallon Summary'!Y38/1000000</f>
        <v>17.663188284957002</v>
      </c>
      <c r="AI44" s="124">
        <f>'[3]Monthly Gallon Summary'!Z38/1000000</f>
        <v>17.32399577318953</v>
      </c>
      <c r="AJ44" s="124">
        <f>'[3]Monthly Gallon Summary'!AA38/1000000</f>
        <v>15.682423757300022</v>
      </c>
      <c r="AK44" s="124">
        <f>'[3]Monthly Gallon Summary'!AB38/1000000</f>
        <v>12.766157024369624</v>
      </c>
      <c r="AL44" s="124">
        <f>'[3]Monthly Gallon Summary'!AC38/1000000</f>
        <v>10.812279729715971</v>
      </c>
      <c r="AM44" s="124">
        <f>'[3]Monthly Gallon Summary'!AD38/1000000</f>
        <v>8.8507602798117802</v>
      </c>
      <c r="AN44" s="124">
        <f>'[3]Monthly Gallon Summary'!AE38/1000000</f>
        <v>7.3799567553819854</v>
      </c>
      <c r="AO44" s="124">
        <f>'[3]Monthly Gallon Summary'!AF38/1000000</f>
        <v>7.366138612377795</v>
      </c>
      <c r="AP44" s="124">
        <f>'[3]Monthly Gallon Summary'!AG38/1000000</f>
        <v>7.371139437758929</v>
      </c>
      <c r="AQ44" s="124">
        <f>'[3]Monthly Gallon Summary'!AH38/1000000</f>
        <v>7.3729906732434927</v>
      </c>
      <c r="AR44" s="124">
        <f>'[3]Monthly Gallon Summary'!AI38/1000000</f>
        <v>7.3732682997257664</v>
      </c>
      <c r="AS44" s="124">
        <f>'[3]Monthly Gallon Summary'!AJ38/1000000</f>
        <v>7.3727011556975937</v>
      </c>
      <c r="AT44" s="124">
        <f>'[3]Monthly Gallon Summary'!AK38/1000000</f>
        <v>7.3712504357607163</v>
      </c>
      <c r="AU44" s="124">
        <f>'[3]Monthly Gallon Summary'!AL38/1000000</f>
        <v>7.3722730004373007</v>
      </c>
      <c r="AV44" s="124">
        <f>'[3]Monthly Gallon Summary'!AM38/1000000</f>
        <v>7.3724997129729744</v>
      </c>
      <c r="AW44" s="124">
        <f>'[3]Monthly Gallon Summary'!AN38/1000000</f>
        <v>7.3724015209188707</v>
      </c>
      <c r="AX44" s="124">
        <f>'[3]Monthly Gallon Summary'!AO38/1000000</f>
        <v>7.372228165157491</v>
      </c>
      <c r="AY44" s="124">
        <f>'[3]Monthly Gallon Summary'!AP38/1000000</f>
        <v>7.3721335670494703</v>
      </c>
    </row>
    <row r="45" spans="1:51" x14ac:dyDescent="0.2">
      <c r="A45" s="19" t="s">
        <v>166</v>
      </c>
      <c r="B45" s="129">
        <f>'Monthly Data'!H343/42</f>
        <v>4.6023809523809522E-2</v>
      </c>
      <c r="C45" s="129">
        <f>'Monthly Data'!H355/42</f>
        <v>0.39154761904761903</v>
      </c>
      <c r="D45" s="129">
        <f>'Monthly Data'!H367/42</f>
        <v>8.8547619047619042E-2</v>
      </c>
      <c r="E45" s="129">
        <f>'Monthly Data'!H379/42</f>
        <v>7.9904761904761895E-2</v>
      </c>
      <c r="F45" s="129">
        <f>'Monthly Data'!H391/42</f>
        <v>0.18154761904761904</v>
      </c>
      <c r="G45" s="129">
        <f>'Monthly Data'!H403/42</f>
        <v>1.8514285714285716</v>
      </c>
      <c r="H45" s="129">
        <f>'Monthly Data'!H415/42</f>
        <v>2.7121190476190478</v>
      </c>
      <c r="I45" s="129">
        <f>'Monthly Data'!H427/42</f>
        <v>12.636904761904763</v>
      </c>
      <c r="J45" s="129">
        <f>'Monthly Data'!H439/42</f>
        <v>2.8713095238095239</v>
      </c>
      <c r="K45" s="129">
        <f>'Monthly Data'!H451/42</f>
        <v>1.9735714285714285</v>
      </c>
      <c r="L45" s="123">
        <f>'[3]Monthly Gallon Summary'!C39/1000000</f>
        <v>2.2499220000000002</v>
      </c>
      <c r="M45" s="123">
        <f>'[3]Monthly Gallon Summary'!D39/1000000</f>
        <v>2.132126</v>
      </c>
      <c r="N45" s="123">
        <f>'[3]Monthly Gallon Summary'!E39/1000000</f>
        <v>10.033113999999999</v>
      </c>
      <c r="O45" s="123">
        <f>'[3]Monthly Gallon Summary'!F39/1000000</f>
        <v>7.7962100000000003</v>
      </c>
      <c r="P45" s="123">
        <f>'[3]Monthly Gallon Summary'!G39/1000000</f>
        <v>18.863893999999998</v>
      </c>
      <c r="Q45" s="123">
        <f>'[3]Monthly Gallon Summary'!H39/1000000</f>
        <v>47.584612</v>
      </c>
      <c r="R45" s="123">
        <f>'[3]Monthly Gallon Summary'!I39/1000000</f>
        <v>39.031612000000003</v>
      </c>
      <c r="S45" s="123">
        <f>'[3]Monthly Gallon Summary'!J39/1000000</f>
        <v>16.056826999999998</v>
      </c>
      <c r="T45" s="123">
        <f>'[3]Monthly Gallon Summary'!K39/1000000</f>
        <v>15.655745</v>
      </c>
      <c r="U45" s="123">
        <f>'[3]Monthly Gallon Summary'!L39/1000000</f>
        <v>18.646666</v>
      </c>
      <c r="V45" s="123">
        <f>'[3]Monthly Gallon Summary'!M39/1000000</f>
        <v>13.326442999999999</v>
      </c>
      <c r="W45" s="123">
        <f>'[3]Monthly Gallon Summary'!N39/1000000</f>
        <v>11.77666</v>
      </c>
      <c r="X45" s="123">
        <f>'[3]Monthly Gallon Summary'!O39/1000000</f>
        <v>39.419837999999999</v>
      </c>
      <c r="Y45" s="123">
        <f>'[3]Monthly Gallon Summary'!P39/1000000</f>
        <v>35.451411999999998</v>
      </c>
      <c r="Z45" s="124">
        <f>'[3]Monthly Gallon Summary'!Q39/1000000</f>
        <v>25.832523487314109</v>
      </c>
      <c r="AA45" s="124">
        <f>'[3]Monthly Gallon Summary'!R39/1000000</f>
        <v>14.129246030895434</v>
      </c>
      <c r="AB45" s="124">
        <f>'[3]Monthly Gallon Summary'!S39/1000000</f>
        <v>15.132840116583182</v>
      </c>
      <c r="AC45" s="124">
        <f>'[3]Monthly Gallon Summary'!T39/1000000</f>
        <v>17.509333059616942</v>
      </c>
      <c r="AD45" s="124">
        <f>'[3]Monthly Gallon Summary'!U39/1000000</f>
        <v>17.63447556880778</v>
      </c>
      <c r="AE45" s="124">
        <f>'[3]Monthly Gallon Summary'!V39/1000000</f>
        <v>17.739176239777787</v>
      </c>
      <c r="AF45" s="124">
        <f>'[3]Monthly Gallon Summary'!W39/1000000</f>
        <v>16.27402350310664</v>
      </c>
      <c r="AG45" s="124">
        <f>'[3]Monthly Gallon Summary'!X39/1000000</f>
        <v>14.828769641388467</v>
      </c>
      <c r="AH45" s="124">
        <f>'[3]Monthly Gallon Summary'!Y39/1000000</f>
        <v>14.128448637650065</v>
      </c>
      <c r="AI45" s="124">
        <f>'[3]Monthly Gallon Summary'!Z39/1000000</f>
        <v>13.695006192599884</v>
      </c>
      <c r="AJ45" s="124">
        <f>'[3]Monthly Gallon Summary'!AA39/1000000</f>
        <v>12.453266877485943</v>
      </c>
      <c r="AK45" s="124">
        <f>'[3]Monthly Gallon Summary'!AB39/1000000</f>
        <v>10.141351836928994</v>
      </c>
      <c r="AL45" s="124">
        <f>'[3]Monthly Gallon Summary'!AC39/1000000</f>
        <v>8.5953925155279851</v>
      </c>
      <c r="AM45" s="124">
        <f>'[3]Monthly Gallon Summary'!AD39/1000000</f>
        <v>7.0347178084998125</v>
      </c>
      <c r="AN45" s="124">
        <f>'[3]Monthly Gallon Summary'!AE39/1000000</f>
        <v>5.8556092365837547</v>
      </c>
      <c r="AO45" s="124">
        <f>'[3]Monthly Gallon Summary'!AF39/1000000</f>
        <v>5.8513723373928963</v>
      </c>
      <c r="AP45" s="124">
        <f>'[3]Monthly Gallon Summary'!AG39/1000000</f>
        <v>5.8560068335833515</v>
      </c>
      <c r="AQ45" s="124">
        <f>'[3]Monthly Gallon Summary'!AH39/1000000</f>
        <v>5.8576066585154942</v>
      </c>
      <c r="AR45" s="124">
        <f>'[3]Monthly Gallon Summary'!AI39/1000000</f>
        <v>5.8567927451106359</v>
      </c>
      <c r="AS45" s="124">
        <f>'[3]Monthly Gallon Summary'!AJ39/1000000</f>
        <v>5.8554799622372258</v>
      </c>
      <c r="AT45" s="124">
        <f>'[3]Monthly Gallon Summary'!AK39/1000000</f>
        <v>5.8554545073679201</v>
      </c>
      <c r="AU45" s="124">
        <f>'[3]Monthly Gallon Summary'!AL39/1000000</f>
        <v>5.8562711413629263</v>
      </c>
      <c r="AV45" s="124">
        <f>'[3]Monthly Gallon Summary'!AM39/1000000</f>
        <v>5.8563240029188393</v>
      </c>
      <c r="AW45" s="124">
        <f>'[3]Monthly Gallon Summary'!AN39/1000000</f>
        <v>5.85606747179951</v>
      </c>
      <c r="AX45" s="124">
        <f>'[3]Monthly Gallon Summary'!AO39/1000000</f>
        <v>5.8559224171372843</v>
      </c>
      <c r="AY45" s="124">
        <f>'[3]Monthly Gallon Summary'!AP39/1000000</f>
        <v>5.8560109081172955</v>
      </c>
    </row>
    <row r="46" spans="1:51" x14ac:dyDescent="0.2">
      <c r="A46" s="19" t="s">
        <v>167</v>
      </c>
      <c r="B46" s="129">
        <f>'Monthly Data'!H344/42</f>
        <v>6.819047619047619E-2</v>
      </c>
      <c r="C46" s="129">
        <f>'Monthly Data'!H356/42</f>
        <v>0.42635714285714288</v>
      </c>
      <c r="D46" s="129">
        <f>'Monthly Data'!H368/42</f>
        <v>8.8642857142857134E-2</v>
      </c>
      <c r="E46" s="129">
        <f>'Monthly Data'!H380/42</f>
        <v>0.14161904761904762</v>
      </c>
      <c r="F46" s="129">
        <f>'Monthly Data'!H392/42</f>
        <v>0.52349999999999997</v>
      </c>
      <c r="G46" s="129">
        <f>'Monthly Data'!H404/42</f>
        <v>3.6118333333333332</v>
      </c>
      <c r="H46" s="129">
        <f>'Monthly Data'!H416/42</f>
        <v>8.9625000000000004</v>
      </c>
      <c r="I46" s="129">
        <f>'Monthly Data'!H428/42</f>
        <v>12.595690476190477</v>
      </c>
      <c r="J46" s="129">
        <f>'Monthly Data'!H440/42</f>
        <v>3.3994999999999997</v>
      </c>
      <c r="K46" s="129">
        <f>'Monthly Data'!H452/42</f>
        <v>1.3354761904761905</v>
      </c>
      <c r="L46" s="123">
        <f>'[3]Monthly Gallon Summary'!C40/1000000</f>
        <v>3.5101010000000001</v>
      </c>
      <c r="M46" s="123">
        <f>'[3]Monthly Gallon Summary'!D40/1000000</f>
        <v>5.877535</v>
      </c>
      <c r="N46" s="123">
        <f>'[3]Monthly Gallon Summary'!E40/1000000</f>
        <v>14.747164</v>
      </c>
      <c r="O46" s="123">
        <f>'[3]Monthly Gallon Summary'!F40/1000000</f>
        <v>10.072934</v>
      </c>
      <c r="P46" s="123">
        <f>'[3]Monthly Gallon Summary'!G40/1000000</f>
        <v>25.51191</v>
      </c>
      <c r="Q46" s="123">
        <f>'[3]Monthly Gallon Summary'!H40/1000000</f>
        <v>73.601956999999999</v>
      </c>
      <c r="R46" s="123">
        <f>'[3]Monthly Gallon Summary'!I40/1000000</f>
        <v>83.762771000000001</v>
      </c>
      <c r="S46" s="123">
        <f>'[3]Monthly Gallon Summary'!J40/1000000</f>
        <v>12.234294999999999</v>
      </c>
      <c r="T46" s="123">
        <f>'[3]Monthly Gallon Summary'!K40/1000000</f>
        <v>19.389140000000001</v>
      </c>
      <c r="U46" s="123">
        <f>'[3]Monthly Gallon Summary'!L40/1000000</f>
        <v>16.749200999999999</v>
      </c>
      <c r="V46" s="123">
        <f>'[3]Monthly Gallon Summary'!M40/1000000</f>
        <v>17.588415999999999</v>
      </c>
      <c r="W46" s="123">
        <f>'[3]Monthly Gallon Summary'!N40/1000000</f>
        <v>19.314836</v>
      </c>
      <c r="X46" s="123">
        <f>'[3]Monthly Gallon Summary'!O40/1000000</f>
        <v>41.179873000000001</v>
      </c>
      <c r="Y46" s="123">
        <f>'[3]Monthly Gallon Summary'!P40/1000000</f>
        <v>39.789929000000001</v>
      </c>
      <c r="Z46" s="124">
        <f>'[3]Monthly Gallon Summary'!Q40/1000000</f>
        <v>28.821440119581574</v>
      </c>
      <c r="AA46" s="124">
        <f>'[3]Monthly Gallon Summary'!R40/1000000</f>
        <v>16.219458665915269</v>
      </c>
      <c r="AB46" s="124">
        <f>'[3]Monthly Gallon Summary'!S40/1000000</f>
        <v>17.097748135358518</v>
      </c>
      <c r="AC46" s="124">
        <f>'[3]Monthly Gallon Summary'!T40/1000000</f>
        <v>18.973260072930049</v>
      </c>
      <c r="AD46" s="124">
        <f>'[3]Monthly Gallon Summary'!U40/1000000</f>
        <v>19.359504857242229</v>
      </c>
      <c r="AE46" s="124">
        <f>'[3]Monthly Gallon Summary'!V40/1000000</f>
        <v>19.750790363877229</v>
      </c>
      <c r="AF46" s="124">
        <f>'[3]Monthly Gallon Summary'!W40/1000000</f>
        <v>18.107698150960275</v>
      </c>
      <c r="AG46" s="124">
        <f>'[3]Monthly Gallon Summary'!X40/1000000</f>
        <v>16.411953981731457</v>
      </c>
      <c r="AH46" s="124">
        <f>'[3]Monthly Gallon Summary'!Y40/1000000</f>
        <v>15.578109660573293</v>
      </c>
      <c r="AI46" s="124">
        <f>'[3]Monthly Gallon Summary'!Z40/1000000</f>
        <v>15.156708716036198</v>
      </c>
      <c r="AJ46" s="124">
        <f>'[3]Monthly Gallon Summary'!AA40/1000000</f>
        <v>13.807961157064522</v>
      </c>
      <c r="AK46" s="124">
        <f>'[3]Monthly Gallon Summary'!AB40/1000000</f>
        <v>11.232913788663989</v>
      </c>
      <c r="AL46" s="124">
        <f>'[3]Monthly Gallon Summary'!AC40/1000000</f>
        <v>9.5097499442486715</v>
      </c>
      <c r="AM46" s="124">
        <f>'[3]Monthly Gallon Summary'!AD40/1000000</f>
        <v>7.782370720520265</v>
      </c>
      <c r="AN46" s="124">
        <f>'[3]Monthly Gallon Summary'!AE40/1000000</f>
        <v>6.4838012398346221</v>
      </c>
      <c r="AO46" s="124">
        <f>'[3]Monthly Gallon Summary'!AF40/1000000</f>
        <v>6.4801057765927519</v>
      </c>
      <c r="AP46" s="124">
        <f>'[3]Monthly Gallon Summary'!AG40/1000000</f>
        <v>6.4826471046656717</v>
      </c>
      <c r="AQ46" s="124">
        <f>'[3]Monthly Gallon Summary'!AH40/1000000</f>
        <v>6.4832965504462328</v>
      </c>
      <c r="AR46" s="124">
        <f>'[3]Monthly Gallon Summary'!AI40/1000000</f>
        <v>6.4831213061652964</v>
      </c>
      <c r="AS46" s="124">
        <f>'[3]Monthly Gallon Summary'!AJ40/1000000</f>
        <v>6.4825967955409149</v>
      </c>
      <c r="AT46" s="124">
        <f>'[3]Monthly Gallon Summary'!AK40/1000000</f>
        <v>6.4823563066821732</v>
      </c>
      <c r="AU46" s="124">
        <f>'[3]Monthly Gallon Summary'!AL40/1000000</f>
        <v>6.4828066127000579</v>
      </c>
      <c r="AV46" s="124">
        <f>'[3]Monthly Gallon Summary'!AM40/1000000</f>
        <v>6.4828385143069358</v>
      </c>
      <c r="AW46" s="124">
        <f>'[3]Monthly Gallon Summary'!AN40/1000000</f>
        <v>6.4827469070790755</v>
      </c>
      <c r="AX46" s="124">
        <f>'[3]Monthly Gallon Summary'!AO40/1000000</f>
        <v>6.482672027261831</v>
      </c>
      <c r="AY46" s="124">
        <f>'[3]Monthly Gallon Summary'!AP40/1000000</f>
        <v>6.482687073606014</v>
      </c>
    </row>
    <row r="47" spans="1:51" x14ac:dyDescent="0.2">
      <c r="A47" s="19" t="s">
        <v>168</v>
      </c>
      <c r="B47" s="129">
        <f>'Monthly Data'!H345/42</f>
        <v>0.31109523809523809</v>
      </c>
      <c r="C47" s="129">
        <f>'Monthly Data'!H357/42</f>
        <v>0.52023809523809528</v>
      </c>
      <c r="D47" s="129">
        <f>'Monthly Data'!H369/42</f>
        <v>9.9404761904761899E-2</v>
      </c>
      <c r="E47" s="129">
        <f>'Monthly Data'!H381/42</f>
        <v>0.16809523809523808</v>
      </c>
      <c r="F47" s="129">
        <f>'Monthly Data'!H393/42</f>
        <v>0.24409523809523812</v>
      </c>
      <c r="G47" s="129">
        <f>'Monthly Data'!H405/42</f>
        <v>1.829690476190476</v>
      </c>
      <c r="H47" s="129">
        <f>'Monthly Data'!H417/42</f>
        <v>6.6307142857142862</v>
      </c>
      <c r="I47" s="129">
        <f>'Monthly Data'!H429/42</f>
        <v>12.957738095238096</v>
      </c>
      <c r="J47" s="129">
        <f>'Monthly Data'!H441/42</f>
        <v>1.4204285714285714</v>
      </c>
      <c r="K47" s="129">
        <f>'Monthly Data'!H453/42</f>
        <v>0.79392857142857143</v>
      </c>
      <c r="L47" s="123">
        <f>'[3]Monthly Gallon Summary'!C41/1000000</f>
        <v>2.5211220000000001</v>
      </c>
      <c r="M47" s="123">
        <f>'[3]Monthly Gallon Summary'!D41/1000000</f>
        <v>2.6504829999999999</v>
      </c>
      <c r="N47" s="123">
        <f>'[3]Monthly Gallon Summary'!E41/1000000</f>
        <v>6.5200319999999996</v>
      </c>
      <c r="O47" s="123">
        <f>'[3]Monthly Gallon Summary'!F41/1000000</f>
        <v>24.687905000000001</v>
      </c>
      <c r="P47" s="123">
        <f>'[3]Monthly Gallon Summary'!G41/1000000</f>
        <v>50.409126000000001</v>
      </c>
      <c r="Q47" s="123">
        <f>'[3]Monthly Gallon Summary'!H41/1000000</f>
        <v>41.162765</v>
      </c>
      <c r="R47" s="123">
        <f>'[3]Monthly Gallon Summary'!I41/1000000</f>
        <v>54.630837999999997</v>
      </c>
      <c r="S47" s="123">
        <f>'[3]Monthly Gallon Summary'!J41/1000000</f>
        <v>5.3113330000000003</v>
      </c>
      <c r="T47" s="123">
        <f>'[3]Monthly Gallon Summary'!K41/1000000</f>
        <v>16.326425</v>
      </c>
      <c r="U47" s="123">
        <f>'[3]Monthly Gallon Summary'!L41/1000000</f>
        <v>19.995093000000001</v>
      </c>
      <c r="V47" s="123">
        <f>'[3]Monthly Gallon Summary'!M41/1000000</f>
        <v>15.382342</v>
      </c>
      <c r="W47" s="123">
        <f>'[3]Monthly Gallon Summary'!N41/1000000</f>
        <v>8.7157070000000001</v>
      </c>
      <c r="X47" s="123">
        <f>'[3]Monthly Gallon Summary'!O41/1000000</f>
        <v>30.319251000000001</v>
      </c>
      <c r="Y47" s="123">
        <f>'[3]Monthly Gallon Summary'!P41/1000000</f>
        <v>22.459889</v>
      </c>
      <c r="Z47" s="124">
        <f>'[3]Monthly Gallon Summary'!Q41/1000000</f>
        <v>23.596223259005352</v>
      </c>
      <c r="AA47" s="124">
        <f>'[3]Monthly Gallon Summary'!R41/1000000</f>
        <v>11.284069686876141</v>
      </c>
      <c r="AB47" s="124">
        <f>'[3]Monthly Gallon Summary'!S41/1000000</f>
        <v>11.519100194899366</v>
      </c>
      <c r="AC47" s="124">
        <f>'[3]Monthly Gallon Summary'!T41/1000000</f>
        <v>13.361585681085302</v>
      </c>
      <c r="AD47" s="124">
        <f>'[3]Monthly Gallon Summary'!U41/1000000</f>
        <v>13.418325162611175</v>
      </c>
      <c r="AE47" s="124">
        <f>'[3]Monthly Gallon Summary'!V41/1000000</f>
        <v>14.385675142247685</v>
      </c>
      <c r="AF47" s="124">
        <f>'[3]Monthly Gallon Summary'!W41/1000000</f>
        <v>12.673055407755783</v>
      </c>
      <c r="AG47" s="124">
        <f>'[3]Monthly Gallon Summary'!X41/1000000</f>
        <v>11.498121205401731</v>
      </c>
      <c r="AH47" s="124">
        <f>'[3]Monthly Gallon Summary'!Y41/1000000</f>
        <v>10.991231091437665</v>
      </c>
      <c r="AI47" s="124">
        <f>'[3]Monthly Gallon Summary'!Z41/1000000</f>
        <v>10.698176118111125</v>
      </c>
      <c r="AJ47" s="124">
        <f>'[3]Monthly Gallon Summary'!AA41/1000000</f>
        <v>9.7861943496371975</v>
      </c>
      <c r="AK47" s="124">
        <f>'[3]Monthly Gallon Summary'!AB41/1000000</f>
        <v>7.9060996310433396</v>
      </c>
      <c r="AL47" s="124">
        <f>'[3]Monthly Gallon Summary'!AC41/1000000</f>
        <v>6.7027310940352285</v>
      </c>
      <c r="AM47" s="124">
        <f>'[3]Monthly Gallon Summary'!AD41/1000000</f>
        <v>5.4935084842169664</v>
      </c>
      <c r="AN47" s="124">
        <f>'[3]Monthly Gallon Summary'!AE41/1000000</f>
        <v>4.577448459816976</v>
      </c>
      <c r="AO47" s="124">
        <f>'[3]Monthly Gallon Summary'!AF41/1000000</f>
        <v>4.5751303564712007</v>
      </c>
      <c r="AP47" s="124">
        <f>'[3]Monthly Gallon Summary'!AG41/1000000</f>
        <v>4.5710809414974545</v>
      </c>
      <c r="AQ47" s="124">
        <f>'[3]Monthly Gallon Summary'!AH41/1000000</f>
        <v>4.574100882830205</v>
      </c>
      <c r="AR47" s="124">
        <f>'[3]Monthly Gallon Summary'!AI41/1000000</f>
        <v>4.5752458701601553</v>
      </c>
      <c r="AS47" s="124">
        <f>'[3]Monthly Gallon Summary'!AJ41/1000000</f>
        <v>4.5746037021551977</v>
      </c>
      <c r="AT47" s="124">
        <f>'[3]Monthly Gallon Summary'!AK41/1000000</f>
        <v>4.5740351506228425</v>
      </c>
      <c r="AU47" s="124">
        <f>'[3]Monthly Gallon Summary'!AL41/1000000</f>
        <v>4.5738163094531714</v>
      </c>
      <c r="AV47" s="124">
        <f>'[3]Monthly Gallon Summary'!AM41/1000000</f>
        <v>4.5743633830443153</v>
      </c>
      <c r="AW47" s="124">
        <f>'[3]Monthly Gallon Summary'!AN41/1000000</f>
        <v>4.5744158830871378</v>
      </c>
      <c r="AX47" s="124">
        <f>'[3]Monthly Gallon Summary'!AO41/1000000</f>
        <v>4.5742498856725318</v>
      </c>
      <c r="AY47" s="124">
        <f>'[3]Monthly Gallon Summary'!AP41/1000000</f>
        <v>4.5741791223760009</v>
      </c>
    </row>
    <row r="48" spans="1:51" x14ac:dyDescent="0.2">
      <c r="A48" s="19" t="s">
        <v>169</v>
      </c>
      <c r="B48" s="129">
        <f>'Monthly Data'!H346/42</f>
        <v>5.735714285714285E-2</v>
      </c>
      <c r="C48" s="129">
        <f>'Monthly Data'!H358/42</f>
        <v>0.1736904761904762</v>
      </c>
      <c r="D48" s="129">
        <f>'Monthly Data'!H370/42</f>
        <v>0.23204761904761906</v>
      </c>
      <c r="E48" s="129">
        <f>'Monthly Data'!H382/42</f>
        <v>8.9309523809523811E-2</v>
      </c>
      <c r="F48" s="129">
        <f>'Monthly Data'!H394/42</f>
        <v>0.9408333333333333</v>
      </c>
      <c r="G48" s="129">
        <f>'Monthly Data'!H406/42</f>
        <v>2.2886666666666664</v>
      </c>
      <c r="H48" s="129">
        <f>'Monthly Data'!H418/42</f>
        <v>10.056285714285714</v>
      </c>
      <c r="I48" s="129">
        <f>'Monthly Data'!H430/42</f>
        <v>22.319285714285712</v>
      </c>
      <c r="J48" s="129">
        <f>'Monthly Data'!H442/42</f>
        <v>3.0926428571428568</v>
      </c>
      <c r="K48" s="129">
        <f>'Monthly Data'!H454/42</f>
        <v>1.2801666666666667</v>
      </c>
      <c r="L48" s="123">
        <f>'[3]Monthly Gallon Summary'!C42/1000000</f>
        <v>2.5838420000000002</v>
      </c>
      <c r="M48" s="123">
        <f>'[3]Monthly Gallon Summary'!D42/1000000</f>
        <v>3.3994170000000001</v>
      </c>
      <c r="N48" s="123">
        <f>'[3]Monthly Gallon Summary'!E42/1000000</f>
        <v>17.424036000000001</v>
      </c>
      <c r="O48" s="123">
        <f>'[3]Monthly Gallon Summary'!F42/1000000</f>
        <v>13.829568</v>
      </c>
      <c r="P48" s="123">
        <f>'[3]Monthly Gallon Summary'!G42/1000000</f>
        <v>47.655602000000002</v>
      </c>
      <c r="Q48" s="123">
        <f>'[3]Monthly Gallon Summary'!H42/1000000</f>
        <v>64.517887000000002</v>
      </c>
      <c r="R48" s="123">
        <f>'[3]Monthly Gallon Summary'!I42/1000000</f>
        <v>52.041080000000001</v>
      </c>
      <c r="S48" s="123">
        <f>'[3]Monthly Gallon Summary'!J42/1000000</f>
        <v>13.020993000000001</v>
      </c>
      <c r="T48" s="123">
        <f>'[3]Monthly Gallon Summary'!K42/1000000</f>
        <v>8.8221659999999993</v>
      </c>
      <c r="U48" s="123">
        <f>'[3]Monthly Gallon Summary'!L42/1000000</f>
        <v>16.351621999999999</v>
      </c>
      <c r="V48" s="123">
        <f>'[3]Monthly Gallon Summary'!M42/1000000</f>
        <v>11.048139000000001</v>
      </c>
      <c r="W48" s="123">
        <f>'[3]Monthly Gallon Summary'!N42/1000000</f>
        <v>15.269992999999999</v>
      </c>
      <c r="X48" s="123">
        <f>'[3]Monthly Gallon Summary'!O42/1000000</f>
        <v>44.239928999999997</v>
      </c>
      <c r="Y48" s="123">
        <f>'[3]Monthly Gallon Summary'!P42/1000000</f>
        <v>24.497122000000001</v>
      </c>
      <c r="Z48" s="124">
        <f>'[3]Monthly Gallon Summary'!Q42/1000000</f>
        <v>25.261458307057051</v>
      </c>
      <c r="AA48" s="124">
        <f>'[3]Monthly Gallon Summary'!R42/1000000</f>
        <v>13.512643140852683</v>
      </c>
      <c r="AB48" s="124">
        <f>'[3]Monthly Gallon Summary'!S42/1000000</f>
        <v>14.675240080099355</v>
      </c>
      <c r="AC48" s="124">
        <f>'[3]Monthly Gallon Summary'!T42/1000000</f>
        <v>16.461263351296832</v>
      </c>
      <c r="AD48" s="124">
        <f>'[3]Monthly Gallon Summary'!U42/1000000</f>
        <v>15.407202705206883</v>
      </c>
      <c r="AE48" s="124">
        <f>'[3]Monthly Gallon Summary'!V42/1000000</f>
        <v>16.771876704647816</v>
      </c>
      <c r="AF48" s="124">
        <f>'[3]Monthly Gallon Summary'!W42/1000000</f>
        <v>15.220686279473348</v>
      </c>
      <c r="AG48" s="124">
        <f>'[3]Monthly Gallon Summary'!X42/1000000</f>
        <v>13.816565863831114</v>
      </c>
      <c r="AH48" s="124">
        <f>'[3]Monthly Gallon Summary'!Y42/1000000</f>
        <v>13.067258955889791</v>
      </c>
      <c r="AI48" s="124">
        <f>'[3]Monthly Gallon Summary'!Z42/1000000</f>
        <v>12.620998387459773</v>
      </c>
      <c r="AJ48" s="124">
        <f>'[3]Monthly Gallon Summary'!AA42/1000000</f>
        <v>11.613788619906897</v>
      </c>
      <c r="AK48" s="124">
        <f>'[3]Monthly Gallon Summary'!AB42/1000000</f>
        <v>9.4252554686917165</v>
      </c>
      <c r="AL48" s="124">
        <f>'[3]Monthly Gallon Summary'!AC42/1000000</f>
        <v>7.9758388054320024</v>
      </c>
      <c r="AM48" s="124">
        <f>'[3]Monthly Gallon Summary'!AD42/1000000</f>
        <v>6.5209041342572389</v>
      </c>
      <c r="AN48" s="124">
        <f>'[3]Monthly Gallon Summary'!AE42/1000000</f>
        <v>5.4312164002722882</v>
      </c>
      <c r="AO48" s="124">
        <f>'[3]Monthly Gallon Summary'!AF42/1000000</f>
        <v>5.4380978002513469</v>
      </c>
      <c r="AP48" s="124">
        <f>'[3]Monthly Gallon Summary'!AG42/1000000</f>
        <v>5.4361425951413427</v>
      </c>
      <c r="AQ48" s="124">
        <f>'[3]Monthly Gallon Summary'!AH42/1000000</f>
        <v>5.43568330623898</v>
      </c>
      <c r="AR48" s="124">
        <f>'[3]Monthly Gallon Summary'!AI42/1000000</f>
        <v>5.4350103146463837</v>
      </c>
      <c r="AS48" s="124">
        <f>'[3]Monthly Gallon Summary'!AJ42/1000000</f>
        <v>5.4352324833100676</v>
      </c>
      <c r="AT48" s="124">
        <f>'[3]Monthly Gallon Summary'!AK42/1000000</f>
        <v>5.4360360999176232</v>
      </c>
      <c r="AU48" s="124">
        <f>'[3]Monthly Gallon Summary'!AL42/1000000</f>
        <v>5.4356239598508793</v>
      </c>
      <c r="AV48" s="124">
        <f>'[3]Monthly Gallon Summary'!AM42/1000000</f>
        <v>5.4355202327927872</v>
      </c>
      <c r="AW48" s="124">
        <f>'[3]Monthly Gallon Summary'!AN42/1000000</f>
        <v>5.435487618103549</v>
      </c>
      <c r="AX48" s="124">
        <f>'[3]Monthly Gallon Summary'!AO42/1000000</f>
        <v>5.4355830787949815</v>
      </c>
      <c r="AY48" s="124">
        <f>'[3]Monthly Gallon Summary'!AP42/1000000</f>
        <v>5.4356531978919644</v>
      </c>
    </row>
    <row r="49" spans="1:51" x14ac:dyDescent="0.2">
      <c r="A49" s="19" t="s">
        <v>170</v>
      </c>
      <c r="B49" s="129">
        <f>'Monthly Data'!H347/42</f>
        <v>0.29914285714285715</v>
      </c>
      <c r="C49" s="129">
        <f>'Monthly Data'!H359/42</f>
        <v>0.16747619047619047</v>
      </c>
      <c r="D49" s="129">
        <f>'Monthly Data'!H371/42</f>
        <v>0.34645238095238096</v>
      </c>
      <c r="E49" s="129">
        <f>'Monthly Data'!H383/42</f>
        <v>0.22361904761904761</v>
      </c>
      <c r="F49" s="129">
        <f>'Monthly Data'!H395/42</f>
        <v>0.27692857142857141</v>
      </c>
      <c r="G49" s="129">
        <f>'Monthly Data'!H407/42</f>
        <v>2.172857142857143</v>
      </c>
      <c r="H49" s="129">
        <f>'Monthly Data'!H419/42</f>
        <v>7.3704999999999998</v>
      </c>
      <c r="I49" s="129">
        <f>'Monthly Data'!H431/42</f>
        <v>22.361357142857145</v>
      </c>
      <c r="J49" s="129">
        <f>'Monthly Data'!H443/42</f>
        <v>3.0197857142857143</v>
      </c>
      <c r="K49" s="129">
        <f>'Monthly Data'!H455/42</f>
        <v>1.689095238095238</v>
      </c>
      <c r="L49" s="123">
        <f>'[3]Monthly Gallon Summary'!C43/1000000</f>
        <v>4.6449790000000002</v>
      </c>
      <c r="M49" s="123">
        <f>'[3]Monthly Gallon Summary'!D43/1000000</f>
        <v>4.0036649999999998</v>
      </c>
      <c r="N49" s="123">
        <f>'[3]Monthly Gallon Summary'!E43/1000000</f>
        <v>20.231679</v>
      </c>
      <c r="O49" s="123">
        <f>'[3]Monthly Gallon Summary'!F43/1000000</f>
        <v>21.700223000000001</v>
      </c>
      <c r="P49" s="123">
        <f>'[3]Monthly Gallon Summary'!G43/1000000</f>
        <v>24.990487999999999</v>
      </c>
      <c r="Q49" s="123">
        <f>'[3]Monthly Gallon Summary'!H43/1000000</f>
        <v>90.173985999999999</v>
      </c>
      <c r="R49" s="123">
        <f>'[3]Monthly Gallon Summary'!I43/1000000</f>
        <v>27.897293000000001</v>
      </c>
      <c r="S49" s="123">
        <f>'[3]Monthly Gallon Summary'!J43/1000000</f>
        <v>11.814679</v>
      </c>
      <c r="T49" s="123">
        <f>'[3]Monthly Gallon Summary'!K43/1000000</f>
        <v>14.859019999999999</v>
      </c>
      <c r="U49" s="123">
        <f>'[3]Monthly Gallon Summary'!L43/1000000</f>
        <v>14.054214</v>
      </c>
      <c r="V49" s="123">
        <f>'[3]Monthly Gallon Summary'!M43/1000000</f>
        <v>11.792294999999999</v>
      </c>
      <c r="W49" s="123">
        <f>'[3]Monthly Gallon Summary'!N43/1000000</f>
        <v>19.091391000000002</v>
      </c>
      <c r="X49" s="123">
        <f>'[3]Monthly Gallon Summary'!O43/1000000</f>
        <v>42.614485999999999</v>
      </c>
      <c r="Y49" s="123">
        <f>'[3]Monthly Gallon Summary'!P43/1000000</f>
        <v>26.648067999999999</v>
      </c>
      <c r="Z49" s="124">
        <f>'[3]Monthly Gallon Summary'!Q43/1000000</f>
        <v>26.401629575841646</v>
      </c>
      <c r="AA49" s="124">
        <f>'[3]Monthly Gallon Summary'!R43/1000000</f>
        <v>13.971002642596131</v>
      </c>
      <c r="AB49" s="124">
        <f>'[3]Monthly Gallon Summary'!S43/1000000</f>
        <v>15.128884448407081</v>
      </c>
      <c r="AC49" s="124">
        <f>'[3]Monthly Gallon Summary'!T43/1000000</f>
        <v>16.518882187209332</v>
      </c>
      <c r="AD49" s="124">
        <f>'[3]Monthly Gallon Summary'!U43/1000000</f>
        <v>16.102549226461957</v>
      </c>
      <c r="AE49" s="124">
        <f>'[3]Monthly Gallon Summary'!V43/1000000</f>
        <v>17.323314579930528</v>
      </c>
      <c r="AF49" s="124">
        <f>'[3]Monthly Gallon Summary'!W43/1000000</f>
        <v>15.659785799780241</v>
      </c>
      <c r="AG49" s="124">
        <f>'[3]Monthly Gallon Summary'!X43/1000000</f>
        <v>14.20310100549994</v>
      </c>
      <c r="AH49" s="124">
        <f>'[3]Monthly Gallon Summary'!Y43/1000000</f>
        <v>13.425583087662391</v>
      </c>
      <c r="AI49" s="124">
        <f>'[3]Monthly Gallon Summary'!Z43/1000000</f>
        <v>13.033988735323918</v>
      </c>
      <c r="AJ49" s="124">
        <f>'[3]Monthly Gallon Summary'!AA43/1000000</f>
        <v>11.96276519117921</v>
      </c>
      <c r="AK49" s="124">
        <f>'[3]Monthly Gallon Summary'!AB43/1000000</f>
        <v>9.7017257885551285</v>
      </c>
      <c r="AL49" s="124">
        <f>'[3]Monthly Gallon Summary'!AC43/1000000</f>
        <v>8.2107640944961258</v>
      </c>
      <c r="AM49" s="124">
        <f>'[3]Monthly Gallon Summary'!AD43/1000000</f>
        <v>6.7154098288072968</v>
      </c>
      <c r="AN49" s="124">
        <f>'[3]Monthly Gallon Summary'!AE43/1000000</f>
        <v>5.5967654479355273</v>
      </c>
      <c r="AO49" s="124">
        <f>'[3]Monthly Gallon Summary'!AF43/1000000</f>
        <v>5.6001013740230023</v>
      </c>
      <c r="AP49" s="124">
        <f>'[3]Monthly Gallon Summary'!AG43/1000000</f>
        <v>5.5976197709089188</v>
      </c>
      <c r="AQ49" s="124">
        <f>'[3]Monthly Gallon Summary'!AH43/1000000</f>
        <v>5.5977646205007412</v>
      </c>
      <c r="AR49" s="124">
        <f>'[3]Monthly Gallon Summary'!AI43/1000000</f>
        <v>5.5976289311875931</v>
      </c>
      <c r="AS49" s="124">
        <f>'[3]Monthly Gallon Summary'!AJ43/1000000</f>
        <v>5.5979784289111567</v>
      </c>
      <c r="AT49" s="124">
        <f>'[3]Monthly Gallon Summary'!AK43/1000000</f>
        <v>5.5982214251062823</v>
      </c>
      <c r="AU49" s="124">
        <f>'[3]Monthly Gallon Summary'!AL43/1000000</f>
        <v>5.5978456353229387</v>
      </c>
      <c r="AV49" s="124">
        <f>'[3]Monthly Gallon Summary'!AM43/1000000</f>
        <v>5.5978908082057437</v>
      </c>
      <c r="AW49" s="124">
        <f>'[3]Monthly Gallon Summary'!AN43/1000000</f>
        <v>5.597916045746743</v>
      </c>
      <c r="AX49" s="124">
        <f>'[3]Monthly Gallon Summary'!AO43/1000000</f>
        <v>5.5979734686585729</v>
      </c>
      <c r="AY49" s="124">
        <f>'[3]Monthly Gallon Summary'!AP43/1000000</f>
        <v>5.5979724766080565</v>
      </c>
    </row>
    <row r="50" spans="1:51" x14ac:dyDescent="0.2">
      <c r="A50" s="19" t="s">
        <v>171</v>
      </c>
      <c r="B50" s="129">
        <f>'Monthly Data'!H348/42</f>
        <v>0.31702380952380949</v>
      </c>
      <c r="C50" s="129">
        <f>'Monthly Data'!H360/42</f>
        <v>0.20983333333333334</v>
      </c>
      <c r="D50" s="129">
        <f>'Monthly Data'!H372/42</f>
        <v>7.052380952380953E-2</v>
      </c>
      <c r="E50" s="129">
        <f>'Monthly Data'!H384/42</f>
        <v>0.23895238095238094</v>
      </c>
      <c r="F50" s="129">
        <f>'Monthly Data'!H396/42</f>
        <v>0.19635714285714284</v>
      </c>
      <c r="G50" s="129">
        <f>'Monthly Data'!H408/42</f>
        <v>2.4838095238095237</v>
      </c>
      <c r="H50" s="129">
        <f>'Monthly Data'!H420/42</f>
        <v>10.534738095238096</v>
      </c>
      <c r="I50" s="129">
        <f>'Monthly Data'!H432/42</f>
        <v>17.750738095238095</v>
      </c>
      <c r="J50" s="129">
        <f>'Monthly Data'!H444/42</f>
        <v>3.9139523809523808</v>
      </c>
      <c r="K50" s="129">
        <f>'Monthly Data'!H456/42</f>
        <v>0.44492857142857145</v>
      </c>
      <c r="L50" s="123">
        <f>'[3]Monthly Gallon Summary'!C44/1000000</f>
        <v>4.5533659999999996</v>
      </c>
      <c r="M50" s="123">
        <f>'[3]Monthly Gallon Summary'!D44/1000000</f>
        <v>1.8134950000000001</v>
      </c>
      <c r="N50" s="123">
        <f>'[3]Monthly Gallon Summary'!E44/1000000</f>
        <v>21.399709999999999</v>
      </c>
      <c r="O50" s="123">
        <f>'[3]Monthly Gallon Summary'!F44/1000000</f>
        <v>21.877641000000001</v>
      </c>
      <c r="P50" s="123">
        <f>'[3]Monthly Gallon Summary'!G44/1000000</f>
        <v>49.009535</v>
      </c>
      <c r="Q50" s="123">
        <f>'[3]Monthly Gallon Summary'!H44/1000000</f>
        <v>66.892360999999994</v>
      </c>
      <c r="R50" s="123">
        <f>'[3]Monthly Gallon Summary'!I44/1000000</f>
        <v>36.685626999999997</v>
      </c>
      <c r="S50" s="123">
        <f>'[3]Monthly Gallon Summary'!J44/1000000</f>
        <v>20.321432000000001</v>
      </c>
      <c r="T50" s="123">
        <f>'[3]Monthly Gallon Summary'!K44/1000000</f>
        <v>13.781446000000001</v>
      </c>
      <c r="U50" s="123">
        <f>'[3]Monthly Gallon Summary'!L44/1000000</f>
        <v>15.282501999999999</v>
      </c>
      <c r="V50" s="123">
        <f>'[3]Monthly Gallon Summary'!M44/1000000</f>
        <v>17.888148000000001</v>
      </c>
      <c r="W50" s="123">
        <f>'[3]Monthly Gallon Summary'!N44/1000000</f>
        <v>17.330959</v>
      </c>
      <c r="X50" s="123">
        <f>'[3]Monthly Gallon Summary'!O44/1000000</f>
        <v>57.044013</v>
      </c>
      <c r="Y50" s="123">
        <f>'[3]Monthly Gallon Summary'!P44/1000000</f>
        <v>26.663796000000001</v>
      </c>
      <c r="Z50" s="124">
        <f>'[3]Monthly Gallon Summary'!Q44/1000000</f>
        <v>28.227264880465722</v>
      </c>
      <c r="AA50" s="124">
        <f>'[3]Monthly Gallon Summary'!R44/1000000</f>
        <v>16.526740701209963</v>
      </c>
      <c r="AB50" s="124">
        <f>'[3]Monthly Gallon Summary'!S44/1000000</f>
        <v>17.425671885121524</v>
      </c>
      <c r="AC50" s="124">
        <f>'[3]Monthly Gallon Summary'!T44/1000000</f>
        <v>19.654335353572218</v>
      </c>
      <c r="AD50" s="124">
        <f>'[3]Monthly Gallon Summary'!U44/1000000</f>
        <v>17.706683433902683</v>
      </c>
      <c r="AE50" s="124">
        <f>'[3]Monthly Gallon Summary'!V44/1000000</f>
        <v>19.567829178190241</v>
      </c>
      <c r="AF50" s="124">
        <f>'[3]Monthly Gallon Summary'!W44/1000000</f>
        <v>18.004778033886126</v>
      </c>
      <c r="AG50" s="124">
        <f>'[3]Monthly Gallon Summary'!X44/1000000</f>
        <v>16.248394998229472</v>
      </c>
      <c r="AH50" s="124">
        <f>'[3]Monthly Gallon Summary'!Y44/1000000</f>
        <v>15.339031569720126</v>
      </c>
      <c r="AI50" s="124">
        <f>'[3]Monthly Gallon Summary'!Z44/1000000</f>
        <v>14.758908264502438</v>
      </c>
      <c r="AJ50" s="124">
        <f>'[3]Monthly Gallon Summary'!AA44/1000000</f>
        <v>13.631503276268573</v>
      </c>
      <c r="AK50" s="124">
        <f>'[3]Monthly Gallon Summary'!AB44/1000000</f>
        <v>11.079497375452325</v>
      </c>
      <c r="AL50" s="124">
        <f>'[3]Monthly Gallon Summary'!AC44/1000000</f>
        <v>9.3608465907293681</v>
      </c>
      <c r="AM50" s="124">
        <f>'[3]Monthly Gallon Summary'!AD44/1000000</f>
        <v>7.6493785919212645</v>
      </c>
      <c r="AN50" s="124">
        <f>'[3]Monthly Gallon Summary'!AE44/1000000</f>
        <v>6.3699399359632292</v>
      </c>
      <c r="AO50" s="124">
        <f>'[3]Monthly Gallon Summary'!AF44/1000000</f>
        <v>6.3837830668585962</v>
      </c>
      <c r="AP50" s="124">
        <f>'[3]Monthly Gallon Summary'!AG44/1000000</f>
        <v>6.3817883688944965</v>
      </c>
      <c r="AQ50" s="124">
        <f>'[3]Monthly Gallon Summary'!AH44/1000000</f>
        <v>6.3786603919471094</v>
      </c>
      <c r="AR50" s="124">
        <f>'[3]Monthly Gallon Summary'!AI44/1000000</f>
        <v>6.3776076453047503</v>
      </c>
      <c r="AS50" s="124">
        <f>'[3]Monthly Gallon Summary'!AJ44/1000000</f>
        <v>6.378358281793636</v>
      </c>
      <c r="AT50" s="124">
        <f>'[3]Monthly Gallon Summary'!AK44/1000000</f>
        <v>6.3800423509597177</v>
      </c>
      <c r="AU50" s="124">
        <f>'[3]Monthly Gallon Summary'!AL44/1000000</f>
        <v>6.3792944077799412</v>
      </c>
      <c r="AV50" s="124">
        <f>'[3]Monthly Gallon Summary'!AM44/1000000</f>
        <v>6.3787956155570313</v>
      </c>
      <c r="AW50" s="124">
        <f>'[3]Monthly Gallon Summary'!AN44/1000000</f>
        <v>6.378822660279015</v>
      </c>
      <c r="AX50" s="124">
        <f>'[3]Monthly Gallon Summary'!AO44/1000000</f>
        <v>6.3790656632738685</v>
      </c>
      <c r="AY50" s="124">
        <f>'[3]Monthly Gallon Summary'!AP44/1000000</f>
        <v>6.379207139569913</v>
      </c>
    </row>
    <row r="51" spans="1:51" x14ac:dyDescent="0.2">
      <c r="A51" s="19" t="s">
        <v>172</v>
      </c>
      <c r="B51" s="129">
        <f>'Monthly Data'!H349/42</f>
        <v>0.45888095238095239</v>
      </c>
      <c r="C51" s="129">
        <f>'Monthly Data'!H361/42</f>
        <v>0.27380952380952384</v>
      </c>
      <c r="D51" s="129">
        <f>'Monthly Data'!H373/42</f>
        <v>0.69950000000000001</v>
      </c>
      <c r="E51" s="129">
        <f>'Monthly Data'!H385/42</f>
        <v>0.16052380952380951</v>
      </c>
      <c r="F51" s="129">
        <f>'Monthly Data'!H397/42</f>
        <v>0.5718333333333333</v>
      </c>
      <c r="G51" s="129">
        <f>'Monthly Data'!H409/42</f>
        <v>4.6077619047619054</v>
      </c>
      <c r="H51" s="129">
        <f>'Monthly Data'!H421/42</f>
        <v>6.0324285714285715</v>
      </c>
      <c r="I51" s="129">
        <f>'Monthly Data'!H433/42</f>
        <v>15.054666666666668</v>
      </c>
      <c r="J51" s="129">
        <f>'Monthly Data'!H445/42</f>
        <v>2.585809523809524</v>
      </c>
      <c r="K51" s="129">
        <f>'Monthly Data'!H457/42</f>
        <v>0.73761904761904762</v>
      </c>
      <c r="L51" s="123">
        <f>'[3]Monthly Gallon Summary'!C45/1000000</f>
        <v>3.1946910000000002</v>
      </c>
      <c r="M51" s="123">
        <f>'[3]Monthly Gallon Summary'!D45/1000000</f>
        <v>0.80968200000000001</v>
      </c>
      <c r="N51" s="123">
        <f>'[3]Monthly Gallon Summary'!E45/1000000</f>
        <v>29.530581999999999</v>
      </c>
      <c r="O51" s="123">
        <f>'[3]Monthly Gallon Summary'!F45/1000000</f>
        <v>32.014643</v>
      </c>
      <c r="P51" s="123">
        <f>'[3]Monthly Gallon Summary'!G45/1000000</f>
        <v>29.950806</v>
      </c>
      <c r="Q51" s="123">
        <f>'[3]Monthly Gallon Summary'!H45/1000000</f>
        <v>85.678432999999998</v>
      </c>
      <c r="R51" s="123">
        <f>'[3]Monthly Gallon Summary'!I45/1000000</f>
        <v>24.382224999999998</v>
      </c>
      <c r="S51" s="123">
        <f>'[3]Monthly Gallon Summary'!J45/1000000</f>
        <v>12.920360000000001</v>
      </c>
      <c r="T51" s="123">
        <f>'[3]Monthly Gallon Summary'!K45/1000000</f>
        <v>15.235613000000001</v>
      </c>
      <c r="U51" s="123">
        <f>'[3]Monthly Gallon Summary'!L45/1000000</f>
        <v>21.944489999999998</v>
      </c>
      <c r="V51" s="123">
        <f>'[3]Monthly Gallon Summary'!M45/1000000</f>
        <v>21.482583000000002</v>
      </c>
      <c r="W51" s="123">
        <f>'[3]Monthly Gallon Summary'!N45/1000000</f>
        <v>33.817396000000002</v>
      </c>
      <c r="X51" s="123">
        <f>'[3]Monthly Gallon Summary'!O45/1000000</f>
        <v>42.541477</v>
      </c>
      <c r="Y51" s="123">
        <f>'[3]Monthly Gallon Summary'!P45/1000000</f>
        <v>22.9757</v>
      </c>
      <c r="Z51" s="124">
        <f>'[3]Monthly Gallon Summary'!Q45/1000000</f>
        <v>29.089714154138417</v>
      </c>
      <c r="AA51" s="124">
        <f>'[3]Monthly Gallon Summary'!R45/1000000</f>
        <v>16.835892514531153</v>
      </c>
      <c r="AB51" s="124">
        <f>'[3]Monthly Gallon Summary'!S45/1000000</f>
        <v>17.362014362543029</v>
      </c>
      <c r="AC51" s="124">
        <f>'[3]Monthly Gallon Summary'!T45/1000000</f>
        <v>17.352911870414303</v>
      </c>
      <c r="AD51" s="124">
        <f>'[3]Monthly Gallon Summary'!U45/1000000</f>
        <v>16.910017396205621</v>
      </c>
      <c r="AE51" s="124">
        <f>'[3]Monthly Gallon Summary'!V45/1000000</f>
        <v>19.17660390470212</v>
      </c>
      <c r="AF51" s="124">
        <f>'[3]Monthly Gallon Summary'!W45/1000000</f>
        <v>17.362134349210574</v>
      </c>
      <c r="AG51" s="124">
        <f>'[3]Monthly Gallon Summary'!X45/1000000</f>
        <v>15.510277368318864</v>
      </c>
      <c r="AH51" s="124">
        <f>'[3]Monthly Gallon Summary'!Y45/1000000</f>
        <v>14.519766429900246</v>
      </c>
      <c r="AI51" s="124">
        <f>'[3]Monthly Gallon Summary'!Z45/1000000</f>
        <v>14.183291168406845</v>
      </c>
      <c r="AJ51" s="124">
        <f>'[3]Monthly Gallon Summary'!AA45/1000000</f>
        <v>13.117088035823537</v>
      </c>
      <c r="AK51" s="124">
        <f>'[3]Monthly Gallon Summary'!AB45/1000000</f>
        <v>10.612057328651156</v>
      </c>
      <c r="AL51" s="124">
        <f>'[3]Monthly Gallon Summary'!AC45/1000000</f>
        <v>8.9505063909234384</v>
      </c>
      <c r="AM51" s="124">
        <f>'[3]Monthly Gallon Summary'!AD45/1000000</f>
        <v>7.3171441613688346</v>
      </c>
      <c r="AN51" s="124">
        <f>'[3]Monthly Gallon Summary'!AE45/1000000</f>
        <v>6.1105361374256182</v>
      </c>
      <c r="AO51" s="124">
        <f>'[3]Monthly Gallon Summary'!AF45/1000000</f>
        <v>6.1204423080786619</v>
      </c>
      <c r="AP51" s="124">
        <f>'[3]Monthly Gallon Summary'!AG45/1000000</f>
        <v>6.111044738507454</v>
      </c>
      <c r="AQ51" s="124">
        <f>'[3]Monthly Gallon Summary'!AH45/1000000</f>
        <v>6.1075904828771774</v>
      </c>
      <c r="AR51" s="124">
        <f>'[3]Monthly Gallon Summary'!AI45/1000000</f>
        <v>6.108993697741874</v>
      </c>
      <c r="AS51" s="124">
        <f>'[3]Monthly Gallon Summary'!AJ45/1000000</f>
        <v>6.1117238729261567</v>
      </c>
      <c r="AT51" s="124">
        <f>'[3]Monthly Gallon Summary'!AK45/1000000</f>
        <v>6.1119618200262646</v>
      </c>
      <c r="AU51" s="124">
        <f>'[3]Monthly Gallon Summary'!AL45/1000000</f>
        <v>6.1102659224157847</v>
      </c>
      <c r="AV51" s="124">
        <f>'[3]Monthly Gallon Summary'!AM45/1000000</f>
        <v>6.1101101591974505</v>
      </c>
      <c r="AW51" s="124">
        <f>'[3]Monthly Gallon Summary'!AN45/1000000</f>
        <v>6.1106140944615062</v>
      </c>
      <c r="AX51" s="124">
        <f>'[3]Monthly Gallon Summary'!AO45/1000000</f>
        <v>6.1109381738054314</v>
      </c>
      <c r="AY51" s="124">
        <f>'[3]Monthly Gallon Summary'!AP45/1000000</f>
        <v>6.1107810339812882</v>
      </c>
    </row>
    <row r="52" spans="1:51" x14ac:dyDescent="0.2">
      <c r="A52" s="19" t="s">
        <v>173</v>
      </c>
      <c r="B52" s="129">
        <f>'Monthly Data'!H350/42</f>
        <v>4.757142857142857E-2</v>
      </c>
      <c r="C52" s="129">
        <f>'Monthly Data'!H362/42</f>
        <v>0.24714285714285716</v>
      </c>
      <c r="D52" s="129">
        <f>'Monthly Data'!H374/42</f>
        <v>8.1619047619047619E-2</v>
      </c>
      <c r="E52" s="129">
        <f>'Monthly Data'!H386/42</f>
        <v>0.11007142857142857</v>
      </c>
      <c r="F52" s="129">
        <f>'Monthly Data'!H398/42</f>
        <v>0.26399999999999996</v>
      </c>
      <c r="G52" s="129">
        <f>'Monthly Data'!H410/42</f>
        <v>5.0738809523809527</v>
      </c>
      <c r="H52" s="129">
        <f>'Monthly Data'!H422/42</f>
        <v>13.272500000000001</v>
      </c>
      <c r="I52" s="129">
        <f>'Monthly Data'!H434/42</f>
        <v>9.9395000000000007</v>
      </c>
      <c r="J52" s="129">
        <f>'Monthly Data'!H446/42</f>
        <v>4.0719285714285709</v>
      </c>
      <c r="K52" s="129">
        <f>'Monthly Data'!H458/42</f>
        <v>0.83740476190476187</v>
      </c>
      <c r="L52" s="123">
        <f>'[3]Monthly Gallon Summary'!C46/1000000</f>
        <v>10.38968</v>
      </c>
      <c r="M52" s="123">
        <f>'[3]Monthly Gallon Summary'!D46/1000000</f>
        <v>0.73224500000000003</v>
      </c>
      <c r="N52" s="123">
        <f>'[3]Monthly Gallon Summary'!E46/1000000</f>
        <v>45.701773000000003</v>
      </c>
      <c r="O52" s="123">
        <f>'[3]Monthly Gallon Summary'!F46/1000000</f>
        <v>24.806004000000001</v>
      </c>
      <c r="P52" s="123">
        <f>'[3]Monthly Gallon Summary'!G46/1000000</f>
        <v>42.379835999999997</v>
      </c>
      <c r="Q52" s="123">
        <f>'[3]Monthly Gallon Summary'!H46/1000000</f>
        <v>126.18708100000001</v>
      </c>
      <c r="R52" s="123">
        <f>'[3]Monthly Gallon Summary'!I46/1000000</f>
        <v>31.116816</v>
      </c>
      <c r="S52" s="123">
        <f>'[3]Monthly Gallon Summary'!J46/1000000</f>
        <v>29.600921</v>
      </c>
      <c r="T52" s="123">
        <f>'[3]Monthly Gallon Summary'!K46/1000000</f>
        <v>24.318415000000002</v>
      </c>
      <c r="U52" s="123">
        <f>'[3]Monthly Gallon Summary'!L46/1000000</f>
        <v>24.004702000000002</v>
      </c>
      <c r="V52" s="123">
        <f>'[3]Monthly Gallon Summary'!M46/1000000</f>
        <v>51.260933999999999</v>
      </c>
      <c r="W52" s="123">
        <f>'[3]Monthly Gallon Summary'!N46/1000000</f>
        <v>43.008881000000002</v>
      </c>
      <c r="X52" s="123">
        <f>'[3]Monthly Gallon Summary'!O46/1000000</f>
        <v>68.856138000000001</v>
      </c>
      <c r="Y52" s="123">
        <f>'[3]Monthly Gallon Summary'!P46/1000000</f>
        <v>31.390219999999999</v>
      </c>
      <c r="Z52" s="124">
        <f>'[3]Monthly Gallon Summary'!Q46/1000000</f>
        <v>106.84325826049849</v>
      </c>
      <c r="AA52" s="124">
        <f>'[3]Monthly Gallon Summary'!R46/1000000</f>
        <v>33.3666791732769</v>
      </c>
      <c r="AB52" s="124">
        <f>'[3]Monthly Gallon Summary'!S46/1000000</f>
        <v>33.371316260606854</v>
      </c>
      <c r="AC52" s="124">
        <f>'[3]Monthly Gallon Summary'!T46/1000000</f>
        <v>36.31652092346507</v>
      </c>
      <c r="AD52" s="124">
        <f>'[3]Monthly Gallon Summary'!U46/1000000</f>
        <v>39.377847198489519</v>
      </c>
      <c r="AE52" s="124">
        <f>'[3]Monthly Gallon Summary'!V46/1000000</f>
        <v>49.002900015177367</v>
      </c>
      <c r="AF52" s="124">
        <f>'[3]Monthly Gallon Summary'!W46/1000000</f>
        <v>37.925854103691755</v>
      </c>
      <c r="AG52" s="124">
        <f>'[3]Monthly Gallon Summary'!X46/1000000</f>
        <v>34.480503069696127</v>
      </c>
      <c r="AH52" s="124">
        <f>'[3]Monthly Gallon Summary'!Y46/1000000</f>
        <v>33.157619211115481</v>
      </c>
      <c r="AI52" s="124">
        <f>'[3]Monthly Gallon Summary'!Z46/1000000</f>
        <v>32.951773426873594</v>
      </c>
      <c r="AJ52" s="124">
        <f>'[3]Monthly Gallon Summary'!AA46/1000000</f>
        <v>30.459882205328597</v>
      </c>
      <c r="AK52" s="124">
        <f>'[3]Monthly Gallon Summary'!AB46/1000000</f>
        <v>24.007466843903511</v>
      </c>
      <c r="AL52" s="124">
        <f>'[3]Monthly Gallon Summary'!AC46/1000000</f>
        <v>20.426702902108865</v>
      </c>
      <c r="AM52" s="124">
        <f>'[3]Monthly Gallon Summary'!AD46/1000000</f>
        <v>16.80835763316518</v>
      </c>
      <c r="AN52" s="124">
        <f>'[3]Monthly Gallon Summary'!AE46/1000000</f>
        <v>14.058742444892451</v>
      </c>
      <c r="AO52" s="124">
        <f>'[3]Monthly Gallon Summary'!AF46/1000000</f>
        <v>14.039090977353789</v>
      </c>
      <c r="AP52" s="124">
        <f>'[3]Monthly Gallon Summary'!AG46/1000000</f>
        <v>13.959431375222467</v>
      </c>
      <c r="AQ52" s="124">
        <f>'[3]Monthly Gallon Summary'!AH46/1000000</f>
        <v>13.992764294013426</v>
      </c>
      <c r="AR52" s="124">
        <f>'[3]Monthly Gallon Summary'!AI46/1000000</f>
        <v>14.011230023970642</v>
      </c>
      <c r="AS52" s="124">
        <f>'[3]Monthly Gallon Summary'!AJ46/1000000</f>
        <v>14.01225422309056</v>
      </c>
      <c r="AT52" s="124">
        <f>'[3]Monthly Gallon Summary'!AK46/1000000</f>
        <v>14.002956978730186</v>
      </c>
      <c r="AU52" s="124">
        <f>'[3]Monthly Gallon Summary'!AL46/1000000</f>
        <v>13.995730379005455</v>
      </c>
      <c r="AV52" s="124">
        <f>'[3]Monthly Gallon Summary'!AM46/1000000</f>
        <v>14.002990179762051</v>
      </c>
      <c r="AW52" s="124">
        <f>'[3]Monthly Gallon Summary'!AN46/1000000</f>
        <v>14.005035356911778</v>
      </c>
      <c r="AX52" s="124">
        <f>'[3]Monthly Gallon Summary'!AO46/1000000</f>
        <v>14.00379642350001</v>
      </c>
      <c r="AY52" s="124">
        <f>'[3]Monthly Gallon Summary'!AP46/1000000</f>
        <v>14.002104863581895</v>
      </c>
    </row>
    <row r="53" spans="1:51" x14ac:dyDescent="0.2">
      <c r="A53" s="117" t="s">
        <v>174</v>
      </c>
      <c r="B53" s="130">
        <f t="shared" ref="B53:L53" si="20">SUM(B41:B52)</f>
        <v>1.9267380952380955</v>
      </c>
      <c r="C53" s="130">
        <f t="shared" si="20"/>
        <v>4.6985952380952378</v>
      </c>
      <c r="D53" s="130">
        <f t="shared" si="20"/>
        <v>2.3048571428571427</v>
      </c>
      <c r="E53" s="130">
        <f t="shared" si="20"/>
        <v>2.3938809523809521</v>
      </c>
      <c r="F53" s="130">
        <f t="shared" si="20"/>
        <v>5.0878571428571426</v>
      </c>
      <c r="G53" s="130">
        <f t="shared" si="20"/>
        <v>26.317</v>
      </c>
      <c r="H53" s="130">
        <f t="shared" si="20"/>
        <v>82.261047619047616</v>
      </c>
      <c r="I53" s="130">
        <f t="shared" si="20"/>
        <v>184.64359523809526</v>
      </c>
      <c r="J53" s="130">
        <f t="shared" si="20"/>
        <v>45.378</v>
      </c>
      <c r="K53" s="130">
        <f t="shared" si="20"/>
        <v>13.427523809523809</v>
      </c>
      <c r="L53" s="130">
        <f t="shared" si="20"/>
        <v>44.459571999999994</v>
      </c>
      <c r="M53" s="130">
        <f t="shared" ref="M53:Y53" si="21">SUM(M41:M52)</f>
        <v>33.446861999999996</v>
      </c>
      <c r="N53" s="130">
        <f t="shared" si="21"/>
        <v>183.79637399999999</v>
      </c>
      <c r="O53" s="130">
        <f t="shared" si="21"/>
        <v>181.51008099999999</v>
      </c>
      <c r="P53" s="130">
        <f t="shared" si="21"/>
        <v>335.66485599999999</v>
      </c>
      <c r="Q53" s="130">
        <f t="shared" si="21"/>
        <v>674.168317</v>
      </c>
      <c r="R53" s="130">
        <f t="shared" si="21"/>
        <v>461.91464400000007</v>
      </c>
      <c r="S53" s="130">
        <f t="shared" si="21"/>
        <v>175.141321</v>
      </c>
      <c r="T53" s="130">
        <f t="shared" si="21"/>
        <v>184.74155299999995</v>
      </c>
      <c r="U53" s="131">
        <f t="shared" si="21"/>
        <v>209.493674</v>
      </c>
      <c r="V53" s="131">
        <f t="shared" si="21"/>
        <v>208.45072699999997</v>
      </c>
      <c r="W53" s="131">
        <f t="shared" si="21"/>
        <v>240.324591</v>
      </c>
      <c r="X53" s="131">
        <f t="shared" si="21"/>
        <v>511.34665100000001</v>
      </c>
      <c r="Y53" s="131">
        <f t="shared" si="21"/>
        <v>404.28373199999999</v>
      </c>
      <c r="Z53" s="132">
        <f t="shared" ref="Z53:AY53" si="22">Z6</f>
        <v>340</v>
      </c>
      <c r="AA53" s="132">
        <f t="shared" si="22"/>
        <v>190</v>
      </c>
      <c r="AB53" s="132">
        <f t="shared" si="22"/>
        <v>200</v>
      </c>
      <c r="AC53" s="132">
        <f t="shared" si="22"/>
        <v>220</v>
      </c>
      <c r="AD53" s="132">
        <f t="shared" si="22"/>
        <v>220</v>
      </c>
      <c r="AE53" s="132">
        <f t="shared" si="22"/>
        <v>230</v>
      </c>
      <c r="AF53" s="132">
        <f t="shared" si="22"/>
        <v>210</v>
      </c>
      <c r="AG53" s="132">
        <f t="shared" si="22"/>
        <v>190</v>
      </c>
      <c r="AH53" s="132">
        <f t="shared" si="22"/>
        <v>180</v>
      </c>
      <c r="AI53" s="132">
        <f t="shared" si="22"/>
        <v>175</v>
      </c>
      <c r="AJ53" s="132">
        <f t="shared" si="22"/>
        <v>160</v>
      </c>
      <c r="AK53" s="132">
        <f t="shared" si="22"/>
        <v>130</v>
      </c>
      <c r="AL53" s="132">
        <f t="shared" si="22"/>
        <v>110</v>
      </c>
      <c r="AM53" s="132">
        <f t="shared" si="22"/>
        <v>90</v>
      </c>
      <c r="AN53" s="132">
        <f t="shared" si="22"/>
        <v>75</v>
      </c>
      <c r="AO53" s="132">
        <f t="shared" si="22"/>
        <v>75</v>
      </c>
      <c r="AP53" s="132">
        <f t="shared" si="22"/>
        <v>75</v>
      </c>
      <c r="AQ53" s="132">
        <f t="shared" si="22"/>
        <v>75.000011999999998</v>
      </c>
      <c r="AR53" s="132">
        <f t="shared" si="22"/>
        <v>75.000023999999996</v>
      </c>
      <c r="AS53" s="132">
        <f t="shared" si="22"/>
        <v>75.000035999999994</v>
      </c>
      <c r="AT53" s="132">
        <f t="shared" si="22"/>
        <v>75.000048000000007</v>
      </c>
      <c r="AU53" s="132">
        <f t="shared" si="22"/>
        <v>75.000060000000005</v>
      </c>
      <c r="AV53" s="132">
        <f t="shared" si="22"/>
        <v>75.000072000000003</v>
      </c>
      <c r="AW53" s="132">
        <f t="shared" si="22"/>
        <v>75.000084000000001</v>
      </c>
      <c r="AX53" s="132">
        <f t="shared" si="22"/>
        <v>75.000095999999999</v>
      </c>
      <c r="AY53" s="132">
        <f t="shared" si="22"/>
        <v>75.000107999999997</v>
      </c>
    </row>
    <row r="54" spans="1:51" ht="17.25" customHeight="1" x14ac:dyDescent="0.2"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25"/>
      <c r="AK54" s="25"/>
      <c r="AL54" s="25"/>
      <c r="AM54" s="25"/>
      <c r="AN54" s="25"/>
      <c r="AO54" s="25"/>
      <c r="AP54" s="25"/>
      <c r="AQ54" s="25"/>
      <c r="AR54" s="25"/>
      <c r="AS54" s="25"/>
      <c r="AT54" s="25"/>
      <c r="AU54" s="25"/>
      <c r="AV54" s="25"/>
      <c r="AW54" s="25"/>
      <c r="AX54" s="25"/>
      <c r="AY54" s="25"/>
    </row>
    <row r="55" spans="1:51" ht="12" thickBot="1" x14ac:dyDescent="0.25">
      <c r="A55" s="121" t="s">
        <v>176</v>
      </c>
    </row>
    <row r="56" spans="1:51" ht="12" thickBot="1" x14ac:dyDescent="0.25">
      <c r="A56" s="122"/>
      <c r="B56" s="128">
        <f t="shared" ref="B56:AY56" si="23">B2</f>
        <v>2001</v>
      </c>
      <c r="C56" s="128">
        <f t="shared" si="23"/>
        <v>2002</v>
      </c>
      <c r="D56" s="128">
        <f t="shared" si="23"/>
        <v>2003</v>
      </c>
      <c r="E56" s="128">
        <f t="shared" si="23"/>
        <v>2004</v>
      </c>
      <c r="F56" s="128">
        <f t="shared" si="23"/>
        <v>2005</v>
      </c>
      <c r="G56" s="128">
        <f t="shared" si="23"/>
        <v>2006</v>
      </c>
      <c r="H56" s="128">
        <f t="shared" si="23"/>
        <v>2007</v>
      </c>
      <c r="I56" s="128">
        <f t="shared" si="23"/>
        <v>2008</v>
      </c>
      <c r="J56" s="128">
        <f t="shared" si="23"/>
        <v>2009</v>
      </c>
      <c r="K56" s="128">
        <f t="shared" si="23"/>
        <v>2010</v>
      </c>
      <c r="L56" s="128">
        <f t="shared" si="23"/>
        <v>2011</v>
      </c>
      <c r="M56" s="128">
        <f t="shared" si="23"/>
        <v>2012</v>
      </c>
      <c r="N56" s="128">
        <f t="shared" si="23"/>
        <v>2013</v>
      </c>
      <c r="O56" s="128">
        <f t="shared" si="23"/>
        <v>2014</v>
      </c>
      <c r="P56" s="128">
        <f t="shared" si="23"/>
        <v>2015</v>
      </c>
      <c r="Q56" s="128">
        <f t="shared" si="23"/>
        <v>2016</v>
      </c>
      <c r="R56" s="128">
        <f t="shared" si="23"/>
        <v>2017</v>
      </c>
      <c r="S56" s="128">
        <f t="shared" si="23"/>
        <v>2018</v>
      </c>
      <c r="T56" s="128">
        <f t="shared" si="23"/>
        <v>2019</v>
      </c>
      <c r="U56" s="128">
        <f t="shared" si="23"/>
        <v>2020</v>
      </c>
      <c r="V56" s="128">
        <f t="shared" si="23"/>
        <v>2021</v>
      </c>
      <c r="W56" s="128">
        <f t="shared" si="23"/>
        <v>2022</v>
      </c>
      <c r="X56" s="128">
        <f t="shared" si="23"/>
        <v>2023</v>
      </c>
      <c r="Y56" s="128">
        <f t="shared" si="23"/>
        <v>2024</v>
      </c>
      <c r="Z56" s="128" t="str">
        <f t="shared" si="23"/>
        <v>2025e</v>
      </c>
      <c r="AA56" s="128" t="str">
        <f t="shared" si="23"/>
        <v>2026f</v>
      </c>
      <c r="AB56" s="128" t="str">
        <f t="shared" si="23"/>
        <v>2027f</v>
      </c>
      <c r="AC56" s="128">
        <f t="shared" si="23"/>
        <v>2028</v>
      </c>
      <c r="AD56" s="128">
        <f t="shared" si="23"/>
        <v>2029</v>
      </c>
      <c r="AE56" s="128">
        <f t="shared" si="23"/>
        <v>2030</v>
      </c>
      <c r="AF56" s="128">
        <f t="shared" si="23"/>
        <v>2031</v>
      </c>
      <c r="AG56" s="128">
        <f t="shared" si="23"/>
        <v>2032</v>
      </c>
      <c r="AH56" s="128">
        <f t="shared" si="23"/>
        <v>2033</v>
      </c>
      <c r="AI56" s="128">
        <f t="shared" si="23"/>
        <v>2034</v>
      </c>
      <c r="AJ56" s="128">
        <f t="shared" si="23"/>
        <v>2035</v>
      </c>
      <c r="AK56" s="128">
        <f t="shared" si="23"/>
        <v>2036</v>
      </c>
      <c r="AL56" s="128">
        <f t="shared" si="23"/>
        <v>2037</v>
      </c>
      <c r="AM56" s="128">
        <f t="shared" si="23"/>
        <v>2038</v>
      </c>
      <c r="AN56" s="128">
        <f t="shared" si="23"/>
        <v>2039</v>
      </c>
      <c r="AO56" s="128">
        <f t="shared" si="23"/>
        <v>2040</v>
      </c>
      <c r="AP56" s="128">
        <f t="shared" si="23"/>
        <v>2041</v>
      </c>
      <c r="AQ56" s="128">
        <f t="shared" si="23"/>
        <v>2042</v>
      </c>
      <c r="AR56" s="128">
        <f t="shared" si="23"/>
        <v>2043</v>
      </c>
      <c r="AS56" s="128">
        <f t="shared" si="23"/>
        <v>2044</v>
      </c>
      <c r="AT56" s="128">
        <f t="shared" si="23"/>
        <v>2045</v>
      </c>
      <c r="AU56" s="128">
        <f t="shared" si="23"/>
        <v>2046</v>
      </c>
      <c r="AV56" s="128">
        <f t="shared" si="23"/>
        <v>2047</v>
      </c>
      <c r="AW56" s="128">
        <f t="shared" si="23"/>
        <v>2048</v>
      </c>
      <c r="AX56" s="128">
        <f t="shared" si="23"/>
        <v>2049</v>
      </c>
      <c r="AY56" s="128">
        <f t="shared" si="23"/>
        <v>2050</v>
      </c>
    </row>
    <row r="57" spans="1:51" x14ac:dyDescent="0.2">
      <c r="A57" s="19" t="s">
        <v>162</v>
      </c>
      <c r="M57" s="129">
        <f>'Monthly Data'!$I471*42/1000</f>
        <v>10.852422000000001</v>
      </c>
      <c r="N57" s="129">
        <f>'Monthly Data'!$I483*42/1000</f>
        <v>0.65868599999999999</v>
      </c>
      <c r="O57" s="129">
        <f>'Monthly Data'!$I495*42/1000</f>
        <v>5.6382899999999996</v>
      </c>
      <c r="P57" s="129">
        <f>'Monthly Data'!$I507*42/1000</f>
        <v>0.92118600000000006</v>
      </c>
      <c r="Q57" s="129">
        <f>'Monthly Data'!$I519*42/1000</f>
        <v>1.7818080000000001</v>
      </c>
      <c r="R57" s="129">
        <f>'Monthly Data'!$I531*42/1000</f>
        <v>1.7849159999999999</v>
      </c>
      <c r="S57" s="129">
        <f>'Monthly Data'!$I543*42/1000</f>
        <v>3.5398020000000003</v>
      </c>
      <c r="T57" s="129">
        <f>'Monthly Data'!$I555*42/1000</f>
        <v>3.5839020000000001</v>
      </c>
      <c r="U57" s="129">
        <f>'Monthly Data'!$I567*42/1000</f>
        <v>1.3223699999999998</v>
      </c>
      <c r="V57" s="129">
        <f>'Monthly Data'!$I579*42/1000</f>
        <v>6.9761160000000011</v>
      </c>
      <c r="W57" s="129">
        <f>'Monthly Data'!$I591*42/1000</f>
        <v>8.7742199999999997</v>
      </c>
      <c r="X57" s="129">
        <f>'Monthly Data'!$I603*42/1000</f>
        <v>6.8963580000000002</v>
      </c>
      <c r="Y57" s="129">
        <f>'Monthly Data'!$I615*42/1000</f>
        <v>5.1305940000000003</v>
      </c>
      <c r="Z57" s="129">
        <f>'Monthly Data'!$I627*42/1000</f>
        <v>8.1695460000000004</v>
      </c>
      <c r="AA57" s="133">
        <f t="shared" ref="AA57:AA67" si="24">AA$69*(SUM(U57:Z57)/SUM(U$69:Z$69))</f>
        <v>4.2341270455023468</v>
      </c>
      <c r="AB57" s="133">
        <f t="shared" ref="AB57:AB67" si="25">AB$69*(SUM(V57:AA57)/SUM(V$69:AA$69))</f>
        <v>4.4485061575575742</v>
      </c>
      <c r="AC57" s="133">
        <f t="shared" ref="AC57:AR67" si="26">AC$69*(SUM(W57:AB57)/SUM(W$69:AB$69))</f>
        <v>4.4108981206296214</v>
      </c>
      <c r="AD57" s="133">
        <f t="shared" si="26"/>
        <v>3.8390019200170036</v>
      </c>
      <c r="AE57" s="133">
        <f t="shared" si="26"/>
        <v>3.7567548592417155</v>
      </c>
      <c r="AF57" s="133">
        <f t="shared" si="26"/>
        <v>4.2085799733466223</v>
      </c>
      <c r="AG57" s="133">
        <f t="shared" si="26"/>
        <v>4.1197911205380029</v>
      </c>
      <c r="AH57" s="133">
        <f t="shared" si="26"/>
        <v>4.0091007891858235</v>
      </c>
      <c r="AI57" s="133">
        <f t="shared" si="26"/>
        <v>4.5759636810072912</v>
      </c>
      <c r="AJ57" s="133">
        <f t="shared" si="26"/>
        <v>4.0541521169428734</v>
      </c>
      <c r="AK57" s="133">
        <f t="shared" si="26"/>
        <v>4.0897408713215881</v>
      </c>
      <c r="AL57" s="133">
        <f t="shared" si="26"/>
        <v>4.2690263459545976</v>
      </c>
      <c r="AM57" s="133">
        <f t="shared" si="26"/>
        <v>5.1335598386759491</v>
      </c>
      <c r="AN57" s="133">
        <f t="shared" si="26"/>
        <v>4.2325739703593435</v>
      </c>
      <c r="AO57" s="133">
        <f t="shared" si="26"/>
        <v>4.423219606869087</v>
      </c>
      <c r="AP57" s="133">
        <f t="shared" si="26"/>
        <v>4.7975992359380939</v>
      </c>
      <c r="AQ57" s="133">
        <f t="shared" si="26"/>
        <v>4.0603139528808931</v>
      </c>
      <c r="AR57" s="133">
        <f t="shared" si="26"/>
        <v>2.7653725634258182</v>
      </c>
      <c r="AS57" s="133">
        <f t="shared" ref="AS57:AY67" si="27">AS$69*(SUM(AM57:AR57)/SUM(AM$69:AR$69))</f>
        <v>3.8671407429792239</v>
      </c>
      <c r="AT57" s="133">
        <f t="shared" si="27"/>
        <v>3.8707681032175696</v>
      </c>
      <c r="AU57" s="133">
        <f t="shared" si="27"/>
        <v>3.8718813822598785</v>
      </c>
      <c r="AV57" s="133">
        <f t="shared" si="27"/>
        <v>3.872179330116913</v>
      </c>
      <c r="AW57" s="133">
        <f t="shared" si="27"/>
        <v>3.8715766741527786</v>
      </c>
      <c r="AX57" s="133">
        <f t="shared" si="27"/>
        <v>3.8708107893266321</v>
      </c>
      <c r="AY57" s="133">
        <f t="shared" si="27"/>
        <v>4.0550464641679831</v>
      </c>
    </row>
    <row r="58" spans="1:51" x14ac:dyDescent="0.2">
      <c r="A58" s="19" t="s">
        <v>163</v>
      </c>
      <c r="M58" s="129">
        <f>'Monthly Data'!$I472*42/1000</f>
        <v>5.2341239999999996</v>
      </c>
      <c r="N58" s="129">
        <f>'Monthly Data'!$I484*42/1000</f>
        <v>1.5536220000000001</v>
      </c>
      <c r="O58" s="129">
        <f>'Monthly Data'!$I496*42/1000</f>
        <v>5.908728</v>
      </c>
      <c r="P58" s="129">
        <f>'Monthly Data'!$I508*42/1000</f>
        <v>0.982128</v>
      </c>
      <c r="Q58" s="129">
        <f>'Monthly Data'!$I520*42/1000</f>
        <v>2.060772</v>
      </c>
      <c r="R58" s="129">
        <f>'Monthly Data'!$I532*42/1000</f>
        <v>2.4654000000000003</v>
      </c>
      <c r="S58" s="129">
        <f>'Monthly Data'!$I544*42/1000</f>
        <v>4.3386839999999998</v>
      </c>
      <c r="T58" s="129">
        <f>'Monthly Data'!$I556*42/1000</f>
        <v>3.840522</v>
      </c>
      <c r="U58" s="129">
        <f>'Monthly Data'!$I568*42/1000</f>
        <v>3.7482480000000002</v>
      </c>
      <c r="V58" s="129">
        <f>'Monthly Data'!$I580*42/1000</f>
        <v>5.1121979999999994</v>
      </c>
      <c r="W58" s="129">
        <f>'Monthly Data'!$I592*42/1000</f>
        <v>5.1998940000000005</v>
      </c>
      <c r="X58" s="129">
        <f>'Monthly Data'!$I604*42/1000</f>
        <v>6.2952960000000004</v>
      </c>
      <c r="Y58" s="129">
        <f>'Monthly Data'!I616*42/1000</f>
        <v>8.9506200000000007</v>
      </c>
      <c r="Z58" s="133">
        <f t="shared" ref="Z58:Z67" si="28">Z$69*(SUM(T58:Y58)/SUM(T$69:Y$69))</f>
        <v>3.8169001823308362</v>
      </c>
      <c r="AA58" s="133">
        <f t="shared" si="24"/>
        <v>3.7630975811558853</v>
      </c>
      <c r="AB58" s="133">
        <f t="shared" si="25"/>
        <v>3.668767965034772</v>
      </c>
      <c r="AC58" s="133">
        <f t="shared" si="26"/>
        <v>3.7128579541607349</v>
      </c>
      <c r="AD58" s="133">
        <f t="shared" si="26"/>
        <v>3.4835296092179671</v>
      </c>
      <c r="AE58" s="133">
        <f t="shared" si="26"/>
        <v>3.4042376473755889</v>
      </c>
      <c r="AF58" s="133">
        <f t="shared" si="26"/>
        <v>3.1863695119777189</v>
      </c>
      <c r="AG58" s="133">
        <f t="shared" si="26"/>
        <v>3.5110344329872039</v>
      </c>
      <c r="AH58" s="133">
        <f t="shared" si="26"/>
        <v>3.3916877695337333</v>
      </c>
      <c r="AI58" s="133">
        <f t="shared" si="26"/>
        <v>3.889044534821982</v>
      </c>
      <c r="AJ58" s="133">
        <f t="shared" si="26"/>
        <v>3.4515028355647539</v>
      </c>
      <c r="AK58" s="133">
        <f t="shared" si="26"/>
        <v>3.4462051737574551</v>
      </c>
      <c r="AL58" s="133">
        <f t="shared" si="26"/>
        <v>3.5566253181391514</v>
      </c>
      <c r="AM58" s="133">
        <f t="shared" si="26"/>
        <v>4.3422686263833565</v>
      </c>
      <c r="AN58" s="133">
        <f t="shared" si="26"/>
        <v>3.5759062530888022</v>
      </c>
      <c r="AO58" s="133">
        <f t="shared" si="26"/>
        <v>3.7362046559589652</v>
      </c>
      <c r="AP58" s="133">
        <f t="shared" si="26"/>
        <v>4.0480741861634115</v>
      </c>
      <c r="AQ58" s="133">
        <f t="shared" si="26"/>
        <v>3.4213441965534592</v>
      </c>
      <c r="AR58" s="133">
        <f t="shared" si="26"/>
        <v>2.3301804694815558</v>
      </c>
      <c r="AS58" s="133">
        <f t="shared" si="27"/>
        <v>3.264735841595801</v>
      </c>
      <c r="AT58" s="133">
        <f t="shared" si="27"/>
        <v>3.2664531119059683</v>
      </c>
      <c r="AU58" s="133">
        <f t="shared" si="27"/>
        <v>3.2667197030607937</v>
      </c>
      <c r="AV58" s="133">
        <f t="shared" si="27"/>
        <v>3.2662512514601652</v>
      </c>
      <c r="AW58" s="133">
        <f t="shared" si="27"/>
        <v>3.265532033514154</v>
      </c>
      <c r="AX58" s="133">
        <f t="shared" si="27"/>
        <v>3.265477671928227</v>
      </c>
      <c r="AY58" s="133">
        <f t="shared" si="27"/>
        <v>3.4213788213986698</v>
      </c>
    </row>
    <row r="59" spans="1:51" x14ac:dyDescent="0.2">
      <c r="A59" s="19" t="s">
        <v>164</v>
      </c>
      <c r="M59" s="129">
        <f>'Monthly Data'!$I473*42/1000</f>
        <v>7.9497600000000004</v>
      </c>
      <c r="N59" s="129">
        <f>'Monthly Data'!$I485*42/1000</f>
        <v>7.3968720000000001</v>
      </c>
      <c r="O59" s="129">
        <f>'Monthly Data'!$I497*42/1000</f>
        <v>3.8391359999999999</v>
      </c>
      <c r="P59" s="129">
        <f>'Monthly Data'!$I509*42/1000</f>
        <v>8.0097780000000007</v>
      </c>
      <c r="Q59" s="129">
        <f>'Monthly Data'!$I521*42/1000</f>
        <v>9.812123999999999</v>
      </c>
      <c r="R59" s="129">
        <f>'Monthly Data'!$I533*42/1000</f>
        <v>5.7316979999999997</v>
      </c>
      <c r="S59" s="129">
        <f>'Monthly Data'!$I545*42/1000</f>
        <v>10.797402</v>
      </c>
      <c r="T59" s="129">
        <f>'Monthly Data'!$I557*42/1000</f>
        <v>9.4935539999999996</v>
      </c>
      <c r="U59" s="129">
        <f>'Monthly Data'!$I569*42/1000</f>
        <v>9.5801579999999991</v>
      </c>
      <c r="V59" s="129">
        <f>'Monthly Data'!$I581*42/1000</f>
        <v>11.204718000000002</v>
      </c>
      <c r="W59" s="129">
        <f>'Monthly Data'!$I593*42/1000</f>
        <v>7.1792280000000002</v>
      </c>
      <c r="X59" s="129">
        <f>'Monthly Data'!$I605*42/1000</f>
        <v>10.951164</v>
      </c>
      <c r="Y59" s="129">
        <f>'Monthly Data'!I617*42/1000</f>
        <v>13.706112000000001</v>
      </c>
      <c r="Z59" s="133">
        <f t="shared" si="28"/>
        <v>7.1526259025860037</v>
      </c>
      <c r="AA59" s="133">
        <f t="shared" si="24"/>
        <v>6.790881152443081</v>
      </c>
      <c r="AB59" s="133">
        <f t="shared" si="25"/>
        <v>6.3088814078134678</v>
      </c>
      <c r="AC59" s="133">
        <f t="shared" si="26"/>
        <v>6.1019481806803757</v>
      </c>
      <c r="AD59" s="133">
        <f t="shared" si="26"/>
        <v>5.8826526398488568</v>
      </c>
      <c r="AE59" s="133">
        <f t="shared" si="26"/>
        <v>5.7089549310982708</v>
      </c>
      <c r="AF59" s="133">
        <f t="shared" si="26"/>
        <v>5.5337835312768835</v>
      </c>
      <c r="AG59" s="133">
        <f t="shared" si="26"/>
        <v>6.0109592977892188</v>
      </c>
      <c r="AH59" s="133">
        <f t="shared" si="26"/>
        <v>5.750279115787909</v>
      </c>
      <c r="AI59" s="133">
        <f t="shared" si="26"/>
        <v>6.5768003188875035</v>
      </c>
      <c r="AJ59" s="133">
        <f t="shared" si="26"/>
        <v>5.8661312508507528</v>
      </c>
      <c r="AK59" s="133">
        <f t="shared" si="26"/>
        <v>5.8633983895127209</v>
      </c>
      <c r="AL59" s="133">
        <f t="shared" si="26"/>
        <v>6.0654155095882567</v>
      </c>
      <c r="AM59" s="133">
        <f t="shared" si="26"/>
        <v>7.3848434212237812</v>
      </c>
      <c r="AN59" s="133">
        <f t="shared" si="26"/>
        <v>6.075056085454726</v>
      </c>
      <c r="AO59" s="133">
        <f t="shared" si="26"/>
        <v>6.3493669888980824</v>
      </c>
      <c r="AP59" s="133">
        <f t="shared" si="26"/>
        <v>6.8852781886178613</v>
      </c>
      <c r="AQ59" s="133">
        <f t="shared" si="26"/>
        <v>5.8199581426883524</v>
      </c>
      <c r="AR59" s="133">
        <f t="shared" si="26"/>
        <v>3.9636902400483969</v>
      </c>
      <c r="AS59" s="133">
        <f t="shared" si="27"/>
        <v>5.5510293797503989</v>
      </c>
      <c r="AT59" s="133">
        <f t="shared" si="27"/>
        <v>5.5536790804169014</v>
      </c>
      <c r="AU59" s="133">
        <f t="shared" si="27"/>
        <v>5.5549073056497669</v>
      </c>
      <c r="AV59" s="133">
        <f t="shared" si="27"/>
        <v>5.5547570561952799</v>
      </c>
      <c r="AW59" s="133">
        <f t="shared" si="27"/>
        <v>5.5533755809895133</v>
      </c>
      <c r="AX59" s="133">
        <f t="shared" si="27"/>
        <v>5.5530017625337953</v>
      </c>
      <c r="AY59" s="133">
        <f t="shared" si="27"/>
        <v>5.8179087590617806</v>
      </c>
    </row>
    <row r="60" spans="1:51" x14ac:dyDescent="0.2">
      <c r="A60" s="19" t="s">
        <v>165</v>
      </c>
      <c r="M60" s="129">
        <f>'Monthly Data'!$I474*42/1000</f>
        <v>9.6762960000000007</v>
      </c>
      <c r="N60" s="129">
        <f>'Monthly Data'!$I486*42/1000</f>
        <v>15.580698</v>
      </c>
      <c r="O60" s="129">
        <f>'Monthly Data'!$I498*42/1000</f>
        <v>10.965359999999999</v>
      </c>
      <c r="P60" s="129">
        <f>'Monthly Data'!$I510*42/1000</f>
        <v>10.085922</v>
      </c>
      <c r="Q60" s="129">
        <f>'Monthly Data'!$I522*42/1000</f>
        <v>10.31457</v>
      </c>
      <c r="R60" s="129">
        <f>'Monthly Data'!$I534*42/1000</f>
        <v>11.903220000000001</v>
      </c>
      <c r="S60" s="129">
        <f>'Monthly Data'!$I546*42/1000</f>
        <v>9.1337820000000001</v>
      </c>
      <c r="T60" s="129">
        <f>'Monthly Data'!$I558*42/1000</f>
        <v>15.539622</v>
      </c>
      <c r="U60" s="129">
        <f>'Monthly Data'!$I570*42/1000</f>
        <v>22.098719999999997</v>
      </c>
      <c r="V60" s="129">
        <f>'Monthly Data'!$I582*42/1000</f>
        <v>20.745858000000002</v>
      </c>
      <c r="W60" s="129">
        <f>'Monthly Data'!$I594*42/1000</f>
        <v>26.563445999999999</v>
      </c>
      <c r="X60" s="129">
        <f>'Monthly Data'!$I606*42/1000</f>
        <v>47.926788000000002</v>
      </c>
      <c r="Y60" s="129">
        <f>'Monthly Data'!I618*42/1000</f>
        <v>17.967936000000002</v>
      </c>
      <c r="Z60" s="133">
        <f t="shared" si="28"/>
        <v>17.369720506657256</v>
      </c>
      <c r="AA60" s="133">
        <f t="shared" si="24"/>
        <v>17.345007637073298</v>
      </c>
      <c r="AB60" s="133">
        <f t="shared" si="25"/>
        <v>16.376350400839847</v>
      </c>
      <c r="AC60" s="133">
        <f t="shared" si="26"/>
        <v>16.816062591836026</v>
      </c>
      <c r="AD60" s="133">
        <f t="shared" si="26"/>
        <v>15.430013959014158</v>
      </c>
      <c r="AE60" s="133">
        <f t="shared" si="26"/>
        <v>12.588314310507423</v>
      </c>
      <c r="AF60" s="133">
        <f t="shared" si="26"/>
        <v>13.989130955031168</v>
      </c>
      <c r="AG60" s="133">
        <f t="shared" si="26"/>
        <v>15.313181558625502</v>
      </c>
      <c r="AH60" s="133">
        <f t="shared" si="26"/>
        <v>14.641817522564637</v>
      </c>
      <c r="AI60" s="133">
        <f t="shared" si="26"/>
        <v>16.687691898041148</v>
      </c>
      <c r="AJ60" s="133">
        <f t="shared" si="26"/>
        <v>14.663934620174803</v>
      </c>
      <c r="AK60" s="133">
        <f t="shared" si="26"/>
        <v>14.53721472953972</v>
      </c>
      <c r="AL60" s="133">
        <f t="shared" si="26"/>
        <v>15.304876589122003</v>
      </c>
      <c r="AM60" s="133">
        <f t="shared" si="26"/>
        <v>18.628934844568604</v>
      </c>
      <c r="AN60" s="133">
        <f t="shared" si="26"/>
        <v>15.300583202058105</v>
      </c>
      <c r="AO60" s="133">
        <f t="shared" si="26"/>
        <v>15.964738889539197</v>
      </c>
      <c r="AP60" s="133">
        <f t="shared" si="26"/>
        <v>17.284558836268051</v>
      </c>
      <c r="AQ60" s="133">
        <f t="shared" si="26"/>
        <v>14.619588739754144</v>
      </c>
      <c r="AR60" s="133">
        <f t="shared" si="26"/>
        <v>9.9763644967099427</v>
      </c>
      <c r="AS60" s="133">
        <f t="shared" si="27"/>
        <v>13.965725718745356</v>
      </c>
      <c r="AT60" s="133">
        <f t="shared" si="27"/>
        <v>13.964448530874586</v>
      </c>
      <c r="AU60" s="133">
        <f t="shared" si="27"/>
        <v>13.963441313563695</v>
      </c>
      <c r="AV60" s="133">
        <f t="shared" si="27"/>
        <v>13.962354605985963</v>
      </c>
      <c r="AW60" s="133">
        <f t="shared" si="27"/>
        <v>13.962730508415765</v>
      </c>
      <c r="AX60" s="133">
        <f t="shared" si="27"/>
        <v>13.964136405501677</v>
      </c>
      <c r="AY60" s="133">
        <f t="shared" si="27"/>
        <v>14.62874933196758</v>
      </c>
    </row>
    <row r="61" spans="1:51" x14ac:dyDescent="0.2">
      <c r="A61" s="19" t="s">
        <v>166</v>
      </c>
      <c r="M61" s="129">
        <f>'Monthly Data'!$I475*42/1000</f>
        <v>13.421520000000001</v>
      </c>
      <c r="N61" s="129">
        <f>'Monthly Data'!$I487*42/1000</f>
        <v>23.650368000000004</v>
      </c>
      <c r="O61" s="129">
        <f>'Monthly Data'!$I499*42/1000</f>
        <v>8.7176880000000008</v>
      </c>
      <c r="P61" s="129">
        <f>'Monthly Data'!$I511*42/1000</f>
        <v>10.700424</v>
      </c>
      <c r="Q61" s="129">
        <f>'Monthly Data'!$I523*42/1000</f>
        <v>14.082431999999999</v>
      </c>
      <c r="R61" s="129">
        <f>'Monthly Data'!$I535*42/1000</f>
        <v>10.050306000000001</v>
      </c>
      <c r="S61" s="129">
        <f>'Monthly Data'!$I547*42/1000</f>
        <v>16.64922</v>
      </c>
      <c r="T61" s="129">
        <f>'Monthly Data'!$I559*42/1000</f>
        <v>18.492096</v>
      </c>
      <c r="U61" s="129">
        <f>'Monthly Data'!$I571*42/1000</f>
        <v>20.847918</v>
      </c>
      <c r="V61" s="129">
        <f>'Monthly Data'!$I583*42/1000</f>
        <v>23.683631999999999</v>
      </c>
      <c r="W61" s="129">
        <f>'Monthly Data'!$I595*42/1000</f>
        <v>29.374506</v>
      </c>
      <c r="X61" s="129">
        <f>'Monthly Data'!$I607*42/1000</f>
        <v>31.831212000000001</v>
      </c>
      <c r="Y61" s="129">
        <f>'Monthly Data'!I619*42/1000</f>
        <v>21.155358</v>
      </c>
      <c r="Z61" s="133">
        <f t="shared" si="28"/>
        <v>16.741264321676095</v>
      </c>
      <c r="AA61" s="133">
        <f t="shared" si="24"/>
        <v>16.318141371136516</v>
      </c>
      <c r="AB61" s="133">
        <f t="shared" si="25"/>
        <v>15.400465548927729</v>
      </c>
      <c r="AC61" s="133">
        <f t="shared" si="26"/>
        <v>15.325006988506409</v>
      </c>
      <c r="AD61" s="133">
        <f t="shared" si="26"/>
        <v>13.466068461528161</v>
      </c>
      <c r="AE61" s="133">
        <f t="shared" si="26"/>
        <v>12.228107000356088</v>
      </c>
      <c r="AF61" s="133">
        <f t="shared" si="26"/>
        <v>13.049028663435772</v>
      </c>
      <c r="AG61" s="133">
        <f t="shared" si="26"/>
        <v>14.19494111352148</v>
      </c>
      <c r="AH61" s="133">
        <f t="shared" si="26"/>
        <v>13.533820522632825</v>
      </c>
      <c r="AI61" s="133">
        <f t="shared" si="26"/>
        <v>15.375370817665553</v>
      </c>
      <c r="AJ61" s="133">
        <f t="shared" si="26"/>
        <v>13.538657178504341</v>
      </c>
      <c r="AK61" s="133">
        <f t="shared" si="26"/>
        <v>13.550664334695888</v>
      </c>
      <c r="AL61" s="133">
        <f t="shared" si="26"/>
        <v>14.182052596299888</v>
      </c>
      <c r="AM61" s="133">
        <f t="shared" si="26"/>
        <v>17.244629078634738</v>
      </c>
      <c r="AN61" s="133">
        <f t="shared" si="26"/>
        <v>14.160418832070169</v>
      </c>
      <c r="AO61" s="133">
        <f t="shared" si="26"/>
        <v>14.777923273488767</v>
      </c>
      <c r="AP61" s="133">
        <f t="shared" si="26"/>
        <v>16.012767448141116</v>
      </c>
      <c r="AQ61" s="133">
        <f t="shared" si="26"/>
        <v>13.55086316707721</v>
      </c>
      <c r="AR61" s="133">
        <f t="shared" si="26"/>
        <v>9.2392453146279347</v>
      </c>
      <c r="AS61" s="133">
        <f t="shared" si="27"/>
        <v>12.932628908658252</v>
      </c>
      <c r="AT61" s="133">
        <f t="shared" si="27"/>
        <v>12.932448746758263</v>
      </c>
      <c r="AU61" s="133">
        <f t="shared" si="27"/>
        <v>12.933049721192111</v>
      </c>
      <c r="AV61" s="133">
        <f t="shared" si="27"/>
        <v>12.933500551075815</v>
      </c>
      <c r="AW61" s="133">
        <f t="shared" si="27"/>
        <v>12.933524500803152</v>
      </c>
      <c r="AX61" s="133">
        <f t="shared" si="27"/>
        <v>12.93326960504522</v>
      </c>
      <c r="AY61" s="133">
        <f t="shared" si="27"/>
        <v>13.548930831251765</v>
      </c>
    </row>
    <row r="62" spans="1:51" x14ac:dyDescent="0.2">
      <c r="A62" s="19" t="s">
        <v>167</v>
      </c>
      <c r="M62" s="129">
        <f>'Monthly Data'!$I476*42/1000</f>
        <v>16.458162000000002</v>
      </c>
      <c r="N62" s="129">
        <f>'Monthly Data'!$I488*42/1000</f>
        <v>24.670253999999996</v>
      </c>
      <c r="O62" s="129">
        <f>'Monthly Data'!$I500*42/1000</f>
        <v>11.063220000000001</v>
      </c>
      <c r="P62" s="129">
        <f>'Monthly Data'!$I512*42/1000</f>
        <v>10.915044</v>
      </c>
      <c r="Q62" s="129">
        <f>'Monthly Data'!$I524*42/1000</f>
        <v>9.254112000000001</v>
      </c>
      <c r="R62" s="129">
        <f>'Monthly Data'!$I536*42/1000</f>
        <v>9.4919580000000003</v>
      </c>
      <c r="S62" s="129">
        <f>'Monthly Data'!$I548*42/1000</f>
        <v>11.572049999999999</v>
      </c>
      <c r="T62" s="129">
        <f>'Monthly Data'!$I560*42/1000</f>
        <v>12.607013999999999</v>
      </c>
      <c r="U62" s="129">
        <f>'Monthly Data'!$I572*42/1000</f>
        <v>21.948822</v>
      </c>
      <c r="V62" s="129">
        <f>'Monthly Data'!$I584*42/1000</f>
        <v>27.644652000000001</v>
      </c>
      <c r="W62" s="129">
        <f>'Monthly Data'!$I596*42/1000</f>
        <v>24.719016</v>
      </c>
      <c r="X62" s="129">
        <f>'Monthly Data'!$I608*42/1000</f>
        <v>35.224224</v>
      </c>
      <c r="Y62" s="129">
        <f>'Monthly Data'!I620*42/1000</f>
        <v>20.144754000000002</v>
      </c>
      <c r="Z62" s="133">
        <f t="shared" si="28"/>
        <v>16.384727737018</v>
      </c>
      <c r="AA62" s="133">
        <f t="shared" si="24"/>
        <v>16.594473812849543</v>
      </c>
      <c r="AB62" s="133">
        <f t="shared" si="25"/>
        <v>15.578460643537921</v>
      </c>
      <c r="AC62" s="133">
        <f t="shared" si="26"/>
        <v>15.070182732753496</v>
      </c>
      <c r="AD62" s="133">
        <f t="shared" si="26"/>
        <v>13.722698386581566</v>
      </c>
      <c r="AE62" s="133">
        <f t="shared" si="26"/>
        <v>12.114903931265767</v>
      </c>
      <c r="AF62" s="133">
        <f t="shared" si="26"/>
        <v>13.047044389750919</v>
      </c>
      <c r="AG62" s="133">
        <f t="shared" si="26"/>
        <v>14.251356616007209</v>
      </c>
      <c r="AH62" s="133">
        <f t="shared" si="26"/>
        <v>13.553398730865672</v>
      </c>
      <c r="AI62" s="133">
        <f t="shared" si="26"/>
        <v>15.368343005117412</v>
      </c>
      <c r="AJ62" s="133">
        <f t="shared" si="26"/>
        <v>13.57346158880412</v>
      </c>
      <c r="AK62" s="133">
        <f t="shared" si="26"/>
        <v>13.548775802705597</v>
      </c>
      <c r="AL62" s="133">
        <f t="shared" si="26"/>
        <v>14.199072170850158</v>
      </c>
      <c r="AM62" s="133">
        <f t="shared" si="26"/>
        <v>17.268930084684705</v>
      </c>
      <c r="AN62" s="133">
        <f t="shared" si="26"/>
        <v>14.17447585781434</v>
      </c>
      <c r="AO62" s="133">
        <f t="shared" si="26"/>
        <v>14.791562267408615</v>
      </c>
      <c r="AP62" s="133">
        <f t="shared" si="26"/>
        <v>16.031431141401097</v>
      </c>
      <c r="AQ62" s="133">
        <f t="shared" si="26"/>
        <v>13.563790692787807</v>
      </c>
      <c r="AR62" s="133">
        <f t="shared" si="26"/>
        <v>9.2495817344123328</v>
      </c>
      <c r="AS62" s="133">
        <f t="shared" si="27"/>
        <v>12.946921792381788</v>
      </c>
      <c r="AT62" s="133">
        <f t="shared" si="27"/>
        <v>12.945901016872714</v>
      </c>
      <c r="AU62" s="133">
        <f t="shared" si="27"/>
        <v>12.946612105043034</v>
      </c>
      <c r="AV62" s="133">
        <f t="shared" si="27"/>
        <v>12.947373080483127</v>
      </c>
      <c r="AW62" s="133">
        <f t="shared" si="27"/>
        <v>12.947138750922289</v>
      </c>
      <c r="AX62" s="133">
        <f t="shared" si="27"/>
        <v>12.947117484020175</v>
      </c>
      <c r="AY62" s="133">
        <f t="shared" si="27"/>
        <v>13.563360421062768</v>
      </c>
    </row>
    <row r="63" spans="1:51" x14ac:dyDescent="0.2">
      <c r="A63" s="19" t="s">
        <v>168</v>
      </c>
      <c r="M63" s="129">
        <f>'Monthly Data'!$I477*42/1000</f>
        <v>17.902709999999999</v>
      </c>
      <c r="N63" s="129">
        <f>'Monthly Data'!$I489*42/1000</f>
        <v>18.011616</v>
      </c>
      <c r="O63" s="129">
        <f>'Monthly Data'!$I501*42/1000</f>
        <v>13.446384</v>
      </c>
      <c r="P63" s="129">
        <f>'Monthly Data'!$I513*42/1000</f>
        <v>10.7121</v>
      </c>
      <c r="Q63" s="129">
        <f>'Monthly Data'!$I525*42/1000</f>
        <v>10.486559999999999</v>
      </c>
      <c r="R63" s="129">
        <f>'Monthly Data'!$I537*42/1000</f>
        <v>19.024025999999999</v>
      </c>
      <c r="S63" s="129">
        <f>'Monthly Data'!$I549*42/1000</f>
        <v>10.878084000000001</v>
      </c>
      <c r="T63" s="129">
        <f>'Monthly Data'!$I561*42/1000</f>
        <v>16.454004000000001</v>
      </c>
      <c r="U63" s="129">
        <f>'Monthly Data'!$I573*42/1000</f>
        <v>15.792084000000001</v>
      </c>
      <c r="V63" s="129">
        <f>'Monthly Data'!$I585*42/1000</f>
        <v>20.555934000000001</v>
      </c>
      <c r="W63" s="129">
        <f>'Monthly Data'!$I597*42/1000</f>
        <v>26.231897999999997</v>
      </c>
      <c r="X63" s="129">
        <f>'Monthly Data'!$I609*42/1000</f>
        <v>29.042159999999999</v>
      </c>
      <c r="Y63" s="129">
        <f>'Monthly Data'!I621*42/1000</f>
        <v>26.351346000000003</v>
      </c>
      <c r="Z63" s="133">
        <f t="shared" si="28"/>
        <v>15.479515590011948</v>
      </c>
      <c r="AA63" s="133">
        <f t="shared" si="24"/>
        <v>15.161490767326457</v>
      </c>
      <c r="AB63" s="133">
        <f t="shared" si="25"/>
        <v>14.70499961575684</v>
      </c>
      <c r="AC63" s="133">
        <f t="shared" si="26"/>
        <v>14.874053324063905</v>
      </c>
      <c r="AD63" s="133">
        <f t="shared" si="26"/>
        <v>13.332541549909759</v>
      </c>
      <c r="AE63" s="133">
        <f t="shared" si="26"/>
        <v>12.414206138826325</v>
      </c>
      <c r="AF63" s="133">
        <f t="shared" si="26"/>
        <v>12.53682601877639</v>
      </c>
      <c r="AG63" s="133">
        <f t="shared" si="26"/>
        <v>13.737803600986854</v>
      </c>
      <c r="AH63" s="133">
        <f t="shared" si="26"/>
        <v>13.200069598992952</v>
      </c>
      <c r="AI63" s="133">
        <f t="shared" si="26"/>
        <v>15.055545156307554</v>
      </c>
      <c r="AJ63" s="133">
        <f t="shared" si="26"/>
        <v>13.278900942884183</v>
      </c>
      <c r="AK63" s="133">
        <f t="shared" si="26"/>
        <v>13.270028060519049</v>
      </c>
      <c r="AL63" s="133">
        <f t="shared" si="26"/>
        <v>13.813488797812894</v>
      </c>
      <c r="AM63" s="133">
        <f t="shared" si="26"/>
        <v>16.831849725621151</v>
      </c>
      <c r="AN63" s="133">
        <f t="shared" si="26"/>
        <v>13.840473890768797</v>
      </c>
      <c r="AO63" s="133">
        <f t="shared" si="26"/>
        <v>14.448719424992497</v>
      </c>
      <c r="AP63" s="133">
        <f t="shared" si="26"/>
        <v>15.651901281039173</v>
      </c>
      <c r="AQ63" s="133">
        <f t="shared" si="26"/>
        <v>13.238644835456014</v>
      </c>
      <c r="AR63" s="133">
        <f t="shared" si="26"/>
        <v>9.0231244475024521</v>
      </c>
      <c r="AS63" s="133">
        <f t="shared" si="27"/>
        <v>12.635717287775231</v>
      </c>
      <c r="AT63" s="133">
        <f t="shared" si="27"/>
        <v>12.63824583601693</v>
      </c>
      <c r="AU63" s="133">
        <f t="shared" si="27"/>
        <v>12.638476088127351</v>
      </c>
      <c r="AV63" s="133">
        <f t="shared" si="27"/>
        <v>12.637684962652857</v>
      </c>
      <c r="AW63" s="133">
        <f t="shared" si="27"/>
        <v>12.636774897587996</v>
      </c>
      <c r="AX63" s="133">
        <f t="shared" si="27"/>
        <v>12.636754115940992</v>
      </c>
      <c r="AY63" s="133">
        <f t="shared" si="27"/>
        <v>13.239050556652618</v>
      </c>
    </row>
    <row r="64" spans="1:51" x14ac:dyDescent="0.2">
      <c r="A64" s="19" t="s">
        <v>169</v>
      </c>
      <c r="M64" s="129">
        <f>'Monthly Data'!$I478*42/1000</f>
        <v>16.915541999999999</v>
      </c>
      <c r="N64" s="129">
        <f>'Monthly Data'!$I490*42/1000</f>
        <v>28.842492</v>
      </c>
      <c r="O64" s="129">
        <f>'Monthly Data'!$I502*42/1000</f>
        <v>11.096442000000001</v>
      </c>
      <c r="P64" s="129">
        <f>'Monthly Data'!$I514*42/1000</f>
        <v>11.53215</v>
      </c>
      <c r="Q64" s="129">
        <f>'Monthly Data'!$I526*42/1000</f>
        <v>9.8572740000000003</v>
      </c>
      <c r="R64" s="129">
        <f>'Monthly Data'!$I538*42/1000</f>
        <v>16.269204000000002</v>
      </c>
      <c r="S64" s="129">
        <f>'Monthly Data'!$I550*42/1000</f>
        <v>11.057759999999998</v>
      </c>
      <c r="T64" s="129">
        <f>'Monthly Data'!$I562*42/1000</f>
        <v>12.224478000000001</v>
      </c>
      <c r="U64" s="129">
        <f>'Monthly Data'!$I574*42/1000</f>
        <v>21.507822000000001</v>
      </c>
      <c r="V64" s="129">
        <f>'Monthly Data'!$I586*42/1000</f>
        <v>23.053128000000001</v>
      </c>
      <c r="W64" s="129">
        <f>'Monthly Data'!$I598*42/1000</f>
        <v>34.914264000000003</v>
      </c>
      <c r="X64" s="129">
        <f>'Monthly Data'!$I610*42/1000</f>
        <v>23.207057999999996</v>
      </c>
      <c r="Y64" s="129">
        <f>'Monthly Data'!I622*42/1000</f>
        <v>24.421403999999999</v>
      </c>
      <c r="Z64" s="133">
        <f t="shared" si="28"/>
        <v>16.043841618826988</v>
      </c>
      <c r="AA64" s="133">
        <f t="shared" si="24"/>
        <v>16.262884923606073</v>
      </c>
      <c r="AB64" s="133">
        <f t="shared" si="25"/>
        <v>15.267441662019694</v>
      </c>
      <c r="AC64" s="133">
        <f t="shared" si="26"/>
        <v>15.24253076475018</v>
      </c>
      <c r="AD64" s="133">
        <f t="shared" si="26"/>
        <v>12.736521824438126</v>
      </c>
      <c r="AE64" s="133">
        <f t="shared" si="26"/>
        <v>12.422988680716877</v>
      </c>
      <c r="AF64" s="133">
        <f t="shared" si="26"/>
        <v>12.8298638816772</v>
      </c>
      <c r="AG64" s="133">
        <f t="shared" si="26"/>
        <v>14.025405251480484</v>
      </c>
      <c r="AH64" s="133">
        <f t="shared" si="26"/>
        <v>13.349592245822178</v>
      </c>
      <c r="AI64" s="133">
        <f t="shared" si="26"/>
        <v>15.151673430241548</v>
      </c>
      <c r="AJ64" s="133">
        <f t="shared" si="26"/>
        <v>13.3184435858367</v>
      </c>
      <c r="AK64" s="133">
        <f t="shared" si="26"/>
        <v>13.414701320804884</v>
      </c>
      <c r="AL64" s="133">
        <f t="shared" si="26"/>
        <v>13.98564913677666</v>
      </c>
      <c r="AM64" s="133">
        <f t="shared" si="26"/>
        <v>17.013671672897434</v>
      </c>
      <c r="AN64" s="133">
        <f t="shared" si="26"/>
        <v>13.96743536637131</v>
      </c>
      <c r="AO64" s="133">
        <f t="shared" si="26"/>
        <v>14.576488030141851</v>
      </c>
      <c r="AP64" s="133">
        <f t="shared" si="26"/>
        <v>15.797085330517953</v>
      </c>
      <c r="AQ64" s="133">
        <f t="shared" si="26"/>
        <v>13.374045745652209</v>
      </c>
      <c r="AR64" s="133">
        <f t="shared" si="26"/>
        <v>9.1144906112011039</v>
      </c>
      <c r="AS64" s="133">
        <f t="shared" si="27"/>
        <v>12.758750376032022</v>
      </c>
      <c r="AT64" s="133">
        <f t="shared" si="27"/>
        <v>12.758429043192713</v>
      </c>
      <c r="AU64" s="133">
        <f t="shared" si="27"/>
        <v>12.759419161794536</v>
      </c>
      <c r="AV64" s="133">
        <f t="shared" si="27"/>
        <v>12.760370044731756</v>
      </c>
      <c r="AW64" s="133">
        <f t="shared" si="27"/>
        <v>12.760624831691663</v>
      </c>
      <c r="AX64" s="133">
        <f t="shared" si="27"/>
        <v>12.759614712012663</v>
      </c>
      <c r="AY64" s="133">
        <f t="shared" si="27"/>
        <v>13.367131585142998</v>
      </c>
    </row>
    <row r="65" spans="1:51" x14ac:dyDescent="0.2">
      <c r="A65" s="19" t="s">
        <v>170</v>
      </c>
      <c r="M65" s="129">
        <f>'Monthly Data'!$I479*42/1000</f>
        <v>12.383951999999999</v>
      </c>
      <c r="N65" s="129">
        <f>'Monthly Data'!$I491*42/1000</f>
        <v>21.449442000000001</v>
      </c>
      <c r="O65" s="129">
        <f>'Monthly Data'!$I503*42/1000</f>
        <v>5.722836</v>
      </c>
      <c r="P65" s="129">
        <f>'Monthly Data'!$I515*42/1000</f>
        <v>8.4070560000000008</v>
      </c>
      <c r="Q65" s="129">
        <f>'Monthly Data'!$I527*42/1000</f>
        <v>6.3062159999999992</v>
      </c>
      <c r="R65" s="129">
        <f>'Monthly Data'!$I539*42/1000</f>
        <v>4.1871899999999993</v>
      </c>
      <c r="S65" s="129">
        <f>'Monthly Data'!$I551*42/1000</f>
        <v>8.0156999999999989</v>
      </c>
      <c r="T65" s="129">
        <f>'Monthly Data'!$I563*42/1000</f>
        <v>9.9794099999999997</v>
      </c>
      <c r="U65" s="129">
        <f>'Monthly Data'!$I575*42/1000</f>
        <v>17.873604</v>
      </c>
      <c r="V65" s="129">
        <f>'Monthly Data'!$I587*42/1000</f>
        <v>19.894098</v>
      </c>
      <c r="W65" s="129">
        <f>'Monthly Data'!$I599*42/1000</f>
        <v>26.90709</v>
      </c>
      <c r="X65" s="129">
        <f>'Monthly Data'!$I611*42/1000</f>
        <v>17.205468</v>
      </c>
      <c r="Y65" s="129">
        <f>'Monthly Data'!I623*42/1000</f>
        <v>20.254961999999999</v>
      </c>
      <c r="Z65" s="133">
        <f t="shared" si="28"/>
        <v>12.910164581388715</v>
      </c>
      <c r="AA65" s="133">
        <f t="shared" si="24"/>
        <v>13.070222341870533</v>
      </c>
      <c r="AB65" s="133">
        <f t="shared" si="25"/>
        <v>12.205089797808743</v>
      </c>
      <c r="AC65" s="133">
        <f t="shared" si="26"/>
        <v>12.013560707051596</v>
      </c>
      <c r="AD65" s="133">
        <f t="shared" si="26"/>
        <v>10.108878562168893</v>
      </c>
      <c r="AE65" s="133">
        <f t="shared" si="26"/>
        <v>10.010857489339504</v>
      </c>
      <c r="AF65" s="133">
        <f t="shared" si="26"/>
        <v>10.254821132445748</v>
      </c>
      <c r="AG65" s="133">
        <f t="shared" si="26"/>
        <v>11.196107127379536</v>
      </c>
      <c r="AH65" s="133">
        <f t="shared" si="26"/>
        <v>10.64238916144315</v>
      </c>
      <c r="AI65" s="133">
        <f t="shared" si="26"/>
        <v>12.072671838313616</v>
      </c>
      <c r="AJ65" s="133">
        <f t="shared" si="26"/>
        <v>10.633728998826991</v>
      </c>
      <c r="AK65" s="133">
        <f t="shared" si="26"/>
        <v>10.720546364289232</v>
      </c>
      <c r="AL65" s="133">
        <f t="shared" si="26"/>
        <v>11.162711750533779</v>
      </c>
      <c r="AM65" s="133">
        <f t="shared" si="26"/>
        <v>13.57655727548917</v>
      </c>
      <c r="AN65" s="133">
        <f t="shared" si="26"/>
        <v>11.145055802426807</v>
      </c>
      <c r="AO65" s="133">
        <f t="shared" si="26"/>
        <v>11.632661039979794</v>
      </c>
      <c r="AP65" s="133">
        <f t="shared" si="26"/>
        <v>12.610230929719648</v>
      </c>
      <c r="AQ65" s="133">
        <f t="shared" si="26"/>
        <v>10.675690339545516</v>
      </c>
      <c r="AR65" s="133">
        <f t="shared" si="26"/>
        <v>7.2742712812700052</v>
      </c>
      <c r="AS65" s="133">
        <f t="shared" si="27"/>
        <v>10.182636232152536</v>
      </c>
      <c r="AT65" s="133">
        <f t="shared" si="27"/>
        <v>10.1826828864655</v>
      </c>
      <c r="AU65" s="133">
        <f t="shared" si="27"/>
        <v>10.183888580556536</v>
      </c>
      <c r="AV65" s="133">
        <f t="shared" si="27"/>
        <v>10.18490004161829</v>
      </c>
      <c r="AW65" s="133">
        <f t="shared" si="27"/>
        <v>10.184838484246084</v>
      </c>
      <c r="AX65" s="133">
        <f t="shared" si="27"/>
        <v>10.183813063604067</v>
      </c>
      <c r="AY65" s="133">
        <f t="shared" si="27"/>
        <v>10.668735748810686</v>
      </c>
    </row>
    <row r="66" spans="1:51" x14ac:dyDescent="0.2">
      <c r="A66" s="19" t="s">
        <v>171</v>
      </c>
      <c r="M66" s="129">
        <f>'Monthly Data'!$I480*42/1000</f>
        <v>8.7816539999999979</v>
      </c>
      <c r="N66" s="129">
        <f>'Monthly Data'!$I492*42/1000</f>
        <v>17.413326000000001</v>
      </c>
      <c r="O66" s="129">
        <f>'Monthly Data'!$I504*42/1000</f>
        <v>1.6654680000000002</v>
      </c>
      <c r="P66" s="129">
        <f>'Monthly Data'!$I516*42/1000</f>
        <v>6.7511220000000005</v>
      </c>
      <c r="Q66" s="129">
        <f>'Monthly Data'!$I528*42/1000</f>
        <v>4.7838419999999999</v>
      </c>
      <c r="R66" s="129">
        <f>'Monthly Data'!$I540*42/1000</f>
        <v>9.1281120000000016</v>
      </c>
      <c r="S66" s="129">
        <f>'Monthly Data'!$I552*42/1000</f>
        <v>8.5527960000000007</v>
      </c>
      <c r="T66" s="129">
        <f>'Monthly Data'!$I564*42/1000</f>
        <v>6.6320100000000002</v>
      </c>
      <c r="U66" s="129">
        <f>'Monthly Data'!$I576*42/1000</f>
        <v>4.7342820000000003</v>
      </c>
      <c r="V66" s="129">
        <f>'Monthly Data'!$I588*42/1000</f>
        <v>8.9628000000000014</v>
      </c>
      <c r="W66" s="129">
        <f>'Monthly Data'!$I600*42/1000</f>
        <v>19.661376000000001</v>
      </c>
      <c r="X66" s="129">
        <f>'Monthly Data'!$I612*42/1000</f>
        <v>18.927174000000001</v>
      </c>
      <c r="Y66" s="129">
        <f>'Monthly Data'!I624*42/1000</f>
        <v>15.908382000000001</v>
      </c>
      <c r="Z66" s="133">
        <f t="shared" si="28"/>
        <v>8.616326589833001</v>
      </c>
      <c r="AA66" s="133">
        <f t="shared" si="24"/>
        <v>8.726366693145863</v>
      </c>
      <c r="AB66" s="133">
        <f t="shared" si="25"/>
        <v>8.9457812123971667</v>
      </c>
      <c r="AC66" s="133">
        <f t="shared" si="26"/>
        <v>9.4635984925505454</v>
      </c>
      <c r="AD66" s="133">
        <f t="shared" si="26"/>
        <v>8.1401563386807059</v>
      </c>
      <c r="AE66" s="133">
        <f t="shared" si="26"/>
        <v>7.4309087845423383</v>
      </c>
      <c r="AF66" s="133">
        <f t="shared" si="26"/>
        <v>7.4846243078759853</v>
      </c>
      <c r="AG66" s="133">
        <f t="shared" si="26"/>
        <v>8.3050577271325885</v>
      </c>
      <c r="AH66" s="133">
        <f t="shared" si="26"/>
        <v>8.0510499337495958</v>
      </c>
      <c r="AI66" s="133">
        <f t="shared" si="26"/>
        <v>9.187104433182661</v>
      </c>
      <c r="AJ66" s="133">
        <f t="shared" si="26"/>
        <v>8.0389160417564298</v>
      </c>
      <c r="AK66" s="133">
        <f t="shared" si="26"/>
        <v>8.0221695264757233</v>
      </c>
      <c r="AL66" s="133">
        <f t="shared" si="26"/>
        <v>8.3632978171405821</v>
      </c>
      <c r="AM66" s="133">
        <f t="shared" si="26"/>
        <v>10.212355280468996</v>
      </c>
      <c r="AN66" s="133">
        <f t="shared" si="26"/>
        <v>8.4022714067169133</v>
      </c>
      <c r="AO66" s="133">
        <f t="shared" si="26"/>
        <v>8.7652220149495896</v>
      </c>
      <c r="AP66" s="133">
        <f t="shared" si="26"/>
        <v>9.4852819315155923</v>
      </c>
      <c r="AQ66" s="133">
        <f t="shared" si="26"/>
        <v>8.0240627089033065</v>
      </c>
      <c r="AR66" s="133">
        <f t="shared" si="26"/>
        <v>5.4711463520234567</v>
      </c>
      <c r="AS66" s="133">
        <f t="shared" si="27"/>
        <v>7.6635299535227182</v>
      </c>
      <c r="AT66" s="133">
        <f t="shared" si="27"/>
        <v>7.6644412345058255</v>
      </c>
      <c r="AU66" s="133">
        <f t="shared" si="27"/>
        <v>7.663157892277753</v>
      </c>
      <c r="AV66" s="133">
        <f t="shared" si="27"/>
        <v>7.6619366787914416</v>
      </c>
      <c r="AW66" s="133">
        <f t="shared" si="27"/>
        <v>7.6620972828141696</v>
      </c>
      <c r="AX66" s="133">
        <f t="shared" si="27"/>
        <v>7.6626041439386894</v>
      </c>
      <c r="AY66" s="133">
        <f t="shared" si="27"/>
        <v>8.0278641118151839</v>
      </c>
    </row>
    <row r="67" spans="1:51" x14ac:dyDescent="0.2">
      <c r="A67" s="19" t="s">
        <v>172</v>
      </c>
      <c r="M67" s="129">
        <f>'Monthly Data'!$I481*42/1000</f>
        <v>2.7405420000000005</v>
      </c>
      <c r="N67" s="129">
        <f>'Monthly Data'!$I493*42/1000</f>
        <v>17.128692000000004</v>
      </c>
      <c r="O67" s="129">
        <f>'Monthly Data'!$I505*42/1000</f>
        <v>2.7332339999999999</v>
      </c>
      <c r="P67" s="129">
        <f>'Monthly Data'!$I517*42/1000</f>
        <v>3.1885979999999998</v>
      </c>
      <c r="Q67" s="129">
        <f>'Monthly Data'!$I529*42/1000</f>
        <v>6.0082259999999996</v>
      </c>
      <c r="R67" s="129">
        <f>'Monthly Data'!$I541*42/1000</f>
        <v>2.0725319999999998</v>
      </c>
      <c r="S67" s="129">
        <f>'Monthly Data'!$I553*42/1000</f>
        <v>5.986008</v>
      </c>
      <c r="T67" s="129">
        <f>'Monthly Data'!$I565*42/1000</f>
        <v>2.3479259999999997</v>
      </c>
      <c r="U67" s="129">
        <f>'Monthly Data'!$I577*42/1000</f>
        <v>3.056718</v>
      </c>
      <c r="V67" s="129">
        <f>'Monthly Data'!$I589*42/1000</f>
        <v>6.9634320000000001</v>
      </c>
      <c r="W67" s="129">
        <f>'Monthly Data'!$I601*42/1000</f>
        <v>9.2765820000000012</v>
      </c>
      <c r="X67" s="129">
        <f>'Monthly Data'!$I613*42/1000</f>
        <v>15.178842000000001</v>
      </c>
      <c r="Y67" s="129">
        <f>'Monthly Data'!I625*42/1000</f>
        <v>5.0218559999999997</v>
      </c>
      <c r="Z67" s="133">
        <f t="shared" si="28"/>
        <v>4.8185542180328591</v>
      </c>
      <c r="AA67" s="133">
        <f t="shared" si="24"/>
        <v>5.0347065991972375</v>
      </c>
      <c r="AB67" s="133">
        <f t="shared" si="25"/>
        <v>5.1252886386176382</v>
      </c>
      <c r="AC67" s="133">
        <f t="shared" si="26"/>
        <v>5.2077737660146006</v>
      </c>
      <c r="AD67" s="133">
        <f t="shared" si="26"/>
        <v>4.6574261171997433</v>
      </c>
      <c r="AE67" s="133">
        <f t="shared" si="26"/>
        <v>3.7111424807620246</v>
      </c>
      <c r="AF67" s="133">
        <f t="shared" si="26"/>
        <v>4.164255057057682</v>
      </c>
      <c r="AG67" s="133">
        <f t="shared" si="26"/>
        <v>4.6166448284426282</v>
      </c>
      <c r="AH67" s="133">
        <f t="shared" si="26"/>
        <v>4.4457035260152562</v>
      </c>
      <c r="AI67" s="133">
        <f t="shared" si="26"/>
        <v>5.0381477021601375</v>
      </c>
      <c r="AJ67" s="133">
        <f t="shared" si="26"/>
        <v>4.4055115312483037</v>
      </c>
      <c r="AK67" s="133">
        <f t="shared" si="26"/>
        <v>4.3638414493615993</v>
      </c>
      <c r="AL67" s="133">
        <f t="shared" si="26"/>
        <v>4.6058103271745852</v>
      </c>
      <c r="AM67" s="133">
        <f t="shared" si="26"/>
        <v>5.6154632277610972</v>
      </c>
      <c r="AN67" s="133">
        <f t="shared" si="26"/>
        <v>4.6120632997576232</v>
      </c>
      <c r="AO67" s="133">
        <f t="shared" si="26"/>
        <v>4.8068538524414004</v>
      </c>
      <c r="AP67" s="133">
        <f t="shared" si="26"/>
        <v>5.2017474357842239</v>
      </c>
      <c r="AQ67" s="133">
        <f t="shared" si="26"/>
        <v>4.4008708974669295</v>
      </c>
      <c r="AR67" s="133">
        <f t="shared" si="26"/>
        <v>3.0043981890807392</v>
      </c>
      <c r="AS67" s="133">
        <f t="shared" si="27"/>
        <v>4.2062995286096534</v>
      </c>
      <c r="AT67" s="133">
        <f t="shared" si="27"/>
        <v>4.2051671547019227</v>
      </c>
      <c r="AU67" s="133">
        <f t="shared" si="27"/>
        <v>4.2041246373626526</v>
      </c>
      <c r="AV67" s="133">
        <f t="shared" si="27"/>
        <v>4.2037679738343536</v>
      </c>
      <c r="AW67" s="133">
        <f t="shared" si="27"/>
        <v>4.2042743471254651</v>
      </c>
      <c r="AX67" s="133">
        <f t="shared" si="27"/>
        <v>4.2049055703750886</v>
      </c>
      <c r="AY67" s="133">
        <f t="shared" si="27"/>
        <v>4.4049830370174687</v>
      </c>
    </row>
    <row r="68" spans="1:51" x14ac:dyDescent="0.2">
      <c r="A68" s="19" t="s">
        <v>173</v>
      </c>
      <c r="M68" s="129">
        <f>'Monthly Data'!$I482*42/1000</f>
        <v>6.0253200000000007</v>
      </c>
      <c r="N68" s="129">
        <f>'Monthly Data'!$I494*42/1000</f>
        <v>19.979525999999996</v>
      </c>
      <c r="O68" s="129">
        <f>'Monthly Data'!$I506*42/1000</f>
        <v>2.122512</v>
      </c>
      <c r="P68" s="129">
        <f>'Monthly Data'!$I518*42/1000</f>
        <v>5.6062859999999999</v>
      </c>
      <c r="Q68" s="129">
        <f>'Monthly Data'!$I530*42/1000</f>
        <v>3.375918</v>
      </c>
      <c r="R68" s="129">
        <f>'Monthly Data'!$I542*42/1000</f>
        <v>1.4778960000000001</v>
      </c>
      <c r="S68" s="129">
        <f>'Monthly Data'!$I554*42/1000</f>
        <v>3.2311019999999999</v>
      </c>
      <c r="T68" s="129">
        <f>'Monthly Data'!$I566*42/1000</f>
        <v>3.4804559999999998</v>
      </c>
      <c r="U68" s="129">
        <f>'Monthly Data'!$I578*42/1000</f>
        <v>2.70438</v>
      </c>
      <c r="V68" s="129">
        <f>'Monthly Data'!$I590*42/1000</f>
        <v>12.206586</v>
      </c>
      <c r="W68" s="129">
        <f>'Monthly Data'!$I602*42/1000</f>
        <v>19.38447</v>
      </c>
      <c r="X68" s="129">
        <f>'Monthly Data'!$I614*42/1000</f>
        <v>16.427795999999997</v>
      </c>
      <c r="Y68" s="129">
        <f>'Monthly Data'!I626*42/1000</f>
        <v>5.7416939999999999</v>
      </c>
      <c r="Z68" s="133">
        <f t="shared" ref="Z68:AH68" si="29">Z69-SUM(Z57:Z67)</f>
        <v>2.4968127516383163</v>
      </c>
      <c r="AA68" s="133">
        <f t="shared" si="29"/>
        <v>6.6986000746931609</v>
      </c>
      <c r="AB68" s="133">
        <f t="shared" si="29"/>
        <v>6.9699669496886258</v>
      </c>
      <c r="AC68" s="133">
        <f t="shared" si="29"/>
        <v>6.7615263770025109</v>
      </c>
      <c r="AD68" s="133">
        <f t="shared" si="29"/>
        <v>5.2005106313950478</v>
      </c>
      <c r="AE68" s="133">
        <f t="shared" si="29"/>
        <v>4.2086237459680973</v>
      </c>
      <c r="AF68" s="133">
        <f t="shared" si="29"/>
        <v>4.7156725773478883</v>
      </c>
      <c r="AG68" s="133">
        <f t="shared" si="29"/>
        <v>5.717717325109291</v>
      </c>
      <c r="AH68" s="133">
        <f t="shared" si="29"/>
        <v>5.4310910834062724</v>
      </c>
      <c r="AI68" s="133">
        <f>AI69-SUM(AI57:AI67)</f>
        <v>6.0216431842536053</v>
      </c>
      <c r="AJ68" s="133">
        <f>AJ69-SUM(AJ57:AJ67)</f>
        <v>5.1766593086057497</v>
      </c>
      <c r="AK68" s="133">
        <f t="shared" ref="AK68:AY68" si="30">AK69-SUM(AK57:AK67)</f>
        <v>5.1727139770165422</v>
      </c>
      <c r="AL68" s="133">
        <f t="shared" si="30"/>
        <v>5.4919736406074691</v>
      </c>
      <c r="AM68" s="133">
        <f t="shared" si="30"/>
        <v>6.7469369235910222</v>
      </c>
      <c r="AN68" s="133">
        <f t="shared" si="30"/>
        <v>5.5136860331130748</v>
      </c>
      <c r="AO68" s="133">
        <f t="shared" si="30"/>
        <v>5.7270399553321596</v>
      </c>
      <c r="AP68" s="133">
        <f t="shared" si="30"/>
        <v>6.1940440548937659</v>
      </c>
      <c r="AQ68" s="133">
        <f t="shared" si="30"/>
        <v>5.2508265812341648</v>
      </c>
      <c r="AR68" s="133">
        <f t="shared" si="30"/>
        <v>3.5881343002162538</v>
      </c>
      <c r="AS68" s="133">
        <f t="shared" si="30"/>
        <v>5.0248842377970249</v>
      </c>
      <c r="AT68" s="133">
        <f t="shared" si="30"/>
        <v>5.017335255071103</v>
      </c>
      <c r="AU68" s="133">
        <f t="shared" si="30"/>
        <v>5.0143221091118875</v>
      </c>
      <c r="AV68" s="133">
        <f t="shared" si="30"/>
        <v>5.0149244230540404</v>
      </c>
      <c r="AW68" s="133">
        <f t="shared" si="30"/>
        <v>5.0175121077369766</v>
      </c>
      <c r="AX68" s="133">
        <f t="shared" si="30"/>
        <v>5.0184946757727715</v>
      </c>
      <c r="AY68" s="133">
        <f t="shared" si="30"/>
        <v>5.2568603316505005</v>
      </c>
    </row>
    <row r="69" spans="1:51" x14ac:dyDescent="0.2">
      <c r="A69" s="117" t="s">
        <v>174</v>
      </c>
      <c r="M69" s="130">
        <f>SUM(M57:M68)</f>
        <v>128.342004</v>
      </c>
      <c r="N69" s="130">
        <f>SUM(N57:N68)</f>
        <v>196.33559400000001</v>
      </c>
      <c r="O69" s="130">
        <f t="shared" ref="O69:Y69" si="31">SUM(O57:O68)</f>
        <v>82.919297999999998</v>
      </c>
      <c r="P69" s="130">
        <f t="shared" si="31"/>
        <v>87.811793999999992</v>
      </c>
      <c r="Q69" s="130">
        <f t="shared" si="31"/>
        <v>88.123853999999966</v>
      </c>
      <c r="R69" s="130">
        <f t="shared" si="31"/>
        <v>93.586458000000007</v>
      </c>
      <c r="S69" s="130">
        <f t="shared" si="31"/>
        <v>103.75238999999999</v>
      </c>
      <c r="T69" s="130">
        <f t="shared" si="31"/>
        <v>114.67499400000001</v>
      </c>
      <c r="U69" s="130">
        <f t="shared" si="31"/>
        <v>145.21512599999997</v>
      </c>
      <c r="V69" s="130">
        <f t="shared" si="31"/>
        <v>187.00315200000003</v>
      </c>
      <c r="W69" s="130">
        <f t="shared" si="31"/>
        <v>238.18598999999998</v>
      </c>
      <c r="X69" s="130">
        <f t="shared" si="31"/>
        <v>259.11353999999994</v>
      </c>
      <c r="Y69" s="130">
        <f t="shared" si="31"/>
        <v>184.75501800000001</v>
      </c>
      <c r="Z69" s="134">
        <f t="shared" ref="Z69:AY69" si="32">Z9</f>
        <v>130</v>
      </c>
      <c r="AA69" s="134">
        <f t="shared" si="32"/>
        <v>130</v>
      </c>
      <c r="AB69" s="134">
        <f t="shared" si="32"/>
        <v>125</v>
      </c>
      <c r="AC69" s="134">
        <f t="shared" si="32"/>
        <v>125</v>
      </c>
      <c r="AD69" s="134">
        <f t="shared" si="32"/>
        <v>110</v>
      </c>
      <c r="AE69" s="134">
        <f t="shared" si="32"/>
        <v>100</v>
      </c>
      <c r="AF69" s="134">
        <f t="shared" si="32"/>
        <v>105</v>
      </c>
      <c r="AG69" s="134">
        <f t="shared" si="32"/>
        <v>115</v>
      </c>
      <c r="AH69" s="134">
        <f t="shared" si="32"/>
        <v>110</v>
      </c>
      <c r="AI69" s="134">
        <f t="shared" si="32"/>
        <v>125</v>
      </c>
      <c r="AJ69" s="134">
        <f t="shared" si="32"/>
        <v>110</v>
      </c>
      <c r="AK69" s="134">
        <f t="shared" si="32"/>
        <v>110</v>
      </c>
      <c r="AL69" s="134">
        <f t="shared" si="32"/>
        <v>115</v>
      </c>
      <c r="AM69" s="134">
        <f t="shared" si="32"/>
        <v>140</v>
      </c>
      <c r="AN69" s="134">
        <f t="shared" si="32"/>
        <v>115</v>
      </c>
      <c r="AO69" s="134">
        <f t="shared" si="32"/>
        <v>120</v>
      </c>
      <c r="AP69" s="134">
        <f t="shared" si="32"/>
        <v>130</v>
      </c>
      <c r="AQ69" s="134">
        <f t="shared" si="32"/>
        <v>110</v>
      </c>
      <c r="AR69" s="134">
        <f t="shared" si="32"/>
        <v>75</v>
      </c>
      <c r="AS69" s="134">
        <f t="shared" si="32"/>
        <v>105</v>
      </c>
      <c r="AT69" s="134">
        <f t="shared" si="32"/>
        <v>105</v>
      </c>
      <c r="AU69" s="134">
        <f t="shared" si="32"/>
        <v>105</v>
      </c>
      <c r="AV69" s="134">
        <f t="shared" si="32"/>
        <v>105</v>
      </c>
      <c r="AW69" s="134">
        <f t="shared" si="32"/>
        <v>105</v>
      </c>
      <c r="AX69" s="134">
        <f t="shared" si="32"/>
        <v>105</v>
      </c>
      <c r="AY69" s="134">
        <f t="shared" si="32"/>
        <v>110</v>
      </c>
    </row>
    <row r="70" spans="1:51" x14ac:dyDescent="0.2">
      <c r="A70" s="114"/>
      <c r="B70" s="114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35">
        <f>X9</f>
        <v>259.11353999999994</v>
      </c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4"/>
      <c r="AM70" s="114"/>
      <c r="AN70" s="114"/>
      <c r="AO70" s="114"/>
      <c r="AP70" s="114"/>
      <c r="AQ70" s="114"/>
      <c r="AR70" s="114"/>
      <c r="AS70" s="114"/>
      <c r="AT70" s="114"/>
      <c r="AU70" s="114"/>
      <c r="AV70" s="114"/>
      <c r="AW70" s="114"/>
      <c r="AX70" s="114"/>
      <c r="AY70" s="114"/>
    </row>
    <row r="71" spans="1:51" ht="12" thickBot="1" x14ac:dyDescent="0.25">
      <c r="A71" s="121" t="s">
        <v>177</v>
      </c>
    </row>
    <row r="72" spans="1:51" ht="12" thickBot="1" x14ac:dyDescent="0.25">
      <c r="A72" s="122"/>
      <c r="B72" s="122">
        <f t="shared" ref="B72:AY72" si="33">B2</f>
        <v>2001</v>
      </c>
      <c r="C72" s="122">
        <f t="shared" si="33"/>
        <v>2002</v>
      </c>
      <c r="D72" s="122">
        <f t="shared" si="33"/>
        <v>2003</v>
      </c>
      <c r="E72" s="122">
        <f t="shared" si="33"/>
        <v>2004</v>
      </c>
      <c r="F72" s="122">
        <f t="shared" si="33"/>
        <v>2005</v>
      </c>
      <c r="G72" s="122">
        <f t="shared" si="33"/>
        <v>2006</v>
      </c>
      <c r="H72" s="122">
        <f t="shared" si="33"/>
        <v>2007</v>
      </c>
      <c r="I72" s="122">
        <f t="shared" si="33"/>
        <v>2008</v>
      </c>
      <c r="J72" s="122">
        <f t="shared" si="33"/>
        <v>2009</v>
      </c>
      <c r="K72" s="122">
        <f t="shared" si="33"/>
        <v>2010</v>
      </c>
      <c r="L72" s="122">
        <f t="shared" si="33"/>
        <v>2011</v>
      </c>
      <c r="M72" s="122">
        <f t="shared" si="33"/>
        <v>2012</v>
      </c>
      <c r="N72" s="122">
        <f t="shared" si="33"/>
        <v>2013</v>
      </c>
      <c r="O72" s="122">
        <f t="shared" si="33"/>
        <v>2014</v>
      </c>
      <c r="P72" s="122">
        <f t="shared" si="33"/>
        <v>2015</v>
      </c>
      <c r="Q72" s="122">
        <f t="shared" si="33"/>
        <v>2016</v>
      </c>
      <c r="R72" s="122">
        <f t="shared" si="33"/>
        <v>2017</v>
      </c>
      <c r="S72" s="122">
        <f t="shared" si="33"/>
        <v>2018</v>
      </c>
      <c r="T72" s="122">
        <f t="shared" si="33"/>
        <v>2019</v>
      </c>
      <c r="U72" s="122">
        <f t="shared" si="33"/>
        <v>2020</v>
      </c>
      <c r="V72" s="122">
        <f t="shared" si="33"/>
        <v>2021</v>
      </c>
      <c r="W72" s="122">
        <f t="shared" si="33"/>
        <v>2022</v>
      </c>
      <c r="X72" s="122">
        <f t="shared" si="33"/>
        <v>2023</v>
      </c>
      <c r="Y72" s="122">
        <f t="shared" si="33"/>
        <v>2024</v>
      </c>
      <c r="Z72" s="122" t="str">
        <f t="shared" si="33"/>
        <v>2025e</v>
      </c>
      <c r="AA72" s="122" t="str">
        <f t="shared" si="33"/>
        <v>2026f</v>
      </c>
      <c r="AB72" s="122" t="str">
        <f t="shared" si="33"/>
        <v>2027f</v>
      </c>
      <c r="AC72" s="122">
        <f t="shared" si="33"/>
        <v>2028</v>
      </c>
      <c r="AD72" s="122">
        <f t="shared" si="33"/>
        <v>2029</v>
      </c>
      <c r="AE72" s="122">
        <f t="shared" si="33"/>
        <v>2030</v>
      </c>
      <c r="AF72" s="122">
        <f t="shared" si="33"/>
        <v>2031</v>
      </c>
      <c r="AG72" s="122">
        <f t="shared" si="33"/>
        <v>2032</v>
      </c>
      <c r="AH72" s="122">
        <f t="shared" si="33"/>
        <v>2033</v>
      </c>
      <c r="AI72" s="122">
        <f t="shared" si="33"/>
        <v>2034</v>
      </c>
      <c r="AJ72" s="122">
        <f t="shared" si="33"/>
        <v>2035</v>
      </c>
      <c r="AK72" s="122">
        <f t="shared" si="33"/>
        <v>2036</v>
      </c>
      <c r="AL72" s="122">
        <f t="shared" si="33"/>
        <v>2037</v>
      </c>
      <c r="AM72" s="122">
        <f t="shared" si="33"/>
        <v>2038</v>
      </c>
      <c r="AN72" s="122">
        <f t="shared" si="33"/>
        <v>2039</v>
      </c>
      <c r="AO72" s="122">
        <f t="shared" si="33"/>
        <v>2040</v>
      </c>
      <c r="AP72" s="122">
        <f t="shared" si="33"/>
        <v>2041</v>
      </c>
      <c r="AQ72" s="122">
        <f t="shared" si="33"/>
        <v>2042</v>
      </c>
      <c r="AR72" s="122">
        <f t="shared" si="33"/>
        <v>2043</v>
      </c>
      <c r="AS72" s="122">
        <f t="shared" si="33"/>
        <v>2044</v>
      </c>
      <c r="AT72" s="122">
        <f t="shared" si="33"/>
        <v>2045</v>
      </c>
      <c r="AU72" s="122">
        <f t="shared" si="33"/>
        <v>2046</v>
      </c>
      <c r="AV72" s="122">
        <f t="shared" si="33"/>
        <v>2047</v>
      </c>
      <c r="AW72" s="122">
        <f t="shared" si="33"/>
        <v>2048</v>
      </c>
      <c r="AX72" s="122">
        <f t="shared" si="33"/>
        <v>2049</v>
      </c>
      <c r="AY72" s="122">
        <f t="shared" si="33"/>
        <v>2050</v>
      </c>
    </row>
    <row r="73" spans="1:51" x14ac:dyDescent="0.2">
      <c r="A73" s="19" t="s">
        <v>162</v>
      </c>
      <c r="B73" s="136">
        <f>'Monthly Data'!N339</f>
        <v>0.71899999999999997</v>
      </c>
      <c r="C73" s="136">
        <f>'Monthly Data'!N351</f>
        <v>1.3169999999999999</v>
      </c>
      <c r="D73" s="136">
        <f>'Monthly Data'!N363</f>
        <v>1.4279999999999999</v>
      </c>
      <c r="E73" s="136">
        <f>'Monthly Data'!N375</f>
        <v>2.5979999999999999</v>
      </c>
      <c r="F73" s="136">
        <f>'Monthly Data'!N387</f>
        <v>8.0060000000000002</v>
      </c>
      <c r="G73" s="136">
        <f>'Monthly Data'!N399</f>
        <v>12.894</v>
      </c>
      <c r="H73" s="136" t="s">
        <v>178</v>
      </c>
      <c r="I73" s="136">
        <f>'Monthly Data'!N423</f>
        <v>28.495999999999999</v>
      </c>
      <c r="J73" s="136">
        <f>'Monthly Data'!N435</f>
        <v>3.3180000000000001</v>
      </c>
      <c r="K73" s="136">
        <f>'Monthly Data'!N447</f>
        <v>1.3149999999999999</v>
      </c>
      <c r="L73" s="136">
        <f>'Monthly Data'!N459</f>
        <v>26.402000000000001</v>
      </c>
      <c r="M73" s="136">
        <f>'Monthly Data'!N471</f>
        <v>43.76</v>
      </c>
      <c r="N73" s="136">
        <f>'Monthly Data'!N483</f>
        <v>69.066000000000003</v>
      </c>
      <c r="O73" s="136">
        <f>'Monthly Data'!N495</f>
        <v>80.483999999999995</v>
      </c>
      <c r="P73" s="136">
        <f>'Monthly Data'!N507</f>
        <v>49.372</v>
      </c>
      <c r="Q73" s="136">
        <f>'Monthly Data'!N519</f>
        <v>101.49</v>
      </c>
      <c r="R73" s="136">
        <f>'Monthly Data'!N531</f>
        <v>101.11199999999999</v>
      </c>
      <c r="S73" s="136">
        <f>'Monthly Data'!N543</f>
        <v>119.836</v>
      </c>
      <c r="T73" s="136">
        <f>'Monthly Data'!N555</f>
        <v>124.2</v>
      </c>
      <c r="U73" s="136">
        <f>'Monthly Data'!N567</f>
        <v>131.62700000000001</v>
      </c>
      <c r="V73" s="136">
        <f>U100+V25+V41-V57-V89</f>
        <v>70.43533400000004</v>
      </c>
      <c r="W73" s="136">
        <f>V100+W25+W41-W57-W89</f>
        <v>79.68723700000001</v>
      </c>
      <c r="X73" s="136">
        <f>W100+X25+X41-X57-X89</f>
        <v>103.89805900000002</v>
      </c>
      <c r="Y73" s="136">
        <f>X100+Y25+Y41-Y57-Y89</f>
        <v>140.53889300000003</v>
      </c>
      <c r="Z73" s="136">
        <f>Y100+Z25+Z41-Z57-Z89</f>
        <v>81.371038999999968</v>
      </c>
      <c r="AA73" s="137">
        <f>AA$85*(SUM(V73:Z73)/SUM(V$85:Z$85))+10</f>
        <v>98.217750195542934</v>
      </c>
      <c r="AB73" s="137">
        <f t="shared" ref="AB73:AB83" si="34">AB$85*(SUM(W73:AA73)/SUM(W$85:AA$85))</f>
        <v>88.420016737646847</v>
      </c>
      <c r="AC73" s="137">
        <f t="shared" ref="AC73:AC83" si="35">AC$85*(SUM(X73:AB73)/SUM(X$85:AB$85))</f>
        <v>74.779394255146656</v>
      </c>
      <c r="AD73" s="137">
        <f t="shared" ref="AD73:AS83" si="36">AD$85*(SUM(Y73:AC73)/SUM(Y$85:AC$85))</f>
        <v>91.768477115118358</v>
      </c>
      <c r="AE73" s="137">
        <f t="shared" si="36"/>
        <v>88.359857718369142</v>
      </c>
      <c r="AF73" s="137">
        <f t="shared" si="36"/>
        <v>89.20111030743918</v>
      </c>
      <c r="AG73" s="137">
        <f t="shared" si="36"/>
        <v>87.394529150306482</v>
      </c>
      <c r="AH73" s="137">
        <f t="shared" si="36"/>
        <v>86.300673709275969</v>
      </c>
      <c r="AI73" s="137">
        <f t="shared" si="36"/>
        <v>81.766294094053706</v>
      </c>
      <c r="AJ73" s="137">
        <f t="shared" si="36"/>
        <v>76.850403341061821</v>
      </c>
      <c r="AK73" s="137">
        <f t="shared" si="36"/>
        <v>68.27323411161376</v>
      </c>
      <c r="AL73" s="137">
        <f t="shared" si="36"/>
        <v>50.444053962276293</v>
      </c>
      <c r="AM73" s="137">
        <f t="shared" si="36"/>
        <v>47.495139163204122</v>
      </c>
      <c r="AN73" s="137">
        <f t="shared" si="36"/>
        <v>38.564188317248636</v>
      </c>
      <c r="AO73" s="137">
        <f t="shared" si="36"/>
        <v>23.71595948592881</v>
      </c>
      <c r="AP73" s="137">
        <f t="shared" si="36"/>
        <v>23.739488315872375</v>
      </c>
      <c r="AQ73" s="137">
        <f t="shared" si="36"/>
        <v>23.736623128326482</v>
      </c>
      <c r="AR73" s="137">
        <f t="shared" si="36"/>
        <v>23.736060137446099</v>
      </c>
      <c r="AS73" s="137">
        <f t="shared" si="36"/>
        <v>20.765471904305706</v>
      </c>
      <c r="AT73" s="137">
        <f t="shared" ref="AT73:AY83" si="37">AT$85*(SUM(AO73:AS73)/SUM(AO$85:AS$85))</f>
        <v>20.765518482132212</v>
      </c>
      <c r="AU73" s="137">
        <f t="shared" si="37"/>
        <v>20.768477204646846</v>
      </c>
      <c r="AV73" s="137">
        <f t="shared" si="37"/>
        <v>20.767704216162198</v>
      </c>
      <c r="AW73" s="137">
        <f t="shared" si="37"/>
        <v>20.767295100356982</v>
      </c>
      <c r="AX73" s="137">
        <f t="shared" si="37"/>
        <v>20.766893381520788</v>
      </c>
      <c r="AY73" s="137">
        <f t="shared" si="37"/>
        <v>20.767177676963801</v>
      </c>
    </row>
    <row r="74" spans="1:51" x14ac:dyDescent="0.2">
      <c r="A74" s="19" t="s">
        <v>163</v>
      </c>
      <c r="B74" s="136">
        <f>'Monthly Data'!N340</f>
        <v>0.502</v>
      </c>
      <c r="C74" s="136">
        <f>'Monthly Data'!N352</f>
        <v>1.841</v>
      </c>
      <c r="D74" s="136">
        <f>'Monthly Data'!N364</f>
        <v>0.80600000000000005</v>
      </c>
      <c r="E74" s="136">
        <f>'Monthly Data'!N376</f>
        <v>2.6629999999999998</v>
      </c>
      <c r="F74" s="136">
        <f>'Monthly Data'!N388</f>
        <v>8.0470000000000006</v>
      </c>
      <c r="G74" s="136">
        <f>'Monthly Data'!N400</f>
        <v>9.032</v>
      </c>
      <c r="H74" s="136">
        <f>'Monthly Data'!N412</f>
        <v>22.594000000000001</v>
      </c>
      <c r="I74" s="136">
        <f>'Monthly Data'!N424</f>
        <v>21.411999999999999</v>
      </c>
      <c r="J74" s="136">
        <f>'Monthly Data'!N436</f>
        <v>3.0659999999999998</v>
      </c>
      <c r="K74" s="136">
        <f>'Monthly Data'!N448</f>
        <v>24.988</v>
      </c>
      <c r="L74" s="136">
        <f>'Monthly Data'!N460</f>
        <v>29.7</v>
      </c>
      <c r="M74" s="136">
        <f>'Monthly Data'!N472</f>
        <v>60.886000000000003</v>
      </c>
      <c r="N74" s="136">
        <f>'Monthly Data'!N484</f>
        <v>71.370999999999995</v>
      </c>
      <c r="O74" s="136">
        <f>'Monthly Data'!N496</f>
        <v>75.733999999999995</v>
      </c>
      <c r="P74" s="136">
        <f>'Monthly Data'!N508</f>
        <v>89.938999999999993</v>
      </c>
      <c r="Q74" s="136">
        <f>'Monthly Data'!N520</f>
        <v>118.899</v>
      </c>
      <c r="R74" s="136">
        <f>'Monthly Data'!N532</f>
        <v>111.303</v>
      </c>
      <c r="S74" s="136">
        <f>'Monthly Data'!N544</f>
        <v>114.253</v>
      </c>
      <c r="T74" s="136">
        <f>'Monthly Data'!N556</f>
        <v>130.25399999999999</v>
      </c>
      <c r="U74" s="136">
        <f>'Monthly Data'!N568</f>
        <v>143.012</v>
      </c>
      <c r="V74" s="136">
        <f t="shared" ref="V74:Y84" si="38">V89+V26+V42-V58-V90</f>
        <v>128.85011300000002</v>
      </c>
      <c r="W74" s="136">
        <f t="shared" si="38"/>
        <v>115.60895499999998</v>
      </c>
      <c r="X74" s="136">
        <f t="shared" si="38"/>
        <v>128.88882799999993</v>
      </c>
      <c r="Y74" s="136">
        <f t="shared" si="38"/>
        <v>155.90538199999997</v>
      </c>
      <c r="Z74" s="137">
        <f t="shared" ref="Z74:Z83" si="39">Z$85*(SUM(U74:Y74)/SUM(U$85:Y$85))</f>
        <v>118.94369532353923</v>
      </c>
      <c r="AA74" s="137">
        <f t="shared" ref="AA74:AA83" si="40">AA$85*(SUM(V74:Z74)/SUM(V$85:Z$85))</f>
        <v>120.14878479302823</v>
      </c>
      <c r="AB74" s="137">
        <f t="shared" si="34"/>
        <v>112.25483180405271</v>
      </c>
      <c r="AC74" s="137">
        <f t="shared" si="35"/>
        <v>92.829878935153673</v>
      </c>
      <c r="AD74" s="137">
        <f t="shared" si="36"/>
        <v>113.9366375905561</v>
      </c>
      <c r="AE74" s="137">
        <f t="shared" si="36"/>
        <v>113.48314511742043</v>
      </c>
      <c r="AF74" s="137">
        <f t="shared" si="36"/>
        <v>111.64712691721439</v>
      </c>
      <c r="AG74" s="137">
        <f t="shared" si="36"/>
        <v>109.94844384075152</v>
      </c>
      <c r="AH74" s="137">
        <f t="shared" si="36"/>
        <v>108.36904648021923</v>
      </c>
      <c r="AI74" s="137">
        <f t="shared" si="36"/>
        <v>102.87295972160702</v>
      </c>
      <c r="AJ74" s="137">
        <f t="shared" si="36"/>
        <v>96.957943849880749</v>
      </c>
      <c r="AK74" s="137">
        <f t="shared" si="36"/>
        <v>85.811950553679409</v>
      </c>
      <c r="AL74" s="137">
        <f t="shared" si="36"/>
        <v>63.461673004328482</v>
      </c>
      <c r="AM74" s="137">
        <f t="shared" si="36"/>
        <v>59.751650430656632</v>
      </c>
      <c r="AN74" s="137">
        <f t="shared" si="36"/>
        <v>48.540002815360545</v>
      </c>
      <c r="AO74" s="137">
        <f t="shared" si="36"/>
        <v>29.854587002434172</v>
      </c>
      <c r="AP74" s="137">
        <f t="shared" si="36"/>
        <v>29.861804031839924</v>
      </c>
      <c r="AQ74" s="137">
        <f t="shared" si="36"/>
        <v>29.867060294789649</v>
      </c>
      <c r="AR74" s="137">
        <f t="shared" si="36"/>
        <v>29.867940313219766</v>
      </c>
      <c r="AS74" s="137">
        <f t="shared" si="36"/>
        <v>26.131994693411301</v>
      </c>
      <c r="AT74" s="137">
        <f t="shared" si="37"/>
        <v>26.130351393586245</v>
      </c>
      <c r="AU74" s="137">
        <f t="shared" si="37"/>
        <v>26.131948818103375</v>
      </c>
      <c r="AV74" s="137">
        <f t="shared" si="37"/>
        <v>26.132569421399257</v>
      </c>
      <c r="AW74" s="137">
        <f t="shared" si="37"/>
        <v>26.132323124389991</v>
      </c>
      <c r="AX74" s="137">
        <f t="shared" si="37"/>
        <v>26.131837490178032</v>
      </c>
      <c r="AY74" s="137">
        <f t="shared" si="37"/>
        <v>26.131806049531384</v>
      </c>
    </row>
    <row r="75" spans="1:51" x14ac:dyDescent="0.2">
      <c r="A75" s="19" t="s">
        <v>164</v>
      </c>
      <c r="B75" s="136">
        <f>'Monthly Data'!N341</f>
        <v>0.81200000000000006</v>
      </c>
      <c r="C75" s="136">
        <f>'Monthly Data'!N353</f>
        <v>2.512</v>
      </c>
      <c r="D75" s="136">
        <f>'Monthly Data'!N365</f>
        <v>1.0289999999999999</v>
      </c>
      <c r="E75" s="136">
        <f>'Monthly Data'!N377</f>
        <v>2.2189999999999999</v>
      </c>
      <c r="F75" s="136">
        <f>'Monthly Data'!N389</f>
        <v>7.1989999999999998</v>
      </c>
      <c r="G75" s="136">
        <f>'Monthly Data'!N401</f>
        <v>16.646999999999998</v>
      </c>
      <c r="H75" s="136">
        <f>'Monthly Data'!N413</f>
        <v>24.765000000000001</v>
      </c>
      <c r="I75" s="136">
        <f>'Monthly Data'!N425</f>
        <v>10.9</v>
      </c>
      <c r="J75" s="136">
        <f>'Monthly Data'!N437</f>
        <v>24.288</v>
      </c>
      <c r="K75" s="136">
        <f>'Monthly Data'!N449</f>
        <v>16.788</v>
      </c>
      <c r="L75" s="136">
        <f>'Monthly Data'!N461</f>
        <v>46.441000000000003</v>
      </c>
      <c r="M75" s="136">
        <f>'Monthly Data'!N473</f>
        <v>87.676000000000002</v>
      </c>
      <c r="N75" s="136">
        <f>'Monthly Data'!N485</f>
        <v>97.034999999999997</v>
      </c>
      <c r="O75" s="136">
        <f>'Monthly Data'!N497</f>
        <v>110.554</v>
      </c>
      <c r="P75" s="136">
        <f>'Monthly Data'!N509</f>
        <v>103.964</v>
      </c>
      <c r="Q75" s="136">
        <f>'Monthly Data'!N521</f>
        <v>132.66900000000001</v>
      </c>
      <c r="R75" s="136">
        <f>'Monthly Data'!N533</f>
        <v>149.54300000000001</v>
      </c>
      <c r="S75" s="136">
        <f>'Monthly Data'!N545</f>
        <v>157.91</v>
      </c>
      <c r="T75" s="136">
        <f>'Monthly Data'!N557</f>
        <v>158.90199999999999</v>
      </c>
      <c r="U75" s="136">
        <f>'Monthly Data'!N569</f>
        <v>146.559</v>
      </c>
      <c r="V75" s="136">
        <f t="shared" si="38"/>
        <v>150.31428199999996</v>
      </c>
      <c r="W75" s="136">
        <f t="shared" si="38"/>
        <v>141.52062100000001</v>
      </c>
      <c r="X75" s="136">
        <f t="shared" si="38"/>
        <v>154.37450400000006</v>
      </c>
      <c r="Y75" s="136">
        <f t="shared" si="38"/>
        <v>157.40649599999995</v>
      </c>
      <c r="Z75" s="137">
        <f t="shared" si="39"/>
        <v>132.72822206027666</v>
      </c>
      <c r="AA75" s="137">
        <f t="shared" si="40"/>
        <v>136.48760401002173</v>
      </c>
      <c r="AB75" s="137">
        <f t="shared" si="34"/>
        <v>126.82818892626845</v>
      </c>
      <c r="AC75" s="137">
        <f t="shared" si="35"/>
        <v>103.29039716040391</v>
      </c>
      <c r="AD75" s="137">
        <f t="shared" si="36"/>
        <v>124.69425747105912</v>
      </c>
      <c r="AE75" s="137">
        <f t="shared" si="36"/>
        <v>126.88582949103275</v>
      </c>
      <c r="AF75" s="137">
        <f t="shared" si="36"/>
        <v>124.88611657753253</v>
      </c>
      <c r="AG75" s="137">
        <f t="shared" si="36"/>
        <v>122.5633650272312</v>
      </c>
      <c r="AH75" s="137">
        <f t="shared" si="36"/>
        <v>120.46399314545189</v>
      </c>
      <c r="AI75" s="137">
        <f t="shared" si="36"/>
        <v>114.33606004757353</v>
      </c>
      <c r="AJ75" s="137">
        <f t="shared" si="36"/>
        <v>108.10593495910831</v>
      </c>
      <c r="AK75" s="137">
        <f t="shared" si="36"/>
        <v>95.620956369074946</v>
      </c>
      <c r="AL75" s="137">
        <f t="shared" si="36"/>
        <v>70.655816757951683</v>
      </c>
      <c r="AM75" s="137">
        <f t="shared" si="36"/>
        <v>66.505503514012773</v>
      </c>
      <c r="AN75" s="137">
        <f t="shared" si="36"/>
        <v>54.044890697902986</v>
      </c>
      <c r="AO75" s="137">
        <f t="shared" si="36"/>
        <v>33.257524404046372</v>
      </c>
      <c r="AP75" s="137">
        <f t="shared" si="36"/>
        <v>33.255552388881945</v>
      </c>
      <c r="AQ75" s="137">
        <f t="shared" si="36"/>
        <v>33.254101646812359</v>
      </c>
      <c r="AR75" s="137">
        <f t="shared" si="36"/>
        <v>33.255482664400972</v>
      </c>
      <c r="AS75" s="137">
        <f t="shared" si="36"/>
        <v>29.099396946984719</v>
      </c>
      <c r="AT75" s="137">
        <f t="shared" si="37"/>
        <v>29.098830932253449</v>
      </c>
      <c r="AU75" s="137">
        <f t="shared" si="37"/>
        <v>29.098514527771947</v>
      </c>
      <c r="AV75" s="137">
        <f t="shared" si="37"/>
        <v>29.098494243988217</v>
      </c>
      <c r="AW75" s="137">
        <f t="shared" si="37"/>
        <v>29.09875097799431</v>
      </c>
      <c r="AX75" s="137">
        <f t="shared" si="37"/>
        <v>29.098797525798531</v>
      </c>
      <c r="AY75" s="137">
        <f t="shared" si="37"/>
        <v>29.098677641561292</v>
      </c>
    </row>
    <row r="76" spans="1:51" x14ac:dyDescent="0.2">
      <c r="A76" s="19" t="s">
        <v>165</v>
      </c>
      <c r="B76" s="136">
        <f>'Monthly Data'!N342</f>
        <v>0.63200000000000001</v>
      </c>
      <c r="C76" s="136">
        <f>'Monthly Data'!N354</f>
        <v>1.077</v>
      </c>
      <c r="D76" s="136">
        <f>'Monthly Data'!N366</f>
        <v>0.85</v>
      </c>
      <c r="E76" s="136">
        <f>'Monthly Data'!N378</f>
        <v>2.5150000000000001</v>
      </c>
      <c r="F76" s="136">
        <f>'Monthly Data'!N390</f>
        <v>7.4710000000000001</v>
      </c>
      <c r="G76" s="136">
        <f>'Monthly Data'!N402</f>
        <v>16.219000000000001</v>
      </c>
      <c r="H76" s="136">
        <f>'Monthly Data'!N414</f>
        <v>13.634</v>
      </c>
      <c r="I76" s="136">
        <f>'Monthly Data'!N426</f>
        <v>14.019</v>
      </c>
      <c r="J76" s="136">
        <f>'Monthly Data'!N438</f>
        <v>25.111000000000001</v>
      </c>
      <c r="K76" s="136">
        <f>'Monthly Data'!N450</f>
        <v>28.305</v>
      </c>
      <c r="L76" s="136">
        <f>'Monthly Data'!N462</f>
        <v>62.554000000000002</v>
      </c>
      <c r="M76" s="136">
        <f>'Monthly Data'!N474</f>
        <v>90.391999999999996</v>
      </c>
      <c r="N76" s="136">
        <f>'Monthly Data'!N486</f>
        <v>102.143</v>
      </c>
      <c r="O76" s="136">
        <f>'Monthly Data'!N498</f>
        <v>96.555000000000007</v>
      </c>
      <c r="P76" s="136">
        <f>'Monthly Data'!N510</f>
        <v>118.90600000000001</v>
      </c>
      <c r="Q76" s="136">
        <f>'Monthly Data'!N522</f>
        <v>142.27699999999999</v>
      </c>
      <c r="R76" s="136">
        <f>'Monthly Data'!N534</f>
        <v>163.84299999999999</v>
      </c>
      <c r="S76" s="136">
        <f>'Monthly Data'!N546</f>
        <v>155.09899999999999</v>
      </c>
      <c r="T76" s="136">
        <f>'Monthly Data'!N558</f>
        <v>156.29499999999999</v>
      </c>
      <c r="U76" s="136">
        <f>'Monthly Data'!N570</f>
        <v>148.035</v>
      </c>
      <c r="V76" s="136">
        <f t="shared" si="38"/>
        <v>145.21304499999997</v>
      </c>
      <c r="W76" s="136">
        <f t="shared" si="38"/>
        <v>167.72667200000004</v>
      </c>
      <c r="X76" s="136">
        <f t="shared" si="38"/>
        <v>128.23406799999998</v>
      </c>
      <c r="Y76" s="136">
        <f t="shared" si="38"/>
        <v>168.26582299999993</v>
      </c>
      <c r="Z76" s="137">
        <f t="shared" si="39"/>
        <v>134.019756690854</v>
      </c>
      <c r="AA76" s="137">
        <f t="shared" si="40"/>
        <v>137.80647378311207</v>
      </c>
      <c r="AB76" s="137">
        <f t="shared" si="34"/>
        <v>129.20413635539651</v>
      </c>
      <c r="AC76" s="137">
        <f t="shared" si="35"/>
        <v>101.78811971337753</v>
      </c>
      <c r="AD76" s="137">
        <f t="shared" si="36"/>
        <v>127.41761422132932</v>
      </c>
      <c r="AE76" s="137">
        <f t="shared" si="36"/>
        <v>128.14800715536077</v>
      </c>
      <c r="AF76" s="137">
        <f t="shared" si="36"/>
        <v>126.13421236940933</v>
      </c>
      <c r="AG76" s="137">
        <f t="shared" si="36"/>
        <v>123.79737431190935</v>
      </c>
      <c r="AH76" s="137">
        <f t="shared" si="36"/>
        <v>121.45706555427726</v>
      </c>
      <c r="AI76" s="137">
        <f t="shared" si="36"/>
        <v>115.71303707609307</v>
      </c>
      <c r="AJ76" s="137">
        <f t="shared" si="36"/>
        <v>109.19107241053445</v>
      </c>
      <c r="AK76" s="137">
        <f t="shared" si="36"/>
        <v>96.582630419796772</v>
      </c>
      <c r="AL76" s="137">
        <f t="shared" si="36"/>
        <v>71.367407823217661</v>
      </c>
      <c r="AM76" s="137">
        <f t="shared" si="36"/>
        <v>67.175342143205768</v>
      </c>
      <c r="AN76" s="137">
        <f t="shared" si="36"/>
        <v>54.615373226913427</v>
      </c>
      <c r="AO76" s="137">
        <f t="shared" si="36"/>
        <v>33.594259033572058</v>
      </c>
      <c r="AP76" s="137">
        <f t="shared" si="36"/>
        <v>33.593248067190196</v>
      </c>
      <c r="AQ76" s="137">
        <f t="shared" si="36"/>
        <v>33.592984554077304</v>
      </c>
      <c r="AR76" s="137">
        <f t="shared" si="36"/>
        <v>33.595653890559809</v>
      </c>
      <c r="AS76" s="137">
        <f t="shared" si="36"/>
        <v>29.398680697915324</v>
      </c>
      <c r="AT76" s="137">
        <f t="shared" si="37"/>
        <v>29.395481633415461</v>
      </c>
      <c r="AU76" s="137">
        <f t="shared" si="37"/>
        <v>29.395587944792283</v>
      </c>
      <c r="AV76" s="137">
        <f t="shared" si="37"/>
        <v>29.395911379603284</v>
      </c>
      <c r="AW76" s="137">
        <f t="shared" si="37"/>
        <v>29.396366911777864</v>
      </c>
      <c r="AX76" s="137">
        <f t="shared" si="37"/>
        <v>29.396405713500844</v>
      </c>
      <c r="AY76" s="137">
        <f t="shared" si="37"/>
        <v>29.395950716617946</v>
      </c>
    </row>
    <row r="77" spans="1:51" x14ac:dyDescent="0.2">
      <c r="A77" s="19" t="s">
        <v>166</v>
      </c>
      <c r="B77" s="136">
        <f>'Monthly Data'!N343</f>
        <v>0.72499999999999998</v>
      </c>
      <c r="C77" s="136">
        <f>'Monthly Data'!N355</f>
        <v>1.3149999999999999</v>
      </c>
      <c r="D77" s="136">
        <f>'Monthly Data'!N367</f>
        <v>0.88300000000000001</v>
      </c>
      <c r="E77" s="136">
        <f>'Monthly Data'!N379</f>
        <v>1.974</v>
      </c>
      <c r="F77" s="136">
        <f>'Monthly Data'!N391</f>
        <v>7.61</v>
      </c>
      <c r="G77" s="136">
        <f>'Monthly Data'!N403</f>
        <v>23.234000000000002</v>
      </c>
      <c r="H77" s="136">
        <f>'Monthly Data'!N415</f>
        <v>21.469000000000001</v>
      </c>
      <c r="I77" s="136">
        <f>'Monthly Data'!N427</f>
        <v>17.353000000000002</v>
      </c>
      <c r="J77" s="136">
        <f>'Monthly Data'!N439</f>
        <v>20.414000000000001</v>
      </c>
      <c r="K77" s="136">
        <f>'Monthly Data'!N451</f>
        <v>24.183</v>
      </c>
      <c r="L77" s="136">
        <f>'Monthly Data'!N463</f>
        <v>63.875</v>
      </c>
      <c r="M77" s="136">
        <f>'Monthly Data'!N475</f>
        <v>94.332999999999998</v>
      </c>
      <c r="N77" s="136">
        <f>'Monthly Data'!N487</f>
        <v>106.65600000000001</v>
      </c>
      <c r="O77" s="136">
        <f>'Monthly Data'!N499</f>
        <v>114.39400000000001</v>
      </c>
      <c r="P77" s="136">
        <f>'Monthly Data'!N511</f>
        <v>140.15</v>
      </c>
      <c r="Q77" s="136">
        <f>'Monthly Data'!N523</f>
        <v>179.41900000000001</v>
      </c>
      <c r="R77" s="136">
        <f>'Monthly Data'!N535</f>
        <v>199.417</v>
      </c>
      <c r="S77" s="136">
        <f>'Monthly Data'!N547</f>
        <v>166.83799999999999</v>
      </c>
      <c r="T77" s="136">
        <f>'Monthly Data'!N559</f>
        <v>169.54400000000001</v>
      </c>
      <c r="U77" s="136">
        <f>'Monthly Data'!N571</f>
        <v>147.292</v>
      </c>
      <c r="V77" s="136">
        <f t="shared" si="38"/>
        <v>156.048565</v>
      </c>
      <c r="W77" s="136">
        <f t="shared" si="38"/>
        <v>137.95419100000001</v>
      </c>
      <c r="X77" s="136">
        <f t="shared" si="38"/>
        <v>190.91846300000003</v>
      </c>
      <c r="Y77" s="136">
        <f t="shared" si="38"/>
        <v>167.34878900000004</v>
      </c>
      <c r="Z77" s="137">
        <f t="shared" si="39"/>
        <v>141.46626783218937</v>
      </c>
      <c r="AA77" s="137">
        <f t="shared" si="40"/>
        <v>147.12572398850199</v>
      </c>
      <c r="AB77" s="137">
        <f t="shared" si="34"/>
        <v>137.76340901789706</v>
      </c>
      <c r="AC77" s="137">
        <f t="shared" si="35"/>
        <v>114.49720441589736</v>
      </c>
      <c r="AD77" s="137">
        <f t="shared" si="36"/>
        <v>134.46497073610777</v>
      </c>
      <c r="AE77" s="137">
        <f t="shared" si="36"/>
        <v>137.314573784754</v>
      </c>
      <c r="AF77" s="137">
        <f t="shared" si="36"/>
        <v>135.58906705922388</v>
      </c>
      <c r="AG77" s="137">
        <f t="shared" si="36"/>
        <v>133.28124751992783</v>
      </c>
      <c r="AH77" s="137">
        <f t="shared" si="36"/>
        <v>131.02941270318215</v>
      </c>
      <c r="AI77" s="137">
        <f t="shared" si="36"/>
        <v>123.96765083616029</v>
      </c>
      <c r="AJ77" s="137">
        <f t="shared" si="36"/>
        <v>117.34287201013278</v>
      </c>
      <c r="AK77" s="137">
        <f t="shared" si="36"/>
        <v>103.85799826027055</v>
      </c>
      <c r="AL77" s="137">
        <f t="shared" si="36"/>
        <v>76.749230241514454</v>
      </c>
      <c r="AM77" s="137">
        <f t="shared" si="36"/>
        <v>72.22167040669521</v>
      </c>
      <c r="AN77" s="137">
        <f t="shared" si="36"/>
        <v>58.664954180931986</v>
      </c>
      <c r="AO77" s="137">
        <f t="shared" si="36"/>
        <v>36.112566324172207</v>
      </c>
      <c r="AP77" s="137">
        <f t="shared" si="36"/>
        <v>36.114952666346426</v>
      </c>
      <c r="AQ77" s="137">
        <f t="shared" si="36"/>
        <v>36.111403073504555</v>
      </c>
      <c r="AR77" s="137">
        <f t="shared" si="36"/>
        <v>36.10951647572081</v>
      </c>
      <c r="AS77" s="137">
        <f t="shared" si="36"/>
        <v>31.595416645438483</v>
      </c>
      <c r="AT77" s="137">
        <f t="shared" si="37"/>
        <v>31.597615033237886</v>
      </c>
      <c r="AU77" s="137">
        <f t="shared" si="37"/>
        <v>31.597429664729923</v>
      </c>
      <c r="AV77" s="137">
        <f t="shared" si="37"/>
        <v>31.596747736443831</v>
      </c>
      <c r="AW77" s="137">
        <f t="shared" si="37"/>
        <v>31.596585524694344</v>
      </c>
      <c r="AX77" s="137">
        <f t="shared" si="37"/>
        <v>31.596758920908893</v>
      </c>
      <c r="AY77" s="137">
        <f t="shared" si="37"/>
        <v>31.597027376002973</v>
      </c>
    </row>
    <row r="78" spans="1:51" x14ac:dyDescent="0.2">
      <c r="A78" s="19" t="s">
        <v>167</v>
      </c>
      <c r="B78" s="136">
        <f>'Monthly Data'!N344</f>
        <v>0.74399999999999999</v>
      </c>
      <c r="C78" s="136">
        <f>'Monthly Data'!N356</f>
        <v>1.3859999999999999</v>
      </c>
      <c r="D78" s="136">
        <f>'Monthly Data'!N368</f>
        <v>0.9</v>
      </c>
      <c r="E78" s="136">
        <f>'Monthly Data'!N380</f>
        <v>1.8720000000000001</v>
      </c>
      <c r="F78" s="136">
        <f>'Monthly Data'!N392</f>
        <v>7.9379999999999997</v>
      </c>
      <c r="G78" s="136">
        <f>'Monthly Data'!N404</f>
        <v>29.751000000000001</v>
      </c>
      <c r="H78" s="136">
        <f>'Monthly Data'!N416</f>
        <v>37.253999999999998</v>
      </c>
      <c r="I78" s="136">
        <f>'Monthly Data'!N428</f>
        <v>6.5629999999999997</v>
      </c>
      <c r="J78" s="136">
        <f>'Monthly Data'!N440</f>
        <v>24.475000000000001</v>
      </c>
      <c r="K78" s="136">
        <f>'Monthly Data'!N452</f>
        <v>18.257000000000001</v>
      </c>
      <c r="L78" s="136">
        <f>'Monthly Data'!N464</f>
        <v>80.63</v>
      </c>
      <c r="M78" s="136">
        <f>'Monthly Data'!N476</f>
        <v>97.662999999999997</v>
      </c>
      <c r="N78" s="136">
        <f>'Monthly Data'!N488</f>
        <v>116.958</v>
      </c>
      <c r="O78" s="136">
        <f>'Monthly Data'!N500</f>
        <v>124.014</v>
      </c>
      <c r="P78" s="136">
        <f>'Monthly Data'!N512</f>
        <v>161.70699999999999</v>
      </c>
      <c r="Q78" s="136">
        <f>'Monthly Data'!N524</f>
        <v>167.14400000000001</v>
      </c>
      <c r="R78" s="136">
        <f>'Monthly Data'!N536</f>
        <v>197.84700000000001</v>
      </c>
      <c r="S78" s="136">
        <f>'Monthly Data'!N548</f>
        <v>177.57</v>
      </c>
      <c r="T78" s="136">
        <f>'Monthly Data'!N560</f>
        <v>159.03899999999999</v>
      </c>
      <c r="U78" s="136">
        <f>'Monthly Data'!N572</f>
        <v>155.78700000000001</v>
      </c>
      <c r="V78" s="136">
        <f t="shared" si="38"/>
        <v>146.79257200000004</v>
      </c>
      <c r="W78" s="136">
        <f t="shared" si="38"/>
        <v>155.714279</v>
      </c>
      <c r="X78" s="136">
        <f t="shared" si="38"/>
        <v>179.52333800000005</v>
      </c>
      <c r="Y78" s="136">
        <f t="shared" si="38"/>
        <v>174.117886</v>
      </c>
      <c r="Z78" s="137">
        <f t="shared" si="39"/>
        <v>143.65543088973132</v>
      </c>
      <c r="AA78" s="137">
        <f t="shared" si="40"/>
        <v>148.25033633393721</v>
      </c>
      <c r="AB78" s="137">
        <f t="shared" si="34"/>
        <v>140.65060459272448</v>
      </c>
      <c r="AC78" s="137">
        <f t="shared" si="35"/>
        <v>114.72703026584023</v>
      </c>
      <c r="AD78" s="137">
        <f t="shared" si="36"/>
        <v>136.97121168912963</v>
      </c>
      <c r="AE78" s="137">
        <f t="shared" si="36"/>
        <v>139.13177146684379</v>
      </c>
      <c r="AF78" s="137">
        <f t="shared" si="36"/>
        <v>137.31938471686374</v>
      </c>
      <c r="AG78" s="137">
        <f t="shared" si="36"/>
        <v>135.13424712723528</v>
      </c>
      <c r="AH78" s="137">
        <f t="shared" si="36"/>
        <v>132.65672905318254</v>
      </c>
      <c r="AI78" s="137">
        <f t="shared" si="36"/>
        <v>125.72729504338598</v>
      </c>
      <c r="AJ78" s="137">
        <f t="shared" si="36"/>
        <v>118.90242397675969</v>
      </c>
      <c r="AK78" s="137">
        <f t="shared" si="36"/>
        <v>105.23959040916075</v>
      </c>
      <c r="AL78" s="137">
        <f t="shared" si="36"/>
        <v>77.77944337307639</v>
      </c>
      <c r="AM78" s="137">
        <f t="shared" si="36"/>
        <v>73.182756813788131</v>
      </c>
      <c r="AN78" s="137">
        <f t="shared" si="36"/>
        <v>59.459448630230341</v>
      </c>
      <c r="AO78" s="137">
        <f t="shared" si="36"/>
        <v>36.594834796043394</v>
      </c>
      <c r="AP78" s="137">
        <f t="shared" si="36"/>
        <v>36.598033664654444</v>
      </c>
      <c r="AQ78" s="137">
        <f t="shared" si="36"/>
        <v>36.59542158423131</v>
      </c>
      <c r="AR78" s="137">
        <f t="shared" si="36"/>
        <v>36.593282337954356</v>
      </c>
      <c r="AS78" s="137">
        <f t="shared" si="36"/>
        <v>32.019714379817714</v>
      </c>
      <c r="AT78" s="137">
        <f t="shared" si="37"/>
        <v>32.020743777920728</v>
      </c>
      <c r="AU78" s="137">
        <f t="shared" si="37"/>
        <v>32.020799216106575</v>
      </c>
      <c r="AV78" s="137">
        <f t="shared" si="37"/>
        <v>32.020262947897699</v>
      </c>
      <c r="AW78" s="137">
        <f t="shared" si="37"/>
        <v>32.020100517163314</v>
      </c>
      <c r="AX78" s="137">
        <f t="shared" si="37"/>
        <v>32.020324167781204</v>
      </c>
      <c r="AY78" s="137">
        <f t="shared" si="37"/>
        <v>32.020446125373908</v>
      </c>
    </row>
    <row r="79" spans="1:51" x14ac:dyDescent="0.2">
      <c r="A79" s="19" t="s">
        <v>168</v>
      </c>
      <c r="B79" s="136">
        <f>'Monthly Data'!N345</f>
        <v>1.1850000000000001</v>
      </c>
      <c r="C79" s="136">
        <f>'Monthly Data'!N357</f>
        <v>1.623</v>
      </c>
      <c r="D79" s="136">
        <f>'Monthly Data'!N369</f>
        <v>0.95299999999999996</v>
      </c>
      <c r="E79" s="136">
        <f>'Monthly Data'!N381</f>
        <v>2.0459999999999998</v>
      </c>
      <c r="F79" s="136">
        <f>'Monthly Data'!N393</f>
        <v>7.0739999999999998</v>
      </c>
      <c r="G79" s="136">
        <f>'Monthly Data'!N405</f>
        <v>21.292999999999999</v>
      </c>
      <c r="H79" s="136">
        <f>'Monthly Data'!N417</f>
        <v>24.786999999999999</v>
      </c>
      <c r="I79" s="136">
        <f>'Monthly Data'!N429</f>
        <v>28.542999999999999</v>
      </c>
      <c r="J79" s="136">
        <f>'Monthly Data'!N441</f>
        <v>23.472999999999999</v>
      </c>
      <c r="K79" s="136">
        <f>'Monthly Data'!N453</f>
        <v>26.146000000000001</v>
      </c>
      <c r="L79" s="136">
        <f>'Monthly Data'!N465</f>
        <v>78.814999999999998</v>
      </c>
      <c r="M79" s="136">
        <f>'Monthly Data'!N477</f>
        <v>82.010999999999996</v>
      </c>
      <c r="N79" s="136">
        <f>'Monthly Data'!N489</f>
        <v>117.73399999999999</v>
      </c>
      <c r="O79" s="136">
        <f>'Monthly Data'!N501</f>
        <v>117.93300000000001</v>
      </c>
      <c r="P79" s="136">
        <f>'Monthly Data'!N513</f>
        <v>144.64099999999999</v>
      </c>
      <c r="Q79" s="136">
        <f>'Monthly Data'!N525</f>
        <v>211.90799999999999</v>
      </c>
      <c r="R79" s="136">
        <f>'Monthly Data'!N537</f>
        <v>185.81800000000001</v>
      </c>
      <c r="S79" s="136">
        <f>'Monthly Data'!N549</f>
        <v>166.559</v>
      </c>
      <c r="T79" s="136">
        <f>'Monthly Data'!N561</f>
        <v>169.62</v>
      </c>
      <c r="U79" s="136">
        <f>'Monthly Data'!N573</f>
        <v>178.852</v>
      </c>
      <c r="V79" s="136">
        <f t="shared" si="38"/>
        <v>143.84358400000002</v>
      </c>
      <c r="W79" s="136">
        <f t="shared" si="38"/>
        <v>126.91519700000003</v>
      </c>
      <c r="X79" s="136">
        <f t="shared" si="38"/>
        <v>154.157342</v>
      </c>
      <c r="Y79" s="136">
        <f t="shared" si="38"/>
        <v>156.55697000000001</v>
      </c>
      <c r="Z79" s="137">
        <f t="shared" si="39"/>
        <v>134.52409215255298</v>
      </c>
      <c r="AA79" s="137">
        <f t="shared" si="40"/>
        <v>132.71612681284338</v>
      </c>
      <c r="AB79" s="137">
        <f t="shared" si="34"/>
        <v>123.73036995756406</v>
      </c>
      <c r="AC79" s="137">
        <f t="shared" si="35"/>
        <v>102.39439206333051</v>
      </c>
      <c r="AD79" s="137">
        <f t="shared" si="36"/>
        <v>123.39955389684287</v>
      </c>
      <c r="AE79" s="137">
        <f t="shared" si="36"/>
        <v>125.40878875957054</v>
      </c>
      <c r="AF79" s="137">
        <f t="shared" si="36"/>
        <v>122.75742050306089</v>
      </c>
      <c r="AG79" s="137">
        <f t="shared" si="36"/>
        <v>120.76623625219783</v>
      </c>
      <c r="AH79" s="137">
        <f t="shared" si="36"/>
        <v>118.94527829500052</v>
      </c>
      <c r="AI79" s="137">
        <f t="shared" si="36"/>
        <v>112.81963179149999</v>
      </c>
      <c r="AJ79" s="137">
        <f t="shared" si="36"/>
        <v>106.60840440706193</v>
      </c>
      <c r="AK79" s="137">
        <f t="shared" si="36"/>
        <v>94.250917878330185</v>
      </c>
      <c r="AL79" s="137">
        <f t="shared" si="36"/>
        <v>69.686207160070651</v>
      </c>
      <c r="AM79" s="137">
        <f t="shared" si="36"/>
        <v>65.6078941429503</v>
      </c>
      <c r="AN79" s="137">
        <f t="shared" si="36"/>
        <v>53.302737168391502</v>
      </c>
      <c r="AO79" s="137">
        <f t="shared" si="36"/>
        <v>32.796308274257221</v>
      </c>
      <c r="AP79" s="137">
        <f t="shared" si="36"/>
        <v>32.794188532363627</v>
      </c>
      <c r="AQ79" s="137">
        <f t="shared" si="36"/>
        <v>32.798365842326881</v>
      </c>
      <c r="AR79" s="137">
        <f t="shared" si="36"/>
        <v>32.799923616647476</v>
      </c>
      <c r="AS79" s="137">
        <f t="shared" si="36"/>
        <v>28.698681423064599</v>
      </c>
      <c r="AT79" s="137">
        <f t="shared" si="37"/>
        <v>28.697750610785089</v>
      </c>
      <c r="AU79" s="137">
        <f t="shared" si="37"/>
        <v>28.697957109902994</v>
      </c>
      <c r="AV79" s="137">
        <f t="shared" si="37"/>
        <v>28.698614870786198</v>
      </c>
      <c r="AW79" s="137">
        <f t="shared" si="37"/>
        <v>28.698624817175126</v>
      </c>
      <c r="AX79" s="137">
        <f t="shared" si="37"/>
        <v>28.698325766342805</v>
      </c>
      <c r="AY79" s="137">
        <f t="shared" si="37"/>
        <v>28.698254634998442</v>
      </c>
    </row>
    <row r="80" spans="1:51" x14ac:dyDescent="0.2">
      <c r="A80" s="19" t="s">
        <v>169</v>
      </c>
      <c r="B80" s="136">
        <f>'Monthly Data'!N346</f>
        <v>0.70299999999999996</v>
      </c>
      <c r="C80" s="136">
        <f>'Monthly Data'!N358</f>
        <v>0.996</v>
      </c>
      <c r="D80" s="136">
        <f>'Monthly Data'!N370</f>
        <v>1.2709999999999999</v>
      </c>
      <c r="E80" s="136">
        <f>'Monthly Data'!N382</f>
        <v>1.8640000000000001</v>
      </c>
      <c r="F80" s="136">
        <f>'Monthly Data'!N394</f>
        <v>8.5310000000000006</v>
      </c>
      <c r="G80" s="136">
        <f>'Monthly Data'!N406</f>
        <v>27.891999999999999</v>
      </c>
      <c r="H80" s="136">
        <f>'Monthly Data'!N418</f>
        <v>44.268000000000001</v>
      </c>
      <c r="I80" s="136">
        <f>'Monthly Data'!N430</f>
        <v>37.783000000000001</v>
      </c>
      <c r="J80" s="136">
        <f>'Monthly Data'!N442</f>
        <v>33.222999999999999</v>
      </c>
      <c r="K80" s="136">
        <f>'Monthly Data'!N454</f>
        <v>22.396999999999998</v>
      </c>
      <c r="L80" s="136">
        <f>'Monthly Data'!N466</f>
        <v>91.572999999999993</v>
      </c>
      <c r="M80" s="136">
        <f>'Monthly Data'!N478</f>
        <v>87.305000000000007</v>
      </c>
      <c r="N80" s="136">
        <f>'Monthly Data'!N490</f>
        <v>122.56399999999999</v>
      </c>
      <c r="O80" s="136">
        <f>'Monthly Data'!N502</f>
        <v>151.07400000000001</v>
      </c>
      <c r="P80" s="136">
        <f>'Monthly Data'!N514</f>
        <v>154.97200000000001</v>
      </c>
      <c r="Q80" s="136">
        <f>'Monthly Data'!N526</f>
        <v>218.434</v>
      </c>
      <c r="R80" s="136">
        <f>'Monthly Data'!N538</f>
        <v>201.73500000000001</v>
      </c>
      <c r="S80" s="136">
        <f>'Monthly Data'!N550</f>
        <v>186.364</v>
      </c>
      <c r="T80" s="136">
        <f>'Monthly Data'!N562</f>
        <v>162.322</v>
      </c>
      <c r="U80" s="136">
        <f>'Monthly Data'!N574</f>
        <v>164.20099999999999</v>
      </c>
      <c r="V80" s="136">
        <f t="shared" si="38"/>
        <v>156.36677999999998</v>
      </c>
      <c r="W80" s="136">
        <f t="shared" si="38"/>
        <v>146.75066699999996</v>
      </c>
      <c r="X80" s="136">
        <f t="shared" si="38"/>
        <v>178.91312499999998</v>
      </c>
      <c r="Y80" s="136">
        <f t="shared" si="38"/>
        <v>145.964326</v>
      </c>
      <c r="Z80" s="137">
        <f t="shared" si="39"/>
        <v>140.16298418474852</v>
      </c>
      <c r="AA80" s="137">
        <f t="shared" si="40"/>
        <v>142.38455264680275</v>
      </c>
      <c r="AB80" s="137">
        <f t="shared" si="34"/>
        <v>132.38536013547881</v>
      </c>
      <c r="AC80" s="137">
        <f t="shared" si="35"/>
        <v>107.95790350142087</v>
      </c>
      <c r="AD80" s="137">
        <f t="shared" si="36"/>
        <v>126.99436309632237</v>
      </c>
      <c r="AE80" s="137">
        <f t="shared" si="36"/>
        <v>132.14331659150389</v>
      </c>
      <c r="AF80" s="137">
        <f t="shared" si="36"/>
        <v>129.66979716596538</v>
      </c>
      <c r="AG80" s="137">
        <f t="shared" si="36"/>
        <v>127.12292359229721</v>
      </c>
      <c r="AH80" s="137">
        <f t="shared" si="36"/>
        <v>124.77766078950194</v>
      </c>
      <c r="AI80" s="137">
        <f t="shared" si="36"/>
        <v>118.25148781193789</v>
      </c>
      <c r="AJ80" s="137">
        <f t="shared" si="36"/>
        <v>112.15764392308098</v>
      </c>
      <c r="AK80" s="137">
        <f t="shared" si="36"/>
        <v>99.123442292281823</v>
      </c>
      <c r="AL80" s="137">
        <f t="shared" si="36"/>
        <v>73.217508836701469</v>
      </c>
      <c r="AM80" s="137">
        <f t="shared" si="36"/>
        <v>68.901582844539305</v>
      </c>
      <c r="AN80" s="137">
        <f t="shared" si="36"/>
        <v>55.995174924301729</v>
      </c>
      <c r="AO80" s="137">
        <f t="shared" si="36"/>
        <v>34.475398132286763</v>
      </c>
      <c r="AP80" s="137">
        <f t="shared" si="36"/>
        <v>34.463699431699858</v>
      </c>
      <c r="AQ80" s="137">
        <f t="shared" si="36"/>
        <v>34.458498602519889</v>
      </c>
      <c r="AR80" s="137">
        <f t="shared" si="36"/>
        <v>34.459525122316606</v>
      </c>
      <c r="AS80" s="137">
        <f t="shared" si="36"/>
        <v>30.154801633152751</v>
      </c>
      <c r="AT80" s="137">
        <f t="shared" si="37"/>
        <v>30.155986165482847</v>
      </c>
      <c r="AU80" s="137">
        <f t="shared" si="37"/>
        <v>30.153883597005361</v>
      </c>
      <c r="AV80" s="137">
        <f t="shared" si="37"/>
        <v>30.153482860630874</v>
      </c>
      <c r="AW80" s="137">
        <f t="shared" si="37"/>
        <v>30.153993212503309</v>
      </c>
      <c r="AX80" s="137">
        <f t="shared" si="37"/>
        <v>30.154429493755028</v>
      </c>
      <c r="AY80" s="137">
        <f t="shared" si="37"/>
        <v>30.154355065875485</v>
      </c>
    </row>
    <row r="81" spans="1:51" x14ac:dyDescent="0.2">
      <c r="A81" s="19" t="s">
        <v>170</v>
      </c>
      <c r="B81" s="136">
        <f>'Monthly Data'!N347</f>
        <v>1.018</v>
      </c>
      <c r="C81" s="136">
        <f>'Monthly Data'!N359</f>
        <v>0.999</v>
      </c>
      <c r="D81" s="136">
        <f>'Monthly Data'!N371</f>
        <v>1.5069999999999999</v>
      </c>
      <c r="E81" s="136">
        <f>'Monthly Data'!N383</f>
        <v>2.194</v>
      </c>
      <c r="F81" s="136">
        <f>'Monthly Data'!N395</f>
        <v>7.4240000000000004</v>
      </c>
      <c r="G81" s="136">
        <f>'Monthly Data'!N407</f>
        <v>26.161999999999999</v>
      </c>
      <c r="H81" s="136">
        <f>'Monthly Data'!N419</f>
        <v>42.045999999999999</v>
      </c>
      <c r="I81" s="136">
        <f>'Monthly Data'!N431</f>
        <v>39.408000000000001</v>
      </c>
      <c r="J81" s="136">
        <f>'Monthly Data'!N443</f>
        <v>43.654000000000003</v>
      </c>
      <c r="K81" s="136">
        <f>'Monthly Data'!N455</f>
        <v>31.388000000000002</v>
      </c>
      <c r="L81" s="136">
        <f>'Monthly Data'!N467</f>
        <v>99.486000000000004</v>
      </c>
      <c r="M81" s="136">
        <f>'Monthly Data'!N479</f>
        <v>72.448999999999998</v>
      </c>
      <c r="N81" s="136">
        <f>'Monthly Data'!N491</f>
        <v>140.10300000000001</v>
      </c>
      <c r="O81" s="136">
        <f>'Monthly Data'!N503</f>
        <v>145.41200000000001</v>
      </c>
      <c r="P81" s="136">
        <f>'Monthly Data'!N515</f>
        <v>153.40100000000001</v>
      </c>
      <c r="Q81" s="136">
        <f>'Monthly Data'!N527</f>
        <v>207.03800000000001</v>
      </c>
      <c r="R81" s="136">
        <f>'Monthly Data'!N539</f>
        <v>173.00899999999999</v>
      </c>
      <c r="S81" s="136">
        <f>'Monthly Data'!N551</f>
        <v>170.26300000000001</v>
      </c>
      <c r="T81" s="136">
        <f>'Monthly Data'!N563</f>
        <v>150.08799999999999</v>
      </c>
      <c r="U81" s="136">
        <f>'Monthly Data'!N575</f>
        <v>170.761</v>
      </c>
      <c r="V81" s="136">
        <f t="shared" si="38"/>
        <v>137.674037</v>
      </c>
      <c r="W81" s="136">
        <f t="shared" si="38"/>
        <v>136.87898599999997</v>
      </c>
      <c r="X81" s="136">
        <f t="shared" si="38"/>
        <v>170.024417</v>
      </c>
      <c r="Y81" s="136">
        <f t="shared" si="38"/>
        <v>140.32961600000002</v>
      </c>
      <c r="Z81" s="137">
        <f t="shared" si="39"/>
        <v>133.70012398378722</v>
      </c>
      <c r="AA81" s="137">
        <f t="shared" si="40"/>
        <v>133.19991140332206</v>
      </c>
      <c r="AB81" s="137">
        <f t="shared" si="34"/>
        <v>125.35642192110149</v>
      </c>
      <c r="AC81" s="137">
        <f t="shared" si="35"/>
        <v>102.52946004367084</v>
      </c>
      <c r="AD81" s="137">
        <f t="shared" si="36"/>
        <v>120.58828505429381</v>
      </c>
      <c r="AE81" s="137">
        <f t="shared" si="36"/>
        <v>125.12608782258901</v>
      </c>
      <c r="AF81" s="137">
        <f t="shared" si="36"/>
        <v>122.58589217070248</v>
      </c>
      <c r="AG81" s="137">
        <f t="shared" si="36"/>
        <v>120.4622694305791</v>
      </c>
      <c r="AH81" s="137">
        <f t="shared" si="36"/>
        <v>118.25839890436706</v>
      </c>
      <c r="AI81" s="137">
        <f t="shared" si="36"/>
        <v>112.0340648860377</v>
      </c>
      <c r="AJ81" s="137">
        <f t="shared" si="36"/>
        <v>106.2125224817144</v>
      </c>
      <c r="AK81" s="137">
        <f t="shared" si="36"/>
        <v>93.871284514705749</v>
      </c>
      <c r="AL81" s="137">
        <f t="shared" si="36"/>
        <v>69.364853212561982</v>
      </c>
      <c r="AM81" s="137">
        <f t="shared" si="36"/>
        <v>65.272310073389306</v>
      </c>
      <c r="AN81" s="137">
        <f t="shared" si="36"/>
        <v>53.03941056793898</v>
      </c>
      <c r="AO81" s="137">
        <f t="shared" si="36"/>
        <v>32.653505755815615</v>
      </c>
      <c r="AP81" s="137">
        <f t="shared" si="36"/>
        <v>32.644297571367446</v>
      </c>
      <c r="AQ81" s="137">
        <f t="shared" si="36"/>
        <v>32.641855120138494</v>
      </c>
      <c r="AR81" s="137">
        <f t="shared" si="36"/>
        <v>32.641717598286768</v>
      </c>
      <c r="AS81" s="137">
        <f t="shared" si="36"/>
        <v>28.563233473218467</v>
      </c>
      <c r="AT81" s="137">
        <f t="shared" si="37"/>
        <v>28.56441709312276</v>
      </c>
      <c r="AU81" s="137">
        <f t="shared" si="37"/>
        <v>28.562859105077305</v>
      </c>
      <c r="AV81" s="137">
        <f t="shared" si="37"/>
        <v>28.562664235916394</v>
      </c>
      <c r="AW81" s="137">
        <f t="shared" si="37"/>
        <v>28.562895570537552</v>
      </c>
      <c r="AX81" s="137">
        <f t="shared" si="37"/>
        <v>28.563213895574499</v>
      </c>
      <c r="AY81" s="137">
        <f t="shared" si="37"/>
        <v>28.563209980045702</v>
      </c>
    </row>
    <row r="82" spans="1:51" x14ac:dyDescent="0.2">
      <c r="A82" s="19" t="s">
        <v>171</v>
      </c>
      <c r="B82" s="136">
        <f>'Monthly Data'!N348</f>
        <v>1.1499999999999999</v>
      </c>
      <c r="C82" s="136">
        <f>'Monthly Data'!N360</f>
        <v>1.0580000000000001</v>
      </c>
      <c r="D82" s="136">
        <f>'Monthly Data'!N372</f>
        <v>0.96799999999999997</v>
      </c>
      <c r="E82" s="136">
        <f>'Monthly Data'!N384</f>
        <v>2.399</v>
      </c>
      <c r="F82" s="136">
        <f>'Monthly Data'!N396</f>
        <v>6.335</v>
      </c>
      <c r="G82" s="136">
        <f>'Monthly Data'!N408</f>
        <v>24.934999999999999</v>
      </c>
      <c r="H82" s="136">
        <f>'Monthly Data'!N420</f>
        <v>43.167000000000002</v>
      </c>
      <c r="I82" s="136">
        <f>'Monthly Data'!N432</f>
        <v>34.957000000000001</v>
      </c>
      <c r="J82" s="136">
        <f>'Monthly Data'!N444</f>
        <v>44.857999999999997</v>
      </c>
      <c r="K82" s="136">
        <f>'Monthly Data'!N456</f>
        <v>24.780999999999999</v>
      </c>
      <c r="L82" s="136">
        <f>'Monthly Data'!N468</f>
        <v>89.742999999999995</v>
      </c>
      <c r="M82" s="136">
        <f>'Monthly Data'!N480</f>
        <v>63.677999999999997</v>
      </c>
      <c r="N82" s="136">
        <f>'Monthly Data'!N492</f>
        <v>170.553</v>
      </c>
      <c r="O82" s="136">
        <f>'Monthly Data'!N504</f>
        <v>128.03200000000001</v>
      </c>
      <c r="P82" s="136">
        <f>'Monthly Data'!N516</f>
        <v>133.93700000000001</v>
      </c>
      <c r="Q82" s="136">
        <f>'Monthly Data'!N528</f>
        <v>196.488</v>
      </c>
      <c r="R82" s="136">
        <f>'Monthly Data'!N540</f>
        <v>169.98</v>
      </c>
      <c r="S82" s="136">
        <f>'Monthly Data'!N552</f>
        <v>170.434</v>
      </c>
      <c r="T82" s="136">
        <f>'Monthly Data'!N564</f>
        <v>149.52699999999999</v>
      </c>
      <c r="U82" s="136">
        <f>'Monthly Data'!N576</f>
        <v>161.84200000000001</v>
      </c>
      <c r="V82" s="136">
        <f t="shared" si="38"/>
        <v>144.07889200000005</v>
      </c>
      <c r="W82" s="136">
        <f t="shared" si="38"/>
        <v>132.47719900000004</v>
      </c>
      <c r="X82" s="136">
        <f t="shared" si="38"/>
        <v>188.10010800000006</v>
      </c>
      <c r="Y82" s="136">
        <f t="shared" si="38"/>
        <v>165.01618999999999</v>
      </c>
      <c r="Z82" s="137">
        <f t="shared" si="39"/>
        <v>140.04240500044591</v>
      </c>
      <c r="AA82" s="137">
        <f t="shared" si="40"/>
        <v>142.67313940419973</v>
      </c>
      <c r="AB82" s="137">
        <f t="shared" si="34"/>
        <v>134.86628544701114</v>
      </c>
      <c r="AC82" s="137">
        <f t="shared" si="35"/>
        <v>112.46524780840571</v>
      </c>
      <c r="AD82" s="137">
        <f t="shared" si="36"/>
        <v>131.9704574205754</v>
      </c>
      <c r="AE82" s="137">
        <f t="shared" si="36"/>
        <v>134.61023213306302</v>
      </c>
      <c r="AF82" s="137">
        <f t="shared" si="36"/>
        <v>132.64350751782931</v>
      </c>
      <c r="AG82" s="137">
        <f t="shared" si="36"/>
        <v>130.63968523728147</v>
      </c>
      <c r="AH82" s="137">
        <f t="shared" si="36"/>
        <v>128.46582602343099</v>
      </c>
      <c r="AI82" s="137">
        <f t="shared" si="36"/>
        <v>121.50380522909366</v>
      </c>
      <c r="AJ82" s="137">
        <f t="shared" si="36"/>
        <v>114.97910893964615</v>
      </c>
      <c r="AK82" s="137">
        <f t="shared" si="36"/>
        <v>101.75587646329208</v>
      </c>
      <c r="AL82" s="137">
        <f t="shared" si="36"/>
        <v>75.22113431241965</v>
      </c>
      <c r="AM82" s="137">
        <f t="shared" si="36"/>
        <v>70.78213890192751</v>
      </c>
      <c r="AN82" s="137">
        <f t="shared" si="36"/>
        <v>57.489925388154582</v>
      </c>
      <c r="AO82" s="137">
        <f t="shared" si="36"/>
        <v>35.387636547826524</v>
      </c>
      <c r="AP82" s="137">
        <f t="shared" si="36"/>
        <v>35.390827180635874</v>
      </c>
      <c r="AQ82" s="137">
        <f t="shared" si="36"/>
        <v>35.389891913672791</v>
      </c>
      <c r="AR82" s="137">
        <f t="shared" si="36"/>
        <v>35.387233197315815</v>
      </c>
      <c r="AS82" s="137">
        <f t="shared" si="36"/>
        <v>30.962635546516424</v>
      </c>
      <c r="AT82" s="137">
        <f t="shared" si="37"/>
        <v>30.964809505173644</v>
      </c>
      <c r="AU82" s="137">
        <f t="shared" si="37"/>
        <v>30.964941615873734</v>
      </c>
      <c r="AV82" s="137">
        <f t="shared" si="37"/>
        <v>30.964502228374776</v>
      </c>
      <c r="AW82" s="137">
        <f t="shared" si="37"/>
        <v>30.964134851466135</v>
      </c>
      <c r="AX82" s="137">
        <f t="shared" si="37"/>
        <v>30.964204749480945</v>
      </c>
      <c r="AY82" s="137">
        <f t="shared" si="37"/>
        <v>30.964518590073844</v>
      </c>
    </row>
    <row r="83" spans="1:51" x14ac:dyDescent="0.2">
      <c r="A83" s="19" t="s">
        <v>172</v>
      </c>
      <c r="B83" s="136">
        <f>'Monthly Data'!N349</f>
        <v>1.367</v>
      </c>
      <c r="C83" s="136">
        <f>'Monthly Data'!N361</f>
        <v>1.1279999999999999</v>
      </c>
      <c r="D83" s="136">
        <f>'Monthly Data'!N373</f>
        <v>1.992</v>
      </c>
      <c r="E83" s="136">
        <f>'Monthly Data'!N385</f>
        <v>2.2170000000000001</v>
      </c>
      <c r="F83" s="136">
        <f>'Monthly Data'!N397</f>
        <v>7.9960000000000004</v>
      </c>
      <c r="G83" s="136">
        <f>'Monthly Data'!N409</f>
        <v>24.193999999999999</v>
      </c>
      <c r="H83" s="136">
        <f>'Monthly Data'!N421</f>
        <v>10.459</v>
      </c>
      <c r="I83" s="136">
        <f>'Monthly Data'!N433</f>
        <v>35.685000000000002</v>
      </c>
      <c r="J83" s="136">
        <f>'Monthly Data'!N445</f>
        <v>33.585999999999999</v>
      </c>
      <c r="K83" s="136">
        <f>'Monthly Data'!N457</f>
        <v>19.917000000000002</v>
      </c>
      <c r="L83" s="136">
        <f>'Monthly Data'!N469</f>
        <v>104.965</v>
      </c>
      <c r="M83" s="136">
        <f>'Monthly Data'!N481</f>
        <v>68.052999999999997</v>
      </c>
      <c r="N83" s="136">
        <f>'Monthly Data'!N493</f>
        <v>144.303</v>
      </c>
      <c r="O83" s="136">
        <f>'Monthly Data'!N505</f>
        <v>129.809</v>
      </c>
      <c r="P83" s="136">
        <f>'Monthly Data'!N517</f>
        <v>109.864</v>
      </c>
      <c r="Q83" s="136">
        <f>'Monthly Data'!N529</f>
        <v>202.648</v>
      </c>
      <c r="R83" s="136">
        <f>'Monthly Data'!N541</f>
        <v>165.803</v>
      </c>
      <c r="S83" s="136">
        <f>'Monthly Data'!N553</f>
        <v>157.67699999999999</v>
      </c>
      <c r="T83" s="136">
        <f>'Monthly Data'!N565</f>
        <v>136.33199999999999</v>
      </c>
      <c r="U83" s="136">
        <f>'Monthly Data'!N577</f>
        <v>154.26</v>
      </c>
      <c r="V83" s="136">
        <f t="shared" si="38"/>
        <v>138.27157099999991</v>
      </c>
      <c r="W83" s="136">
        <f t="shared" si="38"/>
        <v>152.01503</v>
      </c>
      <c r="X83" s="136">
        <f t="shared" si="38"/>
        <v>157.11292899999998</v>
      </c>
      <c r="Y83" s="136">
        <f t="shared" si="38"/>
        <v>138.47249799999997</v>
      </c>
      <c r="Z83" s="137">
        <f t="shared" si="39"/>
        <v>130.95133917897394</v>
      </c>
      <c r="AA83" s="137">
        <f t="shared" si="40"/>
        <v>132.86926663079615</v>
      </c>
      <c r="AB83" s="137">
        <f t="shared" si="34"/>
        <v>124.88036839252314</v>
      </c>
      <c r="AC83" s="137">
        <f t="shared" si="35"/>
        <v>99.855490628557632</v>
      </c>
      <c r="AD83" s="137">
        <f t="shared" si="36"/>
        <v>119.05290193123382</v>
      </c>
      <c r="AE83" s="137">
        <f t="shared" si="36"/>
        <v>123.54723790829054</v>
      </c>
      <c r="AF83" s="137">
        <f t="shared" si="36"/>
        <v>121.25358898816188</v>
      </c>
      <c r="AG83" s="137">
        <f t="shared" si="36"/>
        <v>118.92734822971663</v>
      </c>
      <c r="AH83" s="137">
        <f t="shared" si="36"/>
        <v>116.5273135371921</v>
      </c>
      <c r="AI83" s="137">
        <f t="shared" si="36"/>
        <v>110.61060900235815</v>
      </c>
      <c r="AJ83" s="137">
        <f t="shared" si="36"/>
        <v>104.86360777685121</v>
      </c>
      <c r="AK83" s="137">
        <f t="shared" si="36"/>
        <v>92.67744192456648</v>
      </c>
      <c r="AL83" s="137">
        <f t="shared" si="36"/>
        <v>68.454129244456567</v>
      </c>
      <c r="AM83" s="137">
        <f t="shared" si="36"/>
        <v>64.40922141850443</v>
      </c>
      <c r="AN83" s="137">
        <f t="shared" si="36"/>
        <v>52.357946317512138</v>
      </c>
      <c r="AO83" s="137">
        <f t="shared" si="36"/>
        <v>32.232618667948707</v>
      </c>
      <c r="AP83" s="137">
        <f t="shared" si="36"/>
        <v>32.221439747842943</v>
      </c>
      <c r="AQ83" s="137">
        <f t="shared" si="36"/>
        <v>32.216174889840623</v>
      </c>
      <c r="AR83" s="137">
        <f t="shared" si="36"/>
        <v>32.216966194965863</v>
      </c>
      <c r="AS83" s="137">
        <f t="shared" si="36"/>
        <v>28.193689349483822</v>
      </c>
      <c r="AT83" s="137">
        <f t="shared" si="37"/>
        <v>28.194005691040356</v>
      </c>
      <c r="AU83" s="137">
        <f t="shared" si="37"/>
        <v>28.191998187163559</v>
      </c>
      <c r="AV83" s="137">
        <f t="shared" si="37"/>
        <v>28.19161730236377</v>
      </c>
      <c r="AW83" s="137">
        <f t="shared" si="37"/>
        <v>28.192164918753381</v>
      </c>
      <c r="AX83" s="137">
        <f t="shared" si="37"/>
        <v>28.192695089760981</v>
      </c>
      <c r="AY83" s="137">
        <f t="shared" si="37"/>
        <v>28.192496237816407</v>
      </c>
    </row>
    <row r="84" spans="1:51" x14ac:dyDescent="0.2">
      <c r="A84" s="19" t="s">
        <v>173</v>
      </c>
      <c r="B84" s="136">
        <f>'Monthly Data'!N350</f>
        <v>0.71199999999999997</v>
      </c>
      <c r="C84" s="136">
        <f>'Monthly Data'!N362</f>
        <v>1.109</v>
      </c>
      <c r="D84" s="136">
        <f>'Monthly Data'!N374</f>
        <v>0.92300000000000004</v>
      </c>
      <c r="E84" s="136">
        <f>'Monthly Data'!N386</f>
        <v>2.2810000000000001</v>
      </c>
      <c r="F84" s="136">
        <f>'Monthly Data'!N398</f>
        <v>7.1959999999999997</v>
      </c>
      <c r="G84" s="136">
        <f>'Monthly Data'!N410</f>
        <v>28.670999999999999</v>
      </c>
      <c r="H84" s="136">
        <f>'Monthly Data'!N422</f>
        <v>34.332999999999998</v>
      </c>
      <c r="I84" s="136">
        <f>'Monthly Data'!N434</f>
        <v>28.437000000000001</v>
      </c>
      <c r="J84" s="136">
        <f>'Monthly Data'!N446</f>
        <v>42.366</v>
      </c>
      <c r="K84" s="136">
        <f>'Monthly Data'!N458</f>
        <v>21.61</v>
      </c>
      <c r="L84" s="136">
        <f>'Monthly Data'!N470</f>
        <v>111.988</v>
      </c>
      <c r="M84" s="136">
        <f>'Monthly Data'!N482</f>
        <v>50.84</v>
      </c>
      <c r="N84" s="136">
        <f>'Monthly Data'!N494</f>
        <v>170.35300000000001</v>
      </c>
      <c r="O84" s="136">
        <f>'Monthly Data'!N506</f>
        <v>142.863</v>
      </c>
      <c r="P84" s="136">
        <f>'Monthly Data'!N518</f>
        <v>133.30699999999999</v>
      </c>
      <c r="Q84" s="136">
        <f>'Monthly Data'!N530</f>
        <v>207.024</v>
      </c>
      <c r="R84" s="136">
        <f>'Monthly Data'!N542</f>
        <v>165.87200000000001</v>
      </c>
      <c r="S84" s="136">
        <f>'Monthly Data'!N554</f>
        <v>160.904</v>
      </c>
      <c r="T84" s="136">
        <f>'Monthly Data'!N566</f>
        <v>146.72</v>
      </c>
      <c r="U84" s="136">
        <f>'Monthly Data'!N578</f>
        <v>174.114</v>
      </c>
      <c r="V84" s="136">
        <f t="shared" si="38"/>
        <v>186.25734599999998</v>
      </c>
      <c r="W84" s="136">
        <f t="shared" si="38"/>
        <v>153.44384600000001</v>
      </c>
      <c r="X84" s="136">
        <f t="shared" si="38"/>
        <v>181.59909700000003</v>
      </c>
      <c r="Y84" s="136">
        <f t="shared" si="38"/>
        <v>190.29148100000003</v>
      </c>
      <c r="Z84" s="137">
        <f t="shared" ref="Z84:AH84" si="41">Z85-SUM(Z73:Z83)</f>
        <v>168.43464370290098</v>
      </c>
      <c r="AA84" s="137">
        <f t="shared" si="41"/>
        <v>153.12032999789176</v>
      </c>
      <c r="AB84" s="137">
        <f t="shared" si="41"/>
        <v>148.66000671233519</v>
      </c>
      <c r="AC84" s="137">
        <f t="shared" si="41"/>
        <v>122.88548120879523</v>
      </c>
      <c r="AD84" s="137">
        <f t="shared" si="41"/>
        <v>148.7412697774314</v>
      </c>
      <c r="AE84" s="137">
        <f t="shared" si="41"/>
        <v>150.84115205120224</v>
      </c>
      <c r="AF84" s="137">
        <f t="shared" si="41"/>
        <v>146.31277570659699</v>
      </c>
      <c r="AG84" s="137">
        <f t="shared" si="41"/>
        <v>144.96233028056622</v>
      </c>
      <c r="AH84" s="137">
        <f t="shared" si="41"/>
        <v>142.74860180491828</v>
      </c>
      <c r="AI84" s="137">
        <f>AI85-SUM(AI73:AI83)</f>
        <v>135.39710446019899</v>
      </c>
      <c r="AJ84" s="137">
        <f>AJ85-SUM(AJ73:AJ83)</f>
        <v>127.82806192416751</v>
      </c>
      <c r="AK84" s="137">
        <f t="shared" ref="AK84:AY84" si="42">AK85-SUM(AK73:AK83)</f>
        <v>112.9346768032276</v>
      </c>
      <c r="AL84" s="137">
        <f t="shared" si="42"/>
        <v>83.598542071424731</v>
      </c>
      <c r="AM84" s="137">
        <f t="shared" si="42"/>
        <v>78.694790147126469</v>
      </c>
      <c r="AN84" s="137">
        <f t="shared" si="42"/>
        <v>63.925947765113051</v>
      </c>
      <c r="AO84" s="137">
        <f t="shared" si="42"/>
        <v>39.324801575668175</v>
      </c>
      <c r="AP84" s="137">
        <f t="shared" si="42"/>
        <v>39.322468401304889</v>
      </c>
      <c r="AQ84" s="137">
        <f t="shared" si="42"/>
        <v>39.337619349759677</v>
      </c>
      <c r="AR84" s="137">
        <f t="shared" si="42"/>
        <v>39.336698451165603</v>
      </c>
      <c r="AS84" s="137">
        <f t="shared" si="42"/>
        <v>34.41628330669073</v>
      </c>
      <c r="AT84" s="137">
        <f t="shared" si="42"/>
        <v>34.414489681849318</v>
      </c>
      <c r="AU84" s="137">
        <f t="shared" si="42"/>
        <v>34.41560300882611</v>
      </c>
      <c r="AV84" s="137">
        <f t="shared" si="42"/>
        <v>34.417428556433492</v>
      </c>
      <c r="AW84" s="137">
        <f t="shared" si="42"/>
        <v>34.416764473187641</v>
      </c>
      <c r="AX84" s="137">
        <f t="shared" si="42"/>
        <v>34.416113805397458</v>
      </c>
      <c r="AY84" s="137">
        <f t="shared" si="42"/>
        <v>34.416079905138815</v>
      </c>
    </row>
    <row r="85" spans="1:51" x14ac:dyDescent="0.2">
      <c r="A85" s="117" t="s">
        <v>174</v>
      </c>
      <c r="B85" s="115">
        <f>SUM(B73:B84)</f>
        <v>10.269000000000002</v>
      </c>
      <c r="C85" s="115">
        <f t="shared" ref="C85:K85" si="43">SUM(C73:C84)</f>
        <v>16.360999999999997</v>
      </c>
      <c r="D85" s="115">
        <f t="shared" si="43"/>
        <v>13.51</v>
      </c>
      <c r="E85" s="115">
        <f t="shared" si="43"/>
        <v>26.841999999999995</v>
      </c>
      <c r="F85" s="115">
        <f t="shared" si="43"/>
        <v>90.826999999999998</v>
      </c>
      <c r="G85" s="115">
        <f t="shared" si="43"/>
        <v>260.92400000000004</v>
      </c>
      <c r="H85" s="115">
        <f t="shared" si="43"/>
        <v>318.77600000000007</v>
      </c>
      <c r="I85" s="115">
        <f t="shared" si="43"/>
        <v>303.55600000000004</v>
      </c>
      <c r="J85" s="115">
        <f t="shared" si="43"/>
        <v>321.83199999999999</v>
      </c>
      <c r="K85" s="115">
        <f t="shared" si="43"/>
        <v>260.07500000000005</v>
      </c>
      <c r="L85" s="115">
        <f>SUM(L73:L84)</f>
        <v>886.17200000000003</v>
      </c>
      <c r="M85" s="115">
        <f t="shared" ref="M85:Y85" si="44">SUM(M73:M84)</f>
        <v>899.04600000000005</v>
      </c>
      <c r="N85" s="115">
        <f t="shared" si="44"/>
        <v>1428.8389999999999</v>
      </c>
      <c r="O85" s="115">
        <f t="shared" si="44"/>
        <v>1416.8579999999999</v>
      </c>
      <c r="P85" s="115">
        <f t="shared" si="44"/>
        <v>1494.16</v>
      </c>
      <c r="Q85" s="115">
        <f t="shared" si="44"/>
        <v>2085.4380000000001</v>
      </c>
      <c r="R85" s="115">
        <f t="shared" si="44"/>
        <v>1985.2819999999999</v>
      </c>
      <c r="S85" s="115">
        <f t="shared" si="44"/>
        <v>1903.7069999999997</v>
      </c>
      <c r="T85" s="115">
        <f t="shared" si="44"/>
        <v>1812.8430000000001</v>
      </c>
      <c r="U85" s="115">
        <f t="shared" si="44"/>
        <v>1876.3420000000001</v>
      </c>
      <c r="V85" s="115">
        <f t="shared" si="44"/>
        <v>1704.1461210000002</v>
      </c>
      <c r="W85" s="115">
        <f t="shared" si="44"/>
        <v>1646.6928800000001</v>
      </c>
      <c r="X85" s="115">
        <f t="shared" si="44"/>
        <v>1915.7442780000003</v>
      </c>
      <c r="Y85" s="115">
        <f t="shared" si="44"/>
        <v>1900.21435</v>
      </c>
      <c r="Z85" s="125">
        <v>1600</v>
      </c>
      <c r="AA85" s="125">
        <v>1625</v>
      </c>
      <c r="AB85" s="125">
        <v>1525</v>
      </c>
      <c r="AC85" s="125">
        <v>1250</v>
      </c>
      <c r="AD85" s="125">
        <v>1500</v>
      </c>
      <c r="AE85" s="125">
        <v>1525</v>
      </c>
      <c r="AF85" s="125">
        <v>1500</v>
      </c>
      <c r="AG85" s="125">
        <v>1475</v>
      </c>
      <c r="AH85" s="125">
        <v>1450</v>
      </c>
      <c r="AI85" s="125">
        <v>1375</v>
      </c>
      <c r="AJ85" s="125">
        <v>1300</v>
      </c>
      <c r="AK85" s="125">
        <v>1150</v>
      </c>
      <c r="AL85" s="125">
        <v>850</v>
      </c>
      <c r="AM85" s="125">
        <v>800</v>
      </c>
      <c r="AN85" s="125">
        <v>650</v>
      </c>
      <c r="AO85" s="125">
        <v>400</v>
      </c>
      <c r="AP85" s="125">
        <v>400</v>
      </c>
      <c r="AQ85" s="125">
        <v>400</v>
      </c>
      <c r="AR85" s="125">
        <v>400</v>
      </c>
      <c r="AS85" s="125">
        <v>350</v>
      </c>
      <c r="AT85" s="125">
        <v>350</v>
      </c>
      <c r="AU85" s="125">
        <v>350</v>
      </c>
      <c r="AV85" s="125">
        <v>350</v>
      </c>
      <c r="AW85" s="125">
        <v>350</v>
      </c>
      <c r="AX85" s="125">
        <v>350</v>
      </c>
      <c r="AY85" s="125">
        <v>350</v>
      </c>
    </row>
    <row r="86" spans="1:51" x14ac:dyDescent="0.2">
      <c r="X86" s="25">
        <f>X8</f>
        <v>1915.7442780000001</v>
      </c>
    </row>
    <row r="87" spans="1:51" ht="12" thickBot="1" x14ac:dyDescent="0.25">
      <c r="A87" s="121" t="s">
        <v>179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38"/>
      <c r="Y87" s="120"/>
      <c r="Z87" s="120"/>
      <c r="AA87" s="120"/>
      <c r="AB87" s="120"/>
      <c r="AC87" s="120"/>
      <c r="AD87" s="120"/>
      <c r="AE87" s="120"/>
      <c r="AF87" s="120"/>
      <c r="AG87" s="120"/>
      <c r="AH87" s="120"/>
      <c r="AI87" s="120"/>
      <c r="AJ87" s="120"/>
      <c r="AK87" s="120"/>
      <c r="AL87" s="120"/>
      <c r="AM87" s="120"/>
      <c r="AN87" s="120"/>
      <c r="AO87" s="120"/>
      <c r="AP87" s="120"/>
      <c r="AQ87" s="120"/>
      <c r="AR87" s="120"/>
      <c r="AS87" s="120"/>
      <c r="AT87" s="120"/>
      <c r="AU87" s="120"/>
      <c r="AV87" s="120"/>
      <c r="AW87" s="120"/>
      <c r="AX87" s="120"/>
      <c r="AY87" s="120"/>
    </row>
    <row r="88" spans="1:51" ht="12" thickBot="1" x14ac:dyDescent="0.25">
      <c r="A88" s="122"/>
      <c r="B88" s="128">
        <f t="shared" ref="B88:AY88" si="45">B2</f>
        <v>2001</v>
      </c>
      <c r="C88" s="128">
        <f t="shared" si="45"/>
        <v>2002</v>
      </c>
      <c r="D88" s="128">
        <f t="shared" si="45"/>
        <v>2003</v>
      </c>
      <c r="E88" s="128">
        <f t="shared" si="45"/>
        <v>2004</v>
      </c>
      <c r="F88" s="128">
        <f t="shared" si="45"/>
        <v>2005</v>
      </c>
      <c r="G88" s="128">
        <f t="shared" si="45"/>
        <v>2006</v>
      </c>
      <c r="H88" s="128">
        <f t="shared" si="45"/>
        <v>2007</v>
      </c>
      <c r="I88" s="128">
        <f t="shared" si="45"/>
        <v>2008</v>
      </c>
      <c r="J88" s="128">
        <f t="shared" si="45"/>
        <v>2009</v>
      </c>
      <c r="K88" s="128">
        <f t="shared" si="45"/>
        <v>2010</v>
      </c>
      <c r="L88" s="128">
        <f t="shared" si="45"/>
        <v>2011</v>
      </c>
      <c r="M88" s="128">
        <f t="shared" si="45"/>
        <v>2012</v>
      </c>
      <c r="N88" s="128">
        <f t="shared" si="45"/>
        <v>2013</v>
      </c>
      <c r="O88" s="128">
        <f t="shared" si="45"/>
        <v>2014</v>
      </c>
      <c r="P88" s="128">
        <f t="shared" si="45"/>
        <v>2015</v>
      </c>
      <c r="Q88" s="128">
        <f t="shared" si="45"/>
        <v>2016</v>
      </c>
      <c r="R88" s="128">
        <f t="shared" si="45"/>
        <v>2017</v>
      </c>
      <c r="S88" s="128">
        <f t="shared" si="45"/>
        <v>2018</v>
      </c>
      <c r="T88" s="128">
        <f t="shared" si="45"/>
        <v>2019</v>
      </c>
      <c r="U88" s="128">
        <f t="shared" si="45"/>
        <v>2020</v>
      </c>
      <c r="V88" s="128">
        <f t="shared" si="45"/>
        <v>2021</v>
      </c>
      <c r="W88" s="128">
        <f t="shared" si="45"/>
        <v>2022</v>
      </c>
      <c r="X88" s="128">
        <f t="shared" si="45"/>
        <v>2023</v>
      </c>
      <c r="Y88" s="128">
        <f t="shared" si="45"/>
        <v>2024</v>
      </c>
      <c r="Z88" s="128" t="str">
        <f t="shared" si="45"/>
        <v>2025e</v>
      </c>
      <c r="AA88" s="128" t="str">
        <f t="shared" si="45"/>
        <v>2026f</v>
      </c>
      <c r="AB88" s="128" t="str">
        <f t="shared" si="45"/>
        <v>2027f</v>
      </c>
      <c r="AC88" s="128">
        <f t="shared" si="45"/>
        <v>2028</v>
      </c>
      <c r="AD88" s="128">
        <f t="shared" si="45"/>
        <v>2029</v>
      </c>
      <c r="AE88" s="128">
        <f t="shared" si="45"/>
        <v>2030</v>
      </c>
      <c r="AF88" s="128">
        <f t="shared" si="45"/>
        <v>2031</v>
      </c>
      <c r="AG88" s="128">
        <f t="shared" si="45"/>
        <v>2032</v>
      </c>
      <c r="AH88" s="128">
        <f t="shared" si="45"/>
        <v>2033</v>
      </c>
      <c r="AI88" s="128">
        <f t="shared" si="45"/>
        <v>2034</v>
      </c>
      <c r="AJ88" s="128">
        <f t="shared" si="45"/>
        <v>2035</v>
      </c>
      <c r="AK88" s="128">
        <f t="shared" si="45"/>
        <v>2036</v>
      </c>
      <c r="AL88" s="128">
        <f t="shared" si="45"/>
        <v>2037</v>
      </c>
      <c r="AM88" s="128">
        <f t="shared" si="45"/>
        <v>2038</v>
      </c>
      <c r="AN88" s="128">
        <f t="shared" si="45"/>
        <v>2039</v>
      </c>
      <c r="AO88" s="128">
        <f t="shared" si="45"/>
        <v>2040</v>
      </c>
      <c r="AP88" s="128">
        <f t="shared" si="45"/>
        <v>2041</v>
      </c>
      <c r="AQ88" s="128">
        <f t="shared" si="45"/>
        <v>2042</v>
      </c>
      <c r="AR88" s="128">
        <f t="shared" si="45"/>
        <v>2043</v>
      </c>
      <c r="AS88" s="128">
        <f t="shared" si="45"/>
        <v>2044</v>
      </c>
      <c r="AT88" s="128">
        <f t="shared" si="45"/>
        <v>2045</v>
      </c>
      <c r="AU88" s="128">
        <f t="shared" si="45"/>
        <v>2046</v>
      </c>
      <c r="AV88" s="128">
        <f t="shared" si="45"/>
        <v>2047</v>
      </c>
      <c r="AW88" s="128">
        <f t="shared" si="45"/>
        <v>2048</v>
      </c>
      <c r="AX88" s="128">
        <f t="shared" si="45"/>
        <v>2049</v>
      </c>
      <c r="AY88" s="128">
        <f t="shared" si="45"/>
        <v>2050</v>
      </c>
    </row>
    <row r="89" spans="1:51" x14ac:dyDescent="0.2">
      <c r="A89" s="19" t="s">
        <v>162</v>
      </c>
      <c r="B89" s="129"/>
      <c r="C89" s="129"/>
      <c r="D89" s="129"/>
      <c r="E89" s="129"/>
      <c r="F89" s="129"/>
      <c r="G89" s="129"/>
      <c r="H89" s="129"/>
      <c r="I89" s="129"/>
      <c r="J89" s="129">
        <f>'Monthly Data'!K435*42/1000</f>
        <v>27.888000000000002</v>
      </c>
      <c r="K89" s="129">
        <f>'Monthly Data'!K447*42/1000</f>
        <v>44.058</v>
      </c>
      <c r="L89" s="129">
        <f>'Monthly Data'!K469*42/1000</f>
        <v>78.357300000000009</v>
      </c>
      <c r="M89" s="129">
        <f>('Monthly Data'!K471)*42/1000</f>
        <v>105.143094</v>
      </c>
      <c r="N89" s="129">
        <f>('Monthly Data'!K483)*42/1000</f>
        <v>84.078497999999996</v>
      </c>
      <c r="O89" s="129">
        <f>('Monthly Data'!K495)*42/1000</f>
        <v>155.74902</v>
      </c>
      <c r="P89" s="129">
        <f>('Monthly Data'!K507)*42/1000</f>
        <v>169.362774</v>
      </c>
      <c r="Q89" s="129">
        <f>('Monthly Data'!K519)*42/1000</f>
        <v>177.339204</v>
      </c>
      <c r="R89" s="129">
        <f>('Monthly Data'!K531)*42/1000</f>
        <v>268.68651599999998</v>
      </c>
      <c r="S89" s="129">
        <f>('Monthly Data'!K543)*42/1000</f>
        <v>191.73499799999999</v>
      </c>
      <c r="T89" s="129">
        <f>('Monthly Data'!K555)*42/1000</f>
        <v>224.88282599999999</v>
      </c>
      <c r="U89" s="129">
        <f>('Monthly Data'!K567)*42/1000</f>
        <v>179.47377000000003</v>
      </c>
      <c r="V89" s="129">
        <f>('Monthly Data'!K579)*42/1000</f>
        <v>192.373524</v>
      </c>
      <c r="W89" s="129">
        <f>('Monthly Data'!$K591)*42/1000</f>
        <v>190.82956199999998</v>
      </c>
      <c r="X89" s="129">
        <f>('Monthly Data'!$K603)*42/1000</f>
        <v>184.86610799999997</v>
      </c>
      <c r="Y89" s="129">
        <f>('Monthly Data'!$K615)*42/1000</f>
        <v>176.61638399999998</v>
      </c>
      <c r="Z89" s="129">
        <f>('Monthly Data'!$K627)*42/1000</f>
        <v>128.41718400000002</v>
      </c>
      <c r="AA89" s="133">
        <f t="shared" ref="AA89:AY89" si="46">Z100+AA41+AA25-AA73-AA57</f>
        <v>351.11889942827719</v>
      </c>
      <c r="AB89" s="133">
        <f t="shared" si="46"/>
        <v>251.68090680303766</v>
      </c>
      <c r="AC89" s="133">
        <f t="shared" si="46"/>
        <v>271.60003632534722</v>
      </c>
      <c r="AD89" s="133">
        <f t="shared" si="46"/>
        <v>283.29059950645063</v>
      </c>
      <c r="AE89" s="133">
        <f t="shared" si="46"/>
        <v>244.35051637064049</v>
      </c>
      <c r="AF89" s="133">
        <f t="shared" si="46"/>
        <v>224.18337724157811</v>
      </c>
      <c r="AG89" s="133">
        <f t="shared" si="46"/>
        <v>195.58693510683995</v>
      </c>
      <c r="AH89" s="133">
        <f t="shared" si="46"/>
        <v>252.17413017885315</v>
      </c>
      <c r="AI89" s="133">
        <f t="shared" si="46"/>
        <v>218.15153020028464</v>
      </c>
      <c r="AJ89" s="133">
        <f t="shared" si="46"/>
        <v>218.18725818418764</v>
      </c>
      <c r="AK89" s="133">
        <f t="shared" si="46"/>
        <v>229.31649219630381</v>
      </c>
      <c r="AL89" s="133">
        <f t="shared" si="46"/>
        <v>168.44335940132709</v>
      </c>
      <c r="AM89" s="133">
        <f t="shared" si="46"/>
        <v>179.7069162419516</v>
      </c>
      <c r="AN89" s="133">
        <f t="shared" si="46"/>
        <v>176.51256169824416</v>
      </c>
      <c r="AO89" s="133">
        <f t="shared" si="46"/>
        <v>188.35628793813171</v>
      </c>
      <c r="AP89" s="133">
        <f t="shared" si="46"/>
        <v>172.15161990928428</v>
      </c>
      <c r="AQ89" s="133">
        <f t="shared" si="46"/>
        <v>188.98186185387067</v>
      </c>
      <c r="AR89" s="133">
        <f t="shared" si="46"/>
        <v>214.4363185587913</v>
      </c>
      <c r="AS89" s="133">
        <f t="shared" si="46"/>
        <v>202.6778495432375</v>
      </c>
      <c r="AT89" s="133">
        <f t="shared" si="46"/>
        <v>213.28252491073343</v>
      </c>
      <c r="AU89" s="133">
        <f t="shared" si="46"/>
        <v>225.12053234647476</v>
      </c>
      <c r="AV89" s="133">
        <f t="shared" si="46"/>
        <v>235.81002658357983</v>
      </c>
      <c r="AW89" s="133">
        <f t="shared" si="46"/>
        <v>246.86973208054627</v>
      </c>
      <c r="AX89" s="133">
        <f t="shared" si="46"/>
        <v>264.73057992080703</v>
      </c>
      <c r="AY89" s="133">
        <f t="shared" si="46"/>
        <v>289.64780952608862</v>
      </c>
    </row>
    <row r="90" spans="1:51" x14ac:dyDescent="0.2">
      <c r="A90" s="19" t="s">
        <v>163</v>
      </c>
      <c r="B90" s="129"/>
      <c r="C90" s="129"/>
      <c r="D90" s="129"/>
      <c r="E90" s="129"/>
      <c r="F90" s="129"/>
      <c r="G90" s="129"/>
      <c r="H90" s="129"/>
      <c r="I90" s="129"/>
      <c r="J90" s="129">
        <f>'Monthly Data'!K436*42/1000</f>
        <v>17.808</v>
      </c>
      <c r="K90" s="129">
        <f>'Monthly Data'!K448*42/1000</f>
        <v>43.637999999999998</v>
      </c>
      <c r="L90" s="129">
        <f>'Monthly Data'!K470*42/1000</f>
        <v>84.194124000000002</v>
      </c>
      <c r="M90" s="129">
        <f>('Monthly Data'!K472)*42/1000</f>
        <v>121.28247599999999</v>
      </c>
      <c r="N90" s="129">
        <f>('Monthly Data'!K484)*42/1000</f>
        <v>85.08402000000001</v>
      </c>
      <c r="O90" s="129">
        <f>('Monthly Data'!K496)*42/1000</f>
        <v>156.51161400000001</v>
      </c>
      <c r="P90" s="129">
        <f>('Monthly Data'!K508)*42/1000</f>
        <v>178.26954599999999</v>
      </c>
      <c r="Q90" s="129">
        <f>('Monthly Data'!K520)*42/1000</f>
        <v>173.58738600000004</v>
      </c>
      <c r="R90" s="129">
        <f>('Monthly Data'!K532)*42/1000</f>
        <v>271.95819</v>
      </c>
      <c r="S90" s="129">
        <f>('Monthly Data'!K544)*42/1000</f>
        <v>207.22069200000001</v>
      </c>
      <c r="T90" s="129">
        <f>('Monthly Data'!K556)*42/1000</f>
        <v>231.10411800000003</v>
      </c>
      <c r="U90" s="129">
        <f>('Monthly Data'!K568)*42/1000</f>
        <v>177.226518</v>
      </c>
      <c r="V90" s="129">
        <f>('Monthly Data'!K580)*42/1000</f>
        <v>175.95387599999998</v>
      </c>
      <c r="W90" s="129">
        <f>('Monthly Data'!$K592)*42/1000</f>
        <v>187.20718800000003</v>
      </c>
      <c r="X90" s="129">
        <f>('Monthly Data'!$K604)*42/1000</f>
        <v>205.22090400000002</v>
      </c>
      <c r="Y90" s="129">
        <f>('Monthly Data'!$K616)*42/1000</f>
        <v>191.69123400000001</v>
      </c>
      <c r="Z90" s="133">
        <f t="shared" ref="Z90:AY99" si="47">Z89+Z42+Z26-Z74-Z58</f>
        <v>85.890203494129935</v>
      </c>
      <c r="AA90" s="133">
        <f t="shared" si="47"/>
        <v>344.3573129729748</v>
      </c>
      <c r="AB90" s="133">
        <f t="shared" si="47"/>
        <v>247.39477397829498</v>
      </c>
      <c r="AC90" s="133">
        <f t="shared" si="47"/>
        <v>269.28370215630844</v>
      </c>
      <c r="AD90" s="133">
        <f t="shared" si="47"/>
        <v>270.68954982148614</v>
      </c>
      <c r="AE90" s="133">
        <f t="shared" si="47"/>
        <v>226.42597214577188</v>
      </c>
      <c r="AF90" s="133">
        <f t="shared" si="47"/>
        <v>214.2957011153386</v>
      </c>
      <c r="AG90" s="133">
        <f t="shared" si="47"/>
        <v>189.44157058547543</v>
      </c>
      <c r="AH90" s="133">
        <f t="shared" si="47"/>
        <v>240.98884502965947</v>
      </c>
      <c r="AI90" s="133">
        <f t="shared" si="47"/>
        <v>209.15304305556342</v>
      </c>
      <c r="AJ90" s="133">
        <f t="shared" si="47"/>
        <v>210.80249928571206</v>
      </c>
      <c r="AK90" s="133">
        <f t="shared" si="47"/>
        <v>218.53278079778045</v>
      </c>
      <c r="AL90" s="133">
        <f t="shared" si="47"/>
        <v>165.24263884226889</v>
      </c>
      <c r="AM90" s="133">
        <f t="shared" si="47"/>
        <v>176.94838860051544</v>
      </c>
      <c r="AN90" s="133">
        <f t="shared" si="47"/>
        <v>175.44562848619387</v>
      </c>
      <c r="AO90" s="133">
        <f t="shared" si="47"/>
        <v>187.60809366714633</v>
      </c>
      <c r="AP90" s="133">
        <f t="shared" si="47"/>
        <v>174.08876240639611</v>
      </c>
      <c r="AQ90" s="133">
        <f t="shared" si="47"/>
        <v>191.06230722915996</v>
      </c>
      <c r="AR90" s="133">
        <f t="shared" si="47"/>
        <v>212.5107612539648</v>
      </c>
      <c r="AS90" s="133">
        <f t="shared" si="47"/>
        <v>203.83411390748054</v>
      </c>
      <c r="AT90" s="133">
        <f t="shared" si="47"/>
        <v>214.53804826484151</v>
      </c>
      <c r="AU90" s="133">
        <f t="shared" si="47"/>
        <v>226.29747839897664</v>
      </c>
      <c r="AV90" s="133">
        <f t="shared" si="47"/>
        <v>236.97479105840679</v>
      </c>
      <c r="AW90" s="133">
        <f t="shared" si="47"/>
        <v>248.47815476607775</v>
      </c>
      <c r="AX90" s="133">
        <f t="shared" si="47"/>
        <v>266.80444524992009</v>
      </c>
      <c r="AY90" s="133">
        <f t="shared" si="47"/>
        <v>292.13063720292416</v>
      </c>
    </row>
    <row r="91" spans="1:51" x14ac:dyDescent="0.2">
      <c r="A91" s="19" t="s">
        <v>164</v>
      </c>
      <c r="B91" s="129"/>
      <c r="C91" s="129"/>
      <c r="D91" s="129"/>
      <c r="E91" s="129"/>
      <c r="F91" s="129"/>
      <c r="G91" s="129"/>
      <c r="H91" s="129"/>
      <c r="I91" s="129"/>
      <c r="J91" s="129">
        <f>'Monthly Data'!K437*42/1000</f>
        <v>27.93</v>
      </c>
      <c r="K91" s="129">
        <f>'Monthly Data'!K449*42/1000</f>
        <v>44.393999999999998</v>
      </c>
      <c r="L91" s="129">
        <f>'Monthly Data'!K471*42/1000</f>
        <v>105.143094</v>
      </c>
      <c r="M91" s="129">
        <f>('Monthly Data'!K473)*42/1000</f>
        <v>121.23069</v>
      </c>
      <c r="N91" s="129">
        <f>('Monthly Data'!K485)*42/1000</f>
        <v>100.373952</v>
      </c>
      <c r="O91" s="129">
        <f>('Monthly Data'!K497)*42/1000</f>
        <v>151.37589600000001</v>
      </c>
      <c r="P91" s="129">
        <f>('Monthly Data'!K509)*42/1000</f>
        <v>178.24888199999998</v>
      </c>
      <c r="Q91" s="129">
        <f>('Monthly Data'!K521)*42/1000</f>
        <v>174.99547799999999</v>
      </c>
      <c r="R91" s="129">
        <f>('Monthly Data'!K533)*42/1000</f>
        <v>259.95648</v>
      </c>
      <c r="S91" s="129">
        <f>('Monthly Data'!K545)*42/1000</f>
        <v>206.83509000000004</v>
      </c>
      <c r="T91" s="129">
        <f>('Monthly Data'!K557)*42/1000</f>
        <v>226.33884000000003</v>
      </c>
      <c r="U91" s="129">
        <f>('Monthly Data'!K569)*42/1000</f>
        <v>186.01837799999998</v>
      </c>
      <c r="V91" s="129">
        <f>('Monthly Data'!K581)*42/1000</f>
        <v>179.91875999999999</v>
      </c>
      <c r="W91" s="129">
        <f>('Monthly Data'!$K593)*42/1000</f>
        <v>197.055432</v>
      </c>
      <c r="X91" s="129">
        <f>('Monthly Data'!$K605)*42/1000</f>
        <v>215.570922</v>
      </c>
      <c r="Y91" s="129">
        <f>('Monthly Data'!$K617)*42/1000</f>
        <v>184.83204599999999</v>
      </c>
      <c r="Z91" s="133">
        <f t="shared" si="47"/>
        <v>45.744323531267248</v>
      </c>
      <c r="AA91" s="133">
        <f t="shared" si="47"/>
        <v>328.96449244728984</v>
      </c>
      <c r="AB91" s="133">
        <f t="shared" si="47"/>
        <v>240.47457157764481</v>
      </c>
      <c r="AC91" s="133">
        <f t="shared" si="47"/>
        <v>262.04794997557627</v>
      </c>
      <c r="AD91" s="133">
        <f t="shared" si="47"/>
        <v>252.61998936347368</v>
      </c>
      <c r="AE91" s="133">
        <f t="shared" si="47"/>
        <v>204.56676026251304</v>
      </c>
      <c r="AF91" s="133">
        <f t="shared" si="47"/>
        <v>199.35305230606031</v>
      </c>
      <c r="AG91" s="133">
        <f t="shared" si="47"/>
        <v>179.88025531659326</v>
      </c>
      <c r="AH91" s="133">
        <f t="shared" si="47"/>
        <v>225.83326711348255</v>
      </c>
      <c r="AI91" s="133">
        <f t="shared" si="47"/>
        <v>196.33082626783337</v>
      </c>
      <c r="AJ91" s="133">
        <f t="shared" si="47"/>
        <v>200.27643508347825</v>
      </c>
      <c r="AK91" s="133">
        <f t="shared" si="47"/>
        <v>204.13412704139589</v>
      </c>
      <c r="AL91" s="133">
        <f t="shared" si="47"/>
        <v>159.29840128533385</v>
      </c>
      <c r="AM91" s="133">
        <f t="shared" si="47"/>
        <v>171.40588032631527</v>
      </c>
      <c r="AN91" s="133">
        <f t="shared" si="47"/>
        <v>172.25978727454765</v>
      </c>
      <c r="AO91" s="133">
        <f t="shared" si="47"/>
        <v>184.11919030912676</v>
      </c>
      <c r="AP91" s="133">
        <f t="shared" si="47"/>
        <v>173.47263964080759</v>
      </c>
      <c r="AQ91" s="133">
        <f t="shared" si="47"/>
        <v>190.97358538149138</v>
      </c>
      <c r="AR91" s="133">
        <f t="shared" si="47"/>
        <v>208.45345587609009</v>
      </c>
      <c r="AS91" s="133">
        <f t="shared" si="47"/>
        <v>202.6743742109139</v>
      </c>
      <c r="AT91" s="133">
        <f t="shared" si="47"/>
        <v>213.48963465659315</v>
      </c>
      <c r="AU91" s="133">
        <f t="shared" si="47"/>
        <v>225.15556250218563</v>
      </c>
      <c r="AV91" s="133">
        <f t="shared" si="47"/>
        <v>235.81856160960785</v>
      </c>
      <c r="AW91" s="133">
        <f t="shared" si="47"/>
        <v>247.83430258052434</v>
      </c>
      <c r="AX91" s="133">
        <f t="shared" si="47"/>
        <v>266.69734116512092</v>
      </c>
      <c r="AY91" s="133">
        <f t="shared" si="47"/>
        <v>292.40572982258414</v>
      </c>
    </row>
    <row r="92" spans="1:51" x14ac:dyDescent="0.2">
      <c r="A92" s="19" t="s">
        <v>165</v>
      </c>
      <c r="B92" s="129"/>
      <c r="C92" s="129"/>
      <c r="D92" s="129"/>
      <c r="E92" s="129"/>
      <c r="F92" s="129"/>
      <c r="G92" s="129"/>
      <c r="H92" s="129"/>
      <c r="I92" s="129"/>
      <c r="J92" s="129">
        <f>'Monthly Data'!K438*42/1000</f>
        <v>26.544</v>
      </c>
      <c r="K92" s="129">
        <f>'Monthly Data'!K450*42/1000</f>
        <v>42.378</v>
      </c>
      <c r="L92" s="129">
        <f>'Monthly Data'!K472*42/1000</f>
        <v>121.28247599999999</v>
      </c>
      <c r="M92" s="129">
        <f>('Monthly Data'!K474)*42/1000</f>
        <v>116.44919999999999</v>
      </c>
      <c r="N92" s="129">
        <f>('Monthly Data'!K486)*42/1000</f>
        <v>105.292992</v>
      </c>
      <c r="O92" s="129">
        <f>('Monthly Data'!K498)*42/1000</f>
        <v>142.87824599999999</v>
      </c>
      <c r="P92" s="129">
        <f>('Monthly Data'!K510)*42/1000</f>
        <v>170.96667000000002</v>
      </c>
      <c r="Q92" s="129">
        <f>('Monthly Data'!K522)*42/1000</f>
        <v>183.05292600000001</v>
      </c>
      <c r="R92" s="129">
        <f>('Monthly Data'!K534)*42/1000</f>
        <v>239.632848</v>
      </c>
      <c r="S92" s="129">
        <f>('Monthly Data'!K546)*42/1000</f>
        <v>198.06376800000001</v>
      </c>
      <c r="T92" s="129">
        <f>('Monthly Data'!K558)*42/1000</f>
        <v>223.87251599999999</v>
      </c>
      <c r="U92" s="129">
        <f>('Monthly Data'!K570)*42/1000</f>
        <v>185.27632200000002</v>
      </c>
      <c r="V92" s="129">
        <f>('Monthly Data'!K582)*42/1000</f>
        <v>175.692972</v>
      </c>
      <c r="W92" s="129">
        <f>('Monthly Data'!$K594)*42/1000</f>
        <v>176.92491599999997</v>
      </c>
      <c r="X92" s="129">
        <f>('Monthly Data'!$K606)*42/1000</f>
        <v>208.21004399999998</v>
      </c>
      <c r="Y92" s="129">
        <f>('Monthly Data'!$K618)*42/1000</f>
        <v>185.349276</v>
      </c>
      <c r="Z92" s="133">
        <f t="shared" si="47"/>
        <v>59.059959010540311</v>
      </c>
      <c r="AA92" s="133">
        <f t="shared" si="47"/>
        <v>314.52945681279061</v>
      </c>
      <c r="AB92" s="133">
        <f t="shared" si="47"/>
        <v>237.40637644253925</v>
      </c>
      <c r="AC92" s="133">
        <f t="shared" si="47"/>
        <v>260.82037804825194</v>
      </c>
      <c r="AD92" s="133">
        <f t="shared" si="47"/>
        <v>244.61742001682194</v>
      </c>
      <c r="AE92" s="133">
        <f t="shared" si="47"/>
        <v>200.18158688071944</v>
      </c>
      <c r="AF92" s="133">
        <f t="shared" si="47"/>
        <v>193.05141378345286</v>
      </c>
      <c r="AG92" s="133">
        <f t="shared" si="47"/>
        <v>179.11661948510201</v>
      </c>
      <c r="AH92" s="133">
        <f t="shared" si="47"/>
        <v>219.69101093556407</v>
      </c>
      <c r="AI92" s="133">
        <f t="shared" si="47"/>
        <v>191.11631929372598</v>
      </c>
      <c r="AJ92" s="133">
        <f t="shared" si="47"/>
        <v>197.69104146723106</v>
      </c>
      <c r="AK92" s="133">
        <f t="shared" si="47"/>
        <v>194.25490159384057</v>
      </c>
      <c r="AL92" s="133">
        <f t="shared" si="47"/>
        <v>155.25914021029689</v>
      </c>
      <c r="AM92" s="133">
        <f t="shared" si="47"/>
        <v>164.94381523876575</v>
      </c>
      <c r="AN92" s="133">
        <f t="shared" si="47"/>
        <v>168.43682532026071</v>
      </c>
      <c r="AO92" s="133">
        <f t="shared" si="47"/>
        <v>177.35229971331049</v>
      </c>
      <c r="AP92" s="133">
        <f t="shared" si="47"/>
        <v>169.14306422866972</v>
      </c>
      <c r="AQ92" s="133">
        <f t="shared" si="47"/>
        <v>188.74454661133615</v>
      </c>
      <c r="AR92" s="133">
        <f t="shared" si="47"/>
        <v>204.36584587188514</v>
      </c>
      <c r="AS92" s="133">
        <f t="shared" si="47"/>
        <v>199.15332280863092</v>
      </c>
      <c r="AT92" s="133">
        <f t="shared" si="47"/>
        <v>210.08903207368826</v>
      </c>
      <c r="AU92" s="133">
        <f t="shared" si="47"/>
        <v>221.65168546629758</v>
      </c>
      <c r="AV92" s="133">
        <f t="shared" si="47"/>
        <v>232.30883674734298</v>
      </c>
      <c r="AW92" s="133">
        <f t="shared" si="47"/>
        <v>244.88982761953034</v>
      </c>
      <c r="AX92" s="133">
        <f t="shared" si="47"/>
        <v>264.34340416659057</v>
      </c>
      <c r="AY92" s="133">
        <f t="shared" si="47"/>
        <v>290.10727834537897</v>
      </c>
    </row>
    <row r="93" spans="1:51" x14ac:dyDescent="0.2">
      <c r="A93" s="19" t="s">
        <v>166</v>
      </c>
      <c r="B93" s="129"/>
      <c r="C93" s="129"/>
      <c r="D93" s="129"/>
      <c r="E93" s="129"/>
      <c r="F93" s="129"/>
      <c r="G93" s="129"/>
      <c r="H93" s="129"/>
      <c r="I93" s="129"/>
      <c r="J93" s="129">
        <f>'Monthly Data'!K439*42/1000</f>
        <v>25.2</v>
      </c>
      <c r="K93" s="129">
        <f>'Monthly Data'!K451*42/1000</f>
        <v>42.671999999999997</v>
      </c>
      <c r="L93" s="129">
        <f>'Monthly Data'!K473*42/1000</f>
        <v>121.23069</v>
      </c>
      <c r="M93" s="129">
        <f>('Monthly Data'!K475)*42/1000</f>
        <v>113.813784</v>
      </c>
      <c r="N93" s="129">
        <f>('Monthly Data'!K487)*42/1000</f>
        <v>103.30748400000002</v>
      </c>
      <c r="O93" s="129">
        <f>('Monthly Data'!K499)*42/1000</f>
        <v>131.66638800000001</v>
      </c>
      <c r="P93" s="129">
        <f>('Monthly Data'!K511)*42/1000</f>
        <v>151.16883599999997</v>
      </c>
      <c r="Q93" s="129">
        <f>('Monthly Data'!K523)*42/1000</f>
        <v>171.809484</v>
      </c>
      <c r="R93" s="129">
        <f>('Monthly Data'!K535)*42/1000</f>
        <v>206.16237599999999</v>
      </c>
      <c r="S93" s="129">
        <f>('Monthly Data'!K547)*42/1000</f>
        <v>179.53912199999999</v>
      </c>
      <c r="T93" s="129">
        <f>('Monthly Data'!K559)*42/1000</f>
        <v>202.22903399999998</v>
      </c>
      <c r="U93" s="129">
        <f>('Monthly Data'!K571)*42/1000</f>
        <v>189.56574000000003</v>
      </c>
      <c r="V93" s="129">
        <f>('Monthly Data'!K583)*42/1000</f>
        <v>159.78916800000002</v>
      </c>
      <c r="W93" s="129">
        <f>('Monthly Data'!$K595)*42/1000</f>
        <v>161.248122</v>
      </c>
      <c r="X93" s="129">
        <f>('Monthly Data'!$K607)*42/1000</f>
        <v>188.47374000000002</v>
      </c>
      <c r="Y93" s="129">
        <f>('Monthly Data'!$K619)*42/1000</f>
        <v>175.781508</v>
      </c>
      <c r="Z93" s="133">
        <f t="shared" si="47"/>
        <v>64.952046672252393</v>
      </c>
      <c r="AA93" s="133">
        <f t="shared" si="47"/>
        <v>295.52503000677137</v>
      </c>
      <c r="AB93" s="133">
        <f t="shared" si="47"/>
        <v>230.81128644741705</v>
      </c>
      <c r="AC93" s="133">
        <f t="shared" si="47"/>
        <v>254.02746109882969</v>
      </c>
      <c r="AD93" s="133">
        <f t="shared" si="47"/>
        <v>233.47011191437781</v>
      </c>
      <c r="AE93" s="133">
        <f t="shared" si="47"/>
        <v>189.80364901262308</v>
      </c>
      <c r="AF93" s="133">
        <f t="shared" si="47"/>
        <v>181.88441805699696</v>
      </c>
      <c r="AG93" s="133">
        <f t="shared" si="47"/>
        <v>174.68984944722021</v>
      </c>
      <c r="AH93" s="133">
        <f t="shared" si="47"/>
        <v>209.58050669301647</v>
      </c>
      <c r="AI93" s="133">
        <f t="shared" si="47"/>
        <v>182.81645982081491</v>
      </c>
      <c r="AJ93" s="133">
        <f t="shared" si="47"/>
        <v>192.15273607904626</v>
      </c>
      <c r="AK93" s="133">
        <f t="shared" si="47"/>
        <v>181.64701214289667</v>
      </c>
      <c r="AL93" s="133">
        <f t="shared" si="47"/>
        <v>149.75810071740582</v>
      </c>
      <c r="AM93" s="133">
        <f t="shared" si="47"/>
        <v>157.90261307890452</v>
      </c>
      <c r="AN93" s="133">
        <f t="shared" si="47"/>
        <v>164.225278285082</v>
      </c>
      <c r="AO93" s="133">
        <f t="shared" si="47"/>
        <v>170.17535418634719</v>
      </c>
      <c r="AP93" s="133">
        <f t="shared" si="47"/>
        <v>164.7522898719221</v>
      </c>
      <c r="AQ93" s="133">
        <f t="shared" si="47"/>
        <v>186.21002710994287</v>
      </c>
      <c r="AR93" s="133">
        <f t="shared" si="47"/>
        <v>199.18359106833387</v>
      </c>
      <c r="AS93" s="133">
        <f t="shared" si="47"/>
        <v>195.17260066571779</v>
      </c>
      <c r="AT93" s="133">
        <f t="shared" si="47"/>
        <v>206.23485831445396</v>
      </c>
      <c r="AU93" s="133">
        <f t="shared" si="47"/>
        <v>217.68581023296622</v>
      </c>
      <c r="AV93" s="133">
        <f t="shared" si="47"/>
        <v>228.33599631005652</v>
      </c>
      <c r="AW93" s="133">
        <f t="shared" si="47"/>
        <v>241.52044605972185</v>
      </c>
      <c r="AX93" s="133">
        <f t="shared" si="47"/>
        <v>261.60591103731906</v>
      </c>
      <c r="AY93" s="133">
        <f t="shared" si="47"/>
        <v>287.52399286028782</v>
      </c>
    </row>
    <row r="94" spans="1:51" x14ac:dyDescent="0.2">
      <c r="A94" s="19" t="s">
        <v>167</v>
      </c>
      <c r="B94" s="129"/>
      <c r="C94" s="129"/>
      <c r="D94" s="129"/>
      <c r="E94" s="129"/>
      <c r="F94" s="129"/>
      <c r="G94" s="129"/>
      <c r="H94" s="129"/>
      <c r="I94" s="129"/>
      <c r="J94" s="129">
        <f>'Monthly Data'!K440*42/1000</f>
        <v>24.402000000000001</v>
      </c>
      <c r="K94" s="129">
        <f>'Monthly Data'!K452*42/1000</f>
        <v>40.655999999999999</v>
      </c>
      <c r="L94" s="129">
        <f>'Monthly Data'!K474*42/1000</f>
        <v>116.44919999999999</v>
      </c>
      <c r="M94" s="129">
        <f>('Monthly Data'!K476)*42/1000</f>
        <v>98.611589999999993</v>
      </c>
      <c r="N94" s="129">
        <f>('Monthly Data'!K488)*42/1000</f>
        <v>104.36432999999998</v>
      </c>
      <c r="O94" s="129">
        <f>('Monthly Data'!K500)*42/1000</f>
        <v>117.52902</v>
      </c>
      <c r="P94" s="129">
        <f>('Monthly Data'!K512)*42/1000</f>
        <v>128.63722200000001</v>
      </c>
      <c r="Q94" s="129">
        <f>('Monthly Data'!K524)*42/1000</f>
        <v>198.49216799999999</v>
      </c>
      <c r="R94" s="129">
        <f>('Monthly Data'!K536)*42/1000</f>
        <v>212.194626</v>
      </c>
      <c r="S94" s="129">
        <f>('Monthly Data'!K548)*42/1000</f>
        <v>161.696136</v>
      </c>
      <c r="T94" s="129">
        <f>('Monthly Data'!K560)*42/1000</f>
        <v>185.15695799999997</v>
      </c>
      <c r="U94" s="129">
        <f>('Monthly Data'!K572)*42/1000</f>
        <v>181.36175399999999</v>
      </c>
      <c r="V94" s="129">
        <f>('Monthly Data'!K584)*42/1000</f>
        <v>157.39747800000001</v>
      </c>
      <c r="W94" s="129">
        <f>('Monthly Data'!$K596)*42/1000</f>
        <v>142.98488399999999</v>
      </c>
      <c r="X94" s="129">
        <f>('Monthly Data'!$K608)*42/1000</f>
        <v>167.91234599999999</v>
      </c>
      <c r="Y94" s="129">
        <f>('Monthly Data'!$K620)*42/1000</f>
        <v>156.56130000000002</v>
      </c>
      <c r="Z94" s="133">
        <f t="shared" si="47"/>
        <v>73.778378472785207</v>
      </c>
      <c r="AA94" s="133">
        <f t="shared" si="47"/>
        <v>275.2593321778362</v>
      </c>
      <c r="AB94" s="133">
        <f t="shared" si="47"/>
        <v>220.00998164306583</v>
      </c>
      <c r="AC94" s="133">
        <f t="shared" si="47"/>
        <v>245.29526755131536</v>
      </c>
      <c r="AD94" s="133">
        <f t="shared" si="47"/>
        <v>218.37418630452396</v>
      </c>
      <c r="AE94" s="133">
        <f t="shared" si="47"/>
        <v>177.86651382552569</v>
      </c>
      <c r="AF94" s="133">
        <f t="shared" si="47"/>
        <v>168.18121786642672</v>
      </c>
      <c r="AG94" s="133">
        <f t="shared" si="47"/>
        <v>166.95171084493722</v>
      </c>
      <c r="AH94" s="133">
        <f t="shared" si="47"/>
        <v>196.48121723874539</v>
      </c>
      <c r="AI94" s="133">
        <f t="shared" si="47"/>
        <v>171.6922166186302</v>
      </c>
      <c r="AJ94" s="133">
        <f t="shared" si="47"/>
        <v>184.00113499548544</v>
      </c>
      <c r="AK94" s="133">
        <f t="shared" si="47"/>
        <v>166.6545234934716</v>
      </c>
      <c r="AL94" s="133">
        <f t="shared" si="47"/>
        <v>142.42119892498704</v>
      </c>
      <c r="AM94" s="133">
        <f t="shared" si="47"/>
        <v>148.97327858988135</v>
      </c>
      <c r="AN94" s="133">
        <f t="shared" si="47"/>
        <v>158.48388988069433</v>
      </c>
      <c r="AO94" s="133">
        <f t="shared" si="47"/>
        <v>162.32610371804279</v>
      </c>
      <c r="AP94" s="133">
        <f t="shared" si="47"/>
        <v>159.58267444941455</v>
      </c>
      <c r="AQ94" s="133">
        <f t="shared" si="47"/>
        <v>182.91719993682423</v>
      </c>
      <c r="AR94" s="133">
        <f t="shared" si="47"/>
        <v>193.40598530407766</v>
      </c>
      <c r="AS94" s="133">
        <f t="shared" si="47"/>
        <v>190.6464026045395</v>
      </c>
      <c r="AT94" s="133">
        <f t="shared" si="47"/>
        <v>201.83248157714891</v>
      </c>
      <c r="AU94" s="133">
        <f t="shared" si="47"/>
        <v>213.17237953988021</v>
      </c>
      <c r="AV94" s="133">
        <f t="shared" si="47"/>
        <v>223.81537389805754</v>
      </c>
      <c r="AW94" s="133">
        <f t="shared" si="47"/>
        <v>237.59202138210358</v>
      </c>
      <c r="AX94" s="133">
        <f t="shared" si="47"/>
        <v>258.29630728459284</v>
      </c>
      <c r="AY94" s="133">
        <f t="shared" si="47"/>
        <v>284.35103130665055</v>
      </c>
    </row>
    <row r="95" spans="1:51" x14ac:dyDescent="0.2">
      <c r="A95" s="19" t="s">
        <v>168</v>
      </c>
      <c r="B95" s="129"/>
      <c r="C95" s="129"/>
      <c r="D95" s="129"/>
      <c r="E95" s="129"/>
      <c r="F95" s="129"/>
      <c r="G95" s="129"/>
      <c r="H95" s="129"/>
      <c r="I95" s="129"/>
      <c r="J95" s="129">
        <f>'Monthly Data'!K441*42/1000</f>
        <v>21.462</v>
      </c>
      <c r="K95" s="129">
        <f>'Monthly Data'!K453*42/1000</f>
        <v>34.86</v>
      </c>
      <c r="L95" s="129">
        <f>'Monthly Data'!K475*42/1000</f>
        <v>113.813784</v>
      </c>
      <c r="M95" s="129">
        <f>('Monthly Data'!K477)*42/1000</f>
        <v>94.986905999999991</v>
      </c>
      <c r="N95" s="129">
        <f>('Monthly Data'!K489)*42/1000</f>
        <v>112.680666</v>
      </c>
      <c r="O95" s="129">
        <f>('Monthly Data'!K501)*42/1000</f>
        <v>129.74329200000003</v>
      </c>
      <c r="P95" s="129">
        <f>('Monthly Data'!K513)*42/1000</f>
        <v>142.95342599999998</v>
      </c>
      <c r="Q95" s="129">
        <f>('Monthly Data'!K525)*42/1000</f>
        <v>186.58613399999999</v>
      </c>
      <c r="R95" s="129">
        <f>('Monthly Data'!K537)*42/1000</f>
        <v>227.00563199999999</v>
      </c>
      <c r="S95" s="129">
        <f>('Monthly Data'!K549)*42/1000</f>
        <v>157.18462199999999</v>
      </c>
      <c r="T95" s="129">
        <f>('Monthly Data'!K561)*42/1000</f>
        <v>171.67974599999999</v>
      </c>
      <c r="U95" s="129">
        <f>('Monthly Data'!K573)*42/1000</f>
        <v>162.91779</v>
      </c>
      <c r="V95" s="129">
        <f>('Monthly Data'!K585)*42/1000</f>
        <v>155.27064000000001</v>
      </c>
      <c r="W95" s="129">
        <f>('Monthly Data'!$K597)*42/1000</f>
        <v>136.09936199999999</v>
      </c>
      <c r="X95" s="129">
        <f>('Monthly Data'!$K609)*42/1000</f>
        <v>157.625328</v>
      </c>
      <c r="Y95" s="129">
        <f>('Monthly Data'!$K621)*42/1000</f>
        <v>141.67112399999999</v>
      </c>
      <c r="Z95" s="133">
        <f t="shared" si="47"/>
        <v>84.796651812837752</v>
      </c>
      <c r="AA95" s="133">
        <f t="shared" si="47"/>
        <v>264.56961564086765</v>
      </c>
      <c r="AB95" s="133">
        <f t="shared" si="47"/>
        <v>219.81406053804403</v>
      </c>
      <c r="AC95" s="133">
        <f t="shared" si="47"/>
        <v>242.72402203040892</v>
      </c>
      <c r="AD95" s="133">
        <f t="shared" si="47"/>
        <v>212.13936230232054</v>
      </c>
      <c r="AE95" s="133">
        <f t="shared" si="47"/>
        <v>172.70676791889196</v>
      </c>
      <c r="AF95" s="133">
        <f t="shared" si="47"/>
        <v>163.06737610342779</v>
      </c>
      <c r="AG95" s="133">
        <f t="shared" si="47"/>
        <v>168.3565669103188</v>
      </c>
      <c r="AH95" s="133">
        <f t="shared" si="47"/>
        <v>192.2402244255556</v>
      </c>
      <c r="AI95" s="133">
        <f t="shared" si="47"/>
        <v>168.76664100896366</v>
      </c>
      <c r="AJ95" s="133">
        <f t="shared" si="47"/>
        <v>183.61317400359823</v>
      </c>
      <c r="AK95" s="133">
        <f t="shared" si="47"/>
        <v>158.99538141140061</v>
      </c>
      <c r="AL95" s="133">
        <f t="shared" si="47"/>
        <v>140.30040798512613</v>
      </c>
      <c r="AM95" s="133">
        <f t="shared" si="47"/>
        <v>145.32913146043362</v>
      </c>
      <c r="AN95" s="133">
        <f t="shared" si="47"/>
        <v>156.95294924288908</v>
      </c>
      <c r="AO95" s="133">
        <f t="shared" si="47"/>
        <v>156.47780708395626</v>
      </c>
      <c r="AP95" s="133">
        <f t="shared" si="47"/>
        <v>156.43377642969926</v>
      </c>
      <c r="AQ95" s="133">
        <f t="shared" si="47"/>
        <v>181.59444559526742</v>
      </c>
      <c r="AR95" s="133">
        <f t="shared" si="47"/>
        <v>189.53959274891315</v>
      </c>
      <c r="AS95" s="133">
        <f t="shared" si="47"/>
        <v>187.63937700292544</v>
      </c>
      <c r="AT95" s="133">
        <f t="shared" si="47"/>
        <v>198.94567338747453</v>
      </c>
      <c r="AU95" s="133">
        <f t="shared" si="47"/>
        <v>210.17644756229413</v>
      </c>
      <c r="AV95" s="133">
        <f t="shared" si="47"/>
        <v>220.81333505122615</v>
      </c>
      <c r="AW95" s="133">
        <f t="shared" si="47"/>
        <v>235.1790105120096</v>
      </c>
      <c r="AX95" s="133">
        <f t="shared" si="47"/>
        <v>256.49864777043604</v>
      </c>
      <c r="AY95" s="133">
        <f t="shared" si="47"/>
        <v>282.69948196134192</v>
      </c>
    </row>
    <row r="96" spans="1:51" x14ac:dyDescent="0.2">
      <c r="A96" s="19" t="s">
        <v>169</v>
      </c>
      <c r="B96" s="129"/>
      <c r="C96" s="129"/>
      <c r="D96" s="129"/>
      <c r="E96" s="129"/>
      <c r="F96" s="129"/>
      <c r="G96" s="129"/>
      <c r="H96" s="129"/>
      <c r="I96" s="129"/>
      <c r="J96" s="129">
        <f>'Monthly Data'!K442*42/1000</f>
        <v>21.462</v>
      </c>
      <c r="K96" s="129">
        <f>'Monthly Data'!K454*42/1000</f>
        <v>32.381999999999998</v>
      </c>
      <c r="L96" s="129">
        <f>'Monthly Data'!K476*42/1000</f>
        <v>98.611589999999993</v>
      </c>
      <c r="M96" s="129">
        <f>('Monthly Data'!K478)*42/1000</f>
        <v>84.481110000000001</v>
      </c>
      <c r="N96" s="129">
        <f>('Monthly Data'!K490)*42/1000</f>
        <v>107.06245200000001</v>
      </c>
      <c r="O96" s="129">
        <f>('Monthly Data'!K502)*42/1000</f>
        <v>116.992008</v>
      </c>
      <c r="P96" s="129">
        <f>('Monthly Data'!K514)*42/1000</f>
        <v>139.98742800000002</v>
      </c>
      <c r="Q96" s="129">
        <f>('Monthly Data'!K526)*42/1000</f>
        <v>179.13726600000001</v>
      </c>
      <c r="R96" s="129">
        <f>('Monthly Data'!K538)*42/1000</f>
        <v>224.93171399999997</v>
      </c>
      <c r="S96" s="129">
        <f>('Monthly Data'!K550)*42/1000</f>
        <v>143.845212</v>
      </c>
      <c r="T96" s="129">
        <f>('Monthly Data'!K562)*42/1000</f>
        <v>162.103872</v>
      </c>
      <c r="U96" s="129">
        <f>('Monthly Data'!K574)*42/1000</f>
        <v>149.64679799999999</v>
      </c>
      <c r="V96" s="129">
        <f>('Monthly Data'!K586)*42/1000</f>
        <v>141.48111600000001</v>
      </c>
      <c r="W96" s="129">
        <f>('Monthly Data'!$K598)*42/1000</f>
        <v>121.53754200000002</v>
      </c>
      <c r="X96" s="129">
        <f>('Monthly Data'!$K610)*42/1000</f>
        <v>152.14474799999999</v>
      </c>
      <c r="Y96" s="129">
        <f>('Monthly Data'!$K622)*42/1000</f>
        <v>134.38328399999997</v>
      </c>
      <c r="Z96" s="133">
        <f t="shared" si="47"/>
        <v>97.603367306022321</v>
      </c>
      <c r="AA96" s="133">
        <f t="shared" si="47"/>
        <v>250.91072950428247</v>
      </c>
      <c r="AB96" s="133">
        <f t="shared" si="47"/>
        <v>218.94671979578794</v>
      </c>
      <c r="AC96" s="133">
        <f t="shared" si="47"/>
        <v>240.3737920183068</v>
      </c>
      <c r="AD96" s="133">
        <f t="shared" si="47"/>
        <v>207.42059222963138</v>
      </c>
      <c r="AE96" s="133">
        <f t="shared" si="47"/>
        <v>167.6341114998821</v>
      </c>
      <c r="AF96" s="133">
        <f t="shared" si="47"/>
        <v>157.47972514512958</v>
      </c>
      <c r="AG96" s="133">
        <f t="shared" si="47"/>
        <v>169.63239790758823</v>
      </c>
      <c r="AH96" s="133">
        <f t="shared" si="47"/>
        <v>187.81219437257297</v>
      </c>
      <c r="AI96" s="133">
        <f t="shared" si="47"/>
        <v>165.90274186337112</v>
      </c>
      <c r="AJ96" s="133">
        <f t="shared" si="47"/>
        <v>183.21325240975943</v>
      </c>
      <c r="AK96" s="133">
        <f t="shared" si="47"/>
        <v>150.91715989934281</v>
      </c>
      <c r="AL96" s="133">
        <f t="shared" si="47"/>
        <v>138.21620465071265</v>
      </c>
      <c r="AM96" s="133">
        <f t="shared" si="47"/>
        <v>141.64595221488423</v>
      </c>
      <c r="AN96" s="133">
        <f t="shared" si="47"/>
        <v>155.47829714570949</v>
      </c>
      <c r="AO96" s="133">
        <f t="shared" si="47"/>
        <v>150.91548159766162</v>
      </c>
      <c r="AP96" s="133">
        <f t="shared" si="47"/>
        <v>153.68594334708322</v>
      </c>
      <c r="AQ96" s="133">
        <f t="shared" si="47"/>
        <v>180.66510898197629</v>
      </c>
      <c r="AR96" s="133">
        <f t="shared" si="47"/>
        <v>185.88608721042331</v>
      </c>
      <c r="AS96" s="133">
        <f t="shared" si="47"/>
        <v>185.03282018278614</v>
      </c>
      <c r="AT96" s="133">
        <f t="shared" si="47"/>
        <v>196.46598681704944</v>
      </c>
      <c r="AU96" s="133">
        <f t="shared" si="47"/>
        <v>207.58385962188146</v>
      </c>
      <c r="AV96" s="133">
        <f t="shared" si="47"/>
        <v>218.21282838277963</v>
      </c>
      <c r="AW96" s="133">
        <f t="shared" si="47"/>
        <v>233.18566434747504</v>
      </c>
      <c r="AX96" s="133">
        <f t="shared" si="47"/>
        <v>255.14187991148219</v>
      </c>
      <c r="AY96" s="133">
        <f t="shared" si="47"/>
        <v>281.50844423146282</v>
      </c>
    </row>
    <row r="97" spans="1:51" x14ac:dyDescent="0.2">
      <c r="A97" s="19" t="s">
        <v>170</v>
      </c>
      <c r="B97" s="129"/>
      <c r="C97" s="129"/>
      <c r="D97" s="129"/>
      <c r="E97" s="129"/>
      <c r="F97" s="129"/>
      <c r="G97" s="129"/>
      <c r="H97" s="129"/>
      <c r="I97" s="129"/>
      <c r="J97" s="129">
        <f>'Monthly Data'!K443*42/1000</f>
        <v>22.134</v>
      </c>
      <c r="K97" s="129">
        <f>'Monthly Data'!K455*42/1000</f>
        <v>28.643999999999998</v>
      </c>
      <c r="L97" s="129">
        <f>'Monthly Data'!K477*42/1000</f>
        <v>94.986905999999991</v>
      </c>
      <c r="M97" s="129">
        <f>('Monthly Data'!K479)*42/1000</f>
        <v>86.037588</v>
      </c>
      <c r="N97" s="129">
        <f>('Monthly Data'!K491)*42/1000</f>
        <v>105.377622</v>
      </c>
      <c r="O97" s="129">
        <f>('Monthly Data'!K503)*42/1000</f>
        <v>96.317970000000003</v>
      </c>
      <c r="P97" s="129">
        <f>('Monthly Data'!K515)*42/1000</f>
        <v>126.902202</v>
      </c>
      <c r="Q97" s="129">
        <f>('Monthly Data'!K527)*42/1000</f>
        <v>177.53034599999998</v>
      </c>
      <c r="R97" s="129">
        <f>('Monthly Data'!K539)*42/1000</f>
        <v>203.63922600000001</v>
      </c>
      <c r="S97" s="129">
        <f>('Monthly Data'!K551)*42/1000</f>
        <v>141.596868</v>
      </c>
      <c r="T97" s="129">
        <f>('Monthly Data'!K563)*42/1000</f>
        <v>155.64267599999997</v>
      </c>
      <c r="U97" s="129">
        <f>('Monthly Data'!K575)*42/1000</f>
        <v>135.29249999999999</v>
      </c>
      <c r="V97" s="129">
        <f>('Monthly Data'!K587)*42/1000</f>
        <v>135.64005000000003</v>
      </c>
      <c r="W97" s="129">
        <f>('Monthly Data'!$K599)*42/1000</f>
        <v>118.703802</v>
      </c>
      <c r="X97" s="129">
        <f>('Monthly Data'!$K611)*42/1000</f>
        <v>152.41598400000001</v>
      </c>
      <c r="Y97" s="129">
        <f>('Monthly Data'!$K623)*42/1000</f>
        <v>132.91425000000001</v>
      </c>
      <c r="Z97" s="133">
        <f t="shared" si="47"/>
        <v>113.13445724312386</v>
      </c>
      <c r="AA97" s="133">
        <f t="shared" si="47"/>
        <v>241.71064242166182</v>
      </c>
      <c r="AB97" s="133">
        <f t="shared" si="47"/>
        <v>221.08696792539919</v>
      </c>
      <c r="AC97" s="133">
        <f t="shared" si="47"/>
        <v>240.97770081458506</v>
      </c>
      <c r="AD97" s="133">
        <f t="shared" si="47"/>
        <v>205.84364697985953</v>
      </c>
      <c r="AE97" s="133">
        <f t="shared" si="47"/>
        <v>165.49057511221241</v>
      </c>
      <c r="AF97" s="133">
        <f t="shared" si="47"/>
        <v>154.9484309289609</v>
      </c>
      <c r="AG97" s="133">
        <f t="shared" si="47"/>
        <v>173.50733451662853</v>
      </c>
      <c r="AH97" s="133">
        <f t="shared" si="47"/>
        <v>186.15527673508865</v>
      </c>
      <c r="AI97" s="133">
        <f t="shared" si="47"/>
        <v>166.06175249562386</v>
      </c>
      <c r="AJ97" s="133">
        <f t="shared" si="47"/>
        <v>185.3220869931917</v>
      </c>
      <c r="AK97" s="133">
        <f t="shared" si="47"/>
        <v>145.65067607504162</v>
      </c>
      <c r="AL97" s="133">
        <f t="shared" si="47"/>
        <v>138.66464058809584</v>
      </c>
      <c r="AM97" s="133">
        <f t="shared" si="47"/>
        <v>140.92401745154137</v>
      </c>
      <c r="AN97" s="133">
        <f t="shared" si="47"/>
        <v>156.36097570517836</v>
      </c>
      <c r="AO97" s="133">
        <f t="shared" si="47"/>
        <v>148.11381594079296</v>
      </c>
      <c r="AP97" s="133">
        <f t="shared" si="47"/>
        <v>153.71186171507594</v>
      </c>
      <c r="AQ97" s="133">
        <f t="shared" si="47"/>
        <v>182.05462378308772</v>
      </c>
      <c r="AR97" s="133">
        <f t="shared" si="47"/>
        <v>184.09042876551061</v>
      </c>
      <c r="AS97" s="133">
        <f t="shared" si="47"/>
        <v>184.77128917073702</v>
      </c>
      <c r="AT97" s="133">
        <f t="shared" si="47"/>
        <v>196.32327788101236</v>
      </c>
      <c r="AU97" s="133">
        <f t="shared" si="47"/>
        <v>207.33432119009396</v>
      </c>
      <c r="AV97" s="133">
        <f t="shared" si="47"/>
        <v>217.95581551037529</v>
      </c>
      <c r="AW97" s="133">
        <f t="shared" si="47"/>
        <v>233.50159473112384</v>
      </c>
      <c r="AX97" s="133">
        <f t="shared" si="47"/>
        <v>256.05815102788091</v>
      </c>
      <c r="AY97" s="133">
        <f t="shared" si="47"/>
        <v>282.66899684619801</v>
      </c>
    </row>
    <row r="98" spans="1:51" x14ac:dyDescent="0.2">
      <c r="A98" s="19" t="s">
        <v>171</v>
      </c>
      <c r="B98" s="129"/>
      <c r="C98" s="129"/>
      <c r="D98" s="129"/>
      <c r="E98" s="129"/>
      <c r="F98" s="129"/>
      <c r="G98" s="129"/>
      <c r="H98" s="129"/>
      <c r="I98" s="129"/>
      <c r="J98" s="129">
        <f>'Monthly Data'!K444*42/1000</f>
        <v>23.225999999999999</v>
      </c>
      <c r="K98" s="129">
        <f>'Monthly Data'!K456*42/1000</f>
        <v>27.3</v>
      </c>
      <c r="L98" s="129">
        <f>'Monthly Data'!K478*42/1000</f>
        <v>84.481110000000001</v>
      </c>
      <c r="M98" s="129">
        <f>('Monthly Data'!K480)*42/1000</f>
        <v>91.380870000000016</v>
      </c>
      <c r="N98" s="129">
        <f>('Monthly Data'!K492)*42/1000</f>
        <v>104.278902</v>
      </c>
      <c r="O98" s="129">
        <f>('Monthly Data'!K504)*42/1000</f>
        <v>110.90188200000001</v>
      </c>
      <c r="P98" s="129">
        <f>('Monthly Data'!K516)*42/1000</f>
        <v>128.92681200000001</v>
      </c>
      <c r="Q98" s="129">
        <f>('Monthly Data'!K528)*42/1000</f>
        <v>196.97462400000001</v>
      </c>
      <c r="R98" s="129">
        <f>('Monthly Data'!K540)*42/1000</f>
        <v>188.36752200000001</v>
      </c>
      <c r="S98" s="129">
        <f>('Monthly Data'!K552)*42/1000</f>
        <v>153.17546999999999</v>
      </c>
      <c r="T98" s="129">
        <f>('Monthly Data'!K564)*42/1000</f>
        <v>156.98520600000001</v>
      </c>
      <c r="U98" s="129">
        <f>('Monthly Data'!K576)*42/1000</f>
        <v>143.559864</v>
      </c>
      <c r="V98" s="129">
        <f>('Monthly Data'!K588)*42/1000</f>
        <v>140.26538399999998</v>
      </c>
      <c r="W98" s="129">
        <f>('Monthly Data'!$K600)*42/1000</f>
        <v>121.93641599999999</v>
      </c>
      <c r="X98" s="129">
        <f>('Monthly Data'!$K612)*42/1000</f>
        <v>147.21923999999999</v>
      </c>
      <c r="Y98" s="129">
        <f>('Monthly Data'!$K624)*42/1000</f>
        <v>126.288078</v>
      </c>
      <c r="Z98" s="133">
        <f t="shared" si="47"/>
        <v>127.1527030327305</v>
      </c>
      <c r="AA98" s="133">
        <f t="shared" si="47"/>
        <v>231.73355476602137</v>
      </c>
      <c r="AB98" s="133">
        <f t="shared" si="47"/>
        <v>221.49498737201785</v>
      </c>
      <c r="AC98" s="133">
        <f t="shared" si="47"/>
        <v>240.03335514347896</v>
      </c>
      <c r="AD98" s="133">
        <f t="shared" si="47"/>
        <v>200.24954041763058</v>
      </c>
      <c r="AE98" s="133">
        <f t="shared" si="47"/>
        <v>160.47237192099723</v>
      </c>
      <c r="AF98" s="133">
        <f t="shared" si="47"/>
        <v>149.92036829004007</v>
      </c>
      <c r="AG98" s="133">
        <f t="shared" si="47"/>
        <v>174.90721307347297</v>
      </c>
      <c r="AH98" s="133">
        <f t="shared" si="47"/>
        <v>181.51422489799617</v>
      </c>
      <c r="AI98" s="133">
        <f t="shared" si="47"/>
        <v>163.94974973716492</v>
      </c>
      <c r="AJ98" s="133">
        <f t="shared" si="47"/>
        <v>185.20005105748865</v>
      </c>
      <c r="AK98" s="133">
        <f t="shared" si="47"/>
        <v>138.58040550946794</v>
      </c>
      <c r="AL98" s="133">
        <f t="shared" si="47"/>
        <v>138.83967205397562</v>
      </c>
      <c r="AM98" s="133">
        <f t="shared" si="47"/>
        <v>140.58726349334583</v>
      </c>
      <c r="AN98" s="133">
        <f t="shared" si="47"/>
        <v>157.60737725355935</v>
      </c>
      <c r="AO98" s="133">
        <f t="shared" si="47"/>
        <v>146.97955057225332</v>
      </c>
      <c r="AP98" s="133">
        <f t="shared" si="47"/>
        <v>155.74912185565617</v>
      </c>
      <c r="AQ98" s="133">
        <f t="shared" si="47"/>
        <v>184.96204357426723</v>
      </c>
      <c r="AR98" s="133">
        <f t="shared" si="47"/>
        <v>182.80733182223295</v>
      </c>
      <c r="AS98" s="133">
        <f t="shared" si="47"/>
        <v>186.08923076246208</v>
      </c>
      <c r="AT98" s="133">
        <f t="shared" si="47"/>
        <v>197.76271721087593</v>
      </c>
      <c r="AU98" s="133">
        <f t="shared" si="47"/>
        <v>208.6668283330572</v>
      </c>
      <c r="AV98" s="133">
        <f t="shared" si="47"/>
        <v>219.28371003833325</v>
      </c>
      <c r="AW98" s="133">
        <f t="shared" si="47"/>
        <v>235.41272595033635</v>
      </c>
      <c r="AX98" s="133">
        <f t="shared" si="47"/>
        <v>258.57936168449135</v>
      </c>
      <c r="AY98" s="133">
        <f t="shared" si="47"/>
        <v>285.57020971439147</v>
      </c>
    </row>
    <row r="99" spans="1:51" x14ac:dyDescent="0.2">
      <c r="A99" s="19" t="s">
        <v>172</v>
      </c>
      <c r="B99" s="129"/>
      <c r="C99" s="129"/>
      <c r="D99" s="129"/>
      <c r="E99" s="129"/>
      <c r="F99" s="129"/>
      <c r="G99" s="129"/>
      <c r="H99" s="129"/>
      <c r="I99" s="129"/>
      <c r="J99" s="129">
        <f>'Monthly Data'!K445*42/1000</f>
        <v>22.302</v>
      </c>
      <c r="K99" s="129">
        <f>'Monthly Data'!K457*42/1000</f>
        <v>28.391999999999999</v>
      </c>
      <c r="L99" s="129">
        <f>'Monthly Data'!K479*42/1000</f>
        <v>86.037588</v>
      </c>
      <c r="M99" s="129">
        <f>('Monthly Data'!K481)*42/1000</f>
        <v>78.194339999999997</v>
      </c>
      <c r="N99" s="129">
        <f>('Monthly Data'!K493)*42/1000</f>
        <v>141.11055000000002</v>
      </c>
      <c r="O99" s="129">
        <f>('Monthly Data'!K505)*42/1000</f>
        <v>129.537282</v>
      </c>
      <c r="P99" s="129">
        <f>('Monthly Data'!K517)*42/1000</f>
        <v>151.19873999999999</v>
      </c>
      <c r="Q99" s="129">
        <f>('Monthly Data'!K529)*42/1000</f>
        <v>223.19816400000002</v>
      </c>
      <c r="R99" s="129">
        <f>('Monthly Data'!K541)*42/1000</f>
        <v>177.79637400000001</v>
      </c>
      <c r="S99" s="129">
        <f>('Monthly Data'!K553)*42/1000</f>
        <v>169.65164999999999</v>
      </c>
      <c r="T99" s="129">
        <f>('Monthly Data'!K565)*42/1000</f>
        <v>163.242828</v>
      </c>
      <c r="U99" s="129">
        <f>('Monthly Data'!K577)*42/1000</f>
        <v>157.12527600000001</v>
      </c>
      <c r="V99" s="129">
        <f>('Monthly Data'!K589)*42/1000</f>
        <v>157.36971600000001</v>
      </c>
      <c r="W99" s="129">
        <f>('Monthly Data'!$K601)*42/1000</f>
        <v>135.75777600000001</v>
      </c>
      <c r="X99" s="129">
        <f>('Monthly Data'!$K613)*42/1000</f>
        <v>153.48996600000001</v>
      </c>
      <c r="Y99" s="129">
        <f>('Monthly Data'!$K625)*42/1000</f>
        <v>138.959226</v>
      </c>
      <c r="Z99" s="133">
        <f t="shared" si="47"/>
        <v>150.08720201130507</v>
      </c>
      <c r="AA99" s="133">
        <f t="shared" si="47"/>
        <v>231.29632798619068</v>
      </c>
      <c r="AB99" s="133">
        <f t="shared" si="47"/>
        <v>230.2432483016278</v>
      </c>
      <c r="AC99" s="133">
        <f t="shared" si="47"/>
        <v>247.97451618482785</v>
      </c>
      <c r="AD99" s="133">
        <f t="shared" si="47"/>
        <v>203.89424950771058</v>
      </c>
      <c r="AE99" s="133">
        <f t="shared" si="47"/>
        <v>164.68409749098521</v>
      </c>
      <c r="AF99" s="133">
        <f t="shared" si="47"/>
        <v>153.60092186609631</v>
      </c>
      <c r="AG99" s="133">
        <f t="shared" si="47"/>
        <v>184.97992314472791</v>
      </c>
      <c r="AH99" s="133">
        <f t="shared" si="47"/>
        <v>185.82792613987073</v>
      </c>
      <c r="AI99" s="133">
        <f t="shared" si="47"/>
        <v>170.79579922544065</v>
      </c>
      <c r="AJ99" s="133">
        <f t="shared" si="47"/>
        <v>193.15599222815734</v>
      </c>
      <c r="AK99" s="133">
        <f t="shared" si="47"/>
        <v>139.39463895026148</v>
      </c>
      <c r="AL99" s="133">
        <f t="shared" si="47"/>
        <v>145.53472015385773</v>
      </c>
      <c r="AM99" s="133">
        <f t="shared" si="47"/>
        <v>147.36036013670031</v>
      </c>
      <c r="AN99" s="133">
        <f t="shared" si="47"/>
        <v>164.59728026975242</v>
      </c>
      <c r="AO99" s="133">
        <f t="shared" si="47"/>
        <v>150.93663000504745</v>
      </c>
      <c r="AP99" s="133">
        <f t="shared" si="47"/>
        <v>163.01517324650047</v>
      </c>
      <c r="AQ99" s="133">
        <f t="shared" si="47"/>
        <v>192.46709873651881</v>
      </c>
      <c r="AR99" s="133">
        <f t="shared" si="47"/>
        <v>185.28949567750894</v>
      </c>
      <c r="AS99" s="133">
        <f t="shared" si="47"/>
        <v>191.74794014389317</v>
      </c>
      <c r="AT99" s="133">
        <f t="shared" si="47"/>
        <v>203.53901737105664</v>
      </c>
      <c r="AU99" s="133">
        <f t="shared" ref="AU99:AY100" si="48">AU98+AU51+AU35-AU83-AU67</f>
        <v>214.34114261503774</v>
      </c>
      <c r="AV99" s="133">
        <f t="shared" si="48"/>
        <v>224.95322573767754</v>
      </c>
      <c r="AW99" s="133">
        <f t="shared" si="48"/>
        <v>241.63686519431107</v>
      </c>
      <c r="AX99" s="133">
        <f t="shared" si="48"/>
        <v>265.38366003792186</v>
      </c>
      <c r="AY99" s="133">
        <f t="shared" si="48"/>
        <v>292.88383720149875</v>
      </c>
    </row>
    <row r="100" spans="1:51" x14ac:dyDescent="0.2">
      <c r="A100" s="117" t="s">
        <v>173</v>
      </c>
      <c r="B100" s="139"/>
      <c r="C100" s="139"/>
      <c r="D100" s="139"/>
      <c r="E100" s="139"/>
      <c r="F100" s="139"/>
      <c r="G100" s="139"/>
      <c r="H100" s="139"/>
      <c r="I100" s="139"/>
      <c r="J100" s="129">
        <f>'Monthly Data'!K446*42/1000</f>
        <v>29.861999999999998</v>
      </c>
      <c r="K100" s="129">
        <f>'Monthly Data'!K458*42/1000</f>
        <v>28.224</v>
      </c>
      <c r="L100" s="129">
        <f>'Monthly Data'!K480*42/1000</f>
        <v>91.380870000000016</v>
      </c>
      <c r="M100" s="129">
        <f>('Monthly Data'!K482)*42/1000</f>
        <v>83.342952000000011</v>
      </c>
      <c r="N100" s="129">
        <f>('Monthly Data'!K494)*42/1000</f>
        <v>160.007778</v>
      </c>
      <c r="O100" s="129">
        <f>('Monthly Data'!K506)*42/1000</f>
        <v>131.485998</v>
      </c>
      <c r="P100" s="129">
        <f>('Monthly Data'!K518)*42/1000</f>
        <v>165.61855799999998</v>
      </c>
      <c r="Q100" s="129">
        <f>('Monthly Data'!K530)*42/1000</f>
        <v>268.70508000000001</v>
      </c>
      <c r="R100" s="129">
        <f>('Monthly Data'!K542)*42/1000</f>
        <v>179.25385799999998</v>
      </c>
      <c r="S100" s="129">
        <f>('Monthly Data'!K554)*42/1000</f>
        <v>195.81311399999998</v>
      </c>
      <c r="T100" s="129">
        <f>('Monthly Data'!K566)*42/1000</f>
        <v>164.07808199999999</v>
      </c>
      <c r="U100" s="129">
        <f>('Monthly Data'!K578)*42/1000</f>
        <v>153.94617000000002</v>
      </c>
      <c r="V100" s="129">
        <f>('Monthly Data'!K590)*42/1000</f>
        <v>175.87495799999999</v>
      </c>
      <c r="W100" s="129">
        <f>('Monthly Data'!$K602)*42/1000</f>
        <v>151.529742</v>
      </c>
      <c r="X100" s="129">
        <f>('Monthly Data'!$K614)*42/1000</f>
        <v>160.165908</v>
      </c>
      <c r="Y100" s="129">
        <f>('Monthly Data'!$K626)*42/1000</f>
        <v>149.18660399999999</v>
      </c>
      <c r="Z100" s="133">
        <f t="shared" ref="Z100:AV100" si="49">Z99+Z52+Z36-Z84-Z68</f>
        <v>345.14104086422662</v>
      </c>
      <c r="AA100" s="133">
        <f t="shared" si="49"/>
        <v>242.52402484061992</v>
      </c>
      <c r="AB100" s="133">
        <f t="shared" si="49"/>
        <v>264.671393443265</v>
      </c>
      <c r="AC100" s="133">
        <f t="shared" si="49"/>
        <v>283.57561827033499</v>
      </c>
      <c r="AD100" s="133">
        <f t="shared" si="49"/>
        <v>246.74338105665737</v>
      </c>
      <c r="AE100" s="133">
        <f t="shared" si="49"/>
        <v>221.63135017122363</v>
      </c>
      <c r="AF100" s="133">
        <f t="shared" si="49"/>
        <v>188.75448861742217</v>
      </c>
      <c r="AG100" s="133">
        <f t="shared" si="49"/>
        <v>230.27764375049679</v>
      </c>
      <c r="AH100" s="133">
        <f t="shared" si="49"/>
        <v>204.13966238211754</v>
      </c>
      <c r="AI100" s="133">
        <f t="shared" si="49"/>
        <v>202.08233909985108</v>
      </c>
      <c r="AJ100" s="133">
        <f t="shared" si="49"/>
        <v>222.92519598919796</v>
      </c>
      <c r="AK100" s="133">
        <f t="shared" si="49"/>
        <v>158.07084919642932</v>
      </c>
      <c r="AL100" s="133">
        <f t="shared" si="49"/>
        <v>167.85593944316525</v>
      </c>
      <c r="AM100" s="133">
        <f t="shared" si="49"/>
        <v>166.6149808778822</v>
      </c>
      <c r="AN100" s="133">
        <f t="shared" si="49"/>
        <v>183.24991489577167</v>
      </c>
      <c r="AO100" s="133">
        <f t="shared" si="49"/>
        <v>164.39982553467917</v>
      </c>
      <c r="AP100" s="133">
        <f t="shared" si="49"/>
        <v>180.77756237423654</v>
      </c>
      <c r="AQ100" s="133">
        <f t="shared" si="49"/>
        <v>210.32606811033372</v>
      </c>
      <c r="AR100" s="133">
        <f t="shared" si="49"/>
        <v>196.53026802900837</v>
      </c>
      <c r="AS100" s="133">
        <f t="shared" si="49"/>
        <v>207.03016613602108</v>
      </c>
      <c r="AT100" s="133">
        <f t="shared" si="49"/>
        <v>218.95244450353619</v>
      </c>
      <c r="AU100" s="133">
        <f t="shared" si="49"/>
        <v>229.61783303096655</v>
      </c>
      <c r="AV100" s="133">
        <f t="shared" si="49"/>
        <v>240.21170043842494</v>
      </c>
      <c r="AW100" s="133">
        <f t="shared" si="48"/>
        <v>257.59906517122448</v>
      </c>
      <c r="AX100" s="133">
        <f t="shared" si="48"/>
        <v>282.09511960936015</v>
      </c>
      <c r="AY100" s="133">
        <f t="shared" si="48"/>
        <v>310.25683732550988</v>
      </c>
    </row>
    <row r="101" spans="1:51" x14ac:dyDescent="0.2">
      <c r="A101" s="114"/>
      <c r="B101" s="140"/>
      <c r="C101" s="140"/>
      <c r="D101" s="140"/>
      <c r="E101" s="140"/>
      <c r="F101" s="140"/>
      <c r="G101" s="140"/>
      <c r="H101" s="140"/>
      <c r="I101" s="140"/>
      <c r="J101" s="140"/>
      <c r="K101" s="140"/>
      <c r="L101" s="140"/>
      <c r="M101" s="140"/>
      <c r="N101" s="140"/>
      <c r="O101" s="140"/>
      <c r="P101" s="140"/>
      <c r="Q101" s="140"/>
      <c r="R101" s="141">
        <f t="shared" ref="R101:AY101" si="50">R11</f>
        <v>179.25385799999998</v>
      </c>
      <c r="S101" s="141">
        <f t="shared" si="50"/>
        <v>195.81311399999998</v>
      </c>
      <c r="T101" s="141">
        <f t="shared" si="50"/>
        <v>164.07808199999999</v>
      </c>
      <c r="U101" s="141">
        <f t="shared" si="50"/>
        <v>153.94617000000002</v>
      </c>
      <c r="V101" s="141">
        <f t="shared" si="50"/>
        <v>175.87495799999999</v>
      </c>
      <c r="W101" s="141">
        <f t="shared" si="50"/>
        <v>151.529742</v>
      </c>
      <c r="X101" s="142">
        <f t="shared" si="50"/>
        <v>160.165908</v>
      </c>
      <c r="Y101" s="142">
        <f t="shared" si="50"/>
        <v>149.18660399999999</v>
      </c>
      <c r="Z101" s="142">
        <f t="shared" si="50"/>
        <v>345.14104086422662</v>
      </c>
      <c r="AA101" s="142">
        <f t="shared" si="50"/>
        <v>242.52402484061992</v>
      </c>
      <c r="AB101" s="142">
        <f t="shared" si="50"/>
        <v>264.671393443265</v>
      </c>
      <c r="AC101" s="142">
        <f t="shared" si="50"/>
        <v>283.57561827033499</v>
      </c>
      <c r="AD101" s="142">
        <f t="shared" si="50"/>
        <v>246.74338105665737</v>
      </c>
      <c r="AE101" s="142">
        <f t="shared" si="50"/>
        <v>221.63135017122363</v>
      </c>
      <c r="AF101" s="142">
        <f t="shared" si="50"/>
        <v>188.75448861742217</v>
      </c>
      <c r="AG101" s="142">
        <f t="shared" si="50"/>
        <v>230.27764375049679</v>
      </c>
      <c r="AH101" s="142">
        <f t="shared" si="50"/>
        <v>204.13966238211754</v>
      </c>
      <c r="AI101" s="142">
        <f t="shared" si="50"/>
        <v>202.08233909985108</v>
      </c>
      <c r="AJ101" s="142">
        <f t="shared" si="50"/>
        <v>222.92519598919796</v>
      </c>
      <c r="AK101" s="142">
        <f t="shared" si="50"/>
        <v>158.07084919642932</v>
      </c>
      <c r="AL101" s="142">
        <f t="shared" si="50"/>
        <v>167.85593944316525</v>
      </c>
      <c r="AM101" s="142">
        <f t="shared" si="50"/>
        <v>166.6149808778822</v>
      </c>
      <c r="AN101" s="142">
        <f t="shared" si="50"/>
        <v>183.24991489577167</v>
      </c>
      <c r="AO101" s="142">
        <f t="shared" si="50"/>
        <v>164.39982553467917</v>
      </c>
      <c r="AP101" s="142">
        <f t="shared" si="50"/>
        <v>180.77756237423654</v>
      </c>
      <c r="AQ101" s="142">
        <f t="shared" si="50"/>
        <v>210.32606811033372</v>
      </c>
      <c r="AR101" s="142">
        <f t="shared" si="50"/>
        <v>196.53026802900837</v>
      </c>
      <c r="AS101" s="142">
        <f t="shared" si="50"/>
        <v>207.03016613602108</v>
      </c>
      <c r="AT101" s="142">
        <f t="shared" si="50"/>
        <v>218.95244450353619</v>
      </c>
      <c r="AU101" s="142">
        <f t="shared" si="50"/>
        <v>229.61783303096655</v>
      </c>
      <c r="AV101" s="142">
        <f t="shared" si="50"/>
        <v>240.21170043842494</v>
      </c>
      <c r="AW101" s="142">
        <f t="shared" si="50"/>
        <v>257.59906517122448</v>
      </c>
      <c r="AX101" s="142">
        <f t="shared" si="50"/>
        <v>282.09511960936015</v>
      </c>
      <c r="AY101" s="142">
        <f t="shared" si="50"/>
        <v>310.25683732550988</v>
      </c>
    </row>
    <row r="102" spans="1:51" ht="12" thickBot="1" x14ac:dyDescent="0.25">
      <c r="A102" s="121" t="s">
        <v>180</v>
      </c>
    </row>
    <row r="103" spans="1:51" ht="12" thickBot="1" x14ac:dyDescent="0.25">
      <c r="A103" s="122"/>
      <c r="B103" s="128">
        <f t="shared" ref="B103:AY103" si="51">B2</f>
        <v>2001</v>
      </c>
      <c r="C103" s="128">
        <f t="shared" si="51"/>
        <v>2002</v>
      </c>
      <c r="D103" s="128">
        <f t="shared" si="51"/>
        <v>2003</v>
      </c>
      <c r="E103" s="128">
        <f t="shared" si="51"/>
        <v>2004</v>
      </c>
      <c r="F103" s="128">
        <f t="shared" si="51"/>
        <v>2005</v>
      </c>
      <c r="G103" s="128">
        <f t="shared" si="51"/>
        <v>2006</v>
      </c>
      <c r="H103" s="128">
        <f t="shared" si="51"/>
        <v>2007</v>
      </c>
      <c r="I103" s="128">
        <f t="shared" si="51"/>
        <v>2008</v>
      </c>
      <c r="J103" s="128">
        <f t="shared" si="51"/>
        <v>2009</v>
      </c>
      <c r="K103" s="128">
        <f t="shared" si="51"/>
        <v>2010</v>
      </c>
      <c r="L103" s="128">
        <f t="shared" si="51"/>
        <v>2011</v>
      </c>
      <c r="M103" s="128">
        <f t="shared" si="51"/>
        <v>2012</v>
      </c>
      <c r="N103" s="128">
        <f t="shared" si="51"/>
        <v>2013</v>
      </c>
      <c r="O103" s="128">
        <f t="shared" si="51"/>
        <v>2014</v>
      </c>
      <c r="P103" s="128">
        <f t="shared" si="51"/>
        <v>2015</v>
      </c>
      <c r="Q103" s="128">
        <f t="shared" si="51"/>
        <v>2016</v>
      </c>
      <c r="R103" s="128">
        <f t="shared" si="51"/>
        <v>2017</v>
      </c>
      <c r="S103" s="128">
        <f t="shared" si="51"/>
        <v>2018</v>
      </c>
      <c r="T103" s="128">
        <f t="shared" si="51"/>
        <v>2019</v>
      </c>
      <c r="U103" s="128">
        <f t="shared" si="51"/>
        <v>2020</v>
      </c>
      <c r="V103" s="128">
        <f t="shared" si="51"/>
        <v>2021</v>
      </c>
      <c r="W103" s="128">
        <f t="shared" si="51"/>
        <v>2022</v>
      </c>
      <c r="X103" s="128">
        <f t="shared" si="51"/>
        <v>2023</v>
      </c>
      <c r="Y103" s="128">
        <f t="shared" si="51"/>
        <v>2024</v>
      </c>
      <c r="Z103" s="128" t="str">
        <f t="shared" si="51"/>
        <v>2025e</v>
      </c>
      <c r="AA103" s="128" t="str">
        <f t="shared" si="51"/>
        <v>2026f</v>
      </c>
      <c r="AB103" s="128" t="str">
        <f t="shared" si="51"/>
        <v>2027f</v>
      </c>
      <c r="AC103" s="128">
        <f t="shared" si="51"/>
        <v>2028</v>
      </c>
      <c r="AD103" s="128">
        <f t="shared" si="51"/>
        <v>2029</v>
      </c>
      <c r="AE103" s="128">
        <f t="shared" si="51"/>
        <v>2030</v>
      </c>
      <c r="AF103" s="128">
        <f t="shared" si="51"/>
        <v>2031</v>
      </c>
      <c r="AG103" s="128">
        <f t="shared" si="51"/>
        <v>2032</v>
      </c>
      <c r="AH103" s="128">
        <f t="shared" si="51"/>
        <v>2033</v>
      </c>
      <c r="AI103" s="128">
        <f t="shared" si="51"/>
        <v>2034</v>
      </c>
      <c r="AJ103" s="128">
        <f t="shared" si="51"/>
        <v>2035</v>
      </c>
      <c r="AK103" s="128">
        <f t="shared" si="51"/>
        <v>2036</v>
      </c>
      <c r="AL103" s="128">
        <f t="shared" si="51"/>
        <v>2037</v>
      </c>
      <c r="AM103" s="128">
        <f t="shared" si="51"/>
        <v>2038</v>
      </c>
      <c r="AN103" s="128">
        <f t="shared" si="51"/>
        <v>2039</v>
      </c>
      <c r="AO103" s="128">
        <f t="shared" si="51"/>
        <v>2040</v>
      </c>
      <c r="AP103" s="128">
        <f t="shared" si="51"/>
        <v>2041</v>
      </c>
      <c r="AQ103" s="128">
        <f t="shared" si="51"/>
        <v>2042</v>
      </c>
      <c r="AR103" s="128">
        <f t="shared" si="51"/>
        <v>2043</v>
      </c>
      <c r="AS103" s="128">
        <f t="shared" si="51"/>
        <v>2044</v>
      </c>
      <c r="AT103" s="128">
        <f t="shared" si="51"/>
        <v>2045</v>
      </c>
      <c r="AU103" s="128">
        <f t="shared" si="51"/>
        <v>2046</v>
      </c>
      <c r="AV103" s="128">
        <f t="shared" si="51"/>
        <v>2047</v>
      </c>
      <c r="AW103" s="128">
        <f t="shared" si="51"/>
        <v>2048</v>
      </c>
      <c r="AX103" s="128">
        <f t="shared" si="51"/>
        <v>2049</v>
      </c>
      <c r="AY103" s="128">
        <f t="shared" si="51"/>
        <v>2050</v>
      </c>
    </row>
    <row r="104" spans="1:51" s="93" customFormat="1" x14ac:dyDescent="0.2">
      <c r="A104" s="93" t="s">
        <v>162</v>
      </c>
      <c r="T104" s="143"/>
      <c r="U104" s="144">
        <f>[5]Forecasts!$G2</f>
        <v>0.58384202922734396</v>
      </c>
      <c r="V104" s="144">
        <f>[5]Forecasts!$G14</f>
        <v>0.93268182654163367</v>
      </c>
      <c r="W104" s="144">
        <f>[5]Forecasts!$G26</f>
        <v>2.2699875251370627</v>
      </c>
      <c r="X104" s="144">
        <f>[5]Forecasts!$G38</f>
        <v>3.5535684345340628</v>
      </c>
      <c r="Y104" s="144">
        <f>[5]Forecasts!$G50</f>
        <v>2.7617393873552216</v>
      </c>
      <c r="Z104" s="144">
        <f>[5]Forecasts!$G62</f>
        <v>2.0072675986513135</v>
      </c>
      <c r="AA104" s="144">
        <f>[5]Forecasts!$G74</f>
        <v>2.2933192678346006</v>
      </c>
      <c r="AB104" s="144">
        <f>[5]Forecasts!$G86</f>
        <v>2.6276102361879192</v>
      </c>
      <c r="AC104" s="144">
        <f>[5]Forecasts!$G98</f>
        <v>3.072277942783145</v>
      </c>
      <c r="AD104" s="144">
        <f>[5]Forecasts!$G110</f>
        <v>3.7591794855055141</v>
      </c>
      <c r="AE104" s="144">
        <f>[5]Forecasts!$G122</f>
        <v>4.2132308790679431</v>
      </c>
      <c r="AF104" s="144">
        <f>[5]Forecasts!$G134</f>
        <v>4.0269223486642796</v>
      </c>
      <c r="AG104" s="144">
        <f>[5]Forecasts!$G146</f>
        <v>4.20878498908524</v>
      </c>
      <c r="AH104" s="144">
        <f>[5]Forecasts!$G158</f>
        <v>3.6573305044062869</v>
      </c>
      <c r="AI104" s="144">
        <f>[5]Forecasts!$G158</f>
        <v>3.6573305044062869</v>
      </c>
      <c r="AJ104" s="144">
        <f>[5]Forecasts!$G158</f>
        <v>3.6573305044062869</v>
      </c>
      <c r="AK104" s="144">
        <f>[5]Forecasts!$G158</f>
        <v>3.6573305044062869</v>
      </c>
      <c r="AL104" s="144">
        <f>[5]Forecasts!$G158</f>
        <v>3.6573305044062869</v>
      </c>
      <c r="AM104" s="144">
        <f>[5]Forecasts!$G158</f>
        <v>3.6573305044062869</v>
      </c>
      <c r="AN104" s="144">
        <f>[5]Forecasts!$G158</f>
        <v>3.6573305044062869</v>
      </c>
      <c r="AO104" s="144">
        <f>[5]Forecasts!$G158</f>
        <v>3.6573305044062869</v>
      </c>
      <c r="AP104" s="144">
        <f>[5]Forecasts!$G158</f>
        <v>3.6573305044062869</v>
      </c>
      <c r="AQ104" s="144">
        <f>[5]Forecasts!$G158</f>
        <v>3.6573305044062869</v>
      </c>
      <c r="AR104" s="144">
        <f>[5]Forecasts!$G158</f>
        <v>3.6573305044062869</v>
      </c>
      <c r="AS104" s="144">
        <f>[5]Forecasts!$G158</f>
        <v>3.6573305044062869</v>
      </c>
      <c r="AT104" s="144">
        <f>[5]Forecasts!$G158</f>
        <v>3.6573305044062869</v>
      </c>
      <c r="AU104" s="144">
        <f>[5]Forecasts!$G158</f>
        <v>3.6573305044062869</v>
      </c>
      <c r="AV104" s="144">
        <f>[5]Forecasts!$G158</f>
        <v>3.6573305044062869</v>
      </c>
      <c r="AW104" s="144">
        <f>[5]Forecasts!$G158</f>
        <v>3.6573305044062869</v>
      </c>
      <c r="AX104" s="144">
        <f>[5]Forecasts!$G158</f>
        <v>3.6573305044062869</v>
      </c>
      <c r="AY104" s="144">
        <f>[5]Forecasts!$G158</f>
        <v>3.6573305044062869</v>
      </c>
    </row>
    <row r="105" spans="1:51" s="93" customFormat="1" x14ac:dyDescent="0.2">
      <c r="A105" s="93" t="s">
        <v>163</v>
      </c>
      <c r="T105" s="143"/>
      <c r="U105" s="144">
        <f>[5]Forecasts!$G3</f>
        <v>0.37382052635725016</v>
      </c>
      <c r="V105" s="144">
        <f>[5]Forecasts!$G15</f>
        <v>1.2268009429640627</v>
      </c>
      <c r="W105" s="144">
        <f>[5]Forecasts!$G27</f>
        <v>2.6164661636718751</v>
      </c>
      <c r="X105" s="144">
        <f>[5]Forecasts!$G39</f>
        <v>3.332536634955781</v>
      </c>
      <c r="Y105" s="144">
        <f>[5]Forecasts!$G51</f>
        <v>2.9281327310226564</v>
      </c>
      <c r="Z105" s="144">
        <f>[5]Forecasts!$G63</f>
        <v>1.7561055181408647</v>
      </c>
      <c r="AA105" s="144">
        <f>[5]Forecasts!$G75</f>
        <v>2.405163420065743</v>
      </c>
      <c r="AB105" s="144">
        <f>[5]Forecasts!$G87</f>
        <v>2.7020179532774784</v>
      </c>
      <c r="AC105" s="144">
        <f>[5]Forecasts!$G99</f>
        <v>3.1702621329774705</v>
      </c>
      <c r="AD105" s="144">
        <f>[5]Forecasts!$G111</f>
        <v>3.6598717207394156</v>
      </c>
      <c r="AE105" s="144">
        <f>[5]Forecasts!$G123</f>
        <v>4.3465958476080591</v>
      </c>
      <c r="AF105" s="144">
        <f>[5]Forecasts!$G135</f>
        <v>4.0745941457969757</v>
      </c>
      <c r="AG105" s="144">
        <f>[5]Forecasts!$G147</f>
        <v>4.1681573944414341</v>
      </c>
      <c r="AH105" s="144">
        <f>[5]Forecasts!$G159</f>
        <v>3.7167029097624811</v>
      </c>
      <c r="AI105" s="144">
        <f>[5]Forecasts!$G159</f>
        <v>3.7167029097624811</v>
      </c>
      <c r="AJ105" s="144">
        <f>[5]Forecasts!$G159</f>
        <v>3.7167029097624811</v>
      </c>
      <c r="AK105" s="144">
        <f>[5]Forecasts!$G159</f>
        <v>3.7167029097624811</v>
      </c>
      <c r="AL105" s="144">
        <f>[5]Forecasts!$G159</f>
        <v>3.7167029097624811</v>
      </c>
      <c r="AM105" s="144">
        <f>[5]Forecasts!$G159</f>
        <v>3.7167029097624811</v>
      </c>
      <c r="AN105" s="144">
        <f>[5]Forecasts!$G159</f>
        <v>3.7167029097624811</v>
      </c>
      <c r="AO105" s="144">
        <f>[5]Forecasts!$G159</f>
        <v>3.7167029097624811</v>
      </c>
      <c r="AP105" s="144">
        <f>[5]Forecasts!$G159</f>
        <v>3.7167029097624811</v>
      </c>
      <c r="AQ105" s="144">
        <f>[5]Forecasts!$G159</f>
        <v>3.7167029097624811</v>
      </c>
      <c r="AR105" s="144">
        <f>[5]Forecasts!$G159</f>
        <v>3.7167029097624811</v>
      </c>
      <c r="AS105" s="144">
        <f>[5]Forecasts!$G159</f>
        <v>3.7167029097624811</v>
      </c>
      <c r="AT105" s="144">
        <f>[5]Forecasts!$G159</f>
        <v>3.7167029097624811</v>
      </c>
      <c r="AU105" s="144">
        <f>[5]Forecasts!$G159</f>
        <v>3.7167029097624811</v>
      </c>
      <c r="AV105" s="144">
        <f>[5]Forecasts!$G159</f>
        <v>3.7167029097624811</v>
      </c>
      <c r="AW105" s="144">
        <f>[5]Forecasts!$G159</f>
        <v>3.7167029097624811</v>
      </c>
      <c r="AX105" s="144">
        <f>[5]Forecasts!$G159</f>
        <v>3.7167029097624811</v>
      </c>
      <c r="AY105" s="144">
        <f>[5]Forecasts!$G159</f>
        <v>3.7167029097624811</v>
      </c>
    </row>
    <row r="106" spans="1:51" s="93" customFormat="1" x14ac:dyDescent="0.2">
      <c r="A106" s="93" t="s">
        <v>164</v>
      </c>
      <c r="T106" s="143"/>
      <c r="U106" s="144">
        <f>[5]Forecasts!$G4</f>
        <v>0.45743632442406268</v>
      </c>
      <c r="V106" s="144">
        <f>[5]Forecasts!$G16</f>
        <v>1.2103607574107815</v>
      </c>
      <c r="W106" s="144">
        <f>[5]Forecasts!$G28</f>
        <v>3.2548560126521875</v>
      </c>
      <c r="X106" s="144">
        <f>[5]Forecasts!$G40</f>
        <v>2.7414457314490623</v>
      </c>
      <c r="Y106" s="144">
        <f>[5]Forecasts!$G52</f>
        <v>2.55675304940875</v>
      </c>
      <c r="Z106" s="144">
        <f>[5]Forecasts!$G64</f>
        <v>1.512941044456654</v>
      </c>
      <c r="AA106" s="144">
        <f>[5]Forecasts!$G76</f>
        <v>2.4697905032631855</v>
      </c>
      <c r="AB106" s="144">
        <f>[5]Forecasts!$G88</f>
        <v>2.7379891421866773</v>
      </c>
      <c r="AC106" s="144">
        <f>[5]Forecasts!$G100</f>
        <v>3.1989413669262468</v>
      </c>
      <c r="AD106" s="144">
        <f>[5]Forecasts!$G112</f>
        <v>3.6989014680037333</v>
      </c>
      <c r="AE106" s="144">
        <f>[5]Forecasts!$G124</f>
        <v>4.3783698878188337</v>
      </c>
      <c r="AF106" s="144">
        <f>[5]Forecasts!$G136</f>
        <v>4.1014700106782449</v>
      </c>
      <c r="AG106" s="144">
        <f>[5]Forecasts!$G148</f>
        <v>3.9314930341248169</v>
      </c>
      <c r="AH106" s="144">
        <f>[5]Forecasts!$G160</f>
        <v>3.7842063692875554</v>
      </c>
      <c r="AI106" s="144">
        <f>[5]Forecasts!$G160</f>
        <v>3.7842063692875554</v>
      </c>
      <c r="AJ106" s="144">
        <f>[5]Forecasts!$G160</f>
        <v>3.7842063692875554</v>
      </c>
      <c r="AK106" s="144">
        <f>[5]Forecasts!$G160</f>
        <v>3.7842063692875554</v>
      </c>
      <c r="AL106" s="144">
        <f>[5]Forecasts!$G160</f>
        <v>3.7842063692875554</v>
      </c>
      <c r="AM106" s="144">
        <f>[5]Forecasts!$G160</f>
        <v>3.7842063692875554</v>
      </c>
      <c r="AN106" s="144">
        <f>[5]Forecasts!$G160</f>
        <v>3.7842063692875554</v>
      </c>
      <c r="AO106" s="144">
        <f>[5]Forecasts!$G160</f>
        <v>3.7842063692875554</v>
      </c>
      <c r="AP106" s="144">
        <f>[5]Forecasts!$G160</f>
        <v>3.7842063692875554</v>
      </c>
      <c r="AQ106" s="144">
        <f>[5]Forecasts!$G160</f>
        <v>3.7842063692875554</v>
      </c>
      <c r="AR106" s="144">
        <f>[5]Forecasts!$G160</f>
        <v>3.7842063692875554</v>
      </c>
      <c r="AS106" s="144">
        <f>[5]Forecasts!$G160</f>
        <v>3.7842063692875554</v>
      </c>
      <c r="AT106" s="144">
        <f>[5]Forecasts!$G160</f>
        <v>3.7842063692875554</v>
      </c>
      <c r="AU106" s="144">
        <f>[5]Forecasts!$G160</f>
        <v>3.7842063692875554</v>
      </c>
      <c r="AV106" s="144">
        <f>[5]Forecasts!$G160</f>
        <v>3.7842063692875554</v>
      </c>
      <c r="AW106" s="144">
        <f>[5]Forecasts!$G160</f>
        <v>3.7842063692875554</v>
      </c>
      <c r="AX106" s="144">
        <f>[5]Forecasts!$G160</f>
        <v>3.7842063692875554</v>
      </c>
      <c r="AY106" s="144">
        <f>[5]Forecasts!$G160</f>
        <v>3.7842063692875554</v>
      </c>
    </row>
    <row r="107" spans="1:51" s="93" customFormat="1" x14ac:dyDescent="0.2">
      <c r="A107" s="93" t="s">
        <v>165</v>
      </c>
      <c r="T107" s="143"/>
      <c r="U107" s="144">
        <f>[5]Forecasts!$G5</f>
        <v>0.47833293067984406</v>
      </c>
      <c r="V107" s="144">
        <f>[5]Forecasts!$G17</f>
        <v>1.5065667111645002</v>
      </c>
      <c r="W107" s="144">
        <f>[5]Forecasts!$G29</f>
        <v>3.7298203072097502</v>
      </c>
      <c r="X107" s="144">
        <f>[5]Forecasts!$G41</f>
        <v>2.2833527645293747</v>
      </c>
      <c r="Y107" s="144">
        <f>[5]Forecasts!$G53</f>
        <v>2.6215420558218749</v>
      </c>
      <c r="Z107" s="144">
        <f>[5]Forecasts!$G65</f>
        <v>1.5178214361020856</v>
      </c>
      <c r="AA107" s="144">
        <f>[5]Forecasts!$G77</f>
        <v>2.4578187530165532</v>
      </c>
      <c r="AB107" s="144">
        <f>[5]Forecasts!$G89</f>
        <v>2.5823309074112988</v>
      </c>
      <c r="AC107" s="144">
        <f>[5]Forecasts!$G101</f>
        <v>2.7583787992810742</v>
      </c>
      <c r="AD107" s="144">
        <f>[5]Forecasts!$G113</f>
        <v>3.4678018728947846</v>
      </c>
      <c r="AE107" s="144">
        <f>[5]Forecasts!$G125</f>
        <v>3.8107992620885951</v>
      </c>
      <c r="AF107" s="144">
        <f>[5]Forecasts!$G137</f>
        <v>3.6569795667970597</v>
      </c>
      <c r="AG107" s="144">
        <f>[5]Forecasts!$G149</f>
        <v>3.6354236486942728</v>
      </c>
      <c r="AH107" s="144">
        <f>[5]Forecasts!$G161</f>
        <v>3.4560229632798909</v>
      </c>
      <c r="AI107" s="144">
        <f>[5]Forecasts!$G161</f>
        <v>3.4560229632798909</v>
      </c>
      <c r="AJ107" s="144">
        <f>[5]Forecasts!$G161</f>
        <v>3.4560229632798909</v>
      </c>
      <c r="AK107" s="144">
        <f>[5]Forecasts!$G161</f>
        <v>3.4560229632798909</v>
      </c>
      <c r="AL107" s="144">
        <f>[5]Forecasts!$G161</f>
        <v>3.4560229632798909</v>
      </c>
      <c r="AM107" s="144">
        <f>[5]Forecasts!$G161</f>
        <v>3.4560229632798909</v>
      </c>
      <c r="AN107" s="144">
        <f>[5]Forecasts!$G161</f>
        <v>3.4560229632798909</v>
      </c>
      <c r="AO107" s="144">
        <f>[5]Forecasts!$G161</f>
        <v>3.4560229632798909</v>
      </c>
      <c r="AP107" s="144">
        <f>[5]Forecasts!$G161</f>
        <v>3.4560229632798909</v>
      </c>
      <c r="AQ107" s="144">
        <f>[5]Forecasts!$G161</f>
        <v>3.4560229632798909</v>
      </c>
      <c r="AR107" s="144">
        <f>[5]Forecasts!$G161</f>
        <v>3.4560229632798909</v>
      </c>
      <c r="AS107" s="144">
        <f>[5]Forecasts!$G161</f>
        <v>3.4560229632798909</v>
      </c>
      <c r="AT107" s="144">
        <f>[5]Forecasts!$G161</f>
        <v>3.4560229632798909</v>
      </c>
      <c r="AU107" s="144">
        <f>[5]Forecasts!$G161</f>
        <v>3.4560229632798909</v>
      </c>
      <c r="AV107" s="144">
        <f>[5]Forecasts!$G161</f>
        <v>3.4560229632798909</v>
      </c>
      <c r="AW107" s="144">
        <f>[5]Forecasts!$G161</f>
        <v>3.4560229632798909</v>
      </c>
      <c r="AX107" s="144">
        <f>[5]Forecasts!$G161</f>
        <v>3.4560229632798909</v>
      </c>
      <c r="AY107" s="144">
        <f>[5]Forecasts!$G161</f>
        <v>3.4560229632798909</v>
      </c>
    </row>
    <row r="108" spans="1:51" s="93" customFormat="1" x14ac:dyDescent="0.2">
      <c r="A108" s="93" t="s">
        <v>166</v>
      </c>
      <c r="T108" s="143"/>
      <c r="U108" s="144">
        <f>[5]Forecasts!$G6</f>
        <v>0.37915358278987521</v>
      </c>
      <c r="V108" s="144">
        <f>[5]Forecasts!$G18</f>
        <v>1.2096897435385003</v>
      </c>
      <c r="W108" s="144">
        <f>[5]Forecasts!$G30</f>
        <v>3.7191981844797652</v>
      </c>
      <c r="X108" s="144">
        <f>[5]Forecasts!$G42</f>
        <v>2.1804004741771879</v>
      </c>
      <c r="Y108" s="144">
        <f>[5]Forecasts!$G54</f>
        <v>2.4313457317656249</v>
      </c>
      <c r="Z108" s="144">
        <f>[5]Forecasts!$G66</f>
        <v>1.6317828275280513</v>
      </c>
      <c r="AA108" s="144">
        <f>[5]Forecasts!$G78</f>
        <v>2.4630967705183342</v>
      </c>
      <c r="AB108" s="144">
        <f>[5]Forecasts!$G90</f>
        <v>2.5839296909643044</v>
      </c>
      <c r="AC108" s="144">
        <f>[5]Forecasts!$G102</f>
        <v>2.9365763663870839</v>
      </c>
      <c r="AD108" s="144">
        <f>[5]Forecasts!$G114</f>
        <v>3.7639845663686344</v>
      </c>
      <c r="AE108" s="144">
        <f>[5]Forecasts!$G126</f>
        <v>3.8202813473389465</v>
      </c>
      <c r="AF108" s="144">
        <f>[5]Forecasts!$G138</f>
        <v>3.6494467784152533</v>
      </c>
      <c r="AG108" s="144">
        <f>[5]Forecasts!$G150</f>
        <v>3.6215035813241139</v>
      </c>
      <c r="AH108" s="144">
        <f>[5]Forecasts!$G162</f>
        <v>3.335818377765388</v>
      </c>
      <c r="AI108" s="144">
        <f>[5]Forecasts!$G162</f>
        <v>3.335818377765388</v>
      </c>
      <c r="AJ108" s="144">
        <f>[5]Forecasts!$G162</f>
        <v>3.335818377765388</v>
      </c>
      <c r="AK108" s="144">
        <f>[5]Forecasts!$G162</f>
        <v>3.335818377765388</v>
      </c>
      <c r="AL108" s="144">
        <f>[5]Forecasts!$G162</f>
        <v>3.335818377765388</v>
      </c>
      <c r="AM108" s="144">
        <f>[5]Forecasts!$G162</f>
        <v>3.335818377765388</v>
      </c>
      <c r="AN108" s="144">
        <f>[5]Forecasts!$G162</f>
        <v>3.335818377765388</v>
      </c>
      <c r="AO108" s="144">
        <f>[5]Forecasts!$G162</f>
        <v>3.335818377765388</v>
      </c>
      <c r="AP108" s="144">
        <f>[5]Forecasts!$G162</f>
        <v>3.335818377765388</v>
      </c>
      <c r="AQ108" s="144">
        <f>[5]Forecasts!$G162</f>
        <v>3.335818377765388</v>
      </c>
      <c r="AR108" s="144">
        <f>[5]Forecasts!$G162</f>
        <v>3.335818377765388</v>
      </c>
      <c r="AS108" s="144">
        <f>[5]Forecasts!$G162</f>
        <v>3.335818377765388</v>
      </c>
      <c r="AT108" s="144">
        <f>[5]Forecasts!$G162</f>
        <v>3.335818377765388</v>
      </c>
      <c r="AU108" s="144">
        <f>[5]Forecasts!$G162</f>
        <v>3.335818377765388</v>
      </c>
      <c r="AV108" s="144">
        <f>[5]Forecasts!$G162</f>
        <v>3.335818377765388</v>
      </c>
      <c r="AW108" s="144">
        <f>[5]Forecasts!$G162</f>
        <v>3.335818377765388</v>
      </c>
      <c r="AX108" s="144">
        <f>[5]Forecasts!$G162</f>
        <v>3.335818377765388</v>
      </c>
      <c r="AY108" s="144">
        <f>[5]Forecasts!$G162</f>
        <v>3.335818377765388</v>
      </c>
    </row>
    <row r="109" spans="1:51" s="93" customFormat="1" x14ac:dyDescent="0.2">
      <c r="A109" s="93" t="s">
        <v>167</v>
      </c>
      <c r="T109" s="143"/>
      <c r="U109" s="144">
        <f>[5]Forecasts!$G7</f>
        <v>0.43185317597242201</v>
      </c>
      <c r="V109" s="144">
        <f>[5]Forecasts!$G19</f>
        <v>1.6552803692895313</v>
      </c>
      <c r="W109" s="144">
        <f>[5]Forecasts!$G31</f>
        <v>3.9572046083717187</v>
      </c>
      <c r="X109" s="144">
        <f>[5]Forecasts!$G43</f>
        <v>2.197786817252422</v>
      </c>
      <c r="Y109" s="144">
        <f>[5]Forecasts!$G55</f>
        <v>2.3479876207913652</v>
      </c>
      <c r="Z109" s="144">
        <f>[5]Forecasts!$G67</f>
        <v>1.677433307158513</v>
      </c>
      <c r="AA109" s="144">
        <f>[5]Forecasts!$G79</f>
        <v>2.4494184727430741</v>
      </c>
      <c r="AB109" s="144">
        <f>[5]Forecasts!$G91</f>
        <v>2.551119821254233</v>
      </c>
      <c r="AC109" s="144">
        <f>[5]Forecasts!$G103</f>
        <v>3.0377590598609334</v>
      </c>
      <c r="AD109" s="144">
        <f>[5]Forecasts!$G115</f>
        <v>3.7396121610124409</v>
      </c>
      <c r="AE109" s="144">
        <f>[5]Forecasts!$G127</f>
        <v>3.7927848068640215</v>
      </c>
      <c r="AF109" s="144">
        <f>[5]Forecasts!$G139</f>
        <v>3.652366328019482</v>
      </c>
      <c r="AG109" s="144">
        <f>[5]Forecasts!$G151</f>
        <v>3.5075472660470735</v>
      </c>
      <c r="AH109" s="144">
        <f>[5]Forecasts!$G163</f>
        <v>3.3095701075279256</v>
      </c>
      <c r="AI109" s="144">
        <f>[5]Forecasts!$G163</f>
        <v>3.3095701075279256</v>
      </c>
      <c r="AJ109" s="144">
        <f>[5]Forecasts!$G163</f>
        <v>3.3095701075279256</v>
      </c>
      <c r="AK109" s="144">
        <f>[5]Forecasts!$G163</f>
        <v>3.3095701075279256</v>
      </c>
      <c r="AL109" s="144">
        <f>[5]Forecasts!$G163</f>
        <v>3.3095701075279256</v>
      </c>
      <c r="AM109" s="144">
        <f>[5]Forecasts!$G163</f>
        <v>3.3095701075279256</v>
      </c>
      <c r="AN109" s="144">
        <f>[5]Forecasts!$G163</f>
        <v>3.3095701075279256</v>
      </c>
      <c r="AO109" s="144">
        <f>[5]Forecasts!$G163</f>
        <v>3.3095701075279256</v>
      </c>
      <c r="AP109" s="144">
        <f>[5]Forecasts!$G163</f>
        <v>3.3095701075279256</v>
      </c>
      <c r="AQ109" s="144">
        <f>[5]Forecasts!$G163</f>
        <v>3.3095701075279256</v>
      </c>
      <c r="AR109" s="144">
        <f>[5]Forecasts!$G163</f>
        <v>3.3095701075279256</v>
      </c>
      <c r="AS109" s="144">
        <f>[5]Forecasts!$G163</f>
        <v>3.3095701075279256</v>
      </c>
      <c r="AT109" s="144">
        <f>[5]Forecasts!$G163</f>
        <v>3.3095701075279256</v>
      </c>
      <c r="AU109" s="144">
        <f>[5]Forecasts!$G163</f>
        <v>3.3095701075279256</v>
      </c>
      <c r="AV109" s="144">
        <f>[5]Forecasts!$G163</f>
        <v>3.3095701075279256</v>
      </c>
      <c r="AW109" s="144">
        <f>[5]Forecasts!$G163</f>
        <v>3.3095701075279256</v>
      </c>
      <c r="AX109" s="144">
        <f>[5]Forecasts!$G163</f>
        <v>3.3095701075279256</v>
      </c>
      <c r="AY109" s="144">
        <f>[5]Forecasts!$G163</f>
        <v>3.3095701075279256</v>
      </c>
    </row>
    <row r="110" spans="1:51" s="93" customFormat="1" x14ac:dyDescent="0.2">
      <c r="A110" s="93" t="s">
        <v>168</v>
      </c>
      <c r="T110" s="143"/>
      <c r="U110" s="144">
        <f>[5]Forecasts!$G8</f>
        <v>0.51716392611812534</v>
      </c>
      <c r="V110" s="144">
        <f>[5]Forecasts!$G20</f>
        <v>1.8380847997845002</v>
      </c>
      <c r="W110" s="144">
        <f>[5]Forecasts!$G32</f>
        <v>3.7202026297145006</v>
      </c>
      <c r="X110" s="144">
        <f>[5]Forecasts!$G44</f>
        <v>2.1653838241446874</v>
      </c>
      <c r="Y110" s="144">
        <f>[5]Forecasts!$G56</f>
        <v>2.5143675800112497</v>
      </c>
      <c r="Z110" s="144">
        <f>[5]Forecasts!$G68</f>
        <v>1.7608804274017595</v>
      </c>
      <c r="AA110" s="144">
        <f>[5]Forecasts!$G80</f>
        <v>2.4698325427986312</v>
      </c>
      <c r="AB110" s="144">
        <f>[5]Forecasts!$G92</f>
        <v>2.7698030391267214</v>
      </c>
      <c r="AC110" s="144">
        <f>[5]Forecasts!$G104</f>
        <v>3.5126651152905195</v>
      </c>
      <c r="AD110" s="144">
        <f>[5]Forecasts!$G116</f>
        <v>4.4346914295432267</v>
      </c>
      <c r="AE110" s="144">
        <f>[5]Forecasts!$G128</f>
        <v>4.524347759725905</v>
      </c>
      <c r="AF110" s="144">
        <f>[5]Forecasts!$G140</f>
        <v>4.1109957695434449</v>
      </c>
      <c r="AG110" s="144">
        <f>[5]Forecasts!$G152</f>
        <v>3.9176294333454815</v>
      </c>
      <c r="AH110" s="144">
        <f>[5]Forecasts!$G164</f>
        <v>3.363606744683898</v>
      </c>
      <c r="AI110" s="144">
        <f>[5]Forecasts!$G164</f>
        <v>3.363606744683898</v>
      </c>
      <c r="AJ110" s="144">
        <f>[5]Forecasts!$G164</f>
        <v>3.363606744683898</v>
      </c>
      <c r="AK110" s="144">
        <f>[5]Forecasts!$G164</f>
        <v>3.363606744683898</v>
      </c>
      <c r="AL110" s="144">
        <f>[5]Forecasts!$G164</f>
        <v>3.363606744683898</v>
      </c>
      <c r="AM110" s="144">
        <f>[5]Forecasts!$G164</f>
        <v>3.363606744683898</v>
      </c>
      <c r="AN110" s="144">
        <f>[5]Forecasts!$G164</f>
        <v>3.363606744683898</v>
      </c>
      <c r="AO110" s="144">
        <f>[5]Forecasts!$G164</f>
        <v>3.363606744683898</v>
      </c>
      <c r="AP110" s="144">
        <f>[5]Forecasts!$G164</f>
        <v>3.363606744683898</v>
      </c>
      <c r="AQ110" s="144">
        <f>[5]Forecasts!$G164</f>
        <v>3.363606744683898</v>
      </c>
      <c r="AR110" s="144">
        <f>[5]Forecasts!$G164</f>
        <v>3.363606744683898</v>
      </c>
      <c r="AS110" s="144">
        <f>[5]Forecasts!$G164</f>
        <v>3.363606744683898</v>
      </c>
      <c r="AT110" s="144">
        <f>[5]Forecasts!$G164</f>
        <v>3.363606744683898</v>
      </c>
      <c r="AU110" s="144">
        <f>[5]Forecasts!$G164</f>
        <v>3.363606744683898</v>
      </c>
      <c r="AV110" s="144">
        <f>[5]Forecasts!$G164</f>
        <v>3.363606744683898</v>
      </c>
      <c r="AW110" s="144">
        <f>[5]Forecasts!$G164</f>
        <v>3.363606744683898</v>
      </c>
      <c r="AX110" s="144">
        <f>[5]Forecasts!$G164</f>
        <v>3.363606744683898</v>
      </c>
      <c r="AY110" s="144">
        <f>[5]Forecasts!$G164</f>
        <v>3.363606744683898</v>
      </c>
    </row>
    <row r="111" spans="1:51" s="93" customFormat="1" x14ac:dyDescent="0.2">
      <c r="A111" s="93" t="s">
        <v>169</v>
      </c>
      <c r="T111" s="143"/>
      <c r="U111" s="144">
        <f>[5]Forecasts!$G9</f>
        <v>0.51147596117500016</v>
      </c>
      <c r="V111" s="144">
        <f>[5]Forecasts!$G21</f>
        <v>1.7168598157978132</v>
      </c>
      <c r="W111" s="144">
        <f>[5]Forecasts!$G33</f>
        <v>3.3245347878546876</v>
      </c>
      <c r="X111" s="144">
        <f>[5]Forecasts!$G45</f>
        <v>2.98110994324625</v>
      </c>
      <c r="Y111" s="144">
        <f>[5]Forecasts!$G57</f>
        <v>2.3097106565812497</v>
      </c>
      <c r="Z111" s="144">
        <f>[5]Forecasts!$G69</f>
        <v>1.8649845881891087</v>
      </c>
      <c r="AA111" s="144">
        <f>[5]Forecasts!$G81</f>
        <v>2.4955982100198106</v>
      </c>
      <c r="AB111" s="144">
        <f>[5]Forecasts!$G93</f>
        <v>2.8172330666645182</v>
      </c>
      <c r="AC111" s="144">
        <f>[5]Forecasts!$G105</f>
        <v>3.561693926381321</v>
      </c>
      <c r="AD111" s="144">
        <f>[5]Forecasts!$G117</f>
        <v>4.395180015436142</v>
      </c>
      <c r="AE111" s="144">
        <f>[5]Forecasts!$G129</f>
        <v>4.4803914444488662</v>
      </c>
      <c r="AF111" s="144">
        <f>[5]Forecasts!$G141</f>
        <v>4.1688790712407924</v>
      </c>
      <c r="AG111" s="144">
        <f>[5]Forecasts!$G153</f>
        <v>3.8592644648053662</v>
      </c>
      <c r="AH111" s="144">
        <f>[5]Forecasts!$G165</f>
        <v>3.2205188574720474</v>
      </c>
      <c r="AI111" s="144">
        <f>[5]Forecasts!$G165</f>
        <v>3.2205188574720474</v>
      </c>
      <c r="AJ111" s="144">
        <f>[5]Forecasts!$G165</f>
        <v>3.2205188574720474</v>
      </c>
      <c r="AK111" s="144">
        <f>[5]Forecasts!$G165</f>
        <v>3.2205188574720474</v>
      </c>
      <c r="AL111" s="144">
        <f>[5]Forecasts!$G165</f>
        <v>3.2205188574720474</v>
      </c>
      <c r="AM111" s="144">
        <f>[5]Forecasts!$G165</f>
        <v>3.2205188574720474</v>
      </c>
      <c r="AN111" s="144">
        <f>[5]Forecasts!$G165</f>
        <v>3.2205188574720474</v>
      </c>
      <c r="AO111" s="144">
        <f>[5]Forecasts!$G165</f>
        <v>3.2205188574720474</v>
      </c>
      <c r="AP111" s="144">
        <f>[5]Forecasts!$G165</f>
        <v>3.2205188574720474</v>
      </c>
      <c r="AQ111" s="144">
        <f>[5]Forecasts!$G165</f>
        <v>3.2205188574720474</v>
      </c>
      <c r="AR111" s="144">
        <f>[5]Forecasts!$G165</f>
        <v>3.2205188574720474</v>
      </c>
      <c r="AS111" s="144">
        <f>[5]Forecasts!$G165</f>
        <v>3.2205188574720474</v>
      </c>
      <c r="AT111" s="144">
        <f>[5]Forecasts!$G165</f>
        <v>3.2205188574720474</v>
      </c>
      <c r="AU111" s="144">
        <f>[5]Forecasts!$G165</f>
        <v>3.2205188574720474</v>
      </c>
      <c r="AV111" s="144">
        <f>[5]Forecasts!$G165</f>
        <v>3.2205188574720474</v>
      </c>
      <c r="AW111" s="144">
        <f>[5]Forecasts!$G165</f>
        <v>3.2205188574720474</v>
      </c>
      <c r="AX111" s="144">
        <f>[5]Forecasts!$G165</f>
        <v>3.2205188574720474</v>
      </c>
      <c r="AY111" s="144">
        <f>[5]Forecasts!$G165</f>
        <v>3.2205188574720474</v>
      </c>
    </row>
    <row r="112" spans="1:51" s="93" customFormat="1" x14ac:dyDescent="0.2">
      <c r="A112" s="93" t="s">
        <v>170</v>
      </c>
      <c r="T112" s="143"/>
      <c r="U112" s="144">
        <f>[5]Forecasts!$G10</f>
        <v>0.54982079988726562</v>
      </c>
      <c r="V112" s="144">
        <f>[5]Forecasts!$G22</f>
        <v>1.8660540980699376</v>
      </c>
      <c r="W112" s="144">
        <f>[5]Forecasts!$G34</f>
        <v>3.3245347878546876</v>
      </c>
      <c r="X112" s="144">
        <f>[5]Forecasts!$G46</f>
        <v>3.232403167131094</v>
      </c>
      <c r="Y112" s="144">
        <f>[5]Forecasts!$G58</f>
        <v>2.1314703314242185</v>
      </c>
      <c r="Z112" s="144">
        <f>[5]Forecasts!$G70</f>
        <v>1.6939522431212002</v>
      </c>
      <c r="AA112" s="144">
        <f>[5]Forecasts!$G82</f>
        <v>2.4884099520769145</v>
      </c>
      <c r="AB112" s="144">
        <f>[5]Forecasts!$G94</f>
        <v>2.7406049542547817</v>
      </c>
      <c r="AC112" s="144">
        <f>[5]Forecasts!$G106</f>
        <v>3.1232280693442296</v>
      </c>
      <c r="AD112" s="144">
        <f>[5]Forecasts!$G118</f>
        <v>4.2210209869916318</v>
      </c>
      <c r="AE112" s="144">
        <f>[5]Forecasts!$G130</f>
        <v>4.3762305436573214</v>
      </c>
      <c r="AF112" s="144">
        <f>[5]Forecasts!$G142</f>
        <v>4.1824624633957077</v>
      </c>
      <c r="AG112" s="144">
        <f>[5]Forecasts!$G154</f>
        <v>3.7361472487367835</v>
      </c>
      <c r="AH112" s="144">
        <f>[5]Forecasts!$G166</f>
        <v>3.1332338215617725</v>
      </c>
      <c r="AI112" s="144">
        <f>[5]Forecasts!$G166</f>
        <v>3.1332338215617725</v>
      </c>
      <c r="AJ112" s="144">
        <f>[5]Forecasts!$G166</f>
        <v>3.1332338215617725</v>
      </c>
      <c r="AK112" s="144">
        <f>[5]Forecasts!$G166</f>
        <v>3.1332338215617725</v>
      </c>
      <c r="AL112" s="144">
        <f>[5]Forecasts!$G166</f>
        <v>3.1332338215617725</v>
      </c>
      <c r="AM112" s="144">
        <f>[5]Forecasts!$G166</f>
        <v>3.1332338215617725</v>
      </c>
      <c r="AN112" s="144">
        <f>[5]Forecasts!$G166</f>
        <v>3.1332338215617725</v>
      </c>
      <c r="AO112" s="144">
        <f>[5]Forecasts!$G166</f>
        <v>3.1332338215617725</v>
      </c>
      <c r="AP112" s="144">
        <f>[5]Forecasts!$G166</f>
        <v>3.1332338215617725</v>
      </c>
      <c r="AQ112" s="144">
        <f>[5]Forecasts!$G166</f>
        <v>3.1332338215617725</v>
      </c>
      <c r="AR112" s="144">
        <f>[5]Forecasts!$G166</f>
        <v>3.1332338215617725</v>
      </c>
      <c r="AS112" s="144">
        <f>[5]Forecasts!$G166</f>
        <v>3.1332338215617725</v>
      </c>
      <c r="AT112" s="144">
        <f>[5]Forecasts!$G166</f>
        <v>3.1332338215617725</v>
      </c>
      <c r="AU112" s="144">
        <f>[5]Forecasts!$G166</f>
        <v>3.1332338215617725</v>
      </c>
      <c r="AV112" s="144">
        <f>[5]Forecasts!$G166</f>
        <v>3.1332338215617725</v>
      </c>
      <c r="AW112" s="144">
        <f>[5]Forecasts!$G166</f>
        <v>3.1332338215617725</v>
      </c>
      <c r="AX112" s="144">
        <f>[5]Forecasts!$G166</f>
        <v>3.1332338215617725</v>
      </c>
      <c r="AY112" s="144">
        <f>[5]Forecasts!$G166</f>
        <v>3.1332338215617725</v>
      </c>
    </row>
    <row r="113" spans="1:51" s="93" customFormat="1" x14ac:dyDescent="0.2">
      <c r="A113" s="93" t="s">
        <v>171</v>
      </c>
      <c r="T113" s="143"/>
      <c r="U113" s="144">
        <f>[5]Forecasts!$G11</f>
        <v>0.61278013549275001</v>
      </c>
      <c r="V113" s="144">
        <f>[5]Forecasts!$G23</f>
        <v>1.8703441645247505</v>
      </c>
      <c r="W113" s="144">
        <f>[5]Forecasts!$G35</f>
        <v>3.8472365381502498</v>
      </c>
      <c r="X113" s="144">
        <f>[5]Forecasts!$G47</f>
        <v>3.2225846168725001</v>
      </c>
      <c r="Y113" s="144">
        <f>[5]Forecasts!$G59</f>
        <v>2.2325323760174998</v>
      </c>
      <c r="Z113" s="144">
        <f>[5]Forecasts!$G71</f>
        <v>1.6939522431212002</v>
      </c>
      <c r="AA113" s="144">
        <f>[5]Forecasts!$G83</f>
        <v>2.5204900145989586</v>
      </c>
      <c r="AB113" s="144">
        <f>[5]Forecasts!$G95</f>
        <v>2.7083912348556849</v>
      </c>
      <c r="AC113" s="144">
        <f>[5]Forecasts!$G107</f>
        <v>3.6988034669429335</v>
      </c>
      <c r="AD113" s="144">
        <f>[5]Forecasts!$G119</f>
        <v>4.2497846849266381</v>
      </c>
      <c r="AE113" s="144">
        <f>[5]Forecasts!$G131</f>
        <v>4.3325770652414182</v>
      </c>
      <c r="AF113" s="144">
        <f>[5]Forecasts!$G143</f>
        <v>4.4686067550223063</v>
      </c>
      <c r="AG113" s="144">
        <f>[5]Forecasts!$G155</f>
        <v>3.6337409386430828</v>
      </c>
      <c r="AH113" s="144">
        <f>[5]Forecasts!$G167</f>
        <v>3.4351417416680272</v>
      </c>
      <c r="AI113" s="144">
        <f>[5]Forecasts!$G167</f>
        <v>3.4351417416680272</v>
      </c>
      <c r="AJ113" s="144">
        <f>[5]Forecasts!$G167</f>
        <v>3.4351417416680272</v>
      </c>
      <c r="AK113" s="144">
        <f>[5]Forecasts!$G167</f>
        <v>3.4351417416680272</v>
      </c>
      <c r="AL113" s="144">
        <f>[5]Forecasts!$G167</f>
        <v>3.4351417416680272</v>
      </c>
      <c r="AM113" s="144">
        <f>[5]Forecasts!$G167</f>
        <v>3.4351417416680272</v>
      </c>
      <c r="AN113" s="144">
        <f>[5]Forecasts!$G167</f>
        <v>3.4351417416680272</v>
      </c>
      <c r="AO113" s="144">
        <f>[5]Forecasts!$G167</f>
        <v>3.4351417416680272</v>
      </c>
      <c r="AP113" s="144">
        <f>[5]Forecasts!$G167</f>
        <v>3.4351417416680272</v>
      </c>
      <c r="AQ113" s="144">
        <f>[5]Forecasts!$G167</f>
        <v>3.4351417416680272</v>
      </c>
      <c r="AR113" s="144">
        <f>[5]Forecasts!$G167</f>
        <v>3.4351417416680272</v>
      </c>
      <c r="AS113" s="144">
        <f>[5]Forecasts!$G167</f>
        <v>3.4351417416680272</v>
      </c>
      <c r="AT113" s="144">
        <f>[5]Forecasts!$G167</f>
        <v>3.4351417416680272</v>
      </c>
      <c r="AU113" s="144">
        <f>[5]Forecasts!$G167</f>
        <v>3.4351417416680272</v>
      </c>
      <c r="AV113" s="144">
        <f>[5]Forecasts!$G167</f>
        <v>3.4351417416680272</v>
      </c>
      <c r="AW113" s="144">
        <f>[5]Forecasts!$G167</f>
        <v>3.4351417416680272</v>
      </c>
      <c r="AX113" s="144">
        <f>[5]Forecasts!$G167</f>
        <v>3.4351417416680272</v>
      </c>
      <c r="AY113" s="144">
        <f>[5]Forecasts!$G167</f>
        <v>3.4351417416680272</v>
      </c>
    </row>
    <row r="114" spans="1:51" s="93" customFormat="1" x14ac:dyDescent="0.2">
      <c r="A114" s="93" t="s">
        <v>172</v>
      </c>
      <c r="T114" s="143"/>
      <c r="U114" s="144">
        <f>[5]Forecasts!$G12</f>
        <v>0.59844353171781695</v>
      </c>
      <c r="V114" s="144">
        <f>[5]Forecasts!$G24</f>
        <v>2.508785299785</v>
      </c>
      <c r="W114" s="144">
        <f>[5]Forecasts!$G36</f>
        <v>3.8472365381502498</v>
      </c>
      <c r="X114" s="144">
        <f>[5]Forecasts!$G48</f>
        <v>2.9984840224057501</v>
      </c>
      <c r="Y114" s="144">
        <f>[5]Forecasts!$G60</f>
        <v>2.4390338017789062</v>
      </c>
      <c r="Z114" s="144">
        <f>[5]Forecasts!$G72</f>
        <v>1.6939522431212002</v>
      </c>
      <c r="AA114" s="144">
        <f>[5]Forecasts!$G84</f>
        <v>2.5277104099191363</v>
      </c>
      <c r="AB114" s="144">
        <f>[5]Forecasts!$G96</f>
        <v>2.744428936702012</v>
      </c>
      <c r="AC114" s="144">
        <f>[5]Forecasts!$G108</f>
        <v>3.8466798495901329</v>
      </c>
      <c r="AD114" s="144">
        <f>[5]Forecasts!$G120</f>
        <v>4.2104062966938116</v>
      </c>
      <c r="AE114" s="144">
        <f>[5]Forecasts!$G132</f>
        <v>4.3252781912308471</v>
      </c>
      <c r="AF114" s="144">
        <f>[5]Forecasts!$G144</f>
        <v>4.2658917909325798</v>
      </c>
      <c r="AG114" s="144">
        <f>[5]Forecasts!$G156</f>
        <v>3.6238730283438243</v>
      </c>
      <c r="AH114" s="144">
        <f>[5]Forecasts!$G168</f>
        <v>3.3126020342360727</v>
      </c>
      <c r="AI114" s="144">
        <f>[5]Forecasts!$G168</f>
        <v>3.3126020342360727</v>
      </c>
      <c r="AJ114" s="144">
        <f>[5]Forecasts!$G168</f>
        <v>3.3126020342360727</v>
      </c>
      <c r="AK114" s="144">
        <f>[5]Forecasts!$G168</f>
        <v>3.3126020342360727</v>
      </c>
      <c r="AL114" s="144">
        <f>[5]Forecasts!$G168</f>
        <v>3.3126020342360727</v>
      </c>
      <c r="AM114" s="144">
        <f>[5]Forecasts!$G168</f>
        <v>3.3126020342360727</v>
      </c>
      <c r="AN114" s="144">
        <f>[5]Forecasts!$G168</f>
        <v>3.3126020342360727</v>
      </c>
      <c r="AO114" s="144">
        <f>[5]Forecasts!$G168</f>
        <v>3.3126020342360727</v>
      </c>
      <c r="AP114" s="144">
        <f>[5]Forecasts!$G168</f>
        <v>3.3126020342360727</v>
      </c>
      <c r="AQ114" s="144">
        <f>[5]Forecasts!$G168</f>
        <v>3.3126020342360727</v>
      </c>
      <c r="AR114" s="144">
        <f>[5]Forecasts!$G168</f>
        <v>3.3126020342360727</v>
      </c>
      <c r="AS114" s="144">
        <f>[5]Forecasts!$G168</f>
        <v>3.3126020342360727</v>
      </c>
      <c r="AT114" s="144">
        <f>[5]Forecasts!$G168</f>
        <v>3.3126020342360727</v>
      </c>
      <c r="AU114" s="144">
        <f>[5]Forecasts!$G168</f>
        <v>3.3126020342360727</v>
      </c>
      <c r="AV114" s="144">
        <f>[5]Forecasts!$G168</f>
        <v>3.3126020342360727</v>
      </c>
      <c r="AW114" s="144">
        <f>[5]Forecasts!$G168</f>
        <v>3.3126020342360727</v>
      </c>
      <c r="AX114" s="144">
        <f>[5]Forecasts!$G168</f>
        <v>3.3126020342360727</v>
      </c>
      <c r="AY114" s="144">
        <f>[5]Forecasts!$G168</f>
        <v>3.3126020342360727</v>
      </c>
    </row>
    <row r="115" spans="1:51" s="93" customFormat="1" x14ac:dyDescent="0.2">
      <c r="A115" s="93" t="s">
        <v>173</v>
      </c>
      <c r="T115" s="143"/>
      <c r="U115" s="144">
        <f>[5]Forecasts!$G13</f>
        <v>0.74391555154515654</v>
      </c>
      <c r="V115" s="144">
        <f>[5]Forecasts!$G25</f>
        <v>2.3890110591559375</v>
      </c>
      <c r="W115" s="144">
        <f>[5]Forecasts!$G37</f>
        <v>3.7106194895280624</v>
      </c>
      <c r="X115" s="144">
        <f>[5]Forecasts!$G49</f>
        <v>2.8554678180845312</v>
      </c>
      <c r="Y115" s="144">
        <f>[5]Forecasts!$G61</f>
        <v>2.5148179093137504</v>
      </c>
      <c r="Z115" s="144">
        <f>[5]Forecasts!$G73</f>
        <v>1.6939522431212002</v>
      </c>
      <c r="AA115" s="144">
        <f>[5]Forecasts!$G85</f>
        <v>2.5076448331555241</v>
      </c>
      <c r="AB115" s="144">
        <f>[5]Forecasts!$G97</f>
        <v>2.7467933874761967</v>
      </c>
      <c r="AC115" s="144">
        <f>[5]Forecasts!$G109</f>
        <v>3.9311619348404849</v>
      </c>
      <c r="AD115" s="144">
        <f>[5]Forecasts!$G121</f>
        <v>4.1599627501049579</v>
      </c>
      <c r="AE115" s="144">
        <f>[5]Forecasts!$G133</f>
        <v>3.9532349249154723</v>
      </c>
      <c r="AF115" s="144">
        <f>[5]Forecasts!$G145</f>
        <v>4.3556872054180777</v>
      </c>
      <c r="AG115" s="144">
        <f>[5]Forecasts!$G157</f>
        <v>3.4966898171040435</v>
      </c>
      <c r="AH115" s="144">
        <f>[5]Forecasts!$G169</f>
        <v>3.0942733136028382</v>
      </c>
      <c r="AI115" s="144">
        <f>[5]Forecasts!$G169</f>
        <v>3.0942733136028382</v>
      </c>
      <c r="AJ115" s="144">
        <f>[5]Forecasts!$G169</f>
        <v>3.0942733136028382</v>
      </c>
      <c r="AK115" s="144">
        <f>[5]Forecasts!$G169</f>
        <v>3.0942733136028382</v>
      </c>
      <c r="AL115" s="144">
        <f>[5]Forecasts!$G169</f>
        <v>3.0942733136028382</v>
      </c>
      <c r="AM115" s="144">
        <f>[5]Forecasts!$G169</f>
        <v>3.0942733136028382</v>
      </c>
      <c r="AN115" s="144">
        <f>[5]Forecasts!$G169</f>
        <v>3.0942733136028382</v>
      </c>
      <c r="AO115" s="144">
        <f>[5]Forecasts!$G169</f>
        <v>3.0942733136028382</v>
      </c>
      <c r="AP115" s="144">
        <f>[5]Forecasts!$G169</f>
        <v>3.0942733136028382</v>
      </c>
      <c r="AQ115" s="144">
        <f>[5]Forecasts!$G169</f>
        <v>3.0942733136028382</v>
      </c>
      <c r="AR115" s="144">
        <f>[5]Forecasts!$G169</f>
        <v>3.0942733136028382</v>
      </c>
      <c r="AS115" s="144">
        <f>[5]Forecasts!$G169</f>
        <v>3.0942733136028382</v>
      </c>
      <c r="AT115" s="144">
        <f>[5]Forecasts!$G169</f>
        <v>3.0942733136028382</v>
      </c>
      <c r="AU115" s="144">
        <f>[5]Forecasts!$G169</f>
        <v>3.0942733136028382</v>
      </c>
      <c r="AV115" s="144">
        <f>[5]Forecasts!$G169</f>
        <v>3.0942733136028382</v>
      </c>
      <c r="AW115" s="144">
        <f>[5]Forecasts!$G169</f>
        <v>3.0942733136028382</v>
      </c>
      <c r="AX115" s="144">
        <f>[5]Forecasts!$G169</f>
        <v>3.0942733136028382</v>
      </c>
      <c r="AY115" s="144">
        <f>[5]Forecasts!$G169</f>
        <v>3.0942733136028382</v>
      </c>
    </row>
    <row r="116" spans="1:51" x14ac:dyDescent="0.2">
      <c r="A116" s="117" t="s">
        <v>181</v>
      </c>
      <c r="T116" s="121"/>
      <c r="U116" s="126">
        <f t="shared" ref="U116:AY116" si="52">AVERAGE(U104:U115)</f>
        <v>0.51983653961557608</v>
      </c>
      <c r="V116" s="126">
        <f t="shared" si="52"/>
        <v>1.6608766323355793</v>
      </c>
      <c r="W116" s="126">
        <f t="shared" si="52"/>
        <v>3.4434914643978995</v>
      </c>
      <c r="X116" s="126">
        <f t="shared" si="52"/>
        <v>2.8120436873985586</v>
      </c>
      <c r="Y116" s="126">
        <f t="shared" si="52"/>
        <v>2.4824527692743636</v>
      </c>
      <c r="Z116" s="126">
        <f t="shared" si="52"/>
        <v>1.7087521433427624</v>
      </c>
      <c r="AA116" s="126">
        <f t="shared" si="52"/>
        <v>2.4623577625008721</v>
      </c>
      <c r="AB116" s="126">
        <f t="shared" si="52"/>
        <v>2.6926876975301521</v>
      </c>
      <c r="AC116" s="126">
        <f t="shared" si="52"/>
        <v>3.3207023358837975</v>
      </c>
      <c r="AD116" s="126">
        <f t="shared" si="52"/>
        <v>3.9800331198517447</v>
      </c>
      <c r="AE116" s="126">
        <f t="shared" si="52"/>
        <v>4.1961768300005193</v>
      </c>
      <c r="AF116" s="126">
        <f t="shared" si="52"/>
        <v>4.0595251861603501</v>
      </c>
      <c r="AG116" s="126">
        <f t="shared" si="52"/>
        <v>3.7783545703912949</v>
      </c>
      <c r="AH116" s="126">
        <f t="shared" si="52"/>
        <v>3.4015856454378492</v>
      </c>
      <c r="AI116" s="126">
        <f t="shared" si="52"/>
        <v>3.4015856454378492</v>
      </c>
      <c r="AJ116" s="126">
        <f t="shared" si="52"/>
        <v>3.4015856454378492</v>
      </c>
      <c r="AK116" s="126">
        <f t="shared" si="52"/>
        <v>3.4015856454378492</v>
      </c>
      <c r="AL116" s="126">
        <f t="shared" si="52"/>
        <v>3.4015856454378492</v>
      </c>
      <c r="AM116" s="126">
        <f t="shared" si="52"/>
        <v>3.4015856454378492</v>
      </c>
      <c r="AN116" s="126">
        <f t="shared" si="52"/>
        <v>3.4015856454378492</v>
      </c>
      <c r="AO116" s="126">
        <f t="shared" si="52"/>
        <v>3.4015856454378492</v>
      </c>
      <c r="AP116" s="126">
        <f t="shared" si="52"/>
        <v>3.4015856454378492</v>
      </c>
      <c r="AQ116" s="126">
        <f t="shared" si="52"/>
        <v>3.4015856454378492</v>
      </c>
      <c r="AR116" s="126">
        <f t="shared" si="52"/>
        <v>3.4015856454378492</v>
      </c>
      <c r="AS116" s="126">
        <f t="shared" si="52"/>
        <v>3.4015856454378492</v>
      </c>
      <c r="AT116" s="126">
        <f t="shared" si="52"/>
        <v>3.4015856454378492</v>
      </c>
      <c r="AU116" s="126">
        <f t="shared" si="52"/>
        <v>3.4015856454378492</v>
      </c>
      <c r="AV116" s="126">
        <f t="shared" si="52"/>
        <v>3.4015856454378492</v>
      </c>
      <c r="AW116" s="126">
        <f t="shared" si="52"/>
        <v>3.4015856454378492</v>
      </c>
      <c r="AX116" s="126">
        <f t="shared" si="52"/>
        <v>3.4015856454378492</v>
      </c>
      <c r="AY116" s="126">
        <f t="shared" si="52"/>
        <v>3.4015856454378492</v>
      </c>
    </row>
    <row r="117" spans="1:51" x14ac:dyDescent="0.2">
      <c r="A117" s="114"/>
      <c r="B117" s="114"/>
      <c r="C117" s="114"/>
      <c r="D117" s="114"/>
      <c r="E117" s="114"/>
      <c r="F117" s="114"/>
      <c r="G117" s="114"/>
      <c r="H117" s="114"/>
      <c r="I117" s="114"/>
      <c r="J117" s="114"/>
      <c r="K117" s="114"/>
      <c r="L117" s="114"/>
      <c r="M117" s="114"/>
      <c r="N117" s="114"/>
      <c r="O117" s="114"/>
      <c r="P117" s="114"/>
      <c r="Q117" s="114"/>
      <c r="R117" s="114"/>
      <c r="S117" s="114"/>
      <c r="T117" s="114"/>
      <c r="U117" s="114"/>
      <c r="V117" s="114"/>
      <c r="W117" s="114"/>
      <c r="X117" s="145"/>
      <c r="Y117" s="114"/>
      <c r="Z117" s="114"/>
      <c r="AA117" s="114"/>
      <c r="AB117" s="114"/>
      <c r="AC117" s="114"/>
      <c r="AD117" s="114"/>
      <c r="AE117" s="114"/>
      <c r="AF117" s="114"/>
      <c r="AG117" s="114"/>
      <c r="AH117" s="114"/>
      <c r="AI117" s="114"/>
      <c r="AJ117" s="114"/>
      <c r="AK117" s="114"/>
      <c r="AL117" s="114"/>
      <c r="AM117" s="114"/>
      <c r="AN117" s="114"/>
      <c r="AO117" s="114"/>
      <c r="AP117" s="114"/>
      <c r="AQ117" s="114"/>
      <c r="AR117" s="114"/>
      <c r="AS117" s="114"/>
      <c r="AT117" s="114"/>
      <c r="AU117" s="114"/>
      <c r="AV117" s="114"/>
      <c r="AW117" s="114"/>
      <c r="AX117" s="114"/>
      <c r="AY117" s="114"/>
    </row>
    <row r="118" spans="1:51" ht="12" thickBot="1" x14ac:dyDescent="0.25">
      <c r="A118" s="121" t="s">
        <v>182</v>
      </c>
    </row>
    <row r="119" spans="1:51" ht="12" thickBot="1" x14ac:dyDescent="0.25">
      <c r="A119" s="122"/>
      <c r="B119" s="128">
        <f t="shared" ref="B119:AY119" si="53">B2</f>
        <v>2001</v>
      </c>
      <c r="C119" s="128">
        <f t="shared" si="53"/>
        <v>2002</v>
      </c>
      <c r="D119" s="128">
        <f t="shared" si="53"/>
        <v>2003</v>
      </c>
      <c r="E119" s="128">
        <f t="shared" si="53"/>
        <v>2004</v>
      </c>
      <c r="F119" s="128">
        <f t="shared" si="53"/>
        <v>2005</v>
      </c>
      <c r="G119" s="128">
        <f t="shared" si="53"/>
        <v>2006</v>
      </c>
      <c r="H119" s="128">
        <f t="shared" si="53"/>
        <v>2007</v>
      </c>
      <c r="I119" s="128">
        <f t="shared" si="53"/>
        <v>2008</v>
      </c>
      <c r="J119" s="128">
        <f t="shared" si="53"/>
        <v>2009</v>
      </c>
      <c r="K119" s="128">
        <f t="shared" si="53"/>
        <v>2010</v>
      </c>
      <c r="L119" s="128">
        <f t="shared" si="53"/>
        <v>2011</v>
      </c>
      <c r="M119" s="128">
        <f t="shared" si="53"/>
        <v>2012</v>
      </c>
      <c r="N119" s="128">
        <f t="shared" si="53"/>
        <v>2013</v>
      </c>
      <c r="O119" s="128">
        <f t="shared" si="53"/>
        <v>2014</v>
      </c>
      <c r="P119" s="128">
        <f t="shared" si="53"/>
        <v>2015</v>
      </c>
      <c r="Q119" s="128">
        <f t="shared" si="53"/>
        <v>2016</v>
      </c>
      <c r="R119" s="128">
        <f t="shared" si="53"/>
        <v>2017</v>
      </c>
      <c r="S119" s="128">
        <f t="shared" si="53"/>
        <v>2018</v>
      </c>
      <c r="T119" s="128">
        <f t="shared" si="53"/>
        <v>2019</v>
      </c>
      <c r="U119" s="128">
        <f t="shared" si="53"/>
        <v>2020</v>
      </c>
      <c r="V119" s="128">
        <f t="shared" si="53"/>
        <v>2021</v>
      </c>
      <c r="W119" s="128">
        <f t="shared" si="53"/>
        <v>2022</v>
      </c>
      <c r="X119" s="128">
        <f t="shared" si="53"/>
        <v>2023</v>
      </c>
      <c r="Y119" s="128">
        <f t="shared" si="53"/>
        <v>2024</v>
      </c>
      <c r="Z119" s="128" t="str">
        <f t="shared" si="53"/>
        <v>2025e</v>
      </c>
      <c r="AA119" s="128" t="str">
        <f t="shared" si="53"/>
        <v>2026f</v>
      </c>
      <c r="AB119" s="128" t="str">
        <f t="shared" si="53"/>
        <v>2027f</v>
      </c>
      <c r="AC119" s="128">
        <f t="shared" si="53"/>
        <v>2028</v>
      </c>
      <c r="AD119" s="128">
        <f t="shared" si="53"/>
        <v>2029</v>
      </c>
      <c r="AE119" s="128">
        <f t="shared" si="53"/>
        <v>2030</v>
      </c>
      <c r="AF119" s="128">
        <f t="shared" si="53"/>
        <v>2031</v>
      </c>
      <c r="AG119" s="128">
        <f t="shared" si="53"/>
        <v>2032</v>
      </c>
      <c r="AH119" s="128">
        <f t="shared" si="53"/>
        <v>2033</v>
      </c>
      <c r="AI119" s="128">
        <f t="shared" si="53"/>
        <v>2034</v>
      </c>
      <c r="AJ119" s="128">
        <f t="shared" si="53"/>
        <v>2035</v>
      </c>
      <c r="AK119" s="128">
        <f t="shared" si="53"/>
        <v>2036</v>
      </c>
      <c r="AL119" s="128">
        <f t="shared" si="53"/>
        <v>2037</v>
      </c>
      <c r="AM119" s="128">
        <f t="shared" si="53"/>
        <v>2038</v>
      </c>
      <c r="AN119" s="128">
        <f t="shared" si="53"/>
        <v>2039</v>
      </c>
      <c r="AO119" s="128">
        <f t="shared" si="53"/>
        <v>2040</v>
      </c>
      <c r="AP119" s="128">
        <f t="shared" si="53"/>
        <v>2041</v>
      </c>
      <c r="AQ119" s="128">
        <f t="shared" si="53"/>
        <v>2042</v>
      </c>
      <c r="AR119" s="128">
        <f t="shared" si="53"/>
        <v>2043</v>
      </c>
      <c r="AS119" s="128">
        <f t="shared" si="53"/>
        <v>2044</v>
      </c>
      <c r="AT119" s="128">
        <f t="shared" si="53"/>
        <v>2045</v>
      </c>
      <c r="AU119" s="128">
        <f t="shared" si="53"/>
        <v>2046</v>
      </c>
      <c r="AV119" s="128">
        <f t="shared" si="53"/>
        <v>2047</v>
      </c>
      <c r="AW119" s="128">
        <f t="shared" si="53"/>
        <v>2048</v>
      </c>
      <c r="AX119" s="128">
        <f t="shared" si="53"/>
        <v>2049</v>
      </c>
      <c r="AY119" s="128">
        <f t="shared" si="53"/>
        <v>2050</v>
      </c>
    </row>
    <row r="120" spans="1:51" x14ac:dyDescent="0.2">
      <c r="A120" s="19" t="s">
        <v>162</v>
      </c>
      <c r="L120" s="146">
        <f>L25/(L25+RD!L24)</f>
        <v>0.88170710044857392</v>
      </c>
      <c r="M120" s="146">
        <f>M25/(M25+RD!M24)</f>
        <v>0.93444691321971185</v>
      </c>
      <c r="N120" s="146">
        <f>N25/(N25+RD!N24)</f>
        <v>0.98234807428674897</v>
      </c>
      <c r="O120" s="146">
        <f>O25/(O25+RD!O24)</f>
        <v>0.8458958859671849</v>
      </c>
      <c r="P120" s="146">
        <f>P25/(P25+RD!P24)</f>
        <v>0.76146636732656414</v>
      </c>
      <c r="Q120" s="146">
        <f>Q25/(Q25+RD!Q24)</f>
        <v>0.87919283348362121</v>
      </c>
      <c r="R120" s="146">
        <f>R25/(R25+RD!R24)</f>
        <v>0.78034014578792477</v>
      </c>
      <c r="S120" s="146">
        <f>S25/(S25+RD!S24)</f>
        <v>0.88982916184249305</v>
      </c>
      <c r="T120" s="146">
        <f>T25/(T25+RD!T24)</f>
        <v>0.74691173114190712</v>
      </c>
      <c r="U120" s="146">
        <f>U25/(U25+RD!U24)</f>
        <v>0.73881723379658648</v>
      </c>
      <c r="V120" s="146">
        <f>V25/(V25+RD!V24)</f>
        <v>0.68052054952898555</v>
      </c>
      <c r="W120" s="146">
        <f>W25/(W25+RD!W24)</f>
        <v>0.51042274750602556</v>
      </c>
      <c r="X120" s="146">
        <f>X25/(X25+RD!X24)</f>
        <v>0.44636444440315737</v>
      </c>
      <c r="Y120" s="146">
        <f>Y25/(Y25+RD!Y24)</f>
        <v>0.34602235434557321</v>
      </c>
      <c r="Z120" s="146">
        <f>Z25/(Z25+RD!Z24)</f>
        <v>0.23192612900315204</v>
      </c>
      <c r="AA120" s="146">
        <f>AA25/(AA25+RD!AA24)</f>
        <v>0.36217199061669436</v>
      </c>
      <c r="AB120" s="146">
        <f>AB25/(AB25+RD!AB24)</f>
        <v>0.32389278122707565</v>
      </c>
      <c r="AC120" s="146">
        <f>AC25/(AC25+RD!AC24)</f>
        <v>0.27617857751329183</v>
      </c>
      <c r="AD120" s="146">
        <f>AD25/(AD25+RD!AD24)</f>
        <v>0.29682829787875048</v>
      </c>
      <c r="AE120" s="146">
        <f>AE25/(AE25+RD!AE24)</f>
        <v>0.28051407229720721</v>
      </c>
      <c r="AF120" s="146">
        <f>AF25/(AF25+RD!AF24)</f>
        <v>0.27640431057879339</v>
      </c>
      <c r="AG120" s="146">
        <f>AG25/(AG25+RD!AG24)</f>
        <v>0.25113739045877959</v>
      </c>
      <c r="AH120" s="146">
        <f>AH25/(AH25+RD!AH24)</f>
        <v>0.28154478867833926</v>
      </c>
      <c r="AI120" s="146">
        <f>AI25/(AI25+RD!AI24)</f>
        <v>0.26358576726471789</v>
      </c>
      <c r="AJ120" s="146">
        <f>AJ25/(AJ25+RD!AJ24)</f>
        <v>0.24764550079526029</v>
      </c>
      <c r="AK120" s="146">
        <f>AK25/(AK25+RD!AK24)</f>
        <v>0.19783992938340375</v>
      </c>
      <c r="AL120" s="146">
        <f>AL25/(AL25+RD!AL24)</f>
        <v>0.15172392778523069</v>
      </c>
      <c r="AM120" s="146">
        <f>AM25/(AM25+RD!AM24)</f>
        <v>0.14037447894656191</v>
      </c>
      <c r="AN120" s="146">
        <f>AN25/(AN25+RD!AN24)</f>
        <v>0.11722108404928396</v>
      </c>
      <c r="AO120" s="146">
        <f>AO25/(AO25+RD!AO24)</f>
        <v>8.3363642927602968E-2</v>
      </c>
      <c r="AP120" s="146">
        <f>AP25/(AP25+RD!AP24)</f>
        <v>8.6586513233535653E-2</v>
      </c>
      <c r="AQ120" s="146">
        <f>AQ25/(AQ25+RD!AQ24)</f>
        <v>8.1652609410615404E-2</v>
      </c>
      <c r="AR120" s="146">
        <f>AR25/(AR25+RD!AR24)</f>
        <v>6.380546555680329E-2</v>
      </c>
      <c r="AS120" s="146">
        <f>AS25/(AS25+RD!AS24)</f>
        <v>6.3006414713587311E-2</v>
      </c>
      <c r="AT120" s="146">
        <f>AT25/(AT25+RD!AT24)</f>
        <v>6.3577079284010449E-2</v>
      </c>
      <c r="AU120" s="146">
        <f>AU25/(AU25+RD!AU24)</f>
        <v>6.6298378615807285E-2</v>
      </c>
      <c r="AV120" s="146">
        <f>AV25/(AV25+RD!AV24)</f>
        <v>6.3930075386453455E-2</v>
      </c>
      <c r="AW120" s="146">
        <f>AW25/(AW25+RD!AW24)</f>
        <v>6.2848377135605135E-2</v>
      </c>
      <c r="AX120" s="146">
        <f>AX25/(AX25+RD!AX24)</f>
        <v>6.1766649820917494E-2</v>
      </c>
      <c r="AY120" s="146">
        <f>AY25/(AY25+RD!AY24)</f>
        <v>6.0576190209276681E-2</v>
      </c>
    </row>
    <row r="121" spans="1:51" x14ac:dyDescent="0.2">
      <c r="A121" s="19" t="s">
        <v>163</v>
      </c>
      <c r="L121" s="146">
        <f>L26/(L26+RD!L25)</f>
        <v>0.9774787234714849</v>
      </c>
      <c r="M121" s="146">
        <f>M26/(M26+RD!M25)</f>
        <v>0.9580979872218911</v>
      </c>
      <c r="N121" s="146">
        <f>N26/(N26+RD!N25)</f>
        <v>0.98294837095598775</v>
      </c>
      <c r="O121" s="146">
        <f>O26/(O26+RD!O25)</f>
        <v>0.8503610206408192</v>
      </c>
      <c r="P121" s="146">
        <f>P26/(P26+RD!P25)</f>
        <v>0.82338051643195265</v>
      </c>
      <c r="Q121" s="146">
        <f>Q26/(Q26+RD!Q25)</f>
        <v>0.93174495383440425</v>
      </c>
      <c r="R121" s="146">
        <f>R26/(R26+RD!R25)</f>
        <v>0.78855645705505417</v>
      </c>
      <c r="S121" s="146">
        <f>S26/(S26+RD!S25)</f>
        <v>0.84246287567626332</v>
      </c>
      <c r="T121" s="146">
        <f>T26/(T26+RD!T25)</f>
        <v>0.74493560814234527</v>
      </c>
      <c r="U121" s="146">
        <f>U26/(U26+RD!U25)</f>
        <v>0.77439159110416889</v>
      </c>
      <c r="V121" s="146">
        <f>V26/(V26+RD!V25)</f>
        <v>0.68225046871674311</v>
      </c>
      <c r="W121" s="146">
        <f>W26/(W26+RD!W25)</f>
        <v>0.52135148149982358</v>
      </c>
      <c r="X121" s="146">
        <f>X26/(X26+RD!X25)</f>
        <v>0.44854101335895541</v>
      </c>
      <c r="Y121" s="146">
        <f>Y26/(Y26+RD!Y25)</f>
        <v>0.35466775082192314</v>
      </c>
      <c r="Z121" s="146">
        <f>Z26/(Z26+RD!Z25)</f>
        <v>0.28401981517185343</v>
      </c>
      <c r="AA121" s="146">
        <f>AA26/(AA26+RD!AA25)</f>
        <v>0.35591488259239529</v>
      </c>
      <c r="AB121" s="146">
        <f>AB26/(AB26+RD!AB25)</f>
        <v>0.31895701717284891</v>
      </c>
      <c r="AC121" s="146">
        <f>AC26/(AC26+RD!AC25)</f>
        <v>0.2670951020117181</v>
      </c>
      <c r="AD121" s="146">
        <f>AD26/(AD26+RD!AD25)</f>
        <v>0.29166540504172644</v>
      </c>
      <c r="AE121" s="146">
        <f>AE26/(AE26+RD!AE25)</f>
        <v>0.27669866052183678</v>
      </c>
      <c r="AF121" s="146">
        <f>AF26/(AF26+RD!AF25)</f>
        <v>0.27103128953162392</v>
      </c>
      <c r="AG121" s="146">
        <f>AG26/(AG26+RD!AG25)</f>
        <v>0.24595979151386441</v>
      </c>
      <c r="AH121" s="146">
        <f>AH26/(AH26+RD!AH25)</f>
        <v>0.23481725797168945</v>
      </c>
      <c r="AI121" s="146">
        <f>AI26/(AI26+RD!AI25)</f>
        <v>0.23536392710798859</v>
      </c>
      <c r="AJ121" s="146">
        <f>AJ26/(AJ26+RD!AJ25)</f>
        <v>0.21808227785482015</v>
      </c>
      <c r="AK121" s="146">
        <f>AK26/(AK26+RD!AK25)</f>
        <v>0.1788134756986067</v>
      </c>
      <c r="AL121" s="146">
        <f>AL26/(AL26+RD!AL25)</f>
        <v>0.13405778115999267</v>
      </c>
      <c r="AM121" s="146">
        <f>AM26/(AM26+RD!AM25)</f>
        <v>0.12099240798558253</v>
      </c>
      <c r="AN121" s="146">
        <f>AN26/(AN26+RD!AN25)</f>
        <v>0.10256018116955853</v>
      </c>
      <c r="AO121" s="146">
        <f>AO26/(AO26+RD!AO25)</f>
        <v>7.2809461062912625E-2</v>
      </c>
      <c r="AP121" s="146">
        <f>AP26/(AP26+RD!AP25)</f>
        <v>7.5916411295501723E-2</v>
      </c>
      <c r="AQ121" s="146">
        <f>AQ26/(AQ26+RD!AQ25)</f>
        <v>7.1089351057870648E-2</v>
      </c>
      <c r="AR121" s="146">
        <f>AR26/(AR26+RD!AR25)</f>
        <v>5.5328997791812204E-2</v>
      </c>
      <c r="AS121" s="146">
        <f>AS26/(AS26+RD!AS25)</f>
        <v>5.4886090702952466E-2</v>
      </c>
      <c r="AT121" s="146">
        <f>AT26/(AT26+RD!AT25)</f>
        <v>5.5381904523350373E-2</v>
      </c>
      <c r="AU121" s="146">
        <f>AU26/(AU26+RD!AU25)</f>
        <v>5.7797374951686672E-2</v>
      </c>
      <c r="AV121" s="146">
        <f>AV26/(AV26+RD!AV25)</f>
        <v>5.5608885720070729E-2</v>
      </c>
      <c r="AW121" s="146">
        <f>AW26/(AW26+RD!AW25)</f>
        <v>5.4673785038938452E-2</v>
      </c>
      <c r="AX121" s="146">
        <f>AX26/(AX26+RD!AX25)</f>
        <v>5.376512875191089E-2</v>
      </c>
      <c r="AY121" s="146">
        <f>AY26/(AY26+RD!AY25)</f>
        <v>5.2691446526039305E-2</v>
      </c>
    </row>
    <row r="122" spans="1:51" x14ac:dyDescent="0.2">
      <c r="A122" s="19" t="s">
        <v>164</v>
      </c>
      <c r="L122" s="146">
        <f>L27/(L27+RD!L26)</f>
        <v>0.9527333326953884</v>
      </c>
      <c r="M122" s="146">
        <f>M27/(M27+RD!M26)</f>
        <v>0.94672670041234974</v>
      </c>
      <c r="N122" s="146">
        <f>N27/(N27+RD!N26)</f>
        <v>0.98178420514142117</v>
      </c>
      <c r="O122" s="146">
        <f>O27/(O27+RD!O26)</f>
        <v>0.85861689091280513</v>
      </c>
      <c r="P122" s="146">
        <f>P27/(P27+RD!P26)</f>
        <v>0.85149536803940129</v>
      </c>
      <c r="Q122" s="146">
        <f>Q27/(Q27+RD!Q26)</f>
        <v>0.8761065783833436</v>
      </c>
      <c r="R122" s="146">
        <f>R27/(R27+RD!R26)</f>
        <v>0.87548944243508997</v>
      </c>
      <c r="S122" s="146">
        <f>S27/(S27+RD!S26)</f>
        <v>0.85276882672485077</v>
      </c>
      <c r="T122" s="146">
        <f>T27/(T27+RD!T26)</f>
        <v>0.80512296731375865</v>
      </c>
      <c r="U122" s="146">
        <f>U27/(U27+RD!U26)</f>
        <v>0.76844472103804873</v>
      </c>
      <c r="V122" s="146">
        <f>V27/(V27+RD!V26)</f>
        <v>0.71739677556972592</v>
      </c>
      <c r="W122" s="146">
        <f>W27/(W27+RD!W26)</f>
        <v>0.55247865722402356</v>
      </c>
      <c r="X122" s="146">
        <f>X27/(X27+RD!X26)</f>
        <v>0.41543465681941577</v>
      </c>
      <c r="Y122" s="146">
        <f>Y27/(Y27+RD!Y26)</f>
        <v>0.38433246536681559</v>
      </c>
      <c r="Z122" s="146">
        <f>Z27/(Z27+RD!Z26)</f>
        <v>0.294661739576979</v>
      </c>
      <c r="AA122" s="146">
        <f>AA27/(AA27+RD!AA26)</f>
        <v>0.36344686522559266</v>
      </c>
      <c r="AB122" s="146">
        <f>AB27/(AB27+RD!AB26)</f>
        <v>0.33609330875376447</v>
      </c>
      <c r="AC122" s="146">
        <f>AC27/(AC27+RD!AC26)</f>
        <v>0.27905621491215266</v>
      </c>
      <c r="AD122" s="146">
        <f>AD27/(AD27+RD!AD26)</f>
        <v>0.3050035591742063</v>
      </c>
      <c r="AE122" s="146">
        <f>AE27/(AE27+RD!AE26)</f>
        <v>0.29328915683575002</v>
      </c>
      <c r="AF122" s="146">
        <f>AF27/(AF27+RD!AF26)</f>
        <v>0.28342024111036834</v>
      </c>
      <c r="AG122" s="146">
        <f>AG27/(AG27+RD!AG26)</f>
        <v>0.2591578697064682</v>
      </c>
      <c r="AH122" s="146">
        <f>AH27/(AH27+RD!AH26)</f>
        <v>0.24721463694717813</v>
      </c>
      <c r="AI122" s="146">
        <f>AI27/(AI27+RD!AI26)</f>
        <v>0.24782508472430212</v>
      </c>
      <c r="AJ122" s="146">
        <f>AJ27/(AJ27+RD!AJ26)</f>
        <v>0.23008576426071684</v>
      </c>
      <c r="AK122" s="146">
        <f>AK27/(AK27+RD!AK26)</f>
        <v>0.18906319818194667</v>
      </c>
      <c r="AL122" s="146">
        <f>AL27/(AL27+RD!AL26)</f>
        <v>0.14245587658975406</v>
      </c>
      <c r="AM122" s="146">
        <f>AM27/(AM27+RD!AM26)</f>
        <v>0.12869126652047999</v>
      </c>
      <c r="AN122" s="146">
        <f>AN27/(AN27+RD!AN26)</f>
        <v>0.10917335750852672</v>
      </c>
      <c r="AO122" s="146">
        <f>AO27/(AO27+RD!AO26)</f>
        <v>7.7601628660996985E-2</v>
      </c>
      <c r="AP122" s="146">
        <f>AP27/(AP27+RD!AP26)</f>
        <v>8.0913454386952285E-2</v>
      </c>
      <c r="AQ122" s="146">
        <f>AQ27/(AQ27+RD!AQ26)</f>
        <v>7.5832188059951275E-2</v>
      </c>
      <c r="AR122" s="146">
        <f>AR27/(AR27+RD!AR26)</f>
        <v>5.9136533931264196E-2</v>
      </c>
      <c r="AS122" s="146">
        <f>AS27/(AS27+RD!AS26)</f>
        <v>5.866444514388091E-2</v>
      </c>
      <c r="AT122" s="146">
        <f>AT27/(AT27+RD!AT26)</f>
        <v>5.9185597803702104E-2</v>
      </c>
      <c r="AU122" s="146">
        <f>AU27/(AU27+RD!AU26)</f>
        <v>6.1712595665059079E-2</v>
      </c>
      <c r="AV122" s="146">
        <f>AV27/(AV27+RD!AV26)</f>
        <v>5.9436855700169294E-2</v>
      </c>
      <c r="AW122" s="146">
        <f>AW27/(AW27+RD!AW26)</f>
        <v>5.8442898378254532E-2</v>
      </c>
      <c r="AX122" s="146">
        <f>AX27/(AX27+RD!AX26)</f>
        <v>5.7478801709263574E-2</v>
      </c>
      <c r="AY122" s="146">
        <f>AY27/(AY27+RD!AY26)</f>
        <v>5.636047916965186E-2</v>
      </c>
    </row>
    <row r="123" spans="1:51" x14ac:dyDescent="0.2">
      <c r="A123" s="19" t="s">
        <v>165</v>
      </c>
      <c r="L123" s="146">
        <f>L28/(L28+RD!L27)</f>
        <v>0.97278296757004357</v>
      </c>
      <c r="M123" s="146">
        <f>M28/(M28+RD!M27)</f>
        <v>0.96304793352550067</v>
      </c>
      <c r="N123" s="146">
        <f>N28/(N28+RD!N27)</f>
        <v>0.98515028687063777</v>
      </c>
      <c r="O123" s="146">
        <f>O28/(O28+RD!O27)</f>
        <v>0.88317431021299664</v>
      </c>
      <c r="P123" s="146">
        <f>P28/(P28+RD!P27)</f>
        <v>0.87129356444670436</v>
      </c>
      <c r="Q123" s="146">
        <f>Q28/(Q28+RD!Q27)</f>
        <v>0.85593072211852361</v>
      </c>
      <c r="R123" s="146">
        <f>R28/(R28+RD!R27)</f>
        <v>0.85902319261445004</v>
      </c>
      <c r="S123" s="146">
        <f>S28/(S28+RD!S27)</f>
        <v>0.84886914156498117</v>
      </c>
      <c r="T123" s="146">
        <f>T28/(T28+RD!T27)</f>
        <v>0.80667731650057239</v>
      </c>
      <c r="U123" s="146">
        <f>U28/(U28+RD!U27)</f>
        <v>0.79446868427583883</v>
      </c>
      <c r="V123" s="146">
        <f>V28/(V28+RD!V27)</f>
        <v>0.74037741716727823</v>
      </c>
      <c r="W123" s="146">
        <f>W28/(W28+RD!W27)</f>
        <v>0.57538016040098161</v>
      </c>
      <c r="X123" s="146">
        <f>X28/(X28+RD!X27)</f>
        <v>0.43418826688263473</v>
      </c>
      <c r="Y123" s="146">
        <f>Y28/(Y28+RD!Y27)</f>
        <v>0.32449015815300658</v>
      </c>
      <c r="Z123" s="146">
        <f>Z28/(Z28+RD!Z27)</f>
        <v>0.39640917305249973</v>
      </c>
      <c r="AA123" s="146">
        <f>AA28/(AA28+RD!AA27)</f>
        <v>0.38768707621498144</v>
      </c>
      <c r="AB123" s="146">
        <f>AB28/(AB28+RD!AB27)</f>
        <v>0.36549120046623912</v>
      </c>
      <c r="AC123" s="146">
        <f>AC28/(AC28+RD!AC27)</f>
        <v>0.30784690310434382</v>
      </c>
      <c r="AD123" s="146">
        <f>AD28/(AD28+RD!AD27)</f>
        <v>0.33861786633881713</v>
      </c>
      <c r="AE123" s="146">
        <f>AE28/(AE28+RD!AE27)</f>
        <v>0.33187120431542771</v>
      </c>
      <c r="AF123" s="146">
        <f>AF28/(AF28+RD!AF27)</f>
        <v>0.31282949865972148</v>
      </c>
      <c r="AG123" s="146">
        <f>AG28/(AG28+RD!AG27)</f>
        <v>0.28853353443164609</v>
      </c>
      <c r="AH123" s="146">
        <f>AH28/(AH28+RD!AH27)</f>
        <v>0.27662799714856906</v>
      </c>
      <c r="AI123" s="146">
        <f>AI28/(AI28+RD!AI27)</f>
        <v>0.27793274802176682</v>
      </c>
      <c r="AJ123" s="146">
        <f>AJ28/(AJ28+RD!AJ27)</f>
        <v>0.25880183772805043</v>
      </c>
      <c r="AK123" s="146">
        <f>AK28/(AK28+RD!AK27)</f>
        <v>0.21301905592136633</v>
      </c>
      <c r="AL123" s="146">
        <f>AL28/(AL28+RD!AL27)</f>
        <v>0.1618215591078728</v>
      </c>
      <c r="AM123" s="146">
        <f>AM28/(AM28+RD!AM27)</f>
        <v>0.14659718809549305</v>
      </c>
      <c r="AN123" s="146">
        <f>AN28/(AN28+RD!AN27)</f>
        <v>0.12483899511560535</v>
      </c>
      <c r="AO123" s="146">
        <f>AO28/(AO28+RD!AO27)</f>
        <v>8.9202129516035678E-2</v>
      </c>
      <c r="AP123" s="146">
        <f>AP28/(AP28+RD!AP27)</f>
        <v>9.2858921879837367E-2</v>
      </c>
      <c r="AQ123" s="146">
        <f>AQ28/(AQ28+RD!AQ27)</f>
        <v>8.7123886207200268E-2</v>
      </c>
      <c r="AR123" s="146">
        <f>AR28/(AR28+RD!AR27)</f>
        <v>6.8069650352131986E-2</v>
      </c>
      <c r="AS123" s="146">
        <f>AS28/(AS28+RD!AS27)</f>
        <v>6.7527675680477448E-2</v>
      </c>
      <c r="AT123" s="146">
        <f>AT28/(AT28+RD!AT27)</f>
        <v>6.8117424115667027E-2</v>
      </c>
      <c r="AU123" s="146">
        <f>AU28/(AU28+RD!AU27)</f>
        <v>7.1038356264207875E-2</v>
      </c>
      <c r="AV123" s="146">
        <f>AV28/(AV28+RD!AV27)</f>
        <v>6.840091212763838E-2</v>
      </c>
      <c r="AW123" s="146">
        <f>AW28/(AW28+RD!AW27)</f>
        <v>6.726481775597605E-2</v>
      </c>
      <c r="AX123" s="146">
        <f>AX28/(AX28+RD!AX27)</f>
        <v>6.6159120280412445E-2</v>
      </c>
      <c r="AY123" s="146">
        <f>AY28/(AY28+RD!AY27)</f>
        <v>6.4856606754053372E-2</v>
      </c>
    </row>
    <row r="124" spans="1:51" x14ac:dyDescent="0.2">
      <c r="A124" s="19" t="s">
        <v>166</v>
      </c>
      <c r="L124" s="146">
        <f>L29/(L29+RD!L28)</f>
        <v>0.91188122280567807</v>
      </c>
      <c r="M124" s="146">
        <f>M29/(M29+RD!M28)</f>
        <v>0.96616767908116097</v>
      </c>
      <c r="N124" s="146">
        <f>N29/(N29+RD!N28)</f>
        <v>0.97706851143399698</v>
      </c>
      <c r="O124" s="146">
        <f>O29/(O29+RD!O28)</f>
        <v>0.8718825861608559</v>
      </c>
      <c r="P124" s="146">
        <f>P29/(P29+RD!P28)</f>
        <v>0.88532824820839706</v>
      </c>
      <c r="Q124" s="146">
        <f>Q29/(Q29+RD!Q28)</f>
        <v>0.86049155459382798</v>
      </c>
      <c r="R124" s="146">
        <f>R29/(R29+RD!R28)</f>
        <v>0.85774067879375604</v>
      </c>
      <c r="S124" s="146">
        <f>S29/(S29+RD!S28)</f>
        <v>0.88543824478833488</v>
      </c>
      <c r="T124" s="146">
        <f>T29/(T29+RD!T28)</f>
        <v>0.80245665884853745</v>
      </c>
      <c r="U124" s="146">
        <f>U29/(U29+RD!U28)</f>
        <v>0.75515665217056915</v>
      </c>
      <c r="V124" s="146">
        <f>V29/(V29+RD!V28)</f>
        <v>0.71479234860277985</v>
      </c>
      <c r="W124" s="146">
        <f>W29/(W29+RD!W28)</f>
        <v>0.50688441332321488</v>
      </c>
      <c r="X124" s="146">
        <f>X29/(X29+RD!X28)</f>
        <v>0.41641807463645714</v>
      </c>
      <c r="Y124" s="146">
        <f>Y29/(Y29+RD!Y28)</f>
        <v>0.39431111909354938</v>
      </c>
      <c r="Z124" s="146">
        <f>Z29/(Z29+RD!Z28)</f>
        <v>0.41077070266427895</v>
      </c>
      <c r="AA124" s="146">
        <f>AA29/(AA29+RD!AA28)</f>
        <v>0.37617343575875262</v>
      </c>
      <c r="AB124" s="146">
        <f>AB29/(AB29+RD!AB28)</f>
        <v>0.35495490945192959</v>
      </c>
      <c r="AC124" s="146">
        <f>AC29/(AC29+RD!AC28)</f>
        <v>0.30302490498913481</v>
      </c>
      <c r="AD124" s="146">
        <f>AD29/(AD29+RD!AD28)</f>
        <v>0.32809992414961386</v>
      </c>
      <c r="AE124" s="146">
        <f>AE29/(AE29+RD!AE28)</f>
        <v>0.32142105750726713</v>
      </c>
      <c r="AF124" s="146">
        <f>AF29/(AF29+RD!AF28)</f>
        <v>0.30365075456892021</v>
      </c>
      <c r="AG124" s="146">
        <f>AG29/(AG29+RD!AG28)</f>
        <v>0.28002158956252532</v>
      </c>
      <c r="AH124" s="146">
        <f>AH29/(AH29+RD!AH28)</f>
        <v>0.26848370447224806</v>
      </c>
      <c r="AI124" s="146">
        <f>AI29/(AI29+RD!AI28)</f>
        <v>0.26915386412676251</v>
      </c>
      <c r="AJ124" s="146">
        <f>AJ29/(AJ29+RD!AJ28)</f>
        <v>0.250539236655836</v>
      </c>
      <c r="AK124" s="146">
        <f>AK29/(AK29+RD!AK28)</f>
        <v>0.20593076161477258</v>
      </c>
      <c r="AL124" s="146">
        <f>AL29/(AL29+RD!AL28)</f>
        <v>0.15609060462144089</v>
      </c>
      <c r="AM124" s="146">
        <f>AM29/(AM29+RD!AM28)</f>
        <v>0.14128261284221932</v>
      </c>
      <c r="AN124" s="146">
        <f>AN29/(AN29+RD!AN28)</f>
        <v>0.1201441573415505</v>
      </c>
      <c r="AO124" s="146">
        <f>AO29/(AO29+RD!AO28)</f>
        <v>8.5708696284672259E-2</v>
      </c>
      <c r="AP124" s="146">
        <f>AP29/(AP29+RD!AP28)</f>
        <v>8.9254620238278085E-2</v>
      </c>
      <c r="AQ124" s="146">
        <f>AQ29/(AQ29+RD!AQ28)</f>
        <v>8.3712446949822911E-2</v>
      </c>
      <c r="AR124" s="146">
        <f>AR29/(AR29+RD!AR28)</f>
        <v>6.5327070338129692E-2</v>
      </c>
      <c r="AS124" s="146">
        <f>AS29/(AS29+RD!AS28)</f>
        <v>6.4801713598894875E-2</v>
      </c>
      <c r="AT124" s="146">
        <f>AT29/(AT29+RD!AT28)</f>
        <v>6.5374795373377106E-2</v>
      </c>
      <c r="AU124" s="146">
        <f>AU29/(AU29+RD!AU28)</f>
        <v>6.8188740341598844E-2</v>
      </c>
      <c r="AV124" s="146">
        <f>AV29/(AV29+RD!AV28)</f>
        <v>6.5648172988715114E-2</v>
      </c>
      <c r="AW124" s="146">
        <f>AW29/(AW29+RD!AW28)</f>
        <v>6.4552278878278552E-2</v>
      </c>
      <c r="AX124" s="146">
        <f>AX29/(AX29+RD!AX28)</f>
        <v>6.3486842153285067E-2</v>
      </c>
      <c r="AY124" s="146">
        <f>AY29/(AY29+RD!AY28)</f>
        <v>6.2234260399798909E-2</v>
      </c>
    </row>
    <row r="125" spans="1:51" x14ac:dyDescent="0.2">
      <c r="A125" s="19" t="s">
        <v>167</v>
      </c>
      <c r="L125" s="146">
        <f>L30/(L30+RD!L29)</f>
        <v>0.94486188265430715</v>
      </c>
      <c r="M125" s="146">
        <f>M30/(M30+RD!M29)</f>
        <v>0.96740087533312069</v>
      </c>
      <c r="N125" s="146">
        <f>N30/(N30+RD!N29)</f>
        <v>0.94185725755300342</v>
      </c>
      <c r="O125" s="146">
        <f>O30/(O30+RD!O29)</f>
        <v>0.87888443644291758</v>
      </c>
      <c r="P125" s="146">
        <f>P30/(P30+RD!P29)</f>
        <v>0.90078416654342652</v>
      </c>
      <c r="Q125" s="146">
        <f>Q30/(Q30+RD!Q29)</f>
        <v>0.86335143536192194</v>
      </c>
      <c r="R125" s="146">
        <f>R30/(R30+RD!R29)</f>
        <v>0.89095956105812202</v>
      </c>
      <c r="S125" s="146">
        <f>S30/(S30+RD!S29)</f>
        <v>0.92838799504878922</v>
      </c>
      <c r="T125" s="146">
        <f>T30/(T30+RD!T29)</f>
        <v>0.78374857485658822</v>
      </c>
      <c r="U125" s="146">
        <f>U30/(U30+RD!U29)</f>
        <v>0.75673843973343502</v>
      </c>
      <c r="V125" s="146">
        <f>V30/(V30+RD!V29)</f>
        <v>0.69165066289746591</v>
      </c>
      <c r="W125" s="146">
        <f>W30/(W30+RD!W29)</f>
        <v>0.55133360428289468</v>
      </c>
      <c r="X125" s="146">
        <f>X30/(X30+RD!X29)</f>
        <v>0.43040073042018706</v>
      </c>
      <c r="Y125" s="146">
        <f>Y30/(Y30+RD!Y29)</f>
        <v>0.32369288226788329</v>
      </c>
      <c r="Z125" s="146">
        <f>Z30/(Z30+RD!Z29)</f>
        <v>0.41724734772868122</v>
      </c>
      <c r="AA125" s="146">
        <f>AA30/(AA30+RD!AA29)</f>
        <v>0.37304897221705985</v>
      </c>
      <c r="AB125" s="146">
        <f>AB30/(AB30+RD!AB29)</f>
        <v>0.34996292365863924</v>
      </c>
      <c r="AC125" s="146">
        <f>AC30/(AC30+RD!AC29)</f>
        <v>0.29532027596877447</v>
      </c>
      <c r="AD125" s="146">
        <f>AD30/(AD30+RD!AD29)</f>
        <v>0.32180393882398589</v>
      </c>
      <c r="AE125" s="146">
        <f>AE30/(AE30+RD!AE29)</f>
        <v>0.31774959950130355</v>
      </c>
      <c r="AF125" s="146">
        <f>AF30/(AF30+RD!AF29)</f>
        <v>0.29870527638869399</v>
      </c>
      <c r="AG125" s="146">
        <f>AG30/(AG30+RD!AG29)</f>
        <v>0.27503068358874277</v>
      </c>
      <c r="AH125" s="146">
        <f>AH30/(AH30+RD!AH29)</f>
        <v>0.26347340350290077</v>
      </c>
      <c r="AI125" s="146">
        <f>AI30/(AI30+RD!AI29)</f>
        <v>0.2643619209160139</v>
      </c>
      <c r="AJ125" s="146">
        <f>AJ30/(AJ30+RD!AJ29)</f>
        <v>0.24612760572579348</v>
      </c>
      <c r="AK125" s="146">
        <f>AK30/(AK30+RD!AK29)</f>
        <v>0.20205015563282849</v>
      </c>
      <c r="AL125" s="146">
        <f>AL30/(AL30+RD!AL29)</f>
        <v>0.15302030919772933</v>
      </c>
      <c r="AM125" s="146">
        <f>AM30/(AM30+RD!AM29)</f>
        <v>0.13848600060011151</v>
      </c>
      <c r="AN125" s="146">
        <f>AN30/(AN30+RD!AN29)</f>
        <v>0.11767059884082334</v>
      </c>
      <c r="AO125" s="146">
        <f>AO30/(AO30+RD!AO29)</f>
        <v>8.3791375389657002E-2</v>
      </c>
      <c r="AP125" s="146">
        <f>AP30/(AP30+RD!AP29)</f>
        <v>8.7284321033089002E-2</v>
      </c>
      <c r="AQ125" s="146">
        <f>AQ30/(AQ30+RD!AQ29)</f>
        <v>8.1864320868391363E-2</v>
      </c>
      <c r="AR125" s="146">
        <f>AR30/(AR30+RD!AR29)</f>
        <v>6.3878402858290342E-2</v>
      </c>
      <c r="AS125" s="146">
        <f>AS30/(AS30+RD!AS29)</f>
        <v>6.3364242884953945E-2</v>
      </c>
      <c r="AT125" s="146">
        <f>AT30/(AT30+RD!AT29)</f>
        <v>6.3919835051352028E-2</v>
      </c>
      <c r="AU125" s="146">
        <f>AU30/(AU30+RD!AU29)</f>
        <v>6.6643487922775052E-2</v>
      </c>
      <c r="AV125" s="146">
        <f>AV30/(AV30+RD!AV29)</f>
        <v>6.4194583881578365E-2</v>
      </c>
      <c r="AW125" s="146">
        <f>AW30/(AW30+RD!AW29)</f>
        <v>6.312187939974527E-2</v>
      </c>
      <c r="AX125" s="146">
        <f>AX30/(AX30+RD!AX29)</f>
        <v>6.2079488310505145E-2</v>
      </c>
      <c r="AY125" s="146">
        <f>AY30/(AY30+RD!AY29)</f>
        <v>6.087171517342467E-2</v>
      </c>
    </row>
    <row r="126" spans="1:51" x14ac:dyDescent="0.2">
      <c r="A126" s="19" t="s">
        <v>168</v>
      </c>
      <c r="L126" s="146">
        <f>L31/(L31+RD!L30)</f>
        <v>0.93084169840993147</v>
      </c>
      <c r="M126" s="146">
        <f>M31/(M31+RD!M30)</f>
        <v>0.93940703050152496</v>
      </c>
      <c r="N126" s="146">
        <f>N31/(N31+RD!N30)</f>
        <v>0.8910403962258947</v>
      </c>
      <c r="O126" s="146">
        <f>O31/(O31+RD!O30)</f>
        <v>0.90159304102863802</v>
      </c>
      <c r="P126" s="146">
        <f>P31/(P31+RD!P30)</f>
        <v>0.89273074138213382</v>
      </c>
      <c r="Q126" s="146">
        <f>Q31/(Q31+RD!Q30)</f>
        <v>0.87605028764766824</v>
      </c>
      <c r="R126" s="146">
        <f>R31/(R31+RD!R30)</f>
        <v>0.88436178817132105</v>
      </c>
      <c r="S126" s="146">
        <f>S31/(S31+RD!S30)</f>
        <v>0.94147775766244146</v>
      </c>
      <c r="T126" s="146">
        <f>T31/(T31+RD!T30)</f>
        <v>0.78546687824978689</v>
      </c>
      <c r="U126" s="146">
        <f>U31/(U31+RD!U30)</f>
        <v>0.77708048351443004</v>
      </c>
      <c r="V126" s="146">
        <f>V31/(V31+RD!V30)</f>
        <v>0.67881935207528199</v>
      </c>
      <c r="W126" s="146">
        <f>W31/(W31+RD!W30)</f>
        <v>0.55794695214375789</v>
      </c>
      <c r="X126" s="146">
        <f>X31/(X31+RD!X30)</f>
        <v>0.43822253275282669</v>
      </c>
      <c r="Y126" s="146">
        <f>Y31/(Y31+RD!Y30)</f>
        <v>0.33229105932722264</v>
      </c>
      <c r="Z126" s="146">
        <f>Z31/(Z31+RD!Z30)</f>
        <v>0.41707223052759484</v>
      </c>
      <c r="AA126" s="146">
        <f>AA31/(AA31+RD!AA30)</f>
        <v>0.37424244832332909</v>
      </c>
      <c r="AB126" s="146">
        <f>AB31/(AB31+RD!AB30)</f>
        <v>0.35317582462113506</v>
      </c>
      <c r="AC126" s="146">
        <f>AC31/(AC31+RD!AC30)</f>
        <v>0.29971273565721085</v>
      </c>
      <c r="AD126" s="146">
        <f>AD31/(AD31+RD!AD30)</f>
        <v>0.32884032362045584</v>
      </c>
      <c r="AE126" s="146">
        <f>AE31/(AE31+RD!AE30)</f>
        <v>0.32113524413592265</v>
      </c>
      <c r="AF126" s="146">
        <f>AF31/(AF31+RD!AF30)</f>
        <v>0.30238406263328477</v>
      </c>
      <c r="AG126" s="146">
        <f>AG31/(AG31+RD!AG30)</f>
        <v>0.27897944602003533</v>
      </c>
      <c r="AH126" s="146">
        <f>AH31/(AH31+RD!AH30)</f>
        <v>0.26759297507039831</v>
      </c>
      <c r="AI126" s="146">
        <f>AI31/(AI31+RD!AI30)</f>
        <v>0.26857120748522167</v>
      </c>
      <c r="AJ126" s="146">
        <f>AJ31/(AJ31+RD!AJ30)</f>
        <v>0.24974434681433977</v>
      </c>
      <c r="AK126" s="146">
        <f>AK31/(AK31+RD!AK30)</f>
        <v>0.20522596067006268</v>
      </c>
      <c r="AL126" s="146">
        <f>AL31/(AL31+RD!AL30)</f>
        <v>0.15560591547990849</v>
      </c>
      <c r="AM126" s="146">
        <f>AM31/(AM31+RD!AM30)</f>
        <v>0.14087803854839856</v>
      </c>
      <c r="AN126" s="146">
        <f>AN31/(AN31+RD!AN30)</f>
        <v>0.1197818737547235</v>
      </c>
      <c r="AO126" s="146">
        <f>AO31/(AO31+RD!AO30)</f>
        <v>8.5394424222607984E-2</v>
      </c>
      <c r="AP126" s="146">
        <f>AP31/(AP31+RD!AP30)</f>
        <v>8.8940147417397322E-2</v>
      </c>
      <c r="AQ126" s="146">
        <f>AQ31/(AQ31+RD!AQ30)</f>
        <v>8.3432212500543293E-2</v>
      </c>
      <c r="AR126" s="146">
        <f>AR31/(AR31+RD!AR30)</f>
        <v>6.5125964674557502E-2</v>
      </c>
      <c r="AS126" s="146">
        <f>AS31/(AS31+RD!AS30)</f>
        <v>6.4600447383569529E-2</v>
      </c>
      <c r="AT126" s="146">
        <f>AT31/(AT31+RD!AT30)</f>
        <v>6.51661088261207E-2</v>
      </c>
      <c r="AU126" s="146">
        <f>AU31/(AU31+RD!AU30)</f>
        <v>6.7958737366335162E-2</v>
      </c>
      <c r="AV126" s="146">
        <f>AV31/(AV31+RD!AV30)</f>
        <v>6.5443923795576023E-2</v>
      </c>
      <c r="AW126" s="146">
        <f>AW31/(AW31+RD!AW30)</f>
        <v>6.4352104992104378E-2</v>
      </c>
      <c r="AX126" s="146">
        <f>AX31/(AX31+RD!AX30)</f>
        <v>6.3290481852707609E-2</v>
      </c>
      <c r="AY126" s="146">
        <f>AY31/(AY31+RD!AY30)</f>
        <v>6.2049439596608046E-2</v>
      </c>
    </row>
    <row r="127" spans="1:51" x14ac:dyDescent="0.2">
      <c r="A127" s="19" t="s">
        <v>169</v>
      </c>
      <c r="L127" s="146">
        <f>L32/(L32+RD!L31)</f>
        <v>0.92280212891169822</v>
      </c>
      <c r="M127" s="146">
        <f>M32/(M32+RD!M31)</f>
        <v>0.94617640537287251</v>
      </c>
      <c r="N127" s="146">
        <f>N32/(N32+RD!N31)</f>
        <v>0.89488842468588792</v>
      </c>
      <c r="O127" s="146">
        <f>O32/(O32+RD!O31)</f>
        <v>0.98422231666852988</v>
      </c>
      <c r="P127" s="146">
        <f>P32/(P32+RD!P31)</f>
        <v>0.8926850072035909</v>
      </c>
      <c r="Q127" s="146">
        <f>Q32/(Q32+RD!Q31)</f>
        <v>0.86698606719402738</v>
      </c>
      <c r="R127" s="146">
        <f>R32/(R32+RD!R31)</f>
        <v>0.86459296695453525</v>
      </c>
      <c r="S127" s="146">
        <f>S32/(S32+RD!S31)</f>
        <v>0.91851451615247259</v>
      </c>
      <c r="T127" s="146">
        <f>T32/(T32+RD!T31)</f>
        <v>0.83577794743415967</v>
      </c>
      <c r="U127" s="146">
        <f>U32/(U32+RD!U31)</f>
        <v>0.79599239351468021</v>
      </c>
      <c r="V127" s="146">
        <f>V32/(V32+RD!V31)</f>
        <v>0.65231521592605024</v>
      </c>
      <c r="W127" s="146">
        <f>W32/(W32+RD!W31)</f>
        <v>0.55396953508144808</v>
      </c>
      <c r="X127" s="146">
        <f>X32/(X32+RD!X31)</f>
        <v>0.39170371705981233</v>
      </c>
      <c r="Y127" s="146">
        <f>Y32/(Y32+RD!Y31)</f>
        <v>0.34729101641471916</v>
      </c>
      <c r="Z127" s="146">
        <f>Z32/(Z32+RD!Z31)</f>
        <v>0.42216589675739052</v>
      </c>
      <c r="AA127" s="146">
        <f>AA32/(AA32+RD!AA31)</f>
        <v>0.37811142850213808</v>
      </c>
      <c r="AB127" s="146">
        <f>AB32/(AB32+RD!AB31)</f>
        <v>0.3563351257594114</v>
      </c>
      <c r="AC127" s="146">
        <f>AC32/(AC32+RD!AC31)</f>
        <v>0.29995485309182607</v>
      </c>
      <c r="AD127" s="146">
        <f>AD32/(AD32+RD!AD31)</f>
        <v>0.3272757788542931</v>
      </c>
      <c r="AE127" s="146">
        <f>AE32/(AE32+RD!AE31)</f>
        <v>0.32283831093902676</v>
      </c>
      <c r="AF127" s="146">
        <f>AF32/(AF32+RD!AF31)</f>
        <v>0.30371930439281009</v>
      </c>
      <c r="AG127" s="146">
        <f>AG32/(AG32+RD!AG31)</f>
        <v>0.28002289765198907</v>
      </c>
      <c r="AH127" s="146">
        <f>AH32/(AH32+RD!AH31)</f>
        <v>0.26816442675214508</v>
      </c>
      <c r="AI127" s="146">
        <f>AI32/(AI32+RD!AI31)</f>
        <v>0.26900054457778216</v>
      </c>
      <c r="AJ127" s="146">
        <f>AJ32/(AJ32+RD!AJ31)</f>
        <v>0.25051837074362759</v>
      </c>
      <c r="AK127" s="146">
        <f>AK32/(AK32+RD!AK31)</f>
        <v>0.20602338674272902</v>
      </c>
      <c r="AL127" s="146">
        <f>AL32/(AL32+RD!AL31)</f>
        <v>0.1562830064986977</v>
      </c>
      <c r="AM127" s="146">
        <f>AM32/(AM32+RD!AM31)</f>
        <v>0.14148327849648254</v>
      </c>
      <c r="AN127" s="146">
        <f>AN32/(AN32+RD!AN31)</f>
        <v>0.12021411646053862</v>
      </c>
      <c r="AO127" s="146">
        <f>AO32/(AO32+RD!AO31)</f>
        <v>8.5583027357979138E-2</v>
      </c>
      <c r="AP127" s="146">
        <f>AP32/(AP32+RD!AP31)</f>
        <v>8.9184285246193692E-2</v>
      </c>
      <c r="AQ127" s="146">
        <f>AQ32/(AQ32+RD!AQ31)</f>
        <v>8.3662676551593179E-2</v>
      </c>
      <c r="AR127" s="146">
        <f>AR32/(AR32+RD!AR31)</f>
        <v>6.531584238289373E-2</v>
      </c>
      <c r="AS127" s="146">
        <f>AS32/(AS32+RD!AS31)</f>
        <v>6.4788907388829003E-2</v>
      </c>
      <c r="AT127" s="146">
        <f>AT32/(AT32+RD!AT31)</f>
        <v>6.5353361896293455E-2</v>
      </c>
      <c r="AU127" s="146">
        <f>AU32/(AU32+RD!AU31)</f>
        <v>6.8107536425563275E-2</v>
      </c>
      <c r="AV127" s="146">
        <f>AV32/(AV32+RD!AV31)</f>
        <v>6.5641670042653921E-2</v>
      </c>
      <c r="AW127" s="146">
        <f>AW32/(AW32+RD!AW31)</f>
        <v>6.454539671565114E-2</v>
      </c>
      <c r="AX127" s="146">
        <f>AX32/(AX32+RD!AX31)</f>
        <v>6.3481396873777615E-2</v>
      </c>
      <c r="AY127" s="146">
        <f>AY32/(AY32+RD!AY31)</f>
        <v>6.2265561512781564E-2</v>
      </c>
    </row>
    <row r="128" spans="1:51" x14ac:dyDescent="0.2">
      <c r="A128" s="19" t="s">
        <v>170</v>
      </c>
      <c r="L128" s="146">
        <f>L33/(L33+RD!L32)</f>
        <v>0.95089288193069887</v>
      </c>
      <c r="M128" s="146">
        <f>M33/(M33+RD!M32)</f>
        <v>0.95605308082911145</v>
      </c>
      <c r="N128" s="146">
        <f>N33/(N33+RD!N32)</f>
        <v>0.87857986988517767</v>
      </c>
      <c r="O128" s="146">
        <f>O33/(O33+RD!O32)</f>
        <v>0.95440515378456581</v>
      </c>
      <c r="P128" s="146">
        <f>P33/(P33+RD!P32)</f>
        <v>0.89484555480376593</v>
      </c>
      <c r="Q128" s="146">
        <f>Q33/(Q33+RD!Q32)</f>
        <v>0.88416039993762707</v>
      </c>
      <c r="R128" s="146">
        <f>R33/(R33+RD!R32)</f>
        <v>0.87100995087775934</v>
      </c>
      <c r="S128" s="146">
        <f>S33/(S33+RD!S32)</f>
        <v>0.82960297992317367</v>
      </c>
      <c r="T128" s="146">
        <f>T33/(T33+RD!T32)</f>
        <v>0.77926825941547928</v>
      </c>
      <c r="U128" s="146">
        <f>U33/(U33+RD!U32)</f>
        <v>0.77723299026905468</v>
      </c>
      <c r="V128" s="146">
        <f>V33/(V33+RD!V32)</f>
        <v>0.71511213994440381</v>
      </c>
      <c r="W128" s="146">
        <f>W33/(W33+RD!W32)</f>
        <v>0.52643585266563597</v>
      </c>
      <c r="X128" s="146">
        <f>X33/(X33+RD!X32)</f>
        <v>0.38239243145959251</v>
      </c>
      <c r="Y128" s="146">
        <f>Y33/(Y33+RD!Y32)</f>
        <v>0.33931616916820695</v>
      </c>
      <c r="Z128" s="146">
        <f>Z33/(Z33+RD!Z32)</f>
        <v>0.40482199799484286</v>
      </c>
      <c r="AA128" s="146">
        <f>AA33/(AA33+RD!AA32)</f>
        <v>0.35959411589655665</v>
      </c>
      <c r="AB128" s="146">
        <f>AB33/(AB33+RD!AB32)</f>
        <v>0.33968587454321819</v>
      </c>
      <c r="AC128" s="146">
        <f>AC33/(AC33+RD!AC32)</f>
        <v>0.28566461288174655</v>
      </c>
      <c r="AD128" s="146">
        <f>AD33/(AD33+RD!AD32)</f>
        <v>0.31243135608113864</v>
      </c>
      <c r="AE128" s="146">
        <f>AE33/(AE33+RD!AE32)</f>
        <v>0.30735492027109862</v>
      </c>
      <c r="AF128" s="146">
        <f>AF33/(AF33+RD!AF32)</f>
        <v>0.28863788693315795</v>
      </c>
      <c r="AG128" s="146">
        <f>AG33/(AG33+RD!AG32)</f>
        <v>0.26589557621148979</v>
      </c>
      <c r="AH128" s="146">
        <f>AH33/(AH33+RD!AH32)</f>
        <v>0.25452723622224332</v>
      </c>
      <c r="AI128" s="146">
        <f>AI33/(AI33+RD!AI32)</f>
        <v>0.2553583617679131</v>
      </c>
      <c r="AJ128" s="146">
        <f>AJ33/(AJ33+RD!AJ32)</f>
        <v>0.23742354702824658</v>
      </c>
      <c r="AK128" s="146">
        <f>AK33/(AK33+RD!AK32)</f>
        <v>0.19458406730482231</v>
      </c>
      <c r="AL128" s="146">
        <f>AL33/(AL33+RD!AL32)</f>
        <v>0.14708912564091936</v>
      </c>
      <c r="AM128" s="146">
        <f>AM33/(AM33+RD!AM32)</f>
        <v>0.13302028198662472</v>
      </c>
      <c r="AN128" s="146">
        <f>AN33/(AN33+RD!AN32)</f>
        <v>0.11288928264556254</v>
      </c>
      <c r="AO128" s="146">
        <f>AO33/(AO33+RD!AO32)</f>
        <v>8.0223368939956879E-2</v>
      </c>
      <c r="AP128" s="146">
        <f>AP33/(AP33+RD!AP32)</f>
        <v>8.3600912254554349E-2</v>
      </c>
      <c r="AQ128" s="146">
        <f>AQ33/(AQ33+RD!AQ32)</f>
        <v>7.83950209259964E-2</v>
      </c>
      <c r="AR128" s="146">
        <f>AR33/(AR33+RD!AR32)</f>
        <v>6.1121345291057526E-2</v>
      </c>
      <c r="AS128" s="146">
        <f>AS33/(AS33+RD!AS32)</f>
        <v>6.0626384967952619E-2</v>
      </c>
      <c r="AT128" s="146">
        <f>AT33/(AT33+RD!AT32)</f>
        <v>6.1158351684416044E-2</v>
      </c>
      <c r="AU128" s="146">
        <f>AU33/(AU33+RD!AU32)</f>
        <v>6.3763883709726091E-2</v>
      </c>
      <c r="AV128" s="146">
        <f>AV33/(AV33+RD!AV32)</f>
        <v>6.1425731473748794E-2</v>
      </c>
      <c r="AW128" s="146">
        <f>AW33/(AW33+RD!AW32)</f>
        <v>6.0395590796382917E-2</v>
      </c>
      <c r="AX128" s="146">
        <f>AX33/(AX33+RD!AX32)</f>
        <v>5.9395386541545546E-2</v>
      </c>
      <c r="AY128" s="146">
        <f>AY33/(AY33+RD!AY32)</f>
        <v>5.8242813705854352E-2</v>
      </c>
    </row>
    <row r="129" spans="1:51" x14ac:dyDescent="0.2">
      <c r="A129" s="19" t="s">
        <v>171</v>
      </c>
      <c r="L129" s="146">
        <f>L34/(L34+RD!L33)</f>
        <v>0.94263449597852578</v>
      </c>
      <c r="M129" s="146">
        <f>M34/(M34+RD!M33)</f>
        <v>0.95442790851686321</v>
      </c>
      <c r="N129" s="146">
        <f>N34/(N34+RD!N33)</f>
        <v>0.87410183209673564</v>
      </c>
      <c r="O129" s="146">
        <f>O34/(O34+RD!O33)</f>
        <v>0.89179899901772708</v>
      </c>
      <c r="P129" s="146">
        <f>P34/(P34+RD!P33)</f>
        <v>0.88674813787258988</v>
      </c>
      <c r="Q129" s="146">
        <f>Q34/(Q34+RD!Q33)</f>
        <v>0.87393648964084203</v>
      </c>
      <c r="R129" s="146">
        <f>R34/(R34+RD!R33)</f>
        <v>0.85490790235275826</v>
      </c>
      <c r="S129" s="146">
        <f>S34/(S34+RD!S33)</f>
        <v>0.81450956688441778</v>
      </c>
      <c r="T129" s="146">
        <f>T34/(T34+RD!T33)</f>
        <v>0.75116643049983356</v>
      </c>
      <c r="U129" s="146">
        <f>U34/(U34+RD!U33)</f>
        <v>0.85556062300892544</v>
      </c>
      <c r="V129" s="146">
        <f>V34/(V34+RD!V33)</f>
        <v>0.64377486265304462</v>
      </c>
      <c r="W129" s="146">
        <f>W34/(W34+RD!W33)</f>
        <v>0.54838817823728636</v>
      </c>
      <c r="X129" s="146">
        <f>X34/(X34+RD!X33)</f>
        <v>0.40350522665375987</v>
      </c>
      <c r="Y129" s="146">
        <f>Y34/(Y34+RD!Y33)</f>
        <v>0.33768833551825866</v>
      </c>
      <c r="Z129" s="146">
        <f>Z34/(Z34+RD!Z33)</f>
        <v>0.38294150868358373</v>
      </c>
      <c r="AA129" s="146">
        <f>AA34/(AA34+RD!AA33)</f>
        <v>0.3436118353646615</v>
      </c>
      <c r="AB129" s="146">
        <f>AB34/(AB34+RD!AB33)</f>
        <v>0.32517379174520089</v>
      </c>
      <c r="AC129" s="146">
        <f>AC34/(AC34+RD!AC33)</f>
        <v>0.27412166954839406</v>
      </c>
      <c r="AD129" s="146">
        <f>AD34/(AD34+RD!AD33)</f>
        <v>0.30181993649738104</v>
      </c>
      <c r="AE129" s="146">
        <f>AE34/(AE34+RD!AE33)</f>
        <v>0.2931528570215618</v>
      </c>
      <c r="AF129" s="146">
        <f>AF34/(AF34+RD!AF33)</f>
        <v>0.27606626762767139</v>
      </c>
      <c r="AG129" s="146">
        <f>AG34/(AG34+RD!AG33)</f>
        <v>0.2541353418845585</v>
      </c>
      <c r="AH129" s="146">
        <f>AH34/(AH34+RD!AH33)</f>
        <v>0.24333359485894387</v>
      </c>
      <c r="AI129" s="146">
        <f>AI34/(AI34+RD!AI33)</f>
        <v>0.24420171892851034</v>
      </c>
      <c r="AJ129" s="146">
        <f>AJ34/(AJ34+RD!AJ33)</f>
        <v>0.22646022561314177</v>
      </c>
      <c r="AK129" s="146">
        <f>AK34/(AK34+RD!AK33)</f>
        <v>0.18512160760353574</v>
      </c>
      <c r="AL129" s="146">
        <f>AL34/(AL34+RD!AL33)</f>
        <v>0.13948077661034541</v>
      </c>
      <c r="AM129" s="146">
        <f>AM34/(AM34+RD!AM33)</f>
        <v>0.12602124356525984</v>
      </c>
      <c r="AN129" s="146">
        <f>AN34/(AN34+RD!AN33)</f>
        <v>0.10685556153839222</v>
      </c>
      <c r="AO129" s="146">
        <f>AO34/(AO34+RD!AO33)</f>
        <v>7.5827830592705203E-2</v>
      </c>
      <c r="AP129" s="146">
        <f>AP34/(AP34+RD!AP33)</f>
        <v>7.9023993162550002E-2</v>
      </c>
      <c r="AQ129" s="146">
        <f>AQ34/(AQ34+RD!AQ33)</f>
        <v>7.4069773043983864E-2</v>
      </c>
      <c r="AR129" s="146">
        <f>AR34/(AR34+RD!AR33)</f>
        <v>5.7655783348502576E-2</v>
      </c>
      <c r="AS129" s="146">
        <f>AS34/(AS34+RD!AS33)</f>
        <v>5.7185339954772242E-2</v>
      </c>
      <c r="AT129" s="146">
        <f>AT34/(AT34+RD!AT33)</f>
        <v>5.7692352440108188E-2</v>
      </c>
      <c r="AU129" s="146">
        <f>AU34/(AU34+RD!AU33)</f>
        <v>6.0192128910256409E-2</v>
      </c>
      <c r="AV129" s="146">
        <f>AV34/(AV34+RD!AV33)</f>
        <v>5.7941143444547094E-2</v>
      </c>
      <c r="AW129" s="146">
        <f>AW34/(AW34+RD!AW33)</f>
        <v>5.6964208560457016E-2</v>
      </c>
      <c r="AX129" s="146">
        <f>AX34/(AX34+RD!AX33)</f>
        <v>5.6015018418039193E-2</v>
      </c>
      <c r="AY129" s="146">
        <f>AY34/(AY34+RD!AY33)</f>
        <v>5.4906132844446426E-2</v>
      </c>
    </row>
    <row r="130" spans="1:51" x14ac:dyDescent="0.2">
      <c r="A130" s="19" t="s">
        <v>172</v>
      </c>
      <c r="L130" s="146">
        <f>L35/(L35+RD!L34)</f>
        <v>0.95285497061137159</v>
      </c>
      <c r="M130" s="146">
        <f>M35/(M35+RD!M34)</f>
        <v>0.92418131899565947</v>
      </c>
      <c r="N130" s="146">
        <f>N35/(N35+RD!N34)</f>
        <v>0.87710506368917285</v>
      </c>
      <c r="O130" s="146">
        <f>O35/(O35+RD!O34)</f>
        <v>0.85534412103854351</v>
      </c>
      <c r="P130" s="146">
        <f>P35/(P35+RD!P34)</f>
        <v>0.88403462718694692</v>
      </c>
      <c r="Q130" s="146">
        <f>Q35/(Q35+RD!Q34)</f>
        <v>0.83622785930228249</v>
      </c>
      <c r="R130" s="146">
        <f>R35/(R35+RD!R34)</f>
        <v>0.86446861001793118</v>
      </c>
      <c r="S130" s="146">
        <f>S35/(S35+RD!S34)</f>
        <v>0.7889892945713215</v>
      </c>
      <c r="T130" s="146">
        <f>T35/(T35+RD!T34)</f>
        <v>0.73700295275210004</v>
      </c>
      <c r="U130" s="146">
        <f>U35/(U35+RD!U34)</f>
        <v>0.74433021430564483</v>
      </c>
      <c r="V130" s="146">
        <f>V35/(V35+RD!V34)</f>
        <v>0.58033127816778984</v>
      </c>
      <c r="W130" s="146">
        <f>W35/(W35+RD!W34)</f>
        <v>0.45130359371623402</v>
      </c>
      <c r="X130" s="146">
        <f>X35/(X35+RD!X34)</f>
        <v>0.39794935153261457</v>
      </c>
      <c r="Y130" s="146">
        <f>Y35/(Y35+RD!Y34)</f>
        <v>0.33772012626243147</v>
      </c>
      <c r="Z130" s="146">
        <f>Z35/(Z35+RD!Z34)</f>
        <v>0.35648031483175535</v>
      </c>
      <c r="AA130" s="146">
        <f>AA35/(AA35+RD!AA34)</f>
        <v>0.29520313933418807</v>
      </c>
      <c r="AB130" s="146">
        <f>AB35/(AB35+RD!AB34)</f>
        <v>0.27599753316126008</v>
      </c>
      <c r="AC130" s="146">
        <f>AC35/(AC35+RD!AC34)</f>
        <v>0.22787337835784263</v>
      </c>
      <c r="AD130" s="146">
        <f>AD35/(AD35+RD!AD34)</f>
        <v>0.25252600365960892</v>
      </c>
      <c r="AE130" s="146">
        <f>AE35/(AE35+RD!AE34)</f>
        <v>0.24711315412323326</v>
      </c>
      <c r="AF130" s="146">
        <f>AF35/(AF35+RD!AF34)</f>
        <v>0.23143455538282517</v>
      </c>
      <c r="AG130" s="146">
        <f>AG35/(AG35+RD!AG34)</f>
        <v>0.21148220401177986</v>
      </c>
      <c r="AH130" s="146">
        <f>AH35/(AH35+RD!AH34)</f>
        <v>0.20183880267192891</v>
      </c>
      <c r="AI130" s="146">
        <f>AI35/(AI35+RD!AI34)</f>
        <v>0.20282884314623831</v>
      </c>
      <c r="AJ130" s="146">
        <f>AJ35/(AJ35+RD!AJ34)</f>
        <v>0.18756631633251145</v>
      </c>
      <c r="AK130" s="146">
        <f>AK35/(AK35+RD!AK34)</f>
        <v>0.15177022835485768</v>
      </c>
      <c r="AL130" s="146">
        <f>AL35/(AL35+RD!AL34)</f>
        <v>0.11313357508352617</v>
      </c>
      <c r="AM130" s="146">
        <f>AM35/(AM35+RD!AM34)</f>
        <v>0.10191549091925033</v>
      </c>
      <c r="AN130" s="146">
        <f>AN35/(AN35+RD!AN34)</f>
        <v>8.6110725047931519E-2</v>
      </c>
      <c r="AO130" s="146">
        <f>AO35/(AO35+RD!AO34)</f>
        <v>6.0740668670680023E-2</v>
      </c>
      <c r="AP130" s="146">
        <f>AP35/(AP35+RD!AP34)</f>
        <v>6.3314308084810561E-2</v>
      </c>
      <c r="AQ130" s="146">
        <f>AQ35/(AQ35+RD!AQ34)</f>
        <v>5.9274842599713447E-2</v>
      </c>
      <c r="AR130" s="146">
        <f>AR35/(AR35+RD!AR34)</f>
        <v>4.5974422883889469E-2</v>
      </c>
      <c r="AS130" s="146">
        <f>AS35/(AS35+RD!AS34)</f>
        <v>4.5598787895196606E-2</v>
      </c>
      <c r="AT130" s="146">
        <f>AT35/(AT35+RD!AT34)</f>
        <v>4.6008477206731895E-2</v>
      </c>
      <c r="AU130" s="146">
        <f>AU35/(AU35+RD!AU34)</f>
        <v>4.8037410216337707E-2</v>
      </c>
      <c r="AV130" s="146">
        <f>AV35/(AV35+RD!AV34)</f>
        <v>4.6204434913244136E-2</v>
      </c>
      <c r="AW130" s="146">
        <f>AW35/(AW35+RD!AW34)</f>
        <v>4.5416832025726911E-2</v>
      </c>
      <c r="AX130" s="146">
        <f>AX35/(AX35+RD!AX34)</f>
        <v>4.4650987336520183E-2</v>
      </c>
      <c r="AY130" s="146">
        <f>AY35/(AY35+RD!AY34)</f>
        <v>4.3748959134187297E-2</v>
      </c>
    </row>
    <row r="131" spans="1:51" x14ac:dyDescent="0.2">
      <c r="A131" s="19" t="s">
        <v>173</v>
      </c>
      <c r="L131" s="146">
        <f>L36/(L36+RD!L35)</f>
        <v>0.95877972536027289</v>
      </c>
      <c r="M131" s="146">
        <f>M36/(M36+RD!M35)</f>
        <v>0.9388057930853817</v>
      </c>
      <c r="N131" s="146">
        <f>N36/(N36+RD!N35)</f>
        <v>0.92051601565128682</v>
      </c>
      <c r="O131" s="146">
        <f>O36/(O36+RD!O35)</f>
        <v>0.87746803488192393</v>
      </c>
      <c r="P131" s="146">
        <f>P36/(P36+RD!P35)</f>
        <v>0.89207205105261278</v>
      </c>
      <c r="Q131" s="146">
        <f>Q36/(Q36+RD!Q35)</f>
        <v>0.87328784825002936</v>
      </c>
      <c r="R131" s="146">
        <f>R36/(R36+RD!R35)</f>
        <v>0.86431844382159806</v>
      </c>
      <c r="S131" s="146">
        <f>S36/(S36+RD!S35)</f>
        <v>0.79480416547123733</v>
      </c>
      <c r="T131" s="146">
        <f>T36/(T36+RD!T35)</f>
        <v>0.72558846208074768</v>
      </c>
      <c r="U131" s="146">
        <f>U36/(U36+RD!U35)</f>
        <v>0.7526287531294823</v>
      </c>
      <c r="V131" s="146">
        <f>V36/(V36+RD!V35)</f>
        <v>0.58352347846142349</v>
      </c>
      <c r="W131" s="146">
        <f>W36/(W36+RD!W35)</f>
        <v>0.48635753517094632</v>
      </c>
      <c r="X131" s="146">
        <f>X36/(X36+RD!X35)</f>
        <v>0.33079838127662425</v>
      </c>
      <c r="Y131" s="146">
        <f>Y36/(Y36+RD!Y35)</f>
        <v>0.35762126396157445</v>
      </c>
      <c r="Z131" s="146">
        <f>Z36/(Z36+RD!Z35)</f>
        <v>0.47713707110713782</v>
      </c>
      <c r="AA131" s="146">
        <f>AA36/(AA36+RD!AA35)</f>
        <v>0.2956610414589545</v>
      </c>
      <c r="AB131" s="146">
        <f>AB36/(AB36+RD!AB35)</f>
        <v>0.30301321537718162</v>
      </c>
      <c r="AC131" s="146">
        <f>AC36/(AC36+RD!AC35)</f>
        <v>0.26018534596012644</v>
      </c>
      <c r="AD131" s="146">
        <f>AD36/(AD36+RD!AD35)</f>
        <v>0.29854371322489553</v>
      </c>
      <c r="AE131" s="146">
        <f>AE36/(AE36+RD!AE35)</f>
        <v>0.29619469423122219</v>
      </c>
      <c r="AF131" s="146">
        <f>AF36/(AF36+RD!AF35)</f>
        <v>0.26073659596035892</v>
      </c>
      <c r="AG131" s="146">
        <f>AG36/(AG36+RD!AG35)</f>
        <v>0.24470295333475647</v>
      </c>
      <c r="AH131" s="146">
        <f>AH36/(AH36+RD!AH35)</f>
        <v>0.21193080269428652</v>
      </c>
      <c r="AI131" s="146">
        <f>AI36/(AI36+RD!AI35)</f>
        <v>0.22483729054426055</v>
      </c>
      <c r="AJ131" s="146">
        <f>AJ36/(AJ36+RD!AJ35)</f>
        <v>0.20585371022785209</v>
      </c>
      <c r="AK131" s="146">
        <f>AK36/(AK36+RD!AK35)</f>
        <v>0.16962920630765796</v>
      </c>
      <c r="AL131" s="146">
        <f>AL36/(AL36+RD!AL35)</f>
        <v>0.12646939510362995</v>
      </c>
      <c r="AM131" s="146">
        <f>AM36/(AM36+RD!AM35)</f>
        <v>0.11251351348691872</v>
      </c>
      <c r="AN131" s="146">
        <f>AN36/(AN36+RD!AN35)</f>
        <v>9.6263545537044096E-2</v>
      </c>
      <c r="AO131" s="146">
        <f>AO36/(AO36+RD!AO35)</f>
        <v>6.7921184006418181E-2</v>
      </c>
      <c r="AP131" s="146">
        <f>AP36/(AP36+RD!AP35)</f>
        <v>7.0931530050458963E-2</v>
      </c>
      <c r="AQ131" s="146">
        <f>AQ36/(AQ36+RD!AQ35)</f>
        <v>6.6256168439754265E-2</v>
      </c>
      <c r="AR131" s="146">
        <f>AR36/(AR36+RD!AR35)</f>
        <v>5.1331815543753476E-2</v>
      </c>
      <c r="AS131" s="146">
        <f>AS36/(AS36+RD!AS35)</f>
        <v>5.1044698800246049E-2</v>
      </c>
      <c r="AT131" s="146">
        <f>AT36/(AT36+RD!AT35)</f>
        <v>5.1480430535832955E-2</v>
      </c>
      <c r="AU131" s="146">
        <f>AU36/(AU36+RD!AU35)</f>
        <v>5.3743118099415642E-2</v>
      </c>
      <c r="AV131" s="146">
        <f>AV36/(AV36+RD!AV35)</f>
        <v>5.1677629669869503E-2</v>
      </c>
      <c r="AW131" s="146">
        <f>AW36/(AW36+RD!AW35)</f>
        <v>5.0798075736184445E-2</v>
      </c>
      <c r="AX131" s="146">
        <f>AX36/(AX36+RD!AX35)</f>
        <v>4.9958731244605925E-2</v>
      </c>
      <c r="AY131" s="146">
        <f>AY36/(AY36+RD!AY35)</f>
        <v>4.8949237161623999E-2</v>
      </c>
    </row>
    <row r="132" spans="1:51" x14ac:dyDescent="0.2">
      <c r="A132" s="19" t="s">
        <v>181</v>
      </c>
      <c r="L132" s="146">
        <f>L37/(L37+RD!L36)</f>
        <v>0.94355426695849232</v>
      </c>
      <c r="M132" s="146">
        <f>M37/(M37+RD!M36)</f>
        <v>0.95099718358401542</v>
      </c>
      <c r="N132" s="146">
        <f>N37/(N37+RD!N36)</f>
        <v>0.92436917991416057</v>
      </c>
      <c r="O132" s="146">
        <f>O37/(O37+RD!O36)</f>
        <v>0.89147151987494089</v>
      </c>
      <c r="P132" s="146">
        <f>P37/(P37+RD!P36)</f>
        <v>0.87642715217086498</v>
      </c>
      <c r="Q132" s="146">
        <f>Q37/(Q37+RD!Q36)</f>
        <v>0.87117884539038359</v>
      </c>
      <c r="R132" s="146">
        <f>R37/(R37+RD!R36)</f>
        <v>0.86009787549887218</v>
      </c>
      <c r="S132" s="146">
        <f>S37/(S37+RD!S36)</f>
        <v>0.85863335249904538</v>
      </c>
      <c r="T132" s="146">
        <f>T37/(T37+RD!T36)</f>
        <v>0.77690068130344303</v>
      </c>
      <c r="U132" s="146">
        <f>U37/(U37+RD!U36)</f>
        <v>0.77378204616840296</v>
      </c>
      <c r="V132" s="146">
        <f>V37/(V37+RD!V36)</f>
        <v>0.66846499140018445</v>
      </c>
      <c r="W132" s="146">
        <f>W37/(W37+RD!W36)</f>
        <v>0.5268037560458102</v>
      </c>
      <c r="X132" s="146">
        <f>X37/(X37+RD!X36)</f>
        <v>0.40784640917641157</v>
      </c>
      <c r="Y132" s="146">
        <f>Y37/(Y37+RD!Y36)</f>
        <v>0.34733650749117068</v>
      </c>
      <c r="Z132" s="146">
        <f>Z37/(Z37+RD!Z36)</f>
        <v>0.38334993906275744</v>
      </c>
      <c r="AA132" s="146">
        <f>AA37/(AA37+RD!AA36)</f>
        <v>0.35226055280385637</v>
      </c>
      <c r="AB132" s="146">
        <f>AB37/(AB37+RD!AB36)</f>
        <v>0.33168693086518791</v>
      </c>
      <c r="AC132" s="146">
        <f>AC37/(AC37+RD!AC36)</f>
        <v>0.27968958794695742</v>
      </c>
      <c r="AD132" s="146">
        <f>AD37/(AD37+RD!AD36)</f>
        <v>0.30750212532457055</v>
      </c>
      <c r="AE132" s="146">
        <f>AE37/(AE37+RD!AE36)</f>
        <v>0.300220840234594</v>
      </c>
      <c r="AF132" s="146">
        <f>AF37/(AF37+RD!AF36)</f>
        <v>0.28237558157916531</v>
      </c>
      <c r="AG132" s="146">
        <f>AG37/(AG37+RD!AG36)</f>
        <v>0.2598744990917683</v>
      </c>
      <c r="AH132" s="146">
        <f>AH37/(AH37+RD!AH36)</f>
        <v>0.24892077040170496</v>
      </c>
      <c r="AI132" s="146">
        <f>AI37/(AI37+RD!AI36)</f>
        <v>0.2498453025480028</v>
      </c>
      <c r="AJ132" s="146">
        <f>AJ37/(AJ37+RD!AJ36)</f>
        <v>0.23194695903359636</v>
      </c>
      <c r="AK132" s="146">
        <f>AK37/(AK37+RD!AK36)</f>
        <v>0.18980610643442314</v>
      </c>
      <c r="AL132" s="146">
        <f>AL37/(AL37+RD!AL36)</f>
        <v>0.14321687466703351</v>
      </c>
      <c r="AM132" s="146">
        <f>AM37/(AM37+RD!AM36)</f>
        <v>0.12946862981536644</v>
      </c>
      <c r="AN132" s="146">
        <f>AN37/(AN37+RD!AN36)</f>
        <v>0.1098487615220291</v>
      </c>
      <c r="AO132" s="146">
        <f>AO37/(AO37+RD!AO36)</f>
        <v>7.8030720815645563E-2</v>
      </c>
      <c r="AP132" s="146">
        <f>AP37/(AP37+RD!AP36)</f>
        <v>8.1305664367504055E-2</v>
      </c>
      <c r="AQ132" s="146">
        <f>AQ37/(AQ37+RD!AQ36)</f>
        <v>7.6224181901094645E-2</v>
      </c>
      <c r="AR132" s="146">
        <f>AR37/(AR37+RD!AR36)</f>
        <v>5.937912839463845E-2</v>
      </c>
      <c r="AS132" s="146">
        <f>AS37/(AS37+RD!AS36)</f>
        <v>5.8896753187168818E-2</v>
      </c>
      <c r="AT132" s="146">
        <f>AT37/(AT37+RD!AT36)</f>
        <v>5.9416442763267886E-2</v>
      </c>
      <c r="AU132" s="146">
        <f>AU37/(AU37+RD!AU36)</f>
        <v>6.197828263740341E-2</v>
      </c>
      <c r="AV132" s="146">
        <f>AV37/(AV37+RD!AV36)</f>
        <v>5.9672309035901504E-2</v>
      </c>
      <c r="AW132" s="146">
        <f>AW37/(AW37+RD!AW36)</f>
        <v>5.8669249482626529E-2</v>
      </c>
      <c r="AX132" s="146">
        <f>AX37/(AX37+RD!AX36)</f>
        <v>5.769438732553988E-2</v>
      </c>
      <c r="AY132" s="146">
        <f>AY37/(AY37+RD!AY36)</f>
        <v>5.6557737448822414E-2</v>
      </c>
    </row>
    <row r="133" spans="1:51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ht="12" thickBot="1" x14ac:dyDescent="0.25">
      <c r="A134" s="121" t="s">
        <v>183</v>
      </c>
    </row>
    <row r="135" spans="1:51" ht="12" thickBot="1" x14ac:dyDescent="0.25">
      <c r="A135" s="122"/>
      <c r="B135" s="128">
        <v>2001</v>
      </c>
      <c r="C135" s="128">
        <v>2002</v>
      </c>
      <c r="D135" s="128">
        <v>2003</v>
      </c>
      <c r="E135" s="128">
        <v>2004</v>
      </c>
      <c r="F135" s="128">
        <v>2005</v>
      </c>
      <c r="G135" s="128">
        <v>2006</v>
      </c>
      <c r="H135" s="128">
        <v>2007</v>
      </c>
      <c r="I135" s="128">
        <v>2008</v>
      </c>
      <c r="J135" s="128">
        <v>2009</v>
      </c>
      <c r="K135" s="128">
        <v>2010</v>
      </c>
      <c r="L135" s="128">
        <v>2011</v>
      </c>
      <c r="M135" s="128">
        <v>2012</v>
      </c>
      <c r="N135" s="128">
        <v>2013</v>
      </c>
      <c r="O135" s="128">
        <v>2014</v>
      </c>
      <c r="P135" s="128">
        <v>2015</v>
      </c>
      <c r="Q135" s="128">
        <v>2016</v>
      </c>
      <c r="R135" s="128">
        <v>2017</v>
      </c>
      <c r="S135" s="128">
        <v>2018</v>
      </c>
      <c r="T135" s="128">
        <v>2019</v>
      </c>
      <c r="U135" s="128">
        <v>2020</v>
      </c>
      <c r="V135" s="128">
        <v>2021</v>
      </c>
      <c r="W135" s="128">
        <v>2022</v>
      </c>
      <c r="X135" s="128">
        <v>2023</v>
      </c>
      <c r="Y135" s="128">
        <v>2024</v>
      </c>
      <c r="Z135" s="128">
        <v>2025</v>
      </c>
      <c r="AA135" s="128">
        <v>2026</v>
      </c>
      <c r="AB135" s="128">
        <v>2027</v>
      </c>
      <c r="AC135" s="128">
        <v>2028</v>
      </c>
      <c r="AD135" s="128">
        <v>2029</v>
      </c>
      <c r="AE135" s="128">
        <v>2030</v>
      </c>
      <c r="AF135" s="128">
        <v>2031</v>
      </c>
      <c r="AG135" s="128">
        <v>2032</v>
      </c>
      <c r="AH135" s="128">
        <v>2033</v>
      </c>
      <c r="AI135" s="128">
        <f t="shared" ref="AI135:AY135" si="54">AI2</f>
        <v>2034</v>
      </c>
      <c r="AJ135" s="128">
        <f t="shared" si="54"/>
        <v>2035</v>
      </c>
      <c r="AK135" s="128">
        <f t="shared" si="54"/>
        <v>2036</v>
      </c>
      <c r="AL135" s="128">
        <f t="shared" si="54"/>
        <v>2037</v>
      </c>
      <c r="AM135" s="128">
        <f t="shared" si="54"/>
        <v>2038</v>
      </c>
      <c r="AN135" s="128">
        <f t="shared" si="54"/>
        <v>2039</v>
      </c>
      <c r="AO135" s="128">
        <f t="shared" si="54"/>
        <v>2040</v>
      </c>
      <c r="AP135" s="128">
        <f t="shared" si="54"/>
        <v>2041</v>
      </c>
      <c r="AQ135" s="128">
        <f t="shared" si="54"/>
        <v>2042</v>
      </c>
      <c r="AR135" s="128">
        <f t="shared" si="54"/>
        <v>2043</v>
      </c>
      <c r="AS135" s="128">
        <f t="shared" si="54"/>
        <v>2044</v>
      </c>
      <c r="AT135" s="128">
        <f t="shared" si="54"/>
        <v>2045</v>
      </c>
      <c r="AU135" s="128">
        <f t="shared" si="54"/>
        <v>2046</v>
      </c>
      <c r="AV135" s="128">
        <f t="shared" si="54"/>
        <v>2047</v>
      </c>
      <c r="AW135" s="128">
        <f t="shared" si="54"/>
        <v>2048</v>
      </c>
      <c r="AX135" s="128">
        <f t="shared" si="54"/>
        <v>2049</v>
      </c>
      <c r="AY135" s="128">
        <f t="shared" si="54"/>
        <v>2050</v>
      </c>
    </row>
    <row r="136" spans="1:51" x14ac:dyDescent="0.2">
      <c r="A136" s="19" t="s">
        <v>162</v>
      </c>
      <c r="B136" s="129">
        <f>'Monthly Data'!$I339*42/1000</f>
        <v>0.13519800000000001</v>
      </c>
      <c r="C136" s="129">
        <f>'Monthly Data'!$I351*42/1000</f>
        <v>0.15489600000000001</v>
      </c>
      <c r="D136" s="129">
        <f>'Monthly Data'!$I363*42/1000</f>
        <v>0.37363200000000008</v>
      </c>
      <c r="E136" s="129">
        <f>'Monthly Data'!$I375*42/1000</f>
        <v>0.21659399999999998</v>
      </c>
      <c r="F136" s="129">
        <f>'Monthly Data'!$I387*42/1000</f>
        <v>0.33012000000000002</v>
      </c>
      <c r="G136" s="129">
        <f>'Monthly Data'!$I399*42/1000</f>
        <v>1.1497920000000001</v>
      </c>
      <c r="H136" s="129">
        <f>'Monthly Data'!$I411*42/1000</f>
        <v>4.4531340000000004</v>
      </c>
      <c r="I136" s="129">
        <f>'Monthly Data'!$I423*42/1000</f>
        <v>47.759963999999997</v>
      </c>
      <c r="J136" s="129">
        <f>'Monthly Data'!$I435*42/1000</f>
        <v>49.934429999999999</v>
      </c>
      <c r="K136" s="129">
        <f>'Monthly Data'!$I447*42/1000</f>
        <v>12.86082</v>
      </c>
      <c r="L136" s="129">
        <f>'Monthly Data'!$I459*42/1000</f>
        <v>9.428706</v>
      </c>
      <c r="M136" s="129">
        <f>'Monthly Data'!$I471*42/1000</f>
        <v>10.852422000000001</v>
      </c>
      <c r="N136" s="129">
        <f>'Monthly Data'!$I482*42/1000</f>
        <v>6.0253200000000007</v>
      </c>
      <c r="O136" s="129">
        <f>'Monthly Data'!$I494*42/1000</f>
        <v>19.979525999999996</v>
      </c>
      <c r="P136" s="129">
        <f>'Monthly Data'!$I506*42/1000</f>
        <v>2.122512</v>
      </c>
      <c r="Q136" s="129">
        <f>'Monthly Data'!$I518*42/1000</f>
        <v>5.6062859999999999</v>
      </c>
      <c r="R136" s="129">
        <f>'Monthly Data'!$I530*42/1000</f>
        <v>3.375918</v>
      </c>
      <c r="S136" s="129">
        <f>'Monthly Data'!$I542*42/1000</f>
        <v>1.4778960000000001</v>
      </c>
      <c r="T136" s="129">
        <f>'Monthly Data'!$I554*42/1000</f>
        <v>3.2311019999999999</v>
      </c>
      <c r="U136" s="129">
        <f>'Monthly Data'!$I567*42/1000</f>
        <v>1.3223699999999998</v>
      </c>
      <c r="V136" s="129">
        <f>'Monthly Data'!$I579*42/1000</f>
        <v>6.9761160000000011</v>
      </c>
      <c r="W136" s="129">
        <f>'Monthly Data'!$I591*42/1000</f>
        <v>8.7742199999999997</v>
      </c>
      <c r="X136" s="129">
        <f>'Monthly Data'!$I603*42/1000</f>
        <v>6.8963580000000002</v>
      </c>
      <c r="Y136" s="129">
        <f>'Monthly Data'!$I615*42/1000</f>
        <v>5.1305940000000003</v>
      </c>
      <c r="Z136" s="133">
        <f t="shared" ref="Z136:Z146" si="55">Z$69*(SUM(T136:Y136)/SUM(T$69:Y$69))</f>
        <v>3.722934510826196</v>
      </c>
      <c r="AA136" s="133">
        <f t="shared" ref="AA136:AA146" si="56">AA$69*(SUM(U136:Z136)/SUM(U$69:Z$69))</f>
        <v>3.7289507619640054</v>
      </c>
      <c r="AB136" s="133">
        <f t="shared" ref="AB136:AQ146" si="57">AB$69*(SUM(V136:AA136)/SUM(V$69:AA$69))</f>
        <v>3.9002848650682553</v>
      </c>
      <c r="AC136" s="133">
        <f t="shared" si="57"/>
        <v>3.7666001000281648</v>
      </c>
      <c r="AD136" s="133">
        <f t="shared" si="57"/>
        <v>3.1304412134397333</v>
      </c>
      <c r="AE136" s="133">
        <f t="shared" si="57"/>
        <v>2.9052077872630742</v>
      </c>
      <c r="AF136" s="133">
        <f t="shared" si="57"/>
        <v>3.0850194722942916</v>
      </c>
      <c r="AG136" s="133">
        <f t="shared" si="57"/>
        <v>3.3948172417361371</v>
      </c>
      <c r="AH136" s="133">
        <f t="shared" si="57"/>
        <v>3.2647952570312682</v>
      </c>
      <c r="AI136" s="133">
        <f t="shared" si="57"/>
        <v>3.6742257653745618</v>
      </c>
      <c r="AJ136" s="133">
        <f t="shared" si="57"/>
        <v>3.2180387083989435</v>
      </c>
      <c r="AK136" s="133">
        <f t="shared" si="57"/>
        <v>3.2325285195952032</v>
      </c>
      <c r="AL136" s="133">
        <f t="shared" si="57"/>
        <v>3.3851612902362911</v>
      </c>
      <c r="AM136" s="133">
        <f t="shared" si="57"/>
        <v>4.1222472255943599</v>
      </c>
      <c r="AN136" s="133">
        <f t="shared" si="57"/>
        <v>3.3847248283331299</v>
      </c>
      <c r="AO136" s="133">
        <f t="shared" si="57"/>
        <v>3.5273163083970611</v>
      </c>
      <c r="AP136" s="133">
        <f t="shared" si="57"/>
        <v>3.8212706964396457</v>
      </c>
      <c r="AQ136" s="133">
        <f t="shared" si="57"/>
        <v>3.2356950349938711</v>
      </c>
      <c r="AR136" s="133">
        <f t="shared" ref="AR136:AY146" si="58">AR$69*(SUM(AL136:AQ136)/SUM(AL$69:AQ$69))</f>
        <v>2.2064810326021602</v>
      </c>
      <c r="AS136" s="133">
        <f t="shared" si="58"/>
        <v>3.0887857800982954</v>
      </c>
      <c r="AT136" s="133">
        <f t="shared" si="58"/>
        <v>3.0881660099095218</v>
      </c>
      <c r="AU136" s="133">
        <f t="shared" si="58"/>
        <v>3.0877675357461367</v>
      </c>
      <c r="AV136" s="133">
        <f t="shared" si="58"/>
        <v>3.0880276816316048</v>
      </c>
      <c r="AW136" s="133">
        <f t="shared" si="58"/>
        <v>3.0883750791290363</v>
      </c>
      <c r="AX136" s="133">
        <f t="shared" si="58"/>
        <v>3.0883305458454324</v>
      </c>
      <c r="AY136" s="133">
        <f t="shared" si="58"/>
        <v>3.2353012532692116</v>
      </c>
    </row>
    <row r="137" spans="1:51" x14ac:dyDescent="0.2">
      <c r="A137" s="19" t="s">
        <v>163</v>
      </c>
      <c r="B137" s="129">
        <f>'Monthly Data'!I340*42/1000</f>
        <v>0.21499799999999999</v>
      </c>
      <c r="C137" s="129">
        <f>'Monthly Data'!$I352*42/1000</f>
        <v>0.17203200000000002</v>
      </c>
      <c r="D137" s="129">
        <f>'Monthly Data'!$I364*42/1000</f>
        <v>0.39807599999999999</v>
      </c>
      <c r="E137" s="129">
        <f>'Monthly Data'!$I376*42/1000</f>
        <v>0.34578599999999998</v>
      </c>
      <c r="F137" s="129">
        <f>'Monthly Data'!$I388*42/1000</f>
        <v>0.33583200000000002</v>
      </c>
      <c r="G137" s="129">
        <f>'Monthly Data'!$I400*42/1000</f>
        <v>3.1169039999999999</v>
      </c>
      <c r="H137" s="129">
        <f>'Monthly Data'!$I412*42/1000</f>
        <v>7.5221160000000005</v>
      </c>
      <c r="I137" s="129">
        <f>'Monthly Data'!$I424*42/1000</f>
        <v>60.084360000000004</v>
      </c>
      <c r="J137" s="129">
        <f>'Monthly Data'!$I436*42/1000</f>
        <v>50.628774</v>
      </c>
      <c r="K137" s="129">
        <f>'Monthly Data'!$I448*42/1000</f>
        <v>6.0281339999999988</v>
      </c>
      <c r="L137" s="129">
        <f>'Monthly Data'!$I460*42/1000</f>
        <v>3.8309879999999996</v>
      </c>
      <c r="M137" s="129">
        <f>'Monthly Data'!$I472*42/1000</f>
        <v>5.2341239999999996</v>
      </c>
      <c r="N137" s="129">
        <f>'Monthly Data'!$I483*42/1000</f>
        <v>0.65868599999999999</v>
      </c>
      <c r="O137" s="129">
        <f>'Monthly Data'!$I495*42/1000</f>
        <v>5.6382899999999996</v>
      </c>
      <c r="P137" s="129">
        <f>'Monthly Data'!$I507*42/1000</f>
        <v>0.92118600000000006</v>
      </c>
      <c r="Q137" s="129">
        <f>'Monthly Data'!$I519*42/1000</f>
        <v>1.7818080000000001</v>
      </c>
      <c r="R137" s="129">
        <f>'Monthly Data'!$I531*42/1000</f>
        <v>1.7849159999999999</v>
      </c>
      <c r="S137" s="129">
        <f>'Monthly Data'!$I543*42/1000</f>
        <v>3.5398020000000003</v>
      </c>
      <c r="T137" s="129">
        <f>'Monthly Data'!$I555*42/1000</f>
        <v>3.5839020000000001</v>
      </c>
      <c r="U137" s="129">
        <f>'Monthly Data'!$I568*42/1000</f>
        <v>3.7482480000000002</v>
      </c>
      <c r="V137" s="129">
        <f>'Monthly Data'!$I580*42/1000</f>
        <v>5.1121979999999994</v>
      </c>
      <c r="W137" s="129">
        <f>'Monthly Data'!$I592*42/1000</f>
        <v>5.1998940000000005</v>
      </c>
      <c r="X137" s="129">
        <f>'Monthly Data'!$I604*42/1000</f>
        <v>6.2952960000000004</v>
      </c>
      <c r="Y137" s="129">
        <f>'Monthly Data'!$I616*42/1000</f>
        <v>8.9506200000000007</v>
      </c>
      <c r="Z137" s="133">
        <f t="shared" si="55"/>
        <v>3.7873500123327224</v>
      </c>
      <c r="AA137" s="133">
        <f t="shared" si="56"/>
        <v>3.7597404079254555</v>
      </c>
      <c r="AB137" s="133">
        <f t="shared" si="57"/>
        <v>3.6651247341320752</v>
      </c>
      <c r="AC137" s="133">
        <f t="shared" si="57"/>
        <v>3.7085762407516421</v>
      </c>
      <c r="AD137" s="133">
        <f t="shared" si="57"/>
        <v>3.4788208350459215</v>
      </c>
      <c r="AE137" s="133">
        <f t="shared" si="57"/>
        <v>3.3985786504518347</v>
      </c>
      <c r="AF137" s="133">
        <f t="shared" si="57"/>
        <v>3.1789028367599492</v>
      </c>
      <c r="AG137" s="133">
        <f t="shared" si="57"/>
        <v>3.5062165842916415</v>
      </c>
      <c r="AH137" s="133">
        <f t="shared" si="57"/>
        <v>3.3867414514082905</v>
      </c>
      <c r="AI137" s="133">
        <f t="shared" si="57"/>
        <v>3.8830519922385864</v>
      </c>
      <c r="AJ137" s="133">
        <f t="shared" si="57"/>
        <v>3.4459464037918566</v>
      </c>
      <c r="AK137" s="133">
        <f t="shared" si="57"/>
        <v>3.4405085279453198</v>
      </c>
      <c r="AL137" s="133">
        <f t="shared" si="57"/>
        <v>3.5507515505038505</v>
      </c>
      <c r="AM137" s="133">
        <f t="shared" si="57"/>
        <v>4.3355478998907104</v>
      </c>
      <c r="AN137" s="133">
        <f t="shared" si="57"/>
        <v>3.5702718309359724</v>
      </c>
      <c r="AO137" s="133">
        <f t="shared" si="57"/>
        <v>3.7302508876038534</v>
      </c>
      <c r="AP137" s="133">
        <f t="shared" si="57"/>
        <v>4.0415859480102858</v>
      </c>
      <c r="AQ137" s="133">
        <f t="shared" si="57"/>
        <v>3.4158641519697253</v>
      </c>
      <c r="AR137" s="133">
        <f t="shared" si="58"/>
        <v>2.3264663289980545</v>
      </c>
      <c r="AS137" s="133">
        <f t="shared" si="58"/>
        <v>3.2595632463447877</v>
      </c>
      <c r="AT137" s="133">
        <f t="shared" si="58"/>
        <v>3.2612522921459255</v>
      </c>
      <c r="AU137" s="133">
        <f t="shared" si="58"/>
        <v>3.2615088368722889</v>
      </c>
      <c r="AV137" s="133">
        <f t="shared" si="58"/>
        <v>3.2610401340568442</v>
      </c>
      <c r="AW137" s="133">
        <f t="shared" si="58"/>
        <v>3.2603272297366961</v>
      </c>
      <c r="AX137" s="133">
        <f t="shared" si="58"/>
        <v>3.2602776619270544</v>
      </c>
      <c r="AY137" s="133">
        <f t="shared" si="58"/>
        <v>3.4159311652685642</v>
      </c>
    </row>
    <row r="138" spans="1:51" x14ac:dyDescent="0.2">
      <c r="A138" s="19" t="s">
        <v>164</v>
      </c>
      <c r="B138" s="129">
        <f>'Monthly Data'!I341*42/1000</f>
        <v>0.208152</v>
      </c>
      <c r="C138" s="129">
        <f>'Monthly Data'!$I353*42/1000</f>
        <v>0.20605199999999999</v>
      </c>
      <c r="D138" s="129">
        <f>'Monthly Data'!$I365*42/1000</f>
        <v>0.35645399999999999</v>
      </c>
      <c r="E138" s="129">
        <f>'Monthly Data'!$I377*42/1000</f>
        <v>0.32906999999999997</v>
      </c>
      <c r="F138" s="129">
        <f>'Monthly Data'!$I389*42/1000</f>
        <v>1.0541160000000001</v>
      </c>
      <c r="G138" s="129">
        <f>'Monthly Data'!$I401*42/1000</f>
        <v>0.50421000000000005</v>
      </c>
      <c r="H138" s="129">
        <f>'Monthly Data'!$I413*42/1000</f>
        <v>12.709745999999999</v>
      </c>
      <c r="I138" s="129">
        <f>'Monthly Data'!$I425*42/1000</f>
        <v>50.867375999999993</v>
      </c>
      <c r="J138" s="129">
        <f>'Monthly Data'!$I437*42/1000</f>
        <v>8.8332300000000004</v>
      </c>
      <c r="K138" s="129">
        <f>'Monthly Data'!$I449*42/1000</f>
        <v>18.819024000000002</v>
      </c>
      <c r="L138" s="129">
        <f>'Monthly Data'!$I461*42/1000</f>
        <v>8.5641359999999978</v>
      </c>
      <c r="M138" s="129">
        <f>'Monthly Data'!$I473*42/1000</f>
        <v>7.9497600000000004</v>
      </c>
      <c r="N138" s="129">
        <f>'Monthly Data'!$I484*42/1000</f>
        <v>1.5536220000000001</v>
      </c>
      <c r="O138" s="129">
        <f>'Monthly Data'!$I496*42/1000</f>
        <v>5.908728</v>
      </c>
      <c r="P138" s="129">
        <f>'Monthly Data'!$I508*42/1000</f>
        <v>0.982128</v>
      </c>
      <c r="Q138" s="129">
        <f>'Monthly Data'!$I520*42/1000</f>
        <v>2.060772</v>
      </c>
      <c r="R138" s="129">
        <f>'Monthly Data'!$I532*42/1000</f>
        <v>2.4654000000000003</v>
      </c>
      <c r="S138" s="129">
        <f>'Monthly Data'!$I544*42/1000</f>
        <v>4.3386839999999998</v>
      </c>
      <c r="T138" s="129">
        <f>'Monthly Data'!$I556*42/1000</f>
        <v>3.840522</v>
      </c>
      <c r="U138" s="129">
        <f>'Monthly Data'!$I569*42/1000</f>
        <v>9.5801579999999991</v>
      </c>
      <c r="V138" s="129">
        <f>'Monthly Data'!$I581*42/1000</f>
        <v>11.204718000000002</v>
      </c>
      <c r="W138" s="129">
        <f>'Monthly Data'!$I593*42/1000</f>
        <v>7.1792280000000002</v>
      </c>
      <c r="X138" s="129">
        <f>'Monthly Data'!$I605*42/1000</f>
        <v>10.951164</v>
      </c>
      <c r="Y138" s="129">
        <f>'Monthly Data'!$I617*42/1000</f>
        <v>13.706112000000001</v>
      </c>
      <c r="Z138" s="133">
        <f t="shared" si="55"/>
        <v>6.5016709629679781</v>
      </c>
      <c r="AA138" s="133">
        <f t="shared" si="56"/>
        <v>6.7169266372020253</v>
      </c>
      <c r="AB138" s="133">
        <f t="shared" si="57"/>
        <v>6.2286253838233865</v>
      </c>
      <c r="AC138" s="133">
        <f t="shared" si="57"/>
        <v>6.0076271499094673</v>
      </c>
      <c r="AD138" s="133">
        <f t="shared" si="57"/>
        <v>5.7789239707063658</v>
      </c>
      <c r="AE138" s="133">
        <f t="shared" si="57"/>
        <v>5.5842939900263184</v>
      </c>
      <c r="AF138" s="133">
        <f t="shared" si="57"/>
        <v>5.3693015971343501</v>
      </c>
      <c r="AG138" s="133">
        <f t="shared" si="57"/>
        <v>5.9048278472118279</v>
      </c>
      <c r="AH138" s="133">
        <f t="shared" si="57"/>
        <v>5.6413176371607188</v>
      </c>
      <c r="AI138" s="133">
        <f t="shared" si="57"/>
        <v>6.4447917654415505</v>
      </c>
      <c r="AJ138" s="133">
        <f t="shared" si="57"/>
        <v>5.7437296975111645</v>
      </c>
      <c r="AK138" s="133">
        <f t="shared" si="57"/>
        <v>5.7379080884112064</v>
      </c>
      <c r="AL138" s="133">
        <f t="shared" si="57"/>
        <v>5.9360234263409541</v>
      </c>
      <c r="AM138" s="133">
        <f t="shared" si="57"/>
        <v>7.2367938462639989</v>
      </c>
      <c r="AN138" s="133">
        <f t="shared" si="57"/>
        <v>5.9509364972252161</v>
      </c>
      <c r="AO138" s="133">
        <f t="shared" si="57"/>
        <v>6.2182125853752321</v>
      </c>
      <c r="AP138" s="133">
        <f t="shared" si="57"/>
        <v>6.7423500540093109</v>
      </c>
      <c r="AQ138" s="133">
        <f t="shared" si="57"/>
        <v>5.6992393078614407</v>
      </c>
      <c r="AR138" s="133">
        <f t="shared" si="58"/>
        <v>3.8818721627133028</v>
      </c>
      <c r="AS138" s="133">
        <f t="shared" si="58"/>
        <v>5.437083286394337</v>
      </c>
      <c r="AT138" s="133">
        <f t="shared" si="58"/>
        <v>5.4391112348485171</v>
      </c>
      <c r="AU138" s="133">
        <f t="shared" si="58"/>
        <v>5.440118149265464</v>
      </c>
      <c r="AV138" s="133">
        <f t="shared" si="58"/>
        <v>5.4399623658487286</v>
      </c>
      <c r="AW138" s="133">
        <f t="shared" si="58"/>
        <v>5.4387199722774184</v>
      </c>
      <c r="AX138" s="133">
        <f t="shared" si="58"/>
        <v>5.4384517549858602</v>
      </c>
      <c r="AY138" s="133">
        <f t="shared" si="58"/>
        <v>5.6979034031718028</v>
      </c>
    </row>
    <row r="139" spans="1:51" x14ac:dyDescent="0.2">
      <c r="A139" s="19" t="s">
        <v>165</v>
      </c>
      <c r="B139" s="129">
        <f>'Monthly Data'!I342*42/1000</f>
        <v>0.16350600000000001</v>
      </c>
      <c r="C139" s="129">
        <f>'Monthly Data'!$I354*42/1000</f>
        <v>0.20302799999999999</v>
      </c>
      <c r="D139" s="129">
        <f>'Monthly Data'!$I366*42/1000</f>
        <v>0.48610799999999998</v>
      </c>
      <c r="E139" s="129">
        <f>'Monthly Data'!$I378*42/1000</f>
        <v>0.44939999999999997</v>
      </c>
      <c r="F139" s="129">
        <f>'Monthly Data'!$I390*42/1000</f>
        <v>0.73730999999999991</v>
      </c>
      <c r="G139" s="129">
        <f>'Monthly Data'!$I402*42/1000</f>
        <v>0.69677999999999995</v>
      </c>
      <c r="H139" s="129">
        <f>'Monthly Data'!$I414*42/1000</f>
        <v>26.284565999999998</v>
      </c>
      <c r="I139" s="129">
        <f>'Monthly Data'!$I426*42/1000</f>
        <v>69.119106000000002</v>
      </c>
      <c r="J139" s="129">
        <f>'Monthly Data'!$I438*42/1000</f>
        <v>6.6827039999999993</v>
      </c>
      <c r="K139" s="129">
        <f>'Monthly Data'!$I450*42/1000</f>
        <v>9.8431619999999995</v>
      </c>
      <c r="L139" s="129">
        <f>'Monthly Data'!$I462*42/1000</f>
        <v>9.6264000000000003</v>
      </c>
      <c r="M139" s="129">
        <f>'Monthly Data'!$I474*42/1000</f>
        <v>9.6762960000000007</v>
      </c>
      <c r="N139" s="129">
        <f>'Monthly Data'!$I485*42/1000</f>
        <v>7.3968720000000001</v>
      </c>
      <c r="O139" s="129">
        <f>'Monthly Data'!$I497*42/1000</f>
        <v>3.8391359999999999</v>
      </c>
      <c r="P139" s="129">
        <f>'Monthly Data'!$I509*42/1000</f>
        <v>8.0097780000000007</v>
      </c>
      <c r="Q139" s="129">
        <f>'Monthly Data'!$I521*42/1000</f>
        <v>9.812123999999999</v>
      </c>
      <c r="R139" s="129">
        <f>'Monthly Data'!$I533*42/1000</f>
        <v>5.7316979999999997</v>
      </c>
      <c r="S139" s="129">
        <f>'Monthly Data'!$I545*42/1000</f>
        <v>10.797402</v>
      </c>
      <c r="T139" s="129">
        <f>'Monthly Data'!$I557*42/1000</f>
        <v>9.4935539999999996</v>
      </c>
      <c r="U139" s="129">
        <f>'Monthly Data'!$I570*42/1000</f>
        <v>22.098719999999997</v>
      </c>
      <c r="V139" s="129">
        <f>'Monthly Data'!$I582*42/1000</f>
        <v>20.745858000000002</v>
      </c>
      <c r="W139" s="129">
        <f>'Monthly Data'!$I594*42/1000</f>
        <v>26.563445999999999</v>
      </c>
      <c r="X139" s="129">
        <f>'Monthly Data'!$I606*42/1000</f>
        <v>47.926788000000002</v>
      </c>
      <c r="Y139" s="129">
        <f>'Monthly Data'!$I618*42/1000</f>
        <v>17.967936000000002</v>
      </c>
      <c r="Z139" s="133">
        <f t="shared" si="55"/>
        <v>16.673506894233608</v>
      </c>
      <c r="AA139" s="133">
        <f t="shared" si="56"/>
        <v>17.265911317071136</v>
      </c>
      <c r="AB139" s="133">
        <f t="shared" si="57"/>
        <v>16.290514449715982</v>
      </c>
      <c r="AC139" s="133">
        <f t="shared" si="57"/>
        <v>16.715183742066383</v>
      </c>
      <c r="AD139" s="133">
        <f t="shared" si="57"/>
        <v>15.319073389920439</v>
      </c>
      <c r="AE139" s="133">
        <f t="shared" si="57"/>
        <v>12.454986120137189</v>
      </c>
      <c r="AF139" s="133">
        <f t="shared" si="57"/>
        <v>13.813213154000273</v>
      </c>
      <c r="AG139" s="133">
        <f t="shared" si="57"/>
        <v>15.199671150913396</v>
      </c>
      <c r="AH139" s="133">
        <f t="shared" si="57"/>
        <v>14.525280324621914</v>
      </c>
      <c r="AI139" s="133">
        <f t="shared" si="57"/>
        <v>16.546505240913458</v>
      </c>
      <c r="AJ139" s="133">
        <f t="shared" si="57"/>
        <v>14.533022905046217</v>
      </c>
      <c r="AK139" s="133">
        <f t="shared" si="57"/>
        <v>14.402999516570784</v>
      </c>
      <c r="AL139" s="133">
        <f t="shared" si="57"/>
        <v>15.166488316426069</v>
      </c>
      <c r="AM139" s="133">
        <f t="shared" si="57"/>
        <v>18.470591888509279</v>
      </c>
      <c r="AN139" s="133">
        <f t="shared" si="57"/>
        <v>15.167834002943787</v>
      </c>
      <c r="AO139" s="133">
        <f t="shared" si="57"/>
        <v>15.824465768460353</v>
      </c>
      <c r="AP139" s="133">
        <f t="shared" si="57"/>
        <v>17.131693396808934</v>
      </c>
      <c r="AQ139" s="133">
        <f t="shared" si="57"/>
        <v>14.490476736807</v>
      </c>
      <c r="AR139" s="133">
        <f t="shared" si="58"/>
        <v>9.8888578880091149</v>
      </c>
      <c r="AS139" s="133">
        <f t="shared" si="58"/>
        <v>13.843857342842812</v>
      </c>
      <c r="AT139" s="133">
        <f t="shared" si="58"/>
        <v>13.841915174452762</v>
      </c>
      <c r="AU139" s="133">
        <f t="shared" si="58"/>
        <v>13.840671259341086</v>
      </c>
      <c r="AV139" s="133">
        <f t="shared" si="58"/>
        <v>13.839578633043621</v>
      </c>
      <c r="AW139" s="133">
        <f t="shared" si="58"/>
        <v>13.840103286978714</v>
      </c>
      <c r="AX139" s="133">
        <f t="shared" si="58"/>
        <v>13.841622127316921</v>
      </c>
      <c r="AY139" s="133">
        <f t="shared" si="58"/>
        <v>14.500400413710084</v>
      </c>
    </row>
    <row r="140" spans="1:51" x14ac:dyDescent="0.2">
      <c r="A140" s="19" t="s">
        <v>166</v>
      </c>
      <c r="B140" s="129">
        <f>'Monthly Data'!I343*42/1000</f>
        <v>8.4671999999999997E-2</v>
      </c>
      <c r="C140" s="129">
        <f>'Monthly Data'!$I355*42/1000</f>
        <v>0.26644800000000002</v>
      </c>
      <c r="D140" s="129">
        <f>'Monthly Data'!$I367*42/1000</f>
        <v>0.48043799999999998</v>
      </c>
      <c r="E140" s="129">
        <f>'Monthly Data'!$I379*42/1000</f>
        <v>0.537138</v>
      </c>
      <c r="F140" s="129">
        <f>'Monthly Data'!$I391*42/1000</f>
        <v>0.42075600000000002</v>
      </c>
      <c r="G140" s="129">
        <f>'Monthly Data'!$I403*42/1000</f>
        <v>2.3338559999999999</v>
      </c>
      <c r="H140" s="129">
        <f>'Monthly Data'!$I415*42/1000</f>
        <v>23.555238000000003</v>
      </c>
      <c r="I140" s="129">
        <f>'Monthly Data'!$I427*42/1000</f>
        <v>59.208239999999996</v>
      </c>
      <c r="J140" s="129">
        <f>'Monthly Data'!$I439*42/1000</f>
        <v>18.095994000000001</v>
      </c>
      <c r="K140" s="129">
        <f>'Monthly Data'!$I451*42/1000</f>
        <v>10.919664000000001</v>
      </c>
      <c r="L140" s="129">
        <f>'Monthly Data'!$I463*42/1000</f>
        <v>8.3261639999999986</v>
      </c>
      <c r="M140" s="129">
        <f>'Monthly Data'!$I475*42/1000</f>
        <v>13.421520000000001</v>
      </c>
      <c r="N140" s="129">
        <f>'Monthly Data'!$I486*42/1000</f>
        <v>15.580698</v>
      </c>
      <c r="O140" s="129">
        <f>'Monthly Data'!$I498*42/1000</f>
        <v>10.965359999999999</v>
      </c>
      <c r="P140" s="129">
        <f>'Monthly Data'!$I510*42/1000</f>
        <v>10.085922</v>
      </c>
      <c r="Q140" s="129">
        <f>'Monthly Data'!$I522*42/1000</f>
        <v>10.31457</v>
      </c>
      <c r="R140" s="129">
        <f>'Monthly Data'!$I534*42/1000</f>
        <v>11.903220000000001</v>
      </c>
      <c r="S140" s="129">
        <f>'Monthly Data'!$I546*42/1000</f>
        <v>9.1337820000000001</v>
      </c>
      <c r="T140" s="129">
        <f>'Monthly Data'!$I558*42/1000</f>
        <v>15.539622</v>
      </c>
      <c r="U140" s="129">
        <f>'Monthly Data'!$I571*42/1000</f>
        <v>20.847918</v>
      </c>
      <c r="V140" s="129">
        <f>'Monthly Data'!$I583*42/1000</f>
        <v>23.683631999999999</v>
      </c>
      <c r="W140" s="129">
        <f>'Monthly Data'!$I595*42/1000</f>
        <v>29.374506</v>
      </c>
      <c r="X140" s="129">
        <f>'Monthly Data'!$I607*42/1000</f>
        <v>31.831212000000001</v>
      </c>
      <c r="Y140" s="129">
        <f>'Monthly Data'!$I619*42/1000</f>
        <v>21.155358</v>
      </c>
      <c r="Z140" s="133">
        <f t="shared" si="55"/>
        <v>16.401282603123324</v>
      </c>
      <c r="AA140" s="133">
        <f t="shared" si="56"/>
        <v>16.27951629640992</v>
      </c>
      <c r="AB140" s="133">
        <f t="shared" si="57"/>
        <v>15.358549312795667</v>
      </c>
      <c r="AC140" s="133">
        <f t="shared" si="57"/>
        <v>15.275744859616228</v>
      </c>
      <c r="AD140" s="133">
        <f t="shared" si="57"/>
        <v>13.41189289721191</v>
      </c>
      <c r="AE140" s="133">
        <f t="shared" si="57"/>
        <v>12.162998897778486</v>
      </c>
      <c r="AF140" s="133">
        <f t="shared" si="57"/>
        <v>12.963122793094767</v>
      </c>
      <c r="AG140" s="133">
        <f t="shared" si="57"/>
        <v>14.139510620927053</v>
      </c>
      <c r="AH140" s="133">
        <f t="shared" si="57"/>
        <v>13.476911958759784</v>
      </c>
      <c r="AI140" s="133">
        <f t="shared" si="57"/>
        <v>15.306425193118088</v>
      </c>
      <c r="AJ140" s="133">
        <f t="shared" si="57"/>
        <v>13.474729112327685</v>
      </c>
      <c r="AK140" s="133">
        <f t="shared" si="57"/>
        <v>13.485123072722775</v>
      </c>
      <c r="AL140" s="133">
        <f t="shared" si="57"/>
        <v>14.114473505717433</v>
      </c>
      <c r="AM140" s="133">
        <f t="shared" si="57"/>
        <v>17.167305525401744</v>
      </c>
      <c r="AN140" s="133">
        <f t="shared" si="57"/>
        <v>14.095593468064033</v>
      </c>
      <c r="AO140" s="133">
        <f t="shared" si="57"/>
        <v>14.709423755639458</v>
      </c>
      <c r="AP140" s="133">
        <f t="shared" si="57"/>
        <v>15.938118728427476</v>
      </c>
      <c r="AQ140" s="133">
        <f t="shared" si="57"/>
        <v>13.487813953639757</v>
      </c>
      <c r="AR140" s="133">
        <f t="shared" si="58"/>
        <v>9.1965132469407429</v>
      </c>
      <c r="AS140" s="133">
        <f t="shared" si="58"/>
        <v>12.873116972756357</v>
      </c>
      <c r="AT140" s="133">
        <f t="shared" si="58"/>
        <v>12.872612081181867</v>
      </c>
      <c r="AU140" s="133">
        <f t="shared" si="58"/>
        <v>12.873097469072084</v>
      </c>
      <c r="AV140" s="133">
        <f t="shared" si="58"/>
        <v>12.873545408669713</v>
      </c>
      <c r="AW140" s="133">
        <f t="shared" si="58"/>
        <v>12.873641998160917</v>
      </c>
      <c r="AX140" s="133">
        <f t="shared" si="58"/>
        <v>12.873442255936794</v>
      </c>
      <c r="AY140" s="133">
        <f t="shared" si="58"/>
        <v>13.486254254659604</v>
      </c>
    </row>
    <row r="141" spans="1:51" x14ac:dyDescent="0.2">
      <c r="A141" s="19" t="s">
        <v>167</v>
      </c>
      <c r="B141" s="129">
        <f>'Monthly Data'!I344*42/1000</f>
        <v>8.1143999999999994E-2</v>
      </c>
      <c r="C141" s="129">
        <f>'Monthly Data'!$I356*42/1000</f>
        <v>0.22826999999999997</v>
      </c>
      <c r="D141" s="129">
        <f>'Monthly Data'!$I368*42/1000</f>
        <v>0.42457799999999996</v>
      </c>
      <c r="E141" s="129">
        <f>'Monthly Data'!$I380*42/1000</f>
        <v>0.67103400000000002</v>
      </c>
      <c r="F141" s="129">
        <f>'Monthly Data'!$I392*42/1000</f>
        <v>0.44692200000000004</v>
      </c>
      <c r="G141" s="129">
        <f>'Monthly Data'!$I404*42/1000</f>
        <v>2.3198699999999999</v>
      </c>
      <c r="H141" s="129">
        <f>'Monthly Data'!$I416*42/1000</f>
        <v>18.144882000000003</v>
      </c>
      <c r="I141" s="129">
        <f>'Monthly Data'!$I428*42/1000</f>
        <v>76.336679999999987</v>
      </c>
      <c r="J141" s="129">
        <f>'Monthly Data'!$I440*42/1000</f>
        <v>15.907541999999999</v>
      </c>
      <c r="K141" s="129">
        <f>'Monthly Data'!$I452*42/1000</f>
        <v>13.180734000000001</v>
      </c>
      <c r="L141" s="129">
        <f>'Monthly Data'!$I464*42/1000</f>
        <v>5.059067999999999</v>
      </c>
      <c r="M141" s="129">
        <f>'Monthly Data'!$I476*42/1000</f>
        <v>16.458162000000002</v>
      </c>
      <c r="N141" s="129">
        <f>'Monthly Data'!$I487*42/1000</f>
        <v>23.650368000000004</v>
      </c>
      <c r="O141" s="129">
        <f>'Monthly Data'!$I499*42/1000</f>
        <v>8.7176880000000008</v>
      </c>
      <c r="P141" s="129">
        <f>'Monthly Data'!$I511*42/1000</f>
        <v>10.700424</v>
      </c>
      <c r="Q141" s="129">
        <f>'Monthly Data'!$I523*42/1000</f>
        <v>14.082431999999999</v>
      </c>
      <c r="R141" s="129">
        <f>'Monthly Data'!$I535*42/1000</f>
        <v>10.050306000000001</v>
      </c>
      <c r="S141" s="129">
        <f>'Monthly Data'!$I547*42/1000</f>
        <v>16.64922</v>
      </c>
      <c r="T141" s="129">
        <f>'Monthly Data'!$I559*42/1000</f>
        <v>18.492096</v>
      </c>
      <c r="U141" s="129">
        <f>'Monthly Data'!$I572*42/1000</f>
        <v>21.948822</v>
      </c>
      <c r="V141" s="129">
        <f>'Monthly Data'!$I584*42/1000</f>
        <v>27.644652000000001</v>
      </c>
      <c r="W141" s="129">
        <f>'Monthly Data'!$I596*42/1000</f>
        <v>24.719016</v>
      </c>
      <c r="X141" s="129">
        <f>'Monthly Data'!$I608*42/1000</f>
        <v>35.224224</v>
      </c>
      <c r="Y141" s="129">
        <f>'Monthly Data'!$I620*42/1000</f>
        <v>20.144754000000002</v>
      </c>
      <c r="Z141" s="133">
        <f>Z$69*(SUM(T141:Y141)/SUM(T$69:Y$69))</f>
        <v>17.062403575038569</v>
      </c>
      <c r="AA141" s="133">
        <f t="shared" si="56"/>
        <v>16.67146406984152</v>
      </c>
      <c r="AB141" s="133">
        <f t="shared" si="57"/>
        <v>15.662011078450652</v>
      </c>
      <c r="AC141" s="133">
        <f t="shared" si="57"/>
        <v>15.168375525649648</v>
      </c>
      <c r="AD141" s="133">
        <f t="shared" si="57"/>
        <v>13.830684989815802</v>
      </c>
      <c r="AE141" s="133">
        <f t="shared" si="57"/>
        <v>12.244682050407071</v>
      </c>
      <c r="AF141" s="133">
        <f t="shared" si="57"/>
        <v>13.218278104675475</v>
      </c>
      <c r="AG141" s="133">
        <f t="shared" si="57"/>
        <v>14.361844631894417</v>
      </c>
      <c r="AH141" s="133">
        <f t="shared" si="57"/>
        <v>13.666832943967995</v>
      </c>
      <c r="AI141" s="133">
        <f t="shared" si="57"/>
        <v>15.505770347069625</v>
      </c>
      <c r="AJ141" s="133">
        <f t="shared" si="57"/>
        <v>13.700887575129837</v>
      </c>
      <c r="AK141" s="133">
        <f t="shared" si="57"/>
        <v>13.679417326084041</v>
      </c>
      <c r="AL141" s="133">
        <f t="shared" si="57"/>
        <v>14.333775639725124</v>
      </c>
      <c r="AM141" s="133">
        <f t="shared" si="57"/>
        <v>17.423056912324007</v>
      </c>
      <c r="AN141" s="133">
        <f t="shared" si="57"/>
        <v>14.303690402245875</v>
      </c>
      <c r="AO141" s="133">
        <f t="shared" si="57"/>
        <v>14.928100397635555</v>
      </c>
      <c r="AP141" s="133">
        <f t="shared" si="57"/>
        <v>16.180226299871517</v>
      </c>
      <c r="AQ141" s="133">
        <f t="shared" si="57"/>
        <v>13.689464887078731</v>
      </c>
      <c r="AR141" s="133">
        <f t="shared" si="58"/>
        <v>9.3347583430357002</v>
      </c>
      <c r="AS141" s="133">
        <f t="shared" si="58"/>
        <v>13.065545232507386</v>
      </c>
      <c r="AT141" s="133">
        <f t="shared" si="58"/>
        <v>13.065171731373054</v>
      </c>
      <c r="AU141" s="133">
        <f t="shared" si="58"/>
        <v>13.066113214895667</v>
      </c>
      <c r="AV141" s="133">
        <f t="shared" si="58"/>
        <v>13.066879951460344</v>
      </c>
      <c r="AW141" s="133">
        <f t="shared" si="58"/>
        <v>13.066500831135276</v>
      </c>
      <c r="AX141" s="133">
        <f t="shared" si="58"/>
        <v>13.066369628271298</v>
      </c>
      <c r="AY141" s="133">
        <f t="shared" si="58"/>
        <v>13.68829184898529</v>
      </c>
    </row>
    <row r="142" spans="1:51" x14ac:dyDescent="0.2">
      <c r="A142" s="19" t="s">
        <v>168</v>
      </c>
      <c r="B142" s="129">
        <f>'Monthly Data'!I345*42/1000</f>
        <v>9.2568000000000011E-2</v>
      </c>
      <c r="C142" s="129">
        <f>'Monthly Data'!$I357*42/1000</f>
        <v>0.18551399999999998</v>
      </c>
      <c r="D142" s="129">
        <f>'Monthly Data'!$I369*42/1000</f>
        <v>0.42886200000000002</v>
      </c>
      <c r="E142" s="129">
        <f>'Monthly Data'!$I381*42/1000</f>
        <v>0.62021399999999993</v>
      </c>
      <c r="F142" s="129">
        <f>'Monthly Data'!$I393*42/1000</f>
        <v>1.066926</v>
      </c>
      <c r="G142" s="129">
        <f>'Monthly Data'!$I405*42/1000</f>
        <v>4.6106340000000001</v>
      </c>
      <c r="H142" s="129">
        <f>'Monthly Data'!$I417*42/1000</f>
        <v>38.873646000000001</v>
      </c>
      <c r="I142" s="129">
        <f>'Monthly Data'!$I429*42/1000</f>
        <v>61.680150000000005</v>
      </c>
      <c r="J142" s="129">
        <f>'Monthly Data'!$I441*42/1000</f>
        <v>25.228056000000002</v>
      </c>
      <c r="K142" s="129">
        <f>'Monthly Data'!$I453*42/1000</f>
        <v>8.6484300000000012</v>
      </c>
      <c r="L142" s="129">
        <f>'Monthly Data'!$I465*42/1000</f>
        <v>6.1585860000000006</v>
      </c>
      <c r="M142" s="129">
        <f>'Monthly Data'!$I477*42/1000</f>
        <v>17.902709999999999</v>
      </c>
      <c r="N142" s="129">
        <f>'Monthly Data'!$I488*42/1000</f>
        <v>24.670253999999996</v>
      </c>
      <c r="O142" s="129">
        <f>'Monthly Data'!$I500*42/1000</f>
        <v>11.063220000000001</v>
      </c>
      <c r="P142" s="129">
        <f>'Monthly Data'!$I512*42/1000</f>
        <v>10.915044</v>
      </c>
      <c r="Q142" s="129">
        <f>'Monthly Data'!$I524*42/1000</f>
        <v>9.254112000000001</v>
      </c>
      <c r="R142" s="129">
        <f>'Monthly Data'!$I536*42/1000</f>
        <v>9.4919580000000003</v>
      </c>
      <c r="S142" s="129">
        <f>'Monthly Data'!$I548*42/1000</f>
        <v>11.572049999999999</v>
      </c>
      <c r="T142" s="129">
        <f>'Monthly Data'!$I560*42/1000</f>
        <v>12.607013999999999</v>
      </c>
      <c r="U142" s="129">
        <f>'Monthly Data'!$I573*42/1000</f>
        <v>15.792084000000001</v>
      </c>
      <c r="V142" s="129">
        <f>'Monthly Data'!$I585*42/1000</f>
        <v>20.555934000000001</v>
      </c>
      <c r="W142" s="129">
        <f>'Monthly Data'!$I597*42/1000</f>
        <v>26.231897999999997</v>
      </c>
      <c r="X142" s="129">
        <f>'Monthly Data'!$I609*42/1000</f>
        <v>29.042159999999999</v>
      </c>
      <c r="Y142" s="129">
        <f>'Monthly Data'!$I621*42/1000</f>
        <v>26.351346000000003</v>
      </c>
      <c r="Z142" s="133">
        <f t="shared" si="55"/>
        <v>15.036529039933839</v>
      </c>
      <c r="AA142" s="133">
        <f t="shared" si="56"/>
        <v>15.111163388923648</v>
      </c>
      <c r="AB142" s="133">
        <f t="shared" si="57"/>
        <v>14.650383947257245</v>
      </c>
      <c r="AC142" s="133">
        <f t="shared" si="57"/>
        <v>14.80986616535591</v>
      </c>
      <c r="AD142" s="133">
        <f t="shared" si="57"/>
        <v>13.261952324003294</v>
      </c>
      <c r="AE142" s="133">
        <f t="shared" si="57"/>
        <v>12.329372125204188</v>
      </c>
      <c r="AF142" s="133">
        <f t="shared" si="57"/>
        <v>12.424893102807227</v>
      </c>
      <c r="AG142" s="133">
        <f t="shared" si="57"/>
        <v>13.66557923907687</v>
      </c>
      <c r="AH142" s="133">
        <f t="shared" si="57"/>
        <v>13.125919352069884</v>
      </c>
      <c r="AI142" s="133">
        <f t="shared" si="57"/>
        <v>14.965710960247627</v>
      </c>
      <c r="AJ142" s="133">
        <f t="shared" si="57"/>
        <v>13.195604483270678</v>
      </c>
      <c r="AK142" s="133">
        <f t="shared" si="57"/>
        <v>13.1846296524728</v>
      </c>
      <c r="AL142" s="133">
        <f t="shared" si="57"/>
        <v>13.725435156805458</v>
      </c>
      <c r="AM142" s="133">
        <f t="shared" si="57"/>
        <v>16.731099325769438</v>
      </c>
      <c r="AN142" s="133">
        <f t="shared" si="57"/>
        <v>13.75600827749736</v>
      </c>
      <c r="AO142" s="133">
        <f t="shared" si="57"/>
        <v>14.359466493325321</v>
      </c>
      <c r="AP142" s="133">
        <f t="shared" si="57"/>
        <v>15.554636113504699</v>
      </c>
      <c r="AQ142" s="133">
        <f t="shared" si="57"/>
        <v>13.156493496070215</v>
      </c>
      <c r="AR142" s="133">
        <f t="shared" si="58"/>
        <v>8.9674457735930631</v>
      </c>
      <c r="AS142" s="133">
        <f t="shared" si="58"/>
        <v>12.558174920833059</v>
      </c>
      <c r="AT142" s="133">
        <f t="shared" si="58"/>
        <v>12.560280355506093</v>
      </c>
      <c r="AU142" s="133">
        <f t="shared" si="58"/>
        <v>12.560360001623888</v>
      </c>
      <c r="AV142" s="133">
        <f t="shared" si="58"/>
        <v>12.559565110188503</v>
      </c>
      <c r="AW142" s="133">
        <f t="shared" si="58"/>
        <v>12.558749692678605</v>
      </c>
      <c r="AX142" s="133">
        <f t="shared" si="58"/>
        <v>12.558800774524062</v>
      </c>
      <c r="AY142" s="133">
        <f t="shared" si="58"/>
        <v>13.157384752522162</v>
      </c>
    </row>
    <row r="143" spans="1:51" x14ac:dyDescent="0.2">
      <c r="A143" s="19" t="s">
        <v>169</v>
      </c>
      <c r="B143" s="129">
        <f>'Monthly Data'!I346*42/1000</f>
        <v>0.12688199999999999</v>
      </c>
      <c r="C143" s="129">
        <f>'Monthly Data'!$I358*42/1000</f>
        <v>0.20105400000000001</v>
      </c>
      <c r="D143" s="129">
        <f>'Monthly Data'!$I370*42/1000</f>
        <v>0.34511400000000003</v>
      </c>
      <c r="E143" s="129">
        <f>'Monthly Data'!$I382*42/1000</f>
        <v>0.66364200000000007</v>
      </c>
      <c r="F143" s="129">
        <f>'Monthly Data'!$I394*42/1000</f>
        <v>0.83941200000000005</v>
      </c>
      <c r="G143" s="129">
        <f>'Monthly Data'!$I406*42/1000</f>
        <v>5.0627640000000005</v>
      </c>
      <c r="H143" s="129">
        <f>'Monthly Data'!$I418*42/1000</f>
        <v>27.981450000000002</v>
      </c>
      <c r="I143" s="129">
        <f>'Monthly Data'!$I430*42/1000</f>
        <v>69.742637999999999</v>
      </c>
      <c r="J143" s="129">
        <f>'Monthly Data'!$I442*42/1000</f>
        <v>17.228274000000003</v>
      </c>
      <c r="K143" s="129">
        <f>'Monthly Data'!$I454*42/1000</f>
        <v>9.7666800000000009</v>
      </c>
      <c r="L143" s="129">
        <f>'Monthly Data'!$I466*42/1000</f>
        <v>3.1006919999999996</v>
      </c>
      <c r="M143" s="129">
        <f>'Monthly Data'!$I478*42/1000</f>
        <v>16.915541999999999</v>
      </c>
      <c r="N143" s="129">
        <f>'Monthly Data'!$I489*42/1000</f>
        <v>18.011616</v>
      </c>
      <c r="O143" s="129">
        <f>'Monthly Data'!$I501*42/1000</f>
        <v>13.446384</v>
      </c>
      <c r="P143" s="129">
        <f>'Monthly Data'!$I513*42/1000</f>
        <v>10.7121</v>
      </c>
      <c r="Q143" s="129">
        <f>'Monthly Data'!$I525*42/1000</f>
        <v>10.486559999999999</v>
      </c>
      <c r="R143" s="129">
        <f>'Monthly Data'!$I537*42/1000</f>
        <v>19.024025999999999</v>
      </c>
      <c r="S143" s="129">
        <f>'Monthly Data'!$I549*42/1000</f>
        <v>10.878084000000001</v>
      </c>
      <c r="T143" s="129">
        <f>'Monthly Data'!$I561*42/1000</f>
        <v>16.454004000000001</v>
      </c>
      <c r="U143" s="129">
        <f>'Monthly Data'!$I574*42/1000</f>
        <v>21.507822000000001</v>
      </c>
      <c r="V143" s="129">
        <f>'Monthly Data'!$I586*42/1000</f>
        <v>23.053128000000001</v>
      </c>
      <c r="W143" s="129">
        <f>'Monthly Data'!$I598*42/1000</f>
        <v>34.914264000000003</v>
      </c>
      <c r="X143" s="129">
        <f>'Monthly Data'!$I610*42/1000</f>
        <v>23.207057999999996</v>
      </c>
      <c r="Y143" s="129">
        <f>'Monthly Data'!$I622*42/1000</f>
        <v>24.421403999999999</v>
      </c>
      <c r="Z143" s="133">
        <f t="shared" si="55"/>
        <v>16.530877751285267</v>
      </c>
      <c r="AA143" s="133">
        <f t="shared" si="56"/>
        <v>16.318216742889852</v>
      </c>
      <c r="AB143" s="133">
        <f t="shared" si="57"/>
        <v>15.327488189285534</v>
      </c>
      <c r="AC143" s="133">
        <f t="shared" si="57"/>
        <v>15.313100549600568</v>
      </c>
      <c r="AD143" s="133">
        <f t="shared" si="57"/>
        <v>12.814130283594835</v>
      </c>
      <c r="AE143" s="133">
        <f t="shared" si="57"/>
        <v>12.516258397118321</v>
      </c>
      <c r="AF143" s="133">
        <f t="shared" si="57"/>
        <v>12.952927154092096</v>
      </c>
      <c r="AG143" s="133">
        <f t="shared" si="57"/>
        <v>14.104811440873149</v>
      </c>
      <c r="AH143" s="133">
        <f t="shared" si="57"/>
        <v>13.431115825885435</v>
      </c>
      <c r="AI143" s="133">
        <f t="shared" si="57"/>
        <v>15.25044053593316</v>
      </c>
      <c r="AJ143" s="133">
        <f t="shared" si="57"/>
        <v>13.410022857330333</v>
      </c>
      <c r="AK143" s="133">
        <f t="shared" si="57"/>
        <v>13.508591553737705</v>
      </c>
      <c r="AL143" s="133">
        <f t="shared" si="57"/>
        <v>14.08245863304143</v>
      </c>
      <c r="AM143" s="133">
        <f t="shared" si="57"/>
        <v>17.124440465039662</v>
      </c>
      <c r="AN143" s="133">
        <f t="shared" si="57"/>
        <v>14.06030004952294</v>
      </c>
      <c r="AO143" s="133">
        <f t="shared" si="57"/>
        <v>14.674616071821857</v>
      </c>
      <c r="AP143" s="133">
        <f t="shared" si="57"/>
        <v>15.904022326710155</v>
      </c>
      <c r="AQ143" s="133">
        <f t="shared" si="57"/>
        <v>13.464366028748101</v>
      </c>
      <c r="AR143" s="133">
        <f t="shared" si="58"/>
        <v>9.1757058467346724</v>
      </c>
      <c r="AS143" s="133">
        <f t="shared" si="58"/>
        <v>12.844003380870472</v>
      </c>
      <c r="AT143" s="133">
        <f t="shared" si="58"/>
        <v>12.844147235057804</v>
      </c>
      <c r="AU143" s="133">
        <f t="shared" si="58"/>
        <v>12.845302935572127</v>
      </c>
      <c r="AV143" s="133">
        <f t="shared" si="58"/>
        <v>12.846257958948888</v>
      </c>
      <c r="AW143" s="133">
        <f t="shared" si="58"/>
        <v>12.846408686814657</v>
      </c>
      <c r="AX143" s="133">
        <f t="shared" si="58"/>
        <v>12.84531955769976</v>
      </c>
      <c r="AY143" s="133">
        <f t="shared" si="58"/>
        <v>13.456918052453981</v>
      </c>
    </row>
    <row r="144" spans="1:51" x14ac:dyDescent="0.2">
      <c r="A144" s="19" t="s">
        <v>170</v>
      </c>
      <c r="B144" s="129">
        <f>'Monthly Data'!I347*42/1000</f>
        <v>0.21428400000000003</v>
      </c>
      <c r="C144" s="129">
        <f>'Monthly Data'!$I359*42/1000</f>
        <v>0.15808800000000001</v>
      </c>
      <c r="D144" s="129">
        <f>'Monthly Data'!$I371*42/1000</f>
        <v>0.272202</v>
      </c>
      <c r="E144" s="129">
        <f>'Monthly Data'!$I383*42/1000</f>
        <v>0.49438200000000004</v>
      </c>
      <c r="F144" s="129">
        <f>'Monthly Data'!$I395*42/1000</f>
        <v>0.526092</v>
      </c>
      <c r="G144" s="129">
        <f>'Monthly Data'!$I407*42/1000</f>
        <v>2.8020300000000002</v>
      </c>
      <c r="H144" s="129">
        <f>'Monthly Data'!$I419*42/1000</f>
        <v>22.349291999999998</v>
      </c>
      <c r="I144" s="129">
        <f>'Monthly Data'!$I431*42/1000</f>
        <v>63.061320000000002</v>
      </c>
      <c r="J144" s="129">
        <f>'Monthly Data'!$I443*42/1000</f>
        <v>9.7176239999999989</v>
      </c>
      <c r="K144" s="129">
        <f>'Monthly Data'!$I455*42/1000</f>
        <v>5.6866319999999995</v>
      </c>
      <c r="L144" s="129">
        <f>'Monthly Data'!$I467*42/1000</f>
        <v>8.3689619999999998</v>
      </c>
      <c r="M144" s="129">
        <f>'Monthly Data'!$I479*42/1000</f>
        <v>12.383951999999999</v>
      </c>
      <c r="N144" s="129">
        <f>'Monthly Data'!$I490*42/1000</f>
        <v>28.842492</v>
      </c>
      <c r="O144" s="129">
        <f>'Monthly Data'!$I502*42/1000</f>
        <v>11.096442000000001</v>
      </c>
      <c r="P144" s="129">
        <f>'Monthly Data'!$I514*42/1000</f>
        <v>11.53215</v>
      </c>
      <c r="Q144" s="129">
        <f>'Monthly Data'!$I526*42/1000</f>
        <v>9.8572740000000003</v>
      </c>
      <c r="R144" s="129">
        <f>'Monthly Data'!$I538*42/1000</f>
        <v>16.269204000000002</v>
      </c>
      <c r="S144" s="129">
        <f>'Monthly Data'!$I550*42/1000</f>
        <v>11.057759999999998</v>
      </c>
      <c r="T144" s="129">
        <f>'Monthly Data'!$I562*42/1000</f>
        <v>12.224478000000001</v>
      </c>
      <c r="U144" s="129">
        <f>'Monthly Data'!$I575*42/1000</f>
        <v>17.873604</v>
      </c>
      <c r="V144" s="129">
        <f>'Monthly Data'!$I587*42/1000</f>
        <v>19.894098</v>
      </c>
      <c r="W144" s="129">
        <f>'Monthly Data'!$I599*42/1000</f>
        <v>26.90709</v>
      </c>
      <c r="X144" s="129">
        <f>'Monthly Data'!$I611*42/1000</f>
        <v>17.205468</v>
      </c>
      <c r="Y144" s="129">
        <f>'Monthly Data'!$I623*42/1000</f>
        <v>20.254961999999999</v>
      </c>
      <c r="Z144" s="133">
        <f t="shared" si="55"/>
        <v>13.168687459797745</v>
      </c>
      <c r="AA144" s="133">
        <f t="shared" si="56"/>
        <v>13.099592937264866</v>
      </c>
      <c r="AB144" s="133">
        <f t="shared" si="57"/>
        <v>12.236962999882847</v>
      </c>
      <c r="AC144" s="133">
        <f t="shared" si="57"/>
        <v>12.051019742824041</v>
      </c>
      <c r="AD144" s="133">
        <f t="shared" si="57"/>
        <v>10.150073785506459</v>
      </c>
      <c r="AE144" s="133">
        <f t="shared" si="57"/>
        <v>10.060365839840712</v>
      </c>
      <c r="AF144" s="133">
        <f t="shared" si="57"/>
        <v>10.320144153246179</v>
      </c>
      <c r="AG144" s="133">
        <f t="shared" si="57"/>
        <v>11.238256601057534</v>
      </c>
      <c r="AH144" s="133">
        <f t="shared" si="57"/>
        <v>10.685662563910816</v>
      </c>
      <c r="AI144" s="133">
        <f t="shared" si="57"/>
        <v>12.125098249320629</v>
      </c>
      <c r="AJ144" s="133">
        <f t="shared" si="57"/>
        <v>10.682340046942942</v>
      </c>
      <c r="AK144" s="133">
        <f t="shared" si="57"/>
        <v>10.770384090188074</v>
      </c>
      <c r="AL144" s="133">
        <f t="shared" si="57"/>
        <v>11.214099045980163</v>
      </c>
      <c r="AM144" s="133">
        <f t="shared" si="57"/>
        <v>13.635354282680323</v>
      </c>
      <c r="AN144" s="133">
        <f t="shared" si="57"/>
        <v>11.194349157869913</v>
      </c>
      <c r="AO144" s="133">
        <f t="shared" si="57"/>
        <v>11.684748230430554</v>
      </c>
      <c r="AP144" s="133">
        <f t="shared" si="57"/>
        <v>12.666993987368953</v>
      </c>
      <c r="AQ144" s="133">
        <f t="shared" si="57"/>
        <v>10.723633106023257</v>
      </c>
      <c r="AR144" s="133">
        <f t="shared" si="58"/>
        <v>7.306764843529435</v>
      </c>
      <c r="AS144" s="133">
        <f t="shared" si="58"/>
        <v>10.227889244680807</v>
      </c>
      <c r="AT144" s="133">
        <f t="shared" si="58"/>
        <v>10.228182824182912</v>
      </c>
      <c r="AU144" s="133">
        <f t="shared" si="58"/>
        <v>10.229476410546775</v>
      </c>
      <c r="AV144" s="133">
        <f t="shared" si="58"/>
        <v>10.23049006938869</v>
      </c>
      <c r="AW144" s="133">
        <f t="shared" si="58"/>
        <v>10.230373276573465</v>
      </c>
      <c r="AX144" s="133">
        <f t="shared" si="58"/>
        <v>10.229305917057864</v>
      </c>
      <c r="AY144" s="133">
        <f t="shared" si="58"/>
        <v>10.716395161376756</v>
      </c>
    </row>
    <row r="145" spans="1:51" x14ac:dyDescent="0.2">
      <c r="A145" s="19" t="s">
        <v>171</v>
      </c>
      <c r="B145" s="129">
        <f>'Monthly Data'!I348*42/1000</f>
        <v>0.13788600000000001</v>
      </c>
      <c r="C145" s="129">
        <f>'Monthly Data'!$I360*42/1000</f>
        <v>0.20214599999999999</v>
      </c>
      <c r="D145" s="129">
        <f>'Monthly Data'!$I372*42/1000</f>
        <v>0.36308999999999997</v>
      </c>
      <c r="E145" s="129">
        <f>'Monthly Data'!$I384*42/1000</f>
        <v>0.39299399999999995</v>
      </c>
      <c r="F145" s="129">
        <f>'Monthly Data'!$I396*42/1000</f>
        <v>1.721832</v>
      </c>
      <c r="G145" s="129">
        <f>'Monthly Data'!$I408*42/1000</f>
        <v>2.4835439999999998</v>
      </c>
      <c r="H145" s="129">
        <f>'Monthly Data'!$I420*42/1000</f>
        <v>25.303865999999999</v>
      </c>
      <c r="I145" s="129">
        <f>'Monthly Data'!$I432*42/1000</f>
        <v>57.870833999999995</v>
      </c>
      <c r="J145" s="129">
        <f>'Monthly Data'!$I444*42/1000</f>
        <v>18.39789</v>
      </c>
      <c r="K145" s="129">
        <f>'Monthly Data'!$I456*42/1000</f>
        <v>5.7519</v>
      </c>
      <c r="L145" s="129">
        <f>'Monthly Data'!$I468*42/1000</f>
        <v>5.7158640000000007</v>
      </c>
      <c r="M145" s="129">
        <f>'Monthly Data'!$I480*42/1000</f>
        <v>8.7816539999999979</v>
      </c>
      <c r="N145" s="129">
        <f>'Monthly Data'!$I491*42/1000</f>
        <v>21.449442000000001</v>
      </c>
      <c r="O145" s="129">
        <f>'Monthly Data'!$I503*42/1000</f>
        <v>5.722836</v>
      </c>
      <c r="P145" s="129">
        <f>'Monthly Data'!$I515*42/1000</f>
        <v>8.4070560000000008</v>
      </c>
      <c r="Q145" s="129">
        <f>'Monthly Data'!$I527*42/1000</f>
        <v>6.3062159999999992</v>
      </c>
      <c r="R145" s="129">
        <f>'Monthly Data'!$I539*42/1000</f>
        <v>4.1871899999999993</v>
      </c>
      <c r="S145" s="129">
        <f>'Monthly Data'!$I551*42/1000</f>
        <v>8.0156999999999989</v>
      </c>
      <c r="T145" s="129">
        <f>'Monthly Data'!$I563*42/1000</f>
        <v>9.9794099999999997</v>
      </c>
      <c r="U145" s="129">
        <f>'Monthly Data'!$I576*42/1000</f>
        <v>4.7342820000000003</v>
      </c>
      <c r="V145" s="129">
        <f>'Monthly Data'!$I588*42/1000</f>
        <v>8.9628000000000014</v>
      </c>
      <c r="W145" s="129">
        <f>'Monthly Data'!$I600*42/1000</f>
        <v>19.661376000000001</v>
      </c>
      <c r="X145" s="129">
        <f>'Monthly Data'!$I612*42/1000</f>
        <v>18.927174000000001</v>
      </c>
      <c r="Y145" s="129">
        <f>'Monthly Data'!$I624*42/1000</f>
        <v>15.908382000000001</v>
      </c>
      <c r="Z145" s="133">
        <f t="shared" si="55"/>
        <v>9.0017846174679725</v>
      </c>
      <c r="AA145" s="133">
        <f t="shared" si="56"/>
        <v>8.7701582981319852</v>
      </c>
      <c r="AB145" s="133">
        <f t="shared" si="57"/>
        <v>8.9933042079691727</v>
      </c>
      <c r="AC145" s="133">
        <f t="shared" si="57"/>
        <v>9.5194499751536075</v>
      </c>
      <c r="AD145" s="133">
        <f t="shared" si="57"/>
        <v>8.2015784829543588</v>
      </c>
      <c r="AE145" s="133">
        <f t="shared" si="57"/>
        <v>7.5047258147916382</v>
      </c>
      <c r="AF145" s="133">
        <f t="shared" si="57"/>
        <v>7.5820210369850241</v>
      </c>
      <c r="AG145" s="133">
        <f t="shared" si="57"/>
        <v>8.3679026601990874</v>
      </c>
      <c r="AH145" s="133">
        <f t="shared" si="57"/>
        <v>8.1155706464497328</v>
      </c>
      <c r="AI145" s="133">
        <f t="shared" si="57"/>
        <v>9.2652722963408731</v>
      </c>
      <c r="AJ145" s="133">
        <f t="shared" si="57"/>
        <v>8.1113951927056824</v>
      </c>
      <c r="AK145" s="133">
        <f t="shared" si="57"/>
        <v>8.0964776559728175</v>
      </c>
      <c r="AL145" s="133">
        <f t="shared" si="57"/>
        <v>8.4399163573261031</v>
      </c>
      <c r="AM145" s="133">
        <f t="shared" si="57"/>
        <v>10.300021712787155</v>
      </c>
      <c r="AN145" s="133">
        <f t="shared" si="57"/>
        <v>8.4757678789886945</v>
      </c>
      <c r="AO145" s="133">
        <f t="shared" si="57"/>
        <v>8.8428840997126716</v>
      </c>
      <c r="AP145" s="133">
        <f t="shared" si="57"/>
        <v>9.5699157417945138</v>
      </c>
      <c r="AQ145" s="133">
        <f t="shared" si="57"/>
        <v>8.0955454508548126</v>
      </c>
      <c r="AR145" s="133">
        <f t="shared" si="58"/>
        <v>5.519594305629858</v>
      </c>
      <c r="AS145" s="133">
        <f t="shared" si="58"/>
        <v>7.7310022680081278</v>
      </c>
      <c r="AT145" s="133">
        <f t="shared" si="58"/>
        <v>7.732281714845513</v>
      </c>
      <c r="AU145" s="133">
        <f t="shared" si="58"/>
        <v>7.7311294201376386</v>
      </c>
      <c r="AV145" s="133">
        <f t="shared" si="58"/>
        <v>7.7299114835450773</v>
      </c>
      <c r="AW145" s="133">
        <f t="shared" si="58"/>
        <v>7.7299897314334034</v>
      </c>
      <c r="AX145" s="133">
        <f t="shared" si="58"/>
        <v>7.7304340616299339</v>
      </c>
      <c r="AY145" s="133">
        <f t="shared" si="58"/>
        <v>8.0989243726285185</v>
      </c>
    </row>
    <row r="146" spans="1:51" x14ac:dyDescent="0.2">
      <c r="A146" s="19" t="s">
        <v>172</v>
      </c>
      <c r="B146" s="129">
        <f>'Monthly Data'!I349*42/1000</f>
        <v>0.14754599999999998</v>
      </c>
      <c r="C146" s="129">
        <f>'Monthly Data'!$I361*42/1000</f>
        <v>0.21659399999999998</v>
      </c>
      <c r="D146" s="129">
        <f>'Monthly Data'!$I373*42/1000</f>
        <v>0.40949999999999998</v>
      </c>
      <c r="E146" s="129">
        <f>'Monthly Data'!$I385*42/1000</f>
        <v>0.36027599999999993</v>
      </c>
      <c r="F146" s="129">
        <f>'Monthly Data'!$I397*42/1000</f>
        <v>0.47417999999999993</v>
      </c>
      <c r="G146" s="129">
        <f>'Monthly Data'!$I409*42/1000</f>
        <v>5.7921779999999998</v>
      </c>
      <c r="H146" s="129">
        <f>'Monthly Data'!$I421*42/1000</f>
        <v>41.883155999999993</v>
      </c>
      <c r="I146" s="129">
        <f>'Monthly Data'!$I433*42/1000</f>
        <v>51.266795999999992</v>
      </c>
      <c r="J146" s="129">
        <f>'Monthly Data'!$I445*42/1000</f>
        <v>35.581727999999998</v>
      </c>
      <c r="K146" s="129">
        <f>'Monthly Data'!$I457*42/1000</f>
        <v>2.4598559999999998</v>
      </c>
      <c r="L146" s="129">
        <f>'Monthly Data'!$I469*42/1000</f>
        <v>5.6894879999999999</v>
      </c>
      <c r="M146" s="129">
        <f>'Monthly Data'!$I481*42/1000</f>
        <v>2.7405420000000005</v>
      </c>
      <c r="N146" s="129">
        <f>'Monthly Data'!$I492*42/1000</f>
        <v>17.413326000000001</v>
      </c>
      <c r="O146" s="129">
        <f>'Monthly Data'!$I504*42/1000</f>
        <v>1.6654680000000002</v>
      </c>
      <c r="P146" s="129">
        <f>'Monthly Data'!$I516*42/1000</f>
        <v>6.7511220000000005</v>
      </c>
      <c r="Q146" s="129">
        <f>'Monthly Data'!$I528*42/1000</f>
        <v>4.7838419999999999</v>
      </c>
      <c r="R146" s="129">
        <f>'Monthly Data'!$I540*42/1000</f>
        <v>9.1281120000000016</v>
      </c>
      <c r="S146" s="129">
        <f>'Monthly Data'!$I552*42/1000</f>
        <v>8.5527960000000007</v>
      </c>
      <c r="T146" s="129">
        <f>'Monthly Data'!$I564*42/1000</f>
        <v>6.6320100000000002</v>
      </c>
      <c r="U146" s="129">
        <f>'Monthly Data'!$I577*42/1000</f>
        <v>3.056718</v>
      </c>
      <c r="V146" s="129">
        <f>'Monthly Data'!$I589*42/1000</f>
        <v>6.9634320000000001</v>
      </c>
      <c r="W146" s="129">
        <f>'Monthly Data'!$I601*42/1000</f>
        <v>9.2765820000000012</v>
      </c>
      <c r="X146" s="129">
        <f>'Monthly Data'!$I613*42/1000</f>
        <v>15.178842000000001</v>
      </c>
      <c r="Y146" s="129">
        <f>'Monthly Data'!$I625*42/1000</f>
        <v>5.0218559999999997</v>
      </c>
      <c r="Z146" s="133">
        <f t="shared" si="55"/>
        <v>5.3118727843417961</v>
      </c>
      <c r="AA146" s="133">
        <f t="shared" si="56"/>
        <v>5.0907521612021869</v>
      </c>
      <c r="AB146" s="133">
        <f t="shared" si="57"/>
        <v>5.1861097251212209</v>
      </c>
      <c r="AC146" s="133">
        <f t="shared" si="57"/>
        <v>5.2792538529465611</v>
      </c>
      <c r="AD146" s="133">
        <f t="shared" si="57"/>
        <v>4.7360356725347632</v>
      </c>
      <c r="AE146" s="133">
        <f t="shared" si="57"/>
        <v>3.8056153128760637</v>
      </c>
      <c r="AF146" s="133">
        <f t="shared" si="57"/>
        <v>4.2889057617324609</v>
      </c>
      <c r="AG146" s="133">
        <f t="shared" si="57"/>
        <v>4.697075303507229</v>
      </c>
      <c r="AH146" s="133">
        <f t="shared" si="57"/>
        <v>4.5282787046456079</v>
      </c>
      <c r="AI146" s="133">
        <f t="shared" si="57"/>
        <v>5.1381888361358437</v>
      </c>
      <c r="AJ146" s="133">
        <f t="shared" si="57"/>
        <v>4.4982721128684462</v>
      </c>
      <c r="AK146" s="133">
        <f t="shared" si="57"/>
        <v>4.4589428022469493</v>
      </c>
      <c r="AL146" s="133">
        <f t="shared" si="57"/>
        <v>4.7038685998973362</v>
      </c>
      <c r="AM146" s="133">
        <f t="shared" si="57"/>
        <v>5.7276608617550329</v>
      </c>
      <c r="AN146" s="133">
        <f t="shared" si="57"/>
        <v>4.7061258739692393</v>
      </c>
      <c r="AO146" s="133">
        <f t="shared" si="57"/>
        <v>4.9062476789157223</v>
      </c>
      <c r="AP146" s="133">
        <f t="shared" si="57"/>
        <v>5.3100638462744429</v>
      </c>
      <c r="AQ146" s="133">
        <f t="shared" si="57"/>
        <v>4.49235625059789</v>
      </c>
      <c r="AR146" s="133">
        <f t="shared" si="58"/>
        <v>3.066403059391404</v>
      </c>
      <c r="AS146" s="133">
        <f t="shared" si="58"/>
        <v>4.2926522390505673</v>
      </c>
      <c r="AT146" s="133">
        <f t="shared" si="58"/>
        <v>4.291991052764768</v>
      </c>
      <c r="AU146" s="133">
        <f t="shared" si="58"/>
        <v>4.2911162532317109</v>
      </c>
      <c r="AV146" s="133">
        <f t="shared" si="58"/>
        <v>4.2907637835517978</v>
      </c>
      <c r="AW146" s="133">
        <f t="shared" si="58"/>
        <v>4.2911647554574461</v>
      </c>
      <c r="AX146" s="133">
        <f t="shared" si="58"/>
        <v>4.2917159501033462</v>
      </c>
      <c r="AY146" s="133">
        <f t="shared" si="58"/>
        <v>4.4959276885040627</v>
      </c>
    </row>
    <row r="147" spans="1:51" x14ac:dyDescent="0.2">
      <c r="A147" s="19" t="s">
        <v>173</v>
      </c>
      <c r="B147" s="129">
        <f>'Monthly Data'!I350*42/1000</f>
        <v>0.100296</v>
      </c>
      <c r="C147" s="129">
        <f>'Monthly Data'!$I362*42/1000</f>
        <v>0.217728</v>
      </c>
      <c r="D147" s="129">
        <f>'Monthly Data'!$I374*42/1000</f>
        <v>0.42751800000000001</v>
      </c>
      <c r="E147" s="129">
        <f>'Monthly Data'!$I386*42/1000</f>
        <v>0.283584</v>
      </c>
      <c r="F147" s="129">
        <f>'Monthly Data'!$I398*42/1000</f>
        <v>0.98019600000000007</v>
      </c>
      <c r="G147" s="129">
        <f>'Monthly Data'!$I410*42/1000</f>
        <v>5.0635620000000001</v>
      </c>
      <c r="H147" s="129">
        <f>'Monthly Data'!$I422*42/1000</f>
        <v>32.164230000000003</v>
      </c>
      <c r="I147" s="129">
        <f>'Monthly Data'!$I434*42/1000</f>
        <v>33.264209999999999</v>
      </c>
      <c r="J147" s="129">
        <f>'Monthly Data'!$I446*42/1000</f>
        <v>18.699491999999999</v>
      </c>
      <c r="K147" s="129">
        <f>'Monthly Data'!$I458*42/1000</f>
        <v>4.7295360000000004</v>
      </c>
      <c r="L147" s="129">
        <f>'Monthly Data'!$I470*42/1000</f>
        <v>1.672944</v>
      </c>
      <c r="M147" s="129">
        <f>'Monthly Data'!$I482*42/1000</f>
        <v>6.0253200000000007</v>
      </c>
      <c r="N147" s="129">
        <f>'Monthly Data'!$I493*42/1000</f>
        <v>17.128692000000004</v>
      </c>
      <c r="O147" s="129">
        <f>'Monthly Data'!$I505*42/1000</f>
        <v>2.7332339999999999</v>
      </c>
      <c r="P147" s="129">
        <f>'Monthly Data'!$I517*42/1000</f>
        <v>3.1885979999999998</v>
      </c>
      <c r="Q147" s="129">
        <f>'Monthly Data'!$I529*42/1000</f>
        <v>6.0082259999999996</v>
      </c>
      <c r="R147" s="129">
        <f>'Monthly Data'!$I541*42/1000</f>
        <v>2.0725319999999998</v>
      </c>
      <c r="S147" s="129">
        <f>'Monthly Data'!$I553*42/1000</f>
        <v>5.986008</v>
      </c>
      <c r="T147" s="129">
        <f>'Monthly Data'!$I565*42/1000</f>
        <v>2.3479259999999997</v>
      </c>
      <c r="U147" s="129">
        <f>'Monthly Data'!$I578*42/1000</f>
        <v>2.70438</v>
      </c>
      <c r="V147" s="129">
        <f>'Monthly Data'!$I590*42/1000</f>
        <v>12.206586</v>
      </c>
      <c r="W147" s="129">
        <f>'Monthly Data'!$I602*42/1000</f>
        <v>19.38447</v>
      </c>
      <c r="X147" s="129">
        <f>'Monthly Data'!$I614*42/1000</f>
        <v>16.427795999999997</v>
      </c>
      <c r="Y147" s="129">
        <f>'Monthly Data'!$I626*42/1000</f>
        <v>5.7416939999999999</v>
      </c>
      <c r="Z147" s="133">
        <f t="shared" ref="Z147:AH147" si="59">Z148-SUM(Z136:Z146)</f>
        <v>6.8010997886509728</v>
      </c>
      <c r="AA147" s="133">
        <f t="shared" si="59"/>
        <v>7.1876069811733885</v>
      </c>
      <c r="AB147" s="133">
        <f t="shared" si="59"/>
        <v>7.5006411064979517</v>
      </c>
      <c r="AC147" s="133">
        <f t="shared" si="59"/>
        <v>7.3852020960977711</v>
      </c>
      <c r="AD147" s="133">
        <f t="shared" si="59"/>
        <v>5.8863921552661083</v>
      </c>
      <c r="AE147" s="133">
        <f t="shared" si="59"/>
        <v>5.0329150141051144</v>
      </c>
      <c r="AF147" s="133">
        <f t="shared" si="59"/>
        <v>5.8032708331779048</v>
      </c>
      <c r="AG147" s="133">
        <f t="shared" si="59"/>
        <v>6.4194866783116424</v>
      </c>
      <c r="AH147" s="133">
        <f t="shared" si="59"/>
        <v>6.1515733340885674</v>
      </c>
      <c r="AI147" s="133">
        <f>AI148-SUM(AI136:AI146)</f>
        <v>6.8945188178660004</v>
      </c>
      <c r="AJ147" s="133">
        <f>AJ148-SUM(AJ136:AJ146)</f>
        <v>5.9860109046762204</v>
      </c>
      <c r="AK147" s="133">
        <f t="shared" ref="AK147:AY147" si="60">AK148-SUM(AK136:AK146)</f>
        <v>6.0024891940523162</v>
      </c>
      <c r="AL147" s="133">
        <f t="shared" si="60"/>
        <v>6.3475484779997942</v>
      </c>
      <c r="AM147" s="133">
        <f t="shared" si="60"/>
        <v>7.7258800539842696</v>
      </c>
      <c r="AN147" s="133">
        <f t="shared" si="60"/>
        <v>6.3343977324038434</v>
      </c>
      <c r="AO147" s="133">
        <f t="shared" si="60"/>
        <v>6.5942677226823463</v>
      </c>
      <c r="AP147" s="133">
        <f t="shared" si="60"/>
        <v>7.1391228607800628</v>
      </c>
      <c r="AQ147" s="133">
        <f t="shared" si="60"/>
        <v>6.0490515953551949</v>
      </c>
      <c r="AR147" s="133">
        <f t="shared" si="60"/>
        <v>4.1291371688224956</v>
      </c>
      <c r="AS147" s="133">
        <f t="shared" si="60"/>
        <v>5.7783260856129885</v>
      </c>
      <c r="AT147" s="133">
        <f t="shared" si="60"/>
        <v>5.7748882937312658</v>
      </c>
      <c r="AU147" s="133">
        <f t="shared" si="60"/>
        <v>5.7733385136951512</v>
      </c>
      <c r="AV147" s="133">
        <f t="shared" si="60"/>
        <v>5.7739774196661813</v>
      </c>
      <c r="AW147" s="133">
        <f t="shared" si="60"/>
        <v>5.7756454596243714</v>
      </c>
      <c r="AX147" s="133">
        <f t="shared" si="60"/>
        <v>5.7759297647016581</v>
      </c>
      <c r="AY147" s="133">
        <f t="shared" si="60"/>
        <v>6.0503676334499517</v>
      </c>
    </row>
    <row r="148" spans="1:51" x14ac:dyDescent="0.2">
      <c r="A148" s="117" t="s">
        <v>174</v>
      </c>
      <c r="B148" s="130">
        <f t="shared" ref="B148:K148" si="61">SUM(B136:B147)</f>
        <v>1.7071320000000001</v>
      </c>
      <c r="C148" s="130">
        <f t="shared" si="61"/>
        <v>2.4118500000000003</v>
      </c>
      <c r="D148" s="130">
        <f t="shared" si="61"/>
        <v>4.7655720000000006</v>
      </c>
      <c r="E148" s="130">
        <f t="shared" si="61"/>
        <v>5.3641139999999998</v>
      </c>
      <c r="F148" s="130">
        <f t="shared" si="61"/>
        <v>8.9336940000000009</v>
      </c>
      <c r="G148" s="130">
        <f t="shared" si="61"/>
        <v>35.936124</v>
      </c>
      <c r="H148" s="130">
        <f t="shared" si="61"/>
        <v>281.22532200000001</v>
      </c>
      <c r="I148" s="130">
        <f t="shared" si="61"/>
        <v>700.26167399999997</v>
      </c>
      <c r="J148" s="130">
        <f t="shared" si="61"/>
        <v>274.93573800000001</v>
      </c>
      <c r="K148" s="130">
        <f t="shared" si="61"/>
        <v>108.69457200000002</v>
      </c>
      <c r="L148" s="130">
        <f>SUM(L136:L147)</f>
        <v>75.541997999999992</v>
      </c>
      <c r="M148" s="130">
        <f>SUM(M136:M147)</f>
        <v>128.342004</v>
      </c>
      <c r="N148" s="130">
        <f>SUM(N136:N147)</f>
        <v>182.38138800000002</v>
      </c>
      <c r="O148" s="130">
        <f t="shared" ref="O148:Y148" si="62">SUM(O136:O147)</f>
        <v>100.77631199999999</v>
      </c>
      <c r="P148" s="130">
        <f t="shared" si="62"/>
        <v>84.328019999999995</v>
      </c>
      <c r="Q148" s="130">
        <f t="shared" si="62"/>
        <v>90.354221999999979</v>
      </c>
      <c r="R148" s="130">
        <f t="shared" si="62"/>
        <v>95.484479999999991</v>
      </c>
      <c r="S148" s="130">
        <f t="shared" si="62"/>
        <v>101.999184</v>
      </c>
      <c r="T148" s="130">
        <f t="shared" si="62"/>
        <v>114.42564</v>
      </c>
      <c r="U148" s="130">
        <f t="shared" si="62"/>
        <v>145.21512599999997</v>
      </c>
      <c r="V148" s="130">
        <f t="shared" si="62"/>
        <v>187.00315200000003</v>
      </c>
      <c r="W148" s="130">
        <f t="shared" si="62"/>
        <v>238.18598999999998</v>
      </c>
      <c r="X148" s="130">
        <f t="shared" si="62"/>
        <v>259.11353999999994</v>
      </c>
      <c r="Y148" s="130">
        <f t="shared" si="62"/>
        <v>184.75501800000001</v>
      </c>
      <c r="Z148" s="134">
        <f t="shared" ref="Z148:AY148" si="63">Z9</f>
        <v>130</v>
      </c>
      <c r="AA148" s="134">
        <f t="shared" si="63"/>
        <v>130</v>
      </c>
      <c r="AB148" s="134">
        <f t="shared" si="63"/>
        <v>125</v>
      </c>
      <c r="AC148" s="134">
        <f t="shared" si="63"/>
        <v>125</v>
      </c>
      <c r="AD148" s="134">
        <f t="shared" si="63"/>
        <v>110</v>
      </c>
      <c r="AE148" s="134">
        <f t="shared" si="63"/>
        <v>100</v>
      </c>
      <c r="AF148" s="134">
        <f t="shared" si="63"/>
        <v>105</v>
      </c>
      <c r="AG148" s="134">
        <f t="shared" si="63"/>
        <v>115</v>
      </c>
      <c r="AH148" s="134">
        <f t="shared" si="63"/>
        <v>110</v>
      </c>
      <c r="AI148" s="134">
        <f t="shared" si="63"/>
        <v>125</v>
      </c>
      <c r="AJ148" s="134">
        <f t="shared" si="63"/>
        <v>110</v>
      </c>
      <c r="AK148" s="134">
        <f t="shared" si="63"/>
        <v>110</v>
      </c>
      <c r="AL148" s="134">
        <f t="shared" si="63"/>
        <v>115</v>
      </c>
      <c r="AM148" s="134">
        <f t="shared" si="63"/>
        <v>140</v>
      </c>
      <c r="AN148" s="134">
        <f t="shared" si="63"/>
        <v>115</v>
      </c>
      <c r="AO148" s="134">
        <f t="shared" si="63"/>
        <v>120</v>
      </c>
      <c r="AP148" s="134">
        <f t="shared" si="63"/>
        <v>130</v>
      </c>
      <c r="AQ148" s="134">
        <f t="shared" si="63"/>
        <v>110</v>
      </c>
      <c r="AR148" s="134">
        <f t="shared" si="63"/>
        <v>75</v>
      </c>
      <c r="AS148" s="134">
        <f t="shared" si="63"/>
        <v>105</v>
      </c>
      <c r="AT148" s="134">
        <f t="shared" si="63"/>
        <v>105</v>
      </c>
      <c r="AU148" s="134">
        <f t="shared" si="63"/>
        <v>105</v>
      </c>
      <c r="AV148" s="134">
        <f t="shared" si="63"/>
        <v>105</v>
      </c>
      <c r="AW148" s="134">
        <f t="shared" si="63"/>
        <v>105</v>
      </c>
      <c r="AX148" s="134">
        <f t="shared" si="63"/>
        <v>105</v>
      </c>
      <c r="AY148" s="134">
        <f t="shared" si="63"/>
        <v>110</v>
      </c>
    </row>
    <row r="150" spans="1:51" ht="12" thickBot="1" x14ac:dyDescent="0.25">
      <c r="A150" s="121" t="s">
        <v>184</v>
      </c>
    </row>
    <row r="151" spans="1:51" ht="12" thickBot="1" x14ac:dyDescent="0.25">
      <c r="A151" s="122"/>
      <c r="B151" s="128">
        <v>2001</v>
      </c>
      <c r="C151" s="128">
        <v>2002</v>
      </c>
      <c r="D151" s="128">
        <v>2003</v>
      </c>
      <c r="E151" s="128">
        <v>2004</v>
      </c>
      <c r="F151" s="128">
        <v>2005</v>
      </c>
      <c r="G151" s="128">
        <v>2006</v>
      </c>
      <c r="H151" s="128">
        <v>2007</v>
      </c>
      <c r="I151" s="128">
        <v>2008</v>
      </c>
      <c r="J151" s="128">
        <v>2009</v>
      </c>
      <c r="K151" s="128">
        <v>2010</v>
      </c>
      <c r="L151" s="128">
        <v>2011</v>
      </c>
      <c r="M151" s="128">
        <v>2012</v>
      </c>
      <c r="N151" s="128">
        <v>2013</v>
      </c>
      <c r="O151" s="128">
        <v>2014</v>
      </c>
      <c r="P151" s="128">
        <v>2015</v>
      </c>
      <c r="Q151" s="128">
        <v>2016</v>
      </c>
      <c r="R151" s="128">
        <v>2017</v>
      </c>
      <c r="S151" s="128">
        <v>2018</v>
      </c>
      <c r="T151" s="128">
        <v>2019</v>
      </c>
      <c r="U151" s="128">
        <v>2020</v>
      </c>
      <c r="V151" s="128">
        <v>2021</v>
      </c>
      <c r="W151" s="128">
        <v>2022</v>
      </c>
      <c r="X151" s="128">
        <v>2023</v>
      </c>
      <c r="Y151" s="128">
        <v>2024</v>
      </c>
      <c r="Z151" s="128">
        <v>2025</v>
      </c>
      <c r="AA151" s="128">
        <v>2026</v>
      </c>
      <c r="AB151" s="128">
        <v>2027</v>
      </c>
      <c r="AC151" s="128">
        <v>2028</v>
      </c>
      <c r="AD151" s="128">
        <v>2029</v>
      </c>
      <c r="AE151" s="128">
        <v>2030</v>
      </c>
      <c r="AF151" s="128">
        <v>2031</v>
      </c>
      <c r="AG151" s="128">
        <v>2032</v>
      </c>
      <c r="AH151" s="128">
        <v>2033</v>
      </c>
      <c r="AI151" s="128">
        <f>AI17</f>
        <v>0</v>
      </c>
      <c r="AJ151" s="128">
        <f>AJ17</f>
        <v>0</v>
      </c>
      <c r="AK151" s="128">
        <f t="shared" ref="AK151:AV151" si="64">AK17</f>
        <v>0</v>
      </c>
      <c r="AL151" s="128">
        <f t="shared" si="64"/>
        <v>0</v>
      </c>
      <c r="AM151" s="128">
        <f t="shared" si="64"/>
        <v>0</v>
      </c>
      <c r="AN151" s="128">
        <f t="shared" si="64"/>
        <v>0</v>
      </c>
      <c r="AO151" s="128">
        <f t="shared" si="64"/>
        <v>0</v>
      </c>
      <c r="AP151" s="128">
        <f t="shared" si="64"/>
        <v>0</v>
      </c>
      <c r="AQ151" s="128">
        <f t="shared" si="64"/>
        <v>0</v>
      </c>
      <c r="AR151" s="128">
        <f t="shared" si="64"/>
        <v>0</v>
      </c>
      <c r="AS151" s="128">
        <f t="shared" si="64"/>
        <v>0</v>
      </c>
      <c r="AT151" s="128">
        <f t="shared" si="64"/>
        <v>0</v>
      </c>
      <c r="AU151" s="128">
        <f t="shared" si="64"/>
        <v>0</v>
      </c>
      <c r="AV151" s="128">
        <f t="shared" si="64"/>
        <v>0</v>
      </c>
      <c r="AW151" s="128">
        <f>AW17</f>
        <v>0</v>
      </c>
      <c r="AX151" s="128">
        <f>AX17</f>
        <v>0</v>
      </c>
      <c r="AY151" s="128">
        <f>AY17</f>
        <v>0</v>
      </c>
    </row>
    <row r="152" spans="1:51" x14ac:dyDescent="0.2">
      <c r="A152" s="19" t="s">
        <v>185</v>
      </c>
      <c r="B152" s="129"/>
      <c r="C152" s="129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>
        <f>'Monthly Data'!BE471*302.01/1000000</f>
        <v>11.554682132699998</v>
      </c>
      <c r="N152" s="129">
        <f>'Monthly Data'!$BE483*302.01/1000000</f>
        <v>0.69576218172000004</v>
      </c>
      <c r="O152" s="129">
        <f>'Monthly Data'!$BE495*302.01/1000000</f>
        <v>5.7154510630799997</v>
      </c>
      <c r="P152" s="129">
        <f>'Monthly Data'!$BE507*302.01/1000000</f>
        <v>0.93536634536999996</v>
      </c>
      <c r="Q152" s="129">
        <f>'Monthly Data'!$BE519*302.01/1000000</f>
        <v>1.8058425201299999</v>
      </c>
      <c r="R152" s="129">
        <f>'Monthly Data'!$BE531*302.01/1000000</f>
        <v>1.8092353004699999</v>
      </c>
      <c r="S152" s="129">
        <f>'Monthly Data'!$BE543*302.01/1000000</f>
        <v>3.5890225118700001</v>
      </c>
      <c r="T152" s="129">
        <f>'Monthly Data'!$BE555*302.01/1000000</f>
        <v>3.6391812387</v>
      </c>
      <c r="U152" s="129">
        <f>'Monthly Data'!$BE567*302.01/1000000</f>
        <v>1.3456354539900002</v>
      </c>
      <c r="V152" s="129">
        <f>'Monthly Data'!$BE579*302.01/1000000</f>
        <v>7.0696448764499999</v>
      </c>
      <c r="W152" s="129">
        <f>'Monthly Data'!$BE591*302.01/1000000</f>
        <v>8.9010570732299996</v>
      </c>
      <c r="X152" s="129">
        <f>'Monthly Data'!$BE603*302.01/1000000</f>
        <v>6.99014164998</v>
      </c>
      <c r="Y152" s="129">
        <f>'Monthly Data'!$BE615*302.01/1000000</f>
        <v>5.2001298900299995</v>
      </c>
      <c r="Z152" s="133">
        <f t="shared" ref="Z152:Z162" si="65">Z$69*(SUM(T152:Y152)/SUM(T$69:Y$69))</f>
        <v>3.8167864336806994</v>
      </c>
      <c r="AA152" s="133">
        <f t="shared" ref="AA152:AA162" si="66">AA$69*(SUM(U152:Z152)/SUM(U$69:Z$69))</f>
        <v>3.7858466098511467</v>
      </c>
      <c r="AB152" s="133">
        <f t="shared" ref="AB152:AQ162" si="67">AB$69*(SUM(V152:AA152)/SUM(V$69:AA$69))</f>
        <v>3.9594529284488567</v>
      </c>
      <c r="AC152" s="133">
        <f t="shared" si="67"/>
        <v>3.8251810376544952</v>
      </c>
      <c r="AD152" s="133">
        <f t="shared" si="67"/>
        <v>3.1802382152331856</v>
      </c>
      <c r="AE152" s="133">
        <f t="shared" si="67"/>
        <v>2.9534000513555521</v>
      </c>
      <c r="AF152" s="133">
        <f t="shared" si="67"/>
        <v>3.1384653527826574</v>
      </c>
      <c r="AG152" s="133">
        <f t="shared" si="67"/>
        <v>3.4487729244064425</v>
      </c>
      <c r="AH152" s="133">
        <f t="shared" si="67"/>
        <v>3.3170678765984274</v>
      </c>
      <c r="AI152" s="133">
        <f t="shared" si="67"/>
        <v>3.7336701988779621</v>
      </c>
      <c r="AJ152" s="133">
        <f t="shared" si="67"/>
        <v>3.2704926437864139</v>
      </c>
      <c r="AK152" s="133">
        <f t="shared" si="67"/>
        <v>3.2854219477576243</v>
      </c>
      <c r="AL152" s="133">
        <f t="shared" si="67"/>
        <v>3.4404406793838453</v>
      </c>
      <c r="AM152" s="133">
        <f t="shared" si="67"/>
        <v>4.1889361721364962</v>
      </c>
      <c r="AN152" s="133">
        <f t="shared" si="67"/>
        <v>3.4396385839889985</v>
      </c>
      <c r="AO152" s="133">
        <f t="shared" si="67"/>
        <v>3.5846601777786864</v>
      </c>
      <c r="AP152" s="133">
        <f t="shared" si="67"/>
        <v>3.8834460938424908</v>
      </c>
      <c r="AQ152" s="133">
        <f t="shared" si="67"/>
        <v>3.2883284959420487</v>
      </c>
      <c r="AR152" s="133">
        <f t="shared" ref="AR152:AY162" si="68">AR$69*(SUM(AL152:AQ152)/SUM(AL$69:AQ$69))</f>
        <v>2.2423407742882775</v>
      </c>
      <c r="AS152" s="133">
        <f t="shared" si="68"/>
        <v>3.1389446105617171</v>
      </c>
      <c r="AT152" s="133">
        <f t="shared" si="68"/>
        <v>3.1383552172858518</v>
      </c>
      <c r="AU152" s="133">
        <f t="shared" si="68"/>
        <v>3.1379657578579891</v>
      </c>
      <c r="AV152" s="133">
        <f t="shared" si="68"/>
        <v>3.1382301582963961</v>
      </c>
      <c r="AW152" s="133">
        <f t="shared" si="68"/>
        <v>3.1385740933791562</v>
      </c>
      <c r="AX152" s="133">
        <f t="shared" si="68"/>
        <v>3.1385218570421429</v>
      </c>
      <c r="AY152" s="133">
        <f t="shared" si="68"/>
        <v>3.2878810895024735</v>
      </c>
    </row>
    <row r="153" spans="1:51" x14ac:dyDescent="0.2">
      <c r="A153" s="19" t="s">
        <v>186</v>
      </c>
      <c r="B153" s="129"/>
      <c r="C153" s="129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>
        <f>'Monthly Data'!BE472*302.01/1000000</f>
        <v>5.25720253179</v>
      </c>
      <c r="N153" s="129">
        <f>'Monthly Data'!$BE484*302.01/1000000</f>
        <v>1.5915437743799998</v>
      </c>
      <c r="O153" s="129">
        <f>'Monthly Data'!$BE496*302.01/1000000</f>
        <v>5.9890914517200002</v>
      </c>
      <c r="P153" s="129">
        <f>'Monthly Data'!$BE508*302.01/1000000</f>
        <v>0.99650977992000001</v>
      </c>
      <c r="Q153" s="129">
        <f>'Monthly Data'!$BE520*302.01/1000000</f>
        <v>2.0889623986499997</v>
      </c>
      <c r="R153" s="129">
        <f>'Monthly Data'!$BE532*302.01/1000000</f>
        <v>2.4997793534100001</v>
      </c>
      <c r="S153" s="129">
        <f>'Monthly Data'!$BE544*302.01/1000000</f>
        <v>4.3971550643399997</v>
      </c>
      <c r="T153" s="129">
        <f>'Monthly Data'!$BE556*302.01/1000000</f>
        <v>3.8939423782199998</v>
      </c>
      <c r="U153" s="129">
        <f>'Monthly Data'!$BE568*302.01/1000000</f>
        <v>3.7984362458699996</v>
      </c>
      <c r="V153" s="129">
        <f>'Monthly Data'!$BE580*302.01/1000000</f>
        <v>5.1812035273500001</v>
      </c>
      <c r="W153" s="129">
        <f>'Monthly Data'!$BE592*302.01/1000000</f>
        <v>5.2721245438799995</v>
      </c>
      <c r="X153" s="129">
        <f>'Monthly Data'!$BE604*302.01/1000000</f>
        <v>6.3812127794399993</v>
      </c>
      <c r="Y153" s="129">
        <f>'Monthly Data'!$BE616*302.01/1000000</f>
        <v>9.0726141557400002</v>
      </c>
      <c r="Z153" s="133">
        <f t="shared" si="65"/>
        <v>3.8690356583221006</v>
      </c>
      <c r="AA153" s="133">
        <f t="shared" si="66"/>
        <v>3.8143888408464863</v>
      </c>
      <c r="AB153" s="133">
        <f t="shared" si="67"/>
        <v>3.7188732145375063</v>
      </c>
      <c r="AC153" s="133">
        <f t="shared" si="67"/>
        <v>3.7636605894451067</v>
      </c>
      <c r="AD153" s="133">
        <f t="shared" si="67"/>
        <v>3.5310697139221907</v>
      </c>
      <c r="AE153" s="133">
        <f t="shared" si="67"/>
        <v>3.4506951248129263</v>
      </c>
      <c r="AF153" s="133">
        <f t="shared" si="67"/>
        <v>3.229876291525088</v>
      </c>
      <c r="AG153" s="133">
        <f t="shared" si="67"/>
        <v>3.5589709843672948</v>
      </c>
      <c r="AH153" s="133">
        <f t="shared" si="67"/>
        <v>3.4380088985986945</v>
      </c>
      <c r="AI153" s="133">
        <f t="shared" si="67"/>
        <v>3.9421581959908463</v>
      </c>
      <c r="AJ153" s="133">
        <f t="shared" si="67"/>
        <v>3.498625132351691</v>
      </c>
      <c r="AK153" s="133">
        <f t="shared" si="67"/>
        <v>3.4932583594603299</v>
      </c>
      <c r="AL153" s="133">
        <f t="shared" si="67"/>
        <v>3.6051900061685984</v>
      </c>
      <c r="AM153" s="133">
        <f t="shared" si="67"/>
        <v>4.4015614901769977</v>
      </c>
      <c r="AN153" s="133">
        <f t="shared" si="67"/>
        <v>3.6247355486139772</v>
      </c>
      <c r="AO153" s="133">
        <f t="shared" si="67"/>
        <v>3.7872216054985914</v>
      </c>
      <c r="AP153" s="133">
        <f t="shared" si="67"/>
        <v>4.1033478570353861</v>
      </c>
      <c r="AQ153" s="133">
        <f t="shared" si="67"/>
        <v>3.468061144335516</v>
      </c>
      <c r="AR153" s="133">
        <f t="shared" si="68"/>
        <v>2.3619983888865477</v>
      </c>
      <c r="AS153" s="133">
        <f t="shared" si="68"/>
        <v>3.309314831344111</v>
      </c>
      <c r="AT153" s="133">
        <f t="shared" si="68"/>
        <v>3.3110554724427232</v>
      </c>
      <c r="AU153" s="133">
        <f t="shared" si="68"/>
        <v>3.3113254673674448</v>
      </c>
      <c r="AV153" s="133">
        <f t="shared" si="68"/>
        <v>3.3108505269019552</v>
      </c>
      <c r="AW153" s="133">
        <f t="shared" si="68"/>
        <v>3.3101216731970595</v>
      </c>
      <c r="AX153" s="133">
        <f t="shared" si="68"/>
        <v>3.3100666130244716</v>
      </c>
      <c r="AY153" s="133">
        <f t="shared" si="68"/>
        <v>3.4680965147151648</v>
      </c>
    </row>
    <row r="154" spans="1:51" x14ac:dyDescent="0.2">
      <c r="A154" s="19" t="s">
        <v>187</v>
      </c>
      <c r="B154" s="129"/>
      <c r="C154" s="129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>
        <f>'Monthly Data'!BE473*302.01/1000000</f>
        <v>8.0172525931499994</v>
      </c>
      <c r="N154" s="129">
        <f>'Monthly Data'!$BE485*302.01/1000000</f>
        <v>7.49668882851</v>
      </c>
      <c r="O154" s="129">
        <f>'Monthly Data'!$BE497*302.01/1000000</f>
        <v>3.89228192724</v>
      </c>
      <c r="P154" s="129">
        <f>'Monthly Data'!$BE509*302.01/1000000</f>
        <v>8.1177844739099996</v>
      </c>
      <c r="Q154" s="129">
        <f>'Monthly Data'!$BE521*302.01/1000000</f>
        <v>9.9444264227399994</v>
      </c>
      <c r="R154" s="129">
        <f>'Monthly Data'!$BE533*302.01/1000000</f>
        <v>5.8102381096200002</v>
      </c>
      <c r="S154" s="129">
        <f>'Monthly Data'!$BE545*302.01/1000000</f>
        <v>10.943016145530001</v>
      </c>
      <c r="T154" s="129">
        <f>'Monthly Data'!$BE557*302.01/1000000</f>
        <v>9.6222723557399998</v>
      </c>
      <c r="U154" s="129">
        <f>'Monthly Data'!$BE569*302.01/1000000</f>
        <v>9.5872506721199997</v>
      </c>
      <c r="V154" s="129">
        <f>'Monthly Data'!$BE581*302.01/1000000</f>
        <v>11.356659007860001</v>
      </c>
      <c r="W154" s="129">
        <f>'Monthly Data'!$BE593*302.01/1000000</f>
        <v>8.8601718654600017</v>
      </c>
      <c r="X154" s="129">
        <f>'Monthly Data'!$BE605*302.01/1000000</f>
        <v>11.100097888739999</v>
      </c>
      <c r="Y154" s="129">
        <f>'Monthly Data'!$BE617*302.01/1000000</f>
        <v>13.891683230279998</v>
      </c>
      <c r="Z154" s="133">
        <f t="shared" si="65"/>
        <v>7.4178428836737558</v>
      </c>
      <c r="AA154" s="133">
        <f t="shared" si="66"/>
        <v>7.0680536472491484</v>
      </c>
      <c r="AB154" s="133">
        <f t="shared" si="67"/>
        <v>6.6088859456942393</v>
      </c>
      <c r="AC154" s="133">
        <f t="shared" si="67"/>
        <v>6.4367299174260619</v>
      </c>
      <c r="AD154" s="133">
        <f t="shared" si="67"/>
        <v>6.0569794842078792</v>
      </c>
      <c r="AE154" s="133">
        <f t="shared" si="67"/>
        <v>5.899953904795793</v>
      </c>
      <c r="AF154" s="133">
        <f t="shared" si="67"/>
        <v>5.7587316766943362</v>
      </c>
      <c r="AG154" s="133">
        <f t="shared" si="67"/>
        <v>6.2595301816514501</v>
      </c>
      <c r="AH154" s="133">
        <f t="shared" si="67"/>
        <v>5.9886606208112845</v>
      </c>
      <c r="AI154" s="133">
        <f t="shared" si="67"/>
        <v>6.8422153732306015</v>
      </c>
      <c r="AJ154" s="133">
        <f t="shared" si="67"/>
        <v>6.0882223106060867</v>
      </c>
      <c r="AK154" s="133">
        <f t="shared" si="67"/>
        <v>6.0933902969275948</v>
      </c>
      <c r="AL154" s="133">
        <f t="shared" si="67"/>
        <v>6.3089426709495635</v>
      </c>
      <c r="AM154" s="133">
        <f t="shared" si="67"/>
        <v>7.6807804431893745</v>
      </c>
      <c r="AN154" s="133">
        <f t="shared" si="67"/>
        <v>6.3172596440946034</v>
      </c>
      <c r="AO154" s="133">
        <f t="shared" si="67"/>
        <v>6.6009752289227119</v>
      </c>
      <c r="AP154" s="133">
        <f t="shared" si="67"/>
        <v>7.1572453201544954</v>
      </c>
      <c r="AQ154" s="133">
        <f t="shared" si="67"/>
        <v>6.0512949266660518</v>
      </c>
      <c r="AR154" s="133">
        <f t="shared" si="68"/>
        <v>4.1215580377373424</v>
      </c>
      <c r="AS154" s="133">
        <f t="shared" si="68"/>
        <v>5.7718216348989584</v>
      </c>
      <c r="AT154" s="133">
        <f t="shared" si="68"/>
        <v>5.7742232873431858</v>
      </c>
      <c r="AU154" s="133">
        <f t="shared" si="68"/>
        <v>5.7753448616292857</v>
      </c>
      <c r="AV154" s="133">
        <f t="shared" si="68"/>
        <v>5.7752480114048872</v>
      </c>
      <c r="AW154" s="133">
        <f t="shared" si="68"/>
        <v>5.7740438508535039</v>
      </c>
      <c r="AX154" s="133">
        <f t="shared" si="68"/>
        <v>5.7736419446767533</v>
      </c>
      <c r="AY154" s="133">
        <f t="shared" si="68"/>
        <v>6.0490088809344815</v>
      </c>
    </row>
    <row r="155" spans="1:51" x14ac:dyDescent="0.2">
      <c r="A155" s="19" t="s">
        <v>188</v>
      </c>
      <c r="B155" s="129"/>
      <c r="C155" s="129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>
        <f>'Monthly Data'!BE474*302.01/1000000</f>
        <v>9.714217488180001</v>
      </c>
      <c r="N155" s="129">
        <f>'Monthly Data'!$BE486*302.01/1000000</f>
        <v>15.79175196438</v>
      </c>
      <c r="O155" s="129">
        <f>'Monthly Data'!$BE498*302.01/1000000</f>
        <v>11.1142065879</v>
      </c>
      <c r="P155" s="129">
        <f>'Monthly Data'!$BE510*302.01/1000000</f>
        <v>10.221971196659998</v>
      </c>
      <c r="Q155" s="129">
        <f>'Monthly Data'!$BE522*302.01/1000000</f>
        <v>10.455558415080001</v>
      </c>
      <c r="R155" s="129">
        <f>'Monthly Data'!$BE534*302.01/1000000</f>
        <v>12.06477611667</v>
      </c>
      <c r="S155" s="129">
        <f>'Monthly Data'!$BE546*302.01/1000000</f>
        <v>9.258629967000001</v>
      </c>
      <c r="T155" s="129">
        <f>'Monthly Data'!$BE558*302.01/1000000</f>
        <v>15.75115819626</v>
      </c>
      <c r="U155" s="129">
        <f>'Monthly Data'!$BE570*302.01/1000000</f>
        <v>22.16939981778</v>
      </c>
      <c r="V155" s="129">
        <f>'Monthly Data'!$BE582*302.01/1000000</f>
        <v>21.02844922521</v>
      </c>
      <c r="W155" s="129">
        <f>'Monthly Data'!$BE594*302.01/1000000</f>
        <v>20.360085088679998</v>
      </c>
      <c r="X155" s="129">
        <f>'Monthly Data'!$BE606*302.01/1000000</f>
        <v>48.596598829620007</v>
      </c>
      <c r="Y155" s="129">
        <f>'Monthly Data'!$BE618*302.01/1000000</f>
        <v>18.211532190899998</v>
      </c>
      <c r="Z155" s="133">
        <f t="shared" si="65"/>
        <v>16.825612928061194</v>
      </c>
      <c r="AA155" s="133">
        <f t="shared" si="66"/>
        <v>16.722339039826728</v>
      </c>
      <c r="AB155" s="133">
        <f t="shared" si="67"/>
        <v>15.6928004324201</v>
      </c>
      <c r="AC155" s="133">
        <f t="shared" si="67"/>
        <v>15.979615189914833</v>
      </c>
      <c r="AD155" s="133">
        <f t="shared" si="67"/>
        <v>15.22550955829044</v>
      </c>
      <c r="AE155" s="133">
        <f t="shared" si="67"/>
        <v>12.259309620038094</v>
      </c>
      <c r="AF155" s="133">
        <f t="shared" si="67"/>
        <v>13.51950640374708</v>
      </c>
      <c r="AG155" s="133">
        <f t="shared" si="67"/>
        <v>14.792653565593216</v>
      </c>
      <c r="AH155" s="133">
        <f t="shared" si="67"/>
        <v>14.149460918677077</v>
      </c>
      <c r="AI155" s="133">
        <f t="shared" si="67"/>
        <v>16.151514145913673</v>
      </c>
      <c r="AJ155" s="133">
        <f t="shared" si="67"/>
        <v>14.241766862178281</v>
      </c>
      <c r="AK155" s="133">
        <f t="shared" si="67"/>
        <v>14.079042506430405</v>
      </c>
      <c r="AL155" s="133">
        <f t="shared" si="67"/>
        <v>14.810968305617882</v>
      </c>
      <c r="AM155" s="133">
        <f t="shared" si="67"/>
        <v>18.031469901631347</v>
      </c>
      <c r="AN155" s="133">
        <f t="shared" si="67"/>
        <v>14.814627610776895</v>
      </c>
      <c r="AO155" s="133">
        <f t="shared" si="67"/>
        <v>15.46227513273541</v>
      </c>
      <c r="AP155" s="133">
        <f t="shared" si="67"/>
        <v>16.742562734532576</v>
      </c>
      <c r="AQ155" s="133">
        <f t="shared" si="67"/>
        <v>14.155485042588625</v>
      </c>
      <c r="AR155" s="133">
        <f t="shared" si="68"/>
        <v>9.6593207597139816</v>
      </c>
      <c r="AS155" s="133">
        <f t="shared" si="68"/>
        <v>13.523047571170691</v>
      </c>
      <c r="AT155" s="133">
        <f t="shared" si="68"/>
        <v>13.522928976197569</v>
      </c>
      <c r="AU155" s="133">
        <f t="shared" si="68"/>
        <v>13.522310267873765</v>
      </c>
      <c r="AV155" s="133">
        <f t="shared" si="68"/>
        <v>13.520942558679536</v>
      </c>
      <c r="AW155" s="133">
        <f t="shared" si="68"/>
        <v>13.520535030584361</v>
      </c>
      <c r="AX155" s="133">
        <f t="shared" si="68"/>
        <v>13.522089903738483</v>
      </c>
      <c r="AY155" s="133">
        <f t="shared" si="68"/>
        <v>14.165879323661722</v>
      </c>
    </row>
    <row r="156" spans="1:51" x14ac:dyDescent="0.2">
      <c r="A156" s="19" t="s">
        <v>166</v>
      </c>
      <c r="B156" s="129"/>
      <c r="C156" s="129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>
        <f>'Monthly Data'!BE475*302.01/1000000</f>
        <v>13.45874736513</v>
      </c>
      <c r="N156" s="129">
        <f>'Monthly Data'!$BE487*302.01/1000000</f>
        <v>23.970772287899997</v>
      </c>
      <c r="O156" s="129">
        <f>'Monthly Data'!$BE499*302.01/1000000</f>
        <v>8.8360322061599987</v>
      </c>
      <c r="P156" s="129">
        <f>'Monthly Data'!$BE511*302.01/1000000</f>
        <v>10.846624217850001</v>
      </c>
      <c r="Q156" s="129">
        <f>'Monthly Data'!$BE523*302.01/1000000</f>
        <v>14.273619270749998</v>
      </c>
      <c r="R156" s="129">
        <f>'Monthly Data'!$BE535*302.01/1000000</f>
        <v>10.187384407440002</v>
      </c>
      <c r="S156" s="129">
        <f>'Monthly Data'!$BE547*302.01/1000000</f>
        <v>16.739704878509997</v>
      </c>
      <c r="T156" s="129">
        <f>'Monthly Data'!$BE559*302.01/1000000</f>
        <v>18.743353680299997</v>
      </c>
      <c r="U156" s="129">
        <f>'Monthly Data'!$BE571*302.01/1000000</f>
        <v>21.132745358609998</v>
      </c>
      <c r="V156" s="129">
        <f>'Monthly Data'!$BE583*302.01/1000000</f>
        <v>24.004593179759997</v>
      </c>
      <c r="W156" s="129">
        <f>'Monthly Data'!$BE595*302.01/1000000</f>
        <v>25.771181346119999</v>
      </c>
      <c r="X156" s="129">
        <f>'Monthly Data'!$BE607*302.01/1000000</f>
        <v>32.262505159500002</v>
      </c>
      <c r="Y156" s="129">
        <f>'Monthly Data'!$BE619*302.01/1000000</f>
        <v>21.446324153670002</v>
      </c>
      <c r="Z156" s="133">
        <f t="shared" si="65"/>
        <v>16.508195546305053</v>
      </c>
      <c r="AA156" s="133">
        <f t="shared" si="66"/>
        <v>16.033170062115467</v>
      </c>
      <c r="AB156" s="133">
        <f t="shared" si="67"/>
        <v>15.059678686867652</v>
      </c>
      <c r="AC156" s="133">
        <f t="shared" si="67"/>
        <v>14.886897674627852</v>
      </c>
      <c r="AD156" s="133">
        <f t="shared" si="67"/>
        <v>13.399796789548297</v>
      </c>
      <c r="AE156" s="133">
        <f t="shared" si="67"/>
        <v>12.094868716076066</v>
      </c>
      <c r="AF156" s="133">
        <f t="shared" si="67"/>
        <v>12.830796923516306</v>
      </c>
      <c r="AG156" s="133">
        <f t="shared" si="67"/>
        <v>13.949782759807825</v>
      </c>
      <c r="AH156" s="133">
        <f t="shared" si="67"/>
        <v>13.300588780218881</v>
      </c>
      <c r="AI156" s="133">
        <f t="shared" si="67"/>
        <v>15.124573617254741</v>
      </c>
      <c r="AJ156" s="133">
        <f t="shared" si="67"/>
        <v>13.348939600761554</v>
      </c>
      <c r="AK156" s="133">
        <f t="shared" si="67"/>
        <v>13.340527133443446</v>
      </c>
      <c r="AL156" s="133">
        <f t="shared" si="67"/>
        <v>13.952517057370837</v>
      </c>
      <c r="AM156" s="133">
        <f t="shared" si="67"/>
        <v>16.966963580788352</v>
      </c>
      <c r="AN156" s="133">
        <f t="shared" si="67"/>
        <v>13.935102286663872</v>
      </c>
      <c r="AO156" s="133">
        <f t="shared" si="67"/>
        <v>14.545782927488025</v>
      </c>
      <c r="AP156" s="133">
        <f t="shared" si="67"/>
        <v>15.762927093305761</v>
      </c>
      <c r="AQ156" s="133">
        <f t="shared" si="67"/>
        <v>13.336192066707715</v>
      </c>
      <c r="AR156" s="133">
        <f t="shared" si="68"/>
        <v>9.0924128437319744</v>
      </c>
      <c r="AS156" s="133">
        <f t="shared" si="68"/>
        <v>12.727731860669564</v>
      </c>
      <c r="AT156" s="133">
        <f t="shared" si="68"/>
        <v>12.728268172900039</v>
      </c>
      <c r="AU156" s="133">
        <f t="shared" si="68"/>
        <v>12.72914429659585</v>
      </c>
      <c r="AV156" s="133">
        <f t="shared" si="68"/>
        <v>12.729446055651819</v>
      </c>
      <c r="AW156" s="133">
        <f t="shared" si="68"/>
        <v>12.728984307614843</v>
      </c>
      <c r="AX156" s="133">
        <f t="shared" si="68"/>
        <v>12.728797819003717</v>
      </c>
      <c r="AY156" s="133">
        <f t="shared" si="68"/>
        <v>13.334858692647526</v>
      </c>
    </row>
    <row r="157" spans="1:51" x14ac:dyDescent="0.2">
      <c r="A157" s="19" t="s">
        <v>189</v>
      </c>
      <c r="B157" s="129"/>
      <c r="C157" s="129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>
        <f>'Monthly Data'!BE476*302.01/1000000</f>
        <v>14.61372420813</v>
      </c>
      <c r="N157" s="129">
        <f>'Monthly Data'!$BE488*302.01/1000000</f>
        <v>25.003094715629999</v>
      </c>
      <c r="O157" s="129">
        <f>'Monthly Data'!$BE500*302.01/1000000</f>
        <v>11.21246705145</v>
      </c>
      <c r="P157" s="129">
        <f>'Monthly Data'!$BE512*302.01/1000000</f>
        <v>11.06224727745</v>
      </c>
      <c r="Q157" s="129">
        <f>'Monthly Data'!$BE524*302.01/1000000</f>
        <v>9.3789120937200003</v>
      </c>
      <c r="R157" s="129">
        <f>'Monthly Data'!$BE536*302.01/1000000</f>
        <v>9.6205083153300013</v>
      </c>
      <c r="S157" s="129">
        <f>'Monthly Data'!$BE548*302.01/1000000</f>
        <v>11.584629444299999</v>
      </c>
      <c r="T157" s="129">
        <f>'Monthly Data'!$BE560*302.01/1000000</f>
        <v>12.77357758014</v>
      </c>
      <c r="U157" s="129">
        <f>'Monthly Data'!$BE572*302.01/1000000</f>
        <v>22.248277581539998</v>
      </c>
      <c r="V157" s="129">
        <f>'Monthly Data'!$BE584*302.01/1000000</f>
        <v>28.018802282189998</v>
      </c>
      <c r="W157" s="129">
        <f>'Monthly Data'!$BE596*302.01/1000000</f>
        <v>25.130450822579999</v>
      </c>
      <c r="X157" s="129">
        <f>'Monthly Data'!$BE608*302.01/1000000</f>
        <v>35.702011580669996</v>
      </c>
      <c r="Y157" s="129">
        <f>'Monthly Data'!$BE620*302.01/1000000</f>
        <v>20.422757599859999</v>
      </c>
      <c r="Z157" s="133">
        <f t="shared" si="65"/>
        <v>16.615882271784184</v>
      </c>
      <c r="AA157" s="133">
        <f t="shared" si="66"/>
        <v>16.829870674584335</v>
      </c>
      <c r="AB157" s="133">
        <f t="shared" si="67"/>
        <v>15.800761913194128</v>
      </c>
      <c r="AC157" s="133">
        <f t="shared" si="67"/>
        <v>15.287612885779183</v>
      </c>
      <c r="AD157" s="133">
        <f t="shared" si="67"/>
        <v>13.914368547459659</v>
      </c>
      <c r="AE157" s="133">
        <f t="shared" si="67"/>
        <v>12.285882247541508</v>
      </c>
      <c r="AF157" s="133">
        <f t="shared" si="67"/>
        <v>13.232096870466687</v>
      </c>
      <c r="AG157" s="133">
        <f t="shared" si="67"/>
        <v>14.453695267608536</v>
      </c>
      <c r="AH157" s="133">
        <f t="shared" si="67"/>
        <v>13.745861691949216</v>
      </c>
      <c r="AI157" s="133">
        <f t="shared" si="67"/>
        <v>15.586375471955789</v>
      </c>
      <c r="AJ157" s="133">
        <f t="shared" si="67"/>
        <v>13.765429790478127</v>
      </c>
      <c r="AK157" s="133">
        <f t="shared" si="67"/>
        <v>13.740793304360878</v>
      </c>
      <c r="AL157" s="133">
        <f t="shared" si="67"/>
        <v>14.40042818612476</v>
      </c>
      <c r="AM157" s="133">
        <f t="shared" si="67"/>
        <v>17.513812729557404</v>
      </c>
      <c r="AN157" s="133">
        <f t="shared" si="67"/>
        <v>14.375437514167619</v>
      </c>
      <c r="AO157" s="133">
        <f t="shared" si="67"/>
        <v>15.001221314122166</v>
      </c>
      <c r="AP157" s="133">
        <f t="shared" si="67"/>
        <v>16.258628125416088</v>
      </c>
      <c r="AQ157" s="133">
        <f t="shared" si="67"/>
        <v>13.75607579330463</v>
      </c>
      <c r="AR157" s="133">
        <f t="shared" si="68"/>
        <v>9.3807127050711649</v>
      </c>
      <c r="AS157" s="133">
        <f t="shared" si="68"/>
        <v>13.130461245032031</v>
      </c>
      <c r="AT157" s="133">
        <f t="shared" si="68"/>
        <v>13.129414279689984</v>
      </c>
      <c r="AU157" s="133">
        <f t="shared" si="68"/>
        <v>13.13013009856866</v>
      </c>
      <c r="AV157" s="133">
        <f t="shared" si="68"/>
        <v>13.130903707847095</v>
      </c>
      <c r="AW157" s="133">
        <f t="shared" si="68"/>
        <v>13.130674829915577</v>
      </c>
      <c r="AX157" s="133">
        <f t="shared" si="68"/>
        <v>13.130651951571789</v>
      </c>
      <c r="AY157" s="133">
        <f t="shared" si="68"/>
        <v>13.755628527601214</v>
      </c>
    </row>
    <row r="158" spans="1:51" x14ac:dyDescent="0.2">
      <c r="A158" s="19" t="s">
        <v>190</v>
      </c>
      <c r="B158" s="129"/>
      <c r="C158" s="129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>
        <f>'Monthly Data'!BE477*302.01/1000000</f>
        <v>16.048606033199999</v>
      </c>
      <c r="N158" s="129">
        <f>'Monthly Data'!$BE489*302.01/1000000</f>
        <v>18.255407901689999</v>
      </c>
      <c r="O158" s="129">
        <f>'Monthly Data'!$BE501*302.01/1000000</f>
        <v>13.627833703829999</v>
      </c>
      <c r="P158" s="129">
        <f>'Monthly Data'!$BE513*302.01/1000000</f>
        <v>10.85666967447</v>
      </c>
      <c r="Q158" s="129">
        <f>'Monthly Data'!$BE525*302.01/1000000</f>
        <v>10.942192262249998</v>
      </c>
      <c r="R158" s="129">
        <f>'Monthly Data'!$BE537*302.01/1000000</f>
        <v>19.288837498079999</v>
      </c>
      <c r="S158" s="129">
        <f>'Monthly Data'!$BE549*302.01/1000000</f>
        <v>10.949658251460001</v>
      </c>
      <c r="T158" s="129">
        <f>'Monthly Data'!$BE561*302.01/1000000</f>
        <v>16.677511959209998</v>
      </c>
      <c r="U158" s="129">
        <f>'Monthly Data'!$BE573*302.01/1000000</f>
        <v>16.004140496880002</v>
      </c>
      <c r="V158" s="129">
        <f>'Monthly Data'!$BE585*302.01/1000000</f>
        <v>20.834458839900002</v>
      </c>
      <c r="W158" s="129">
        <f>'Monthly Data'!$BE597*302.01/1000000</f>
        <v>24.820100212410001</v>
      </c>
      <c r="X158" s="129">
        <f>'Monthly Data'!$BE609*302.01/1000000</f>
        <v>29.43467438982</v>
      </c>
      <c r="Y158" s="129">
        <f>'Monthly Data'!$BE621*302.01/1000000</f>
        <v>26.707597478249998</v>
      </c>
      <c r="Z158" s="133">
        <f t="shared" si="65"/>
        <v>15.485394921920397</v>
      </c>
      <c r="AA158" s="133">
        <f t="shared" si="66"/>
        <v>15.142566729180944</v>
      </c>
      <c r="AB158" s="133">
        <f t="shared" si="67"/>
        <v>14.660985945567857</v>
      </c>
      <c r="AC158" s="133">
        <f t="shared" si="67"/>
        <v>14.78969841722061</v>
      </c>
      <c r="AD158" s="133">
        <f t="shared" si="67"/>
        <v>13.402581372239318</v>
      </c>
      <c r="AE158" s="133">
        <f t="shared" si="67"/>
        <v>12.449605485327847</v>
      </c>
      <c r="AF158" s="133">
        <f t="shared" si="67"/>
        <v>12.53157979375414</v>
      </c>
      <c r="AG158" s="133">
        <f t="shared" si="67"/>
        <v>13.730010130184791</v>
      </c>
      <c r="AH158" s="133">
        <f t="shared" si="67"/>
        <v>13.194251067459412</v>
      </c>
      <c r="AI158" s="133">
        <f t="shared" si="67"/>
        <v>15.055963583869573</v>
      </c>
      <c r="AJ158" s="133">
        <f t="shared" si="67"/>
        <v>13.293291815957682</v>
      </c>
      <c r="AK158" s="133">
        <f t="shared" si="67"/>
        <v>13.275213844241925</v>
      </c>
      <c r="AL158" s="133">
        <f t="shared" si="67"/>
        <v>13.813682484561133</v>
      </c>
      <c r="AM158" s="133">
        <f t="shared" si="67"/>
        <v>16.833193882742236</v>
      </c>
      <c r="AN158" s="133">
        <f t="shared" si="67"/>
        <v>13.84301918037419</v>
      </c>
      <c r="AO158" s="133">
        <f t="shared" si="67"/>
        <v>14.452760524488962</v>
      </c>
      <c r="AP158" s="133">
        <f t="shared" si="67"/>
        <v>15.656973274940277</v>
      </c>
      <c r="AQ158" s="133">
        <f t="shared" si="67"/>
        <v>13.241414727463509</v>
      </c>
      <c r="AR158" s="133">
        <f t="shared" si="68"/>
        <v>9.0247648021818812</v>
      </c>
      <c r="AS158" s="133">
        <f t="shared" si="68"/>
        <v>12.638367059681247</v>
      </c>
      <c r="AT158" s="133">
        <f t="shared" si="68"/>
        <v>12.641246495814743</v>
      </c>
      <c r="AU158" s="133">
        <f t="shared" si="68"/>
        <v>12.641597399813822</v>
      </c>
      <c r="AV158" s="133">
        <f t="shared" si="68"/>
        <v>12.640727293315912</v>
      </c>
      <c r="AW158" s="133">
        <f t="shared" si="68"/>
        <v>12.639590688790856</v>
      </c>
      <c r="AX158" s="133">
        <f t="shared" si="68"/>
        <v>12.63960140442973</v>
      </c>
      <c r="AY158" s="133">
        <f t="shared" si="68"/>
        <v>13.242102123179516</v>
      </c>
    </row>
    <row r="159" spans="1:51" x14ac:dyDescent="0.2">
      <c r="A159" s="19" t="s">
        <v>191</v>
      </c>
      <c r="B159" s="129"/>
      <c r="C159" s="129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>
        <f>'Monthly Data'!BE478*302.01/1000000</f>
        <v>16.042529591999998</v>
      </c>
      <c r="N159" s="129">
        <f>'Monthly Data'!$BE490*302.01/1000000</f>
        <v>29.232708222420001</v>
      </c>
      <c r="O159" s="129">
        <f>'Monthly Data'!$BE502*302.01/1000000</f>
        <v>11.246850587939999</v>
      </c>
      <c r="P159" s="129">
        <f>'Monthly Data'!$BE514*302.01/1000000</f>
        <v>11.68777733568</v>
      </c>
      <c r="Q159" s="129">
        <f>'Monthly Data'!$BE526*302.01/1000000</f>
        <v>10.55229765426</v>
      </c>
      <c r="R159" s="129">
        <f>'Monthly Data'!$BE538*302.01/1000000</f>
        <v>16.528956864329999</v>
      </c>
      <c r="S159" s="129">
        <f>'Monthly Data'!$BE550*302.01/1000000</f>
        <v>11.21404626174</v>
      </c>
      <c r="T159" s="129">
        <f>'Monthly Data'!$BE562*302.01/1000000</f>
        <v>12.388357180920002</v>
      </c>
      <c r="U159" s="129">
        <f>'Monthly Data'!$BE574*302.01/1000000</f>
        <v>21.80095909416</v>
      </c>
      <c r="V159" s="129">
        <f>'Monthly Data'!$BE586*302.01/1000000</f>
        <v>23.365297807739999</v>
      </c>
      <c r="W159" s="129">
        <f>'Monthly Data'!$BE598*302.01/1000000</f>
        <v>35.63980990308</v>
      </c>
      <c r="X159" s="129">
        <f>'Monthly Data'!$BE610*302.01/1000000</f>
        <v>23.520464203529997</v>
      </c>
      <c r="Y159" s="129">
        <f>'Monthly Data'!$BE622*302.01/1000000</f>
        <v>24.752597051279999</v>
      </c>
      <c r="Z159" s="133">
        <f t="shared" si="65"/>
        <v>16.290188754066865</v>
      </c>
      <c r="AA159" s="133">
        <f t="shared" si="66"/>
        <v>16.515301907380426</v>
      </c>
      <c r="AB159" s="133">
        <f t="shared" si="67"/>
        <v>15.508912833582075</v>
      </c>
      <c r="AC159" s="133">
        <f t="shared" si="67"/>
        <v>15.489751074670385</v>
      </c>
      <c r="AD159" s="133">
        <f t="shared" si="67"/>
        <v>12.924730181426185</v>
      </c>
      <c r="AE159" s="133">
        <f t="shared" si="67"/>
        <v>12.610232869949739</v>
      </c>
      <c r="AF159" s="133">
        <f t="shared" si="67"/>
        <v>13.028621319740203</v>
      </c>
      <c r="AG159" s="133">
        <f t="shared" si="67"/>
        <v>14.243047872627537</v>
      </c>
      <c r="AH159" s="133">
        <f t="shared" si="67"/>
        <v>13.556739083411138</v>
      </c>
      <c r="AI159" s="133">
        <f t="shared" si="67"/>
        <v>15.385925263500978</v>
      </c>
      <c r="AJ159" s="133">
        <f t="shared" si="67"/>
        <v>13.522440037552082</v>
      </c>
      <c r="AK159" s="133">
        <f t="shared" si="67"/>
        <v>13.62130933706163</v>
      </c>
      <c r="AL159" s="133">
        <f t="shared" si="67"/>
        <v>14.201747459404089</v>
      </c>
      <c r="AM159" s="133">
        <f t="shared" si="67"/>
        <v>17.276451485398603</v>
      </c>
      <c r="AN159" s="133">
        <f t="shared" si="67"/>
        <v>14.183000643137717</v>
      </c>
      <c r="AO159" s="133">
        <f t="shared" si="67"/>
        <v>14.801265604372883</v>
      </c>
      <c r="AP159" s="133">
        <f t="shared" si="67"/>
        <v>16.040574498169732</v>
      </c>
      <c r="AQ159" s="133">
        <f t="shared" si="67"/>
        <v>13.580381360314949</v>
      </c>
      <c r="AR159" s="133">
        <f t="shared" si="68"/>
        <v>9.2551459983696542</v>
      </c>
      <c r="AS159" s="133">
        <f t="shared" si="68"/>
        <v>12.955602981050973</v>
      </c>
      <c r="AT159" s="133">
        <f t="shared" si="68"/>
        <v>12.95523200605904</v>
      </c>
      <c r="AU159" s="133">
        <f t="shared" si="68"/>
        <v>12.956219003217688</v>
      </c>
      <c r="AV159" s="133">
        <f t="shared" si="68"/>
        <v>12.957192641197004</v>
      </c>
      <c r="AW159" s="133">
        <f t="shared" si="68"/>
        <v>12.95748143631732</v>
      </c>
      <c r="AX159" s="133">
        <f t="shared" si="68"/>
        <v>12.956452961587043</v>
      </c>
      <c r="AY159" s="133">
        <f t="shared" si="68"/>
        <v>13.5733331956146</v>
      </c>
    </row>
    <row r="160" spans="1:51" x14ac:dyDescent="0.2">
      <c r="A160" s="19" t="s">
        <v>192</v>
      </c>
      <c r="B160" s="129"/>
      <c r="C160" s="129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>
        <f>'Monthly Data'!BE479*302.01/1000000</f>
        <v>10.194834994140001</v>
      </c>
      <c r="N160" s="129">
        <f>'Monthly Data'!$BE491*302.01/1000000</f>
        <v>21.738827784900003</v>
      </c>
      <c r="O160" s="129">
        <f>'Monthly Data'!$BE503*302.01/1000000</f>
        <v>5.8007420091899995</v>
      </c>
      <c r="P160" s="129">
        <f>'Monthly Data'!$BE515*302.01/1000000</f>
        <v>8.5817959600200009</v>
      </c>
      <c r="Q160" s="129">
        <f>'Monthly Data'!$BE527*302.01/1000000</f>
        <v>6.3930020418</v>
      </c>
      <c r="R160" s="129">
        <f>'Monthly Data'!$BE539*302.01/1000000</f>
        <v>4.2721890645299991</v>
      </c>
      <c r="S160" s="129">
        <f>'Monthly Data'!$BE551*302.01/1000000</f>
        <v>8.1247083551700001</v>
      </c>
      <c r="T160" s="129">
        <f>'Monthly Data'!$BE563*302.01/1000000</f>
        <v>10.120221007559998</v>
      </c>
      <c r="U160" s="129">
        <f>'Monthly Data'!$BE575*302.01/1000000</f>
        <v>18.117780434639997</v>
      </c>
      <c r="V160" s="129">
        <f>'Monthly Data'!$BE587*302.01/1000000</f>
        <v>16.659454781309996</v>
      </c>
      <c r="W160" s="129">
        <f>'Monthly Data'!$BE599*302.01/1000000</f>
        <v>27.271417229160001</v>
      </c>
      <c r="X160" s="129">
        <f>'Monthly Data'!$BE611*302.01/1000000</f>
        <v>17.438735412450001</v>
      </c>
      <c r="Y160" s="129">
        <f>'Monthly Data'!$BE623*302.01/1000000</f>
        <v>20.529351425339996</v>
      </c>
      <c r="Z160" s="133">
        <f t="shared" si="65"/>
        <v>12.682432778655617</v>
      </c>
      <c r="AA160" s="133">
        <f t="shared" si="66"/>
        <v>12.803670623916599</v>
      </c>
      <c r="AB160" s="133">
        <f t="shared" si="67"/>
        <v>11.888792558036693</v>
      </c>
      <c r="AC160" s="133">
        <f t="shared" si="67"/>
        <v>12.020753791346818</v>
      </c>
      <c r="AD160" s="133">
        <f t="shared" si="67"/>
        <v>10.074774919745316</v>
      </c>
      <c r="AE160" s="133">
        <f t="shared" si="67"/>
        <v>9.9408856493816895</v>
      </c>
      <c r="AF160" s="133">
        <f t="shared" si="67"/>
        <v>10.1224827551579</v>
      </c>
      <c r="AG160" s="133">
        <f t="shared" si="67"/>
        <v>11.061735876578815</v>
      </c>
      <c r="AH160" s="133">
        <f t="shared" si="67"/>
        <v>10.5324070743047</v>
      </c>
      <c r="AI160" s="133">
        <f t="shared" si="67"/>
        <v>11.983654147841211</v>
      </c>
      <c r="AJ160" s="133">
        <f t="shared" si="67"/>
        <v>10.539478866963998</v>
      </c>
      <c r="AK160" s="133">
        <f t="shared" si="67"/>
        <v>10.616347189060324</v>
      </c>
      <c r="AL160" s="133">
        <f t="shared" si="67"/>
        <v>11.049558784650813</v>
      </c>
      <c r="AM160" s="133">
        <f t="shared" si="67"/>
        <v>13.444737914621872</v>
      </c>
      <c r="AN160" s="133">
        <f t="shared" si="67"/>
        <v>11.041001630149204</v>
      </c>
      <c r="AO160" s="133">
        <f t="shared" si="67"/>
        <v>11.525836956635652</v>
      </c>
      <c r="AP160" s="133">
        <f t="shared" si="67"/>
        <v>12.490429541507945</v>
      </c>
      <c r="AQ160" s="133">
        <f t="shared" si="67"/>
        <v>10.573247016203888</v>
      </c>
      <c r="AR160" s="133">
        <f t="shared" si="68"/>
        <v>7.2046039565516491</v>
      </c>
      <c r="AS160" s="133">
        <f t="shared" si="68"/>
        <v>10.086065198036771</v>
      </c>
      <c r="AT160" s="133">
        <f t="shared" si="68"/>
        <v>10.086602063212116</v>
      </c>
      <c r="AU160" s="133">
        <f t="shared" si="68"/>
        <v>10.087616119186888</v>
      </c>
      <c r="AV160" s="133">
        <f t="shared" si="68"/>
        <v>10.088093982449877</v>
      </c>
      <c r="AW160" s="133">
        <f t="shared" si="68"/>
        <v>10.088023099574091</v>
      </c>
      <c r="AX160" s="133">
        <f t="shared" si="68"/>
        <v>10.087175773326994</v>
      </c>
      <c r="AY160" s="133">
        <f t="shared" si="68"/>
        <v>10.56760854910562</v>
      </c>
    </row>
    <row r="161" spans="1:51" x14ac:dyDescent="0.2">
      <c r="A161" s="19" t="s">
        <v>193</v>
      </c>
      <c r="B161" s="129"/>
      <c r="C161" s="129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>
        <f>'Monthly Data'!BE480*302.01/1000000</f>
        <v>8.8166896736999991</v>
      </c>
      <c r="N161" s="129">
        <f>'Monthly Data'!$BE492*302.01/1000000</f>
        <v>17.648749844339999</v>
      </c>
      <c r="O161" s="129">
        <f>'Monthly Data'!$BE504*302.01/1000000</f>
        <v>1.6819942593299999</v>
      </c>
      <c r="P161" s="129">
        <f>'Monthly Data'!$BE516*302.01/1000000</f>
        <v>6.8421691323899987</v>
      </c>
      <c r="Q161" s="129">
        <f>'Monthly Data'!$BE528*302.01/1000000</f>
        <v>4.8268286174700004</v>
      </c>
      <c r="R161" s="129">
        <f>'Monthly Data'!$BE540*302.01/1000000</f>
        <v>9.2647761725100004</v>
      </c>
      <c r="S161" s="129">
        <f>'Monthly Data'!$BE552*302.01/1000000</f>
        <v>8.0411751072600008</v>
      </c>
      <c r="T161" s="129">
        <f>'Monthly Data'!$BE564*302.01/1000000</f>
        <v>6.72577689447</v>
      </c>
      <c r="U161" s="129">
        <f>'Monthly Data'!$BE576*302.01/1000000</f>
        <v>4.7999612038500006</v>
      </c>
      <c r="V161" s="129">
        <f>'Monthly Data'!$BE588*302.01/1000000</f>
        <v>9.1025886482399994</v>
      </c>
      <c r="W161" s="129">
        <f>'Monthly Data'!$BE600*302.01/1000000</f>
        <v>19.95090895425</v>
      </c>
      <c r="X161" s="129">
        <f>'Monthly Data'!$BE612*302.01/1000000</f>
        <v>19.183178091539997</v>
      </c>
      <c r="Y161" s="129">
        <f>'Monthly Data'!$BE624*302.01/1000000</f>
        <v>5.6532282447900002</v>
      </c>
      <c r="Z161" s="133">
        <f t="shared" si="65"/>
        <v>7.5327072821029066</v>
      </c>
      <c r="AA161" s="133">
        <f t="shared" si="66"/>
        <v>7.5234980850803481</v>
      </c>
      <c r="AB161" s="133">
        <f t="shared" si="67"/>
        <v>7.6331472370724773</v>
      </c>
      <c r="AC161" s="133">
        <f t="shared" si="67"/>
        <v>7.9045476191105353</v>
      </c>
      <c r="AD161" s="133">
        <f t="shared" si="67"/>
        <v>6.3922158566071436</v>
      </c>
      <c r="AE161" s="133">
        <f t="shared" si="67"/>
        <v>5.2984254053776416</v>
      </c>
      <c r="AF161" s="133">
        <f t="shared" si="67"/>
        <v>6.1664956332803618</v>
      </c>
      <c r="AG161" s="133">
        <f t="shared" si="67"/>
        <v>6.770658893814069</v>
      </c>
      <c r="AH161" s="133">
        <f t="shared" si="67"/>
        <v>6.4973587808512425</v>
      </c>
      <c r="AI161" s="133">
        <f t="shared" si="67"/>
        <v>7.336410185909962</v>
      </c>
      <c r="AJ161" s="133">
        <f t="shared" si="67"/>
        <v>6.3620633430713482</v>
      </c>
      <c r="AK161" s="133">
        <f t="shared" si="67"/>
        <v>6.3570757092533965</v>
      </c>
      <c r="AL161" s="133">
        <f t="shared" si="67"/>
        <v>6.7279365819418437</v>
      </c>
      <c r="AM161" s="133">
        <f t="shared" si="67"/>
        <v>8.1857087434713307</v>
      </c>
      <c r="AN161" s="133">
        <f t="shared" si="67"/>
        <v>6.7164135698836613</v>
      </c>
      <c r="AO161" s="133">
        <f t="shared" si="67"/>
        <v>6.9961859804528466</v>
      </c>
      <c r="AP161" s="133">
        <f t="shared" si="67"/>
        <v>7.5702815642953176</v>
      </c>
      <c r="AQ161" s="133">
        <f t="shared" si="67"/>
        <v>6.4121866252367452</v>
      </c>
      <c r="AR161" s="133">
        <f t="shared" si="68"/>
        <v>4.3776075067070277</v>
      </c>
      <c r="AS161" s="133">
        <f t="shared" si="68"/>
        <v>6.1262758245723585</v>
      </c>
      <c r="AT161" s="133">
        <f t="shared" si="68"/>
        <v>6.1234959732374596</v>
      </c>
      <c r="AU161" s="133">
        <f t="shared" si="68"/>
        <v>6.121912426081682</v>
      </c>
      <c r="AV161" s="133">
        <f t="shared" si="68"/>
        <v>6.1219599866884336</v>
      </c>
      <c r="AW161" s="133">
        <f t="shared" si="68"/>
        <v>6.1235719437437846</v>
      </c>
      <c r="AX161" s="133">
        <f t="shared" si="68"/>
        <v>6.1240941406803815</v>
      </c>
      <c r="AY161" s="133">
        <f t="shared" si="68"/>
        <v>6.415149416588017</v>
      </c>
    </row>
    <row r="162" spans="1:51" x14ac:dyDescent="0.2">
      <c r="A162" s="19" t="s">
        <v>194</v>
      </c>
      <c r="B162" s="129"/>
      <c r="C162" s="129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>
        <f>'Monthly Data'!BE481*302.01/1000000</f>
        <v>2.7536024498699998</v>
      </c>
      <c r="N162" s="129">
        <f>'Monthly Data'!$BE493*302.01/1000000</f>
        <v>17.361544978560001</v>
      </c>
      <c r="O162" s="129">
        <f>'Monthly Data'!$BE505*302.01/1000000</f>
        <v>2.7703483003499998</v>
      </c>
      <c r="P162" s="129">
        <f>'Monthly Data'!$BE517*302.01/1000000</f>
        <v>3.2266811822100001</v>
      </c>
      <c r="Q162" s="129">
        <f>'Monthly Data'!$BE529*302.01/1000000</f>
        <v>5.95179653883</v>
      </c>
      <c r="R162" s="129">
        <f>'Monthly Data'!$BE541*302.01/1000000</f>
        <v>2.10271623606</v>
      </c>
      <c r="S162" s="129">
        <f>'Monthly Data'!$BE553*302.01/1000000</f>
        <v>6.0581481522899994</v>
      </c>
      <c r="T162" s="129">
        <f>'Monthly Data'!$BE565*302.01/1000000</f>
        <v>2.3803543310699999</v>
      </c>
      <c r="U162" s="129">
        <f>'Monthly Data'!$BE577*302.01/1000000</f>
        <v>3.0993223571699997</v>
      </c>
      <c r="V162" s="129">
        <f>'Monthly Data'!$BE589*302.01/1000000</f>
        <v>3.56569978962</v>
      </c>
      <c r="W162" s="129">
        <f>'Monthly Data'!$BE601*302.01/1000000</f>
        <v>9.4973616237599998</v>
      </c>
      <c r="X162" s="129">
        <f>'Monthly Data'!$BE613*302.01/1000000</f>
        <v>15.38468053764</v>
      </c>
      <c r="Y162" s="129">
        <f>'Monthly Data'!$BE625*302.01/1000000</f>
        <v>5.0978194723799994</v>
      </c>
      <c r="Z162" s="133">
        <f t="shared" si="65"/>
        <v>4.4938135001785993</v>
      </c>
      <c r="AA162" s="133">
        <f t="shared" si="66"/>
        <v>4.6737373509010673</v>
      </c>
      <c r="AB162" s="133">
        <f t="shared" si="67"/>
        <v>4.7288451549552857</v>
      </c>
      <c r="AC162" s="133">
        <f t="shared" si="67"/>
        <v>5.1398798826701322</v>
      </c>
      <c r="AD162" s="133">
        <f t="shared" si="67"/>
        <v>4.557300177683139</v>
      </c>
      <c r="AE162" s="133">
        <f t="shared" si="67"/>
        <v>3.565233505480077</v>
      </c>
      <c r="AF162" s="133">
        <f t="shared" si="67"/>
        <v>3.9606597292307937</v>
      </c>
      <c r="AG162" s="133">
        <f t="shared" si="67"/>
        <v>4.4056840533897219</v>
      </c>
      <c r="AH162" s="133">
        <f t="shared" si="67"/>
        <v>4.2637298167279507</v>
      </c>
      <c r="AI162" s="133">
        <f t="shared" si="67"/>
        <v>4.8670088656356807</v>
      </c>
      <c r="AJ162" s="133">
        <f t="shared" si="67"/>
        <v>4.2378312425506923</v>
      </c>
      <c r="AK162" s="133">
        <f t="shared" si="67"/>
        <v>4.1849867570400612</v>
      </c>
      <c r="AL162" s="133">
        <f t="shared" si="67"/>
        <v>4.4159830421127602</v>
      </c>
      <c r="AM162" s="133">
        <f t="shared" si="67"/>
        <v>5.3905566844437391</v>
      </c>
      <c r="AN162" s="133">
        <f t="shared" si="67"/>
        <v>4.431564911237678</v>
      </c>
      <c r="AO162" s="133">
        <f t="shared" si="67"/>
        <v>4.6200724200873751</v>
      </c>
      <c r="AP162" s="133">
        <f t="shared" si="67"/>
        <v>4.9951117710864787</v>
      </c>
      <c r="AQ162" s="133">
        <f t="shared" si="67"/>
        <v>4.224945636247794</v>
      </c>
      <c r="AR162" s="133">
        <f t="shared" si="68"/>
        <v>2.8847501162892968</v>
      </c>
      <c r="AS162" s="133">
        <f t="shared" si="68"/>
        <v>4.0397611038205765</v>
      </c>
      <c r="AT162" s="133">
        <f t="shared" si="68"/>
        <v>4.0390864514057503</v>
      </c>
      <c r="AU162" s="133">
        <f t="shared" si="68"/>
        <v>4.0378161044781615</v>
      </c>
      <c r="AV162" s="133">
        <f t="shared" si="68"/>
        <v>4.0369118638880099</v>
      </c>
      <c r="AW162" s="133">
        <f t="shared" si="68"/>
        <v>4.0374272462704237</v>
      </c>
      <c r="AX162" s="133">
        <f t="shared" si="68"/>
        <v>4.0382567550766391</v>
      </c>
      <c r="AY162" s="133">
        <f t="shared" si="68"/>
        <v>4.2305056313386542</v>
      </c>
    </row>
    <row r="163" spans="1:51" x14ac:dyDescent="0.2">
      <c r="A163" s="19" t="s">
        <v>195</v>
      </c>
      <c r="B163" s="129"/>
      <c r="C163" s="129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>
        <f>'Monthly Data'!$BE$482*302.01/1000000</f>
        <v>6.0924537702000006</v>
      </c>
      <c r="N163" s="129">
        <f>'Monthly Data'!$BE$494*302.01/1000000</f>
        <v>20.249807043210001</v>
      </c>
      <c r="O163" s="129">
        <f>'Monthly Data'!$BE$506*302.01/1000000</f>
        <v>2.1517230967500001</v>
      </c>
      <c r="P163" s="129">
        <f>'Monthly Data'!$BE$518*302.01/1000000</f>
        <v>5.6819654023199995</v>
      </c>
      <c r="Q163" s="129">
        <f>'Monthly Data'!$BE$530*302.01/1000000</f>
        <v>4.3256931561299998</v>
      </c>
      <c r="R163" s="129">
        <f>'Monthly Data'!$BE$542*302.01/1000000</f>
        <v>1.4983597969200002</v>
      </c>
      <c r="S163" s="129">
        <f>'Monthly Data'!$BE$554*302.01/1000000</f>
        <v>3.2794683020700002</v>
      </c>
      <c r="T163" s="129">
        <f>'Monthly Data'!$BE$566*302.01/1000000</f>
        <v>3.5051205097500002</v>
      </c>
      <c r="U163" s="129">
        <f>'Monthly Data'!$BE$578*302.01/1000000</f>
        <v>2.7447067453199998</v>
      </c>
      <c r="V163" s="129">
        <f>'Monthly Data'!$BE$590*302.01/1000000</f>
        <v>13.034600897009998</v>
      </c>
      <c r="W163" s="129">
        <f>'Monthly Data'!$BE$602*302.01/1000000</f>
        <v>19.64303784618</v>
      </c>
      <c r="X163" s="129">
        <f>'Monthly Data'!$BE$614*302.01/1000000</f>
        <v>16.650348877799999</v>
      </c>
      <c r="Y163" s="129">
        <f>'Monthly Data'!$BE626*302.01/1000000</f>
        <v>5.8298696656499995</v>
      </c>
      <c r="Z163" s="133">
        <f t="shared" ref="Z163:AH163" si="69">Z164-SUM(Z152:Z162)</f>
        <v>8.4621070412486148</v>
      </c>
      <c r="AA163" s="133">
        <f t="shared" si="69"/>
        <v>9.0875564290673054</v>
      </c>
      <c r="AB163" s="133">
        <f t="shared" si="69"/>
        <v>9.7388631496231284</v>
      </c>
      <c r="AC163" s="133">
        <f t="shared" si="69"/>
        <v>9.4756719201339905</v>
      </c>
      <c r="AD163" s="133">
        <f t="shared" si="69"/>
        <v>7.3404351836372541</v>
      </c>
      <c r="AE163" s="133">
        <f t="shared" si="69"/>
        <v>7.191507419863072</v>
      </c>
      <c r="AF163" s="133">
        <f t="shared" si="69"/>
        <v>7.4806872501044381</v>
      </c>
      <c r="AG163" s="133">
        <f t="shared" si="69"/>
        <v>8.3254574899703044</v>
      </c>
      <c r="AH163" s="133">
        <f t="shared" si="69"/>
        <v>8.0158653903919657</v>
      </c>
      <c r="AI163" s="133">
        <f>AI164-SUM(AI152:AI162)</f>
        <v>8.9905309500189787</v>
      </c>
      <c r="AJ163" s="133">
        <f>AJ164-SUM(AJ152:AJ162)</f>
        <v>7.8314183537420377</v>
      </c>
      <c r="AK163" s="133">
        <f t="shared" ref="AK163:AY163" si="70">AK164-SUM(AK152:AK162)</f>
        <v>7.9126336149623882</v>
      </c>
      <c r="AL163" s="133">
        <f t="shared" si="70"/>
        <v>8.2726047417138773</v>
      </c>
      <c r="AM163" s="133">
        <f t="shared" si="70"/>
        <v>10.085826971842238</v>
      </c>
      <c r="AN163" s="133">
        <f t="shared" si="70"/>
        <v>8.2781988769116026</v>
      </c>
      <c r="AO163" s="133">
        <f t="shared" si="70"/>
        <v>8.6217421274166668</v>
      </c>
      <c r="AP163" s="133">
        <f t="shared" si="70"/>
        <v>9.3384721257134373</v>
      </c>
      <c r="AQ163" s="133">
        <f t="shared" si="70"/>
        <v>7.912387164988516</v>
      </c>
      <c r="AR163" s="133">
        <f t="shared" si="70"/>
        <v>5.3947841104712069</v>
      </c>
      <c r="AS163" s="133">
        <f t="shared" si="70"/>
        <v>7.552606079160995</v>
      </c>
      <c r="AT163" s="133">
        <f t="shared" si="70"/>
        <v>7.5500916044115485</v>
      </c>
      <c r="AU163" s="133">
        <f t="shared" si="70"/>
        <v>7.5486181973287643</v>
      </c>
      <c r="AV163" s="133">
        <f t="shared" si="70"/>
        <v>7.5494932136790709</v>
      </c>
      <c r="AW163" s="133">
        <f t="shared" si="70"/>
        <v>7.5509717997590258</v>
      </c>
      <c r="AX163" s="133">
        <f t="shared" si="70"/>
        <v>7.5506488758418442</v>
      </c>
      <c r="AY163" s="133">
        <f t="shared" si="70"/>
        <v>7.909948055111002</v>
      </c>
    </row>
    <row r="164" spans="1:51" x14ac:dyDescent="0.2">
      <c r="A164" s="117" t="s">
        <v>174</v>
      </c>
      <c r="B164" s="130">
        <f t="shared" ref="B164:K164" si="71">SUM(B152:B163)</f>
        <v>0</v>
      </c>
      <c r="C164" s="130">
        <f t="shared" si="71"/>
        <v>0</v>
      </c>
      <c r="D164" s="130">
        <f t="shared" si="71"/>
        <v>0</v>
      </c>
      <c r="E164" s="130">
        <f t="shared" si="71"/>
        <v>0</v>
      </c>
      <c r="F164" s="130">
        <f t="shared" si="71"/>
        <v>0</v>
      </c>
      <c r="G164" s="130">
        <f t="shared" si="71"/>
        <v>0</v>
      </c>
      <c r="H164" s="130">
        <f t="shared" si="71"/>
        <v>0</v>
      </c>
      <c r="I164" s="130">
        <f t="shared" si="71"/>
        <v>0</v>
      </c>
      <c r="J164" s="130">
        <f t="shared" si="71"/>
        <v>0</v>
      </c>
      <c r="K164" s="130">
        <f t="shared" si="71"/>
        <v>0</v>
      </c>
      <c r="L164" s="130">
        <f>SUM(L152:L163)</f>
        <v>0</v>
      </c>
      <c r="M164" s="130">
        <f>SUM(M152:M163)</f>
        <v>122.56454283218999</v>
      </c>
      <c r="N164" s="130">
        <f>SUM(N152:N163)</f>
        <v>199.03665952764001</v>
      </c>
      <c r="O164" s="130">
        <f t="shared" ref="O164:Y164" si="72">SUM(O152:O163)</f>
        <v>84.03902224494</v>
      </c>
      <c r="P164" s="130">
        <f t="shared" si="72"/>
        <v>89.057561978249993</v>
      </c>
      <c r="Q164" s="130">
        <f t="shared" si="72"/>
        <v>90.93913139180998</v>
      </c>
      <c r="R164" s="130">
        <f t="shared" si="72"/>
        <v>94.947757235369991</v>
      </c>
      <c r="S164" s="130">
        <f t="shared" si="72"/>
        <v>104.17936244153999</v>
      </c>
      <c r="T164" s="130">
        <f t="shared" si="72"/>
        <v>116.22082731233998</v>
      </c>
      <c r="U164" s="130">
        <f t="shared" si="72"/>
        <v>146.84861546192997</v>
      </c>
      <c r="V164" s="130">
        <f t="shared" si="72"/>
        <v>183.22145286263998</v>
      </c>
      <c r="W164" s="130">
        <f t="shared" si="72"/>
        <v>231.11770650878998</v>
      </c>
      <c r="X164" s="130">
        <f t="shared" si="72"/>
        <v>262.64464940072997</v>
      </c>
      <c r="Y164" s="130">
        <f t="shared" si="72"/>
        <v>176.81550455816998</v>
      </c>
      <c r="Z164" s="134">
        <f>Z148</f>
        <v>130</v>
      </c>
      <c r="AA164" s="134">
        <f t="shared" ref="AA164:AY164" si="73">AA148</f>
        <v>130</v>
      </c>
      <c r="AB164" s="134">
        <f t="shared" si="73"/>
        <v>125</v>
      </c>
      <c r="AC164" s="134">
        <f t="shared" si="73"/>
        <v>125</v>
      </c>
      <c r="AD164" s="134">
        <f t="shared" si="73"/>
        <v>110</v>
      </c>
      <c r="AE164" s="134">
        <f t="shared" si="73"/>
        <v>100</v>
      </c>
      <c r="AF164" s="134">
        <f t="shared" si="73"/>
        <v>105</v>
      </c>
      <c r="AG164" s="134">
        <f t="shared" si="73"/>
        <v>115</v>
      </c>
      <c r="AH164" s="134">
        <f t="shared" si="73"/>
        <v>110</v>
      </c>
      <c r="AI164" s="134">
        <f t="shared" si="73"/>
        <v>125</v>
      </c>
      <c r="AJ164" s="134">
        <f t="shared" si="73"/>
        <v>110</v>
      </c>
      <c r="AK164" s="134">
        <f t="shared" si="73"/>
        <v>110</v>
      </c>
      <c r="AL164" s="134">
        <f t="shared" si="73"/>
        <v>115</v>
      </c>
      <c r="AM164" s="134">
        <f t="shared" si="73"/>
        <v>140</v>
      </c>
      <c r="AN164" s="134">
        <f t="shared" si="73"/>
        <v>115</v>
      </c>
      <c r="AO164" s="134">
        <f t="shared" si="73"/>
        <v>120</v>
      </c>
      <c r="AP164" s="134">
        <f t="shared" si="73"/>
        <v>130</v>
      </c>
      <c r="AQ164" s="134">
        <f t="shared" si="73"/>
        <v>110</v>
      </c>
      <c r="AR164" s="134">
        <f t="shared" si="73"/>
        <v>75</v>
      </c>
      <c r="AS164" s="134">
        <f t="shared" si="73"/>
        <v>105</v>
      </c>
      <c r="AT164" s="134">
        <f t="shared" si="73"/>
        <v>105</v>
      </c>
      <c r="AU164" s="134">
        <f t="shared" si="73"/>
        <v>105</v>
      </c>
      <c r="AV164" s="134">
        <f t="shared" si="73"/>
        <v>105</v>
      </c>
      <c r="AW164" s="134">
        <f t="shared" si="73"/>
        <v>105</v>
      </c>
      <c r="AX164" s="134">
        <f t="shared" si="73"/>
        <v>105</v>
      </c>
      <c r="AY164" s="134">
        <f t="shared" si="73"/>
        <v>110</v>
      </c>
    </row>
  </sheetData>
  <printOptions verticalCentered="1"/>
  <pageMargins left="0.2" right="0.2" top="0.25" bottom="0.25" header="0" footer="0.1"/>
  <pageSetup scale="52" orientation="landscape" r:id="rId1"/>
  <headerFooter>
    <oddFooter>&amp;L&amp;"Arial,Regular"&amp;10&amp;D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D688-C71F-4977-8B19-C8A3C76D6120}">
  <sheetPr>
    <pageSetUpPr fitToPage="1"/>
  </sheetPr>
  <dimension ref="A1:AY180"/>
  <sheetViews>
    <sheetView showGridLines="0" zoomScale="115" zoomScaleNormal="115" workbookViewId="0">
      <pane xSplit="1" ySplit="3" topLeftCell="M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.85546875" defaultRowHeight="11.25" x14ac:dyDescent="0.2"/>
  <cols>
    <col min="1" max="1" width="57.85546875" style="19" customWidth="1"/>
    <col min="2" max="11" width="8.85546875" style="19" customWidth="1"/>
    <col min="12" max="22" width="8.85546875" style="120" customWidth="1"/>
    <col min="23" max="23" width="9.5703125" style="120" bestFit="1" customWidth="1"/>
    <col min="24" max="34" width="8.85546875" style="138" customWidth="1"/>
    <col min="35" max="51" width="8.85546875" style="138"/>
    <col min="52" max="16384" width="8.85546875" style="19"/>
  </cols>
  <sheetData>
    <row r="1" spans="1:51" ht="12" thickBot="1" x14ac:dyDescent="0.25">
      <c r="A1" s="80" t="s">
        <v>196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</row>
    <row r="2" spans="1:51" ht="12" thickTop="1" x14ac:dyDescent="0.2">
      <c r="A2" s="150" t="s">
        <v>197</v>
      </c>
      <c r="B2" s="151">
        <v>2001</v>
      </c>
      <c r="C2" s="151">
        <v>2002</v>
      </c>
      <c r="D2" s="151">
        <v>2003</v>
      </c>
      <c r="E2" s="151">
        <v>2004</v>
      </c>
      <c r="F2" s="151">
        <v>2005</v>
      </c>
      <c r="G2" s="151">
        <v>2006</v>
      </c>
      <c r="H2" s="151">
        <v>2007</v>
      </c>
      <c r="I2" s="151">
        <v>2008</v>
      </c>
      <c r="J2" s="151">
        <v>2009</v>
      </c>
      <c r="K2" s="151">
        <v>2010</v>
      </c>
      <c r="L2" s="152">
        <v>2011</v>
      </c>
      <c r="M2" s="152">
        <v>2012</v>
      </c>
      <c r="N2" s="152">
        <v>2013</v>
      </c>
      <c r="O2" s="152">
        <v>2014</v>
      </c>
      <c r="P2" s="152">
        <v>2015</v>
      </c>
      <c r="Q2" s="152">
        <v>2016</v>
      </c>
      <c r="R2" s="152">
        <v>2017</v>
      </c>
      <c r="S2" s="152">
        <v>2018</v>
      </c>
      <c r="T2" s="152">
        <v>2019</v>
      </c>
      <c r="U2" s="152">
        <v>2020</v>
      </c>
      <c r="V2" s="152">
        <v>2021</v>
      </c>
      <c r="W2" s="152">
        <v>2022</v>
      </c>
      <c r="X2" s="152">
        <v>2023</v>
      </c>
      <c r="Y2" s="152">
        <v>2024</v>
      </c>
      <c r="Z2" s="152">
        <v>2025</v>
      </c>
      <c r="AA2" s="152">
        <v>2026</v>
      </c>
      <c r="AB2" s="152">
        <v>2027</v>
      </c>
      <c r="AC2" s="152">
        <v>2028</v>
      </c>
      <c r="AD2" s="152">
        <v>2029</v>
      </c>
      <c r="AE2" s="152">
        <v>2030</v>
      </c>
      <c r="AF2" s="152">
        <v>2031</v>
      </c>
      <c r="AG2" s="152">
        <v>2032</v>
      </c>
      <c r="AH2" s="152">
        <v>2033</v>
      </c>
      <c r="AI2" s="152">
        <v>2034</v>
      </c>
      <c r="AJ2" s="152">
        <v>2035</v>
      </c>
      <c r="AK2" s="152">
        <v>2036</v>
      </c>
      <c r="AL2" s="152">
        <v>2037</v>
      </c>
      <c r="AM2" s="152">
        <v>2038</v>
      </c>
      <c r="AN2" s="152">
        <v>2039</v>
      </c>
      <c r="AO2" s="152">
        <v>2040</v>
      </c>
      <c r="AP2" s="152">
        <v>2041</v>
      </c>
      <c r="AQ2" s="152">
        <v>2042</v>
      </c>
      <c r="AR2" s="152">
        <v>2043</v>
      </c>
      <c r="AS2" s="152">
        <v>2044</v>
      </c>
      <c r="AT2" s="152">
        <v>2045</v>
      </c>
      <c r="AU2" s="152">
        <v>2046</v>
      </c>
      <c r="AV2" s="152">
        <v>2047</v>
      </c>
      <c r="AW2" s="152">
        <v>2048</v>
      </c>
      <c r="AX2" s="152">
        <v>2049</v>
      </c>
      <c r="AY2" s="152">
        <v>2050</v>
      </c>
    </row>
    <row r="3" spans="1:51" x14ac:dyDescent="0.2">
      <c r="A3" s="80" t="s">
        <v>198</v>
      </c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</row>
    <row r="4" spans="1:51" x14ac:dyDescent="0.2">
      <c r="A4" s="84" t="s">
        <v>146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88">
        <v>0</v>
      </c>
      <c r="M4" s="88">
        <f t="shared" ref="M4:AY4" si="0">L11</f>
        <v>0</v>
      </c>
      <c r="N4" s="88">
        <f t="shared" si="0"/>
        <v>3.948</v>
      </c>
      <c r="O4" s="88">
        <f t="shared" si="0"/>
        <v>29.021999999999998</v>
      </c>
      <c r="P4" s="88">
        <f t="shared" si="0"/>
        <v>14.7</v>
      </c>
      <c r="Q4" s="88">
        <f t="shared" si="0"/>
        <v>26.628</v>
      </c>
      <c r="R4" s="88">
        <f t="shared" si="0"/>
        <v>55.23</v>
      </c>
      <c r="S4" s="88">
        <f t="shared" si="0"/>
        <v>31.626000000000001</v>
      </c>
      <c r="T4" s="88">
        <f t="shared" si="0"/>
        <v>72.534000000000006</v>
      </c>
      <c r="U4" s="88">
        <f t="shared" si="0"/>
        <v>62.622</v>
      </c>
      <c r="V4" s="88">
        <f t="shared" si="0"/>
        <v>54.054000000000002</v>
      </c>
      <c r="W4" s="88">
        <f t="shared" si="0"/>
        <v>98.815584000000001</v>
      </c>
      <c r="X4" s="88">
        <f t="shared" si="0"/>
        <v>143.02927800000001</v>
      </c>
      <c r="Y4" s="88">
        <f t="shared" si="0"/>
        <v>230.06634000000003</v>
      </c>
      <c r="Z4" s="89">
        <f t="shared" si="0"/>
        <v>261.64518660000005</v>
      </c>
      <c r="AA4" s="154">
        <f t="shared" si="0"/>
        <v>249.50527445593744</v>
      </c>
      <c r="AB4" s="154">
        <f t="shared" si="0"/>
        <v>291.63029517334741</v>
      </c>
      <c r="AC4" s="154">
        <f t="shared" si="0"/>
        <v>237.81669176755915</v>
      </c>
      <c r="AD4" s="154">
        <f t="shared" si="0"/>
        <v>219.99238485686138</v>
      </c>
      <c r="AE4" s="154">
        <f t="shared" si="0"/>
        <v>192.77397823009886</v>
      </c>
      <c r="AF4" s="154">
        <f t="shared" si="0"/>
        <v>237.78166164310733</v>
      </c>
      <c r="AG4" s="154">
        <f t="shared" si="0"/>
        <v>403.48917690843655</v>
      </c>
      <c r="AH4" s="154">
        <f t="shared" si="0"/>
        <v>384.44827034636592</v>
      </c>
      <c r="AI4" s="154">
        <f t="shared" si="0"/>
        <v>333.51217222374055</v>
      </c>
      <c r="AJ4" s="154">
        <f t="shared" si="0"/>
        <v>157.56732065948694</v>
      </c>
      <c r="AK4" s="154">
        <f t="shared" si="0"/>
        <v>216.84988199104023</v>
      </c>
      <c r="AL4" s="154">
        <f t="shared" si="0"/>
        <v>422.14951810642492</v>
      </c>
      <c r="AM4" s="154">
        <f t="shared" si="0"/>
        <v>430.52290956604975</v>
      </c>
      <c r="AN4" s="154">
        <f t="shared" si="0"/>
        <v>469.53119966962851</v>
      </c>
      <c r="AO4" s="154">
        <f t="shared" si="0"/>
        <v>524.23991361970729</v>
      </c>
      <c r="AP4" s="154">
        <f t="shared" si="0"/>
        <v>385.00292898885414</v>
      </c>
      <c r="AQ4" s="154">
        <f t="shared" si="0"/>
        <v>533.90450017787668</v>
      </c>
      <c r="AR4" s="154">
        <f t="shared" si="0"/>
        <v>483.713585380501</v>
      </c>
      <c r="AS4" s="154">
        <f t="shared" si="0"/>
        <v>518.29669433478648</v>
      </c>
      <c r="AT4" s="154">
        <f t="shared" si="0"/>
        <v>671.80601069338468</v>
      </c>
      <c r="AU4" s="154">
        <f t="shared" si="0"/>
        <v>786.82535311008633</v>
      </c>
      <c r="AV4" s="154">
        <f t="shared" si="0"/>
        <v>507.12815569683096</v>
      </c>
      <c r="AW4" s="154">
        <f t="shared" si="0"/>
        <v>466.9096754010294</v>
      </c>
      <c r="AX4" s="154">
        <f t="shared" si="0"/>
        <v>644.61861236879497</v>
      </c>
      <c r="AY4" s="154">
        <f t="shared" si="0"/>
        <v>549.89057732023082</v>
      </c>
    </row>
    <row r="5" spans="1:51" x14ac:dyDescent="0.2">
      <c r="A5" s="84" t="s">
        <v>147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88">
        <f t="shared" ref="L5:V5" si="1">L36</f>
        <v>62.041289999999996</v>
      </c>
      <c r="M5" s="88">
        <f t="shared" si="1"/>
        <v>52.401102000000002</v>
      </c>
      <c r="N5" s="88">
        <f t="shared" si="1"/>
        <v>113.28585800000002</v>
      </c>
      <c r="O5" s="88">
        <f t="shared" si="1"/>
        <v>159.14120600000001</v>
      </c>
      <c r="P5" s="88">
        <f t="shared" si="1"/>
        <v>176.84761600000002</v>
      </c>
      <c r="Q5" s="88">
        <f t="shared" si="1"/>
        <v>241.487435</v>
      </c>
      <c r="R5" s="88">
        <f t="shared" si="1"/>
        <v>258.34212500000001</v>
      </c>
      <c r="S5" s="88">
        <f t="shared" si="1"/>
        <v>305.48444699999993</v>
      </c>
      <c r="T5" s="88">
        <f t="shared" si="1"/>
        <v>492.13718899999998</v>
      </c>
      <c r="U5" s="88">
        <f t="shared" si="1"/>
        <v>533.50834700000007</v>
      </c>
      <c r="V5" s="88">
        <f t="shared" si="1"/>
        <v>845.43490700000007</v>
      </c>
      <c r="W5" s="88">
        <f>W36</f>
        <v>1455.3367060000003</v>
      </c>
      <c r="X5" s="88">
        <f>X36</f>
        <v>2427.796409</v>
      </c>
      <c r="Y5" s="88">
        <f>Y36</f>
        <v>3137.4656639999998</v>
      </c>
      <c r="Z5" s="154">
        <f t="shared" ref="Z5:AY5" si="2">Z36</f>
        <v>2551.1387911709371</v>
      </c>
      <c r="AA5" s="154">
        <f t="shared" si="2"/>
        <v>2689.0412170486602</v>
      </c>
      <c r="AB5" s="154">
        <f t="shared" si="2"/>
        <v>2966.2167380645246</v>
      </c>
      <c r="AC5" s="154">
        <f t="shared" si="2"/>
        <v>3023.2639051846149</v>
      </c>
      <c r="AD5" s="154">
        <f t="shared" si="2"/>
        <v>3047.347392541612</v>
      </c>
      <c r="AE5" s="154">
        <f t="shared" si="2"/>
        <v>3193.0463296640578</v>
      </c>
      <c r="AF5" s="154">
        <f t="shared" si="2"/>
        <v>3461.6761816955145</v>
      </c>
      <c r="AG5" s="154">
        <f t="shared" si="2"/>
        <v>4105.4741846252846</v>
      </c>
      <c r="AH5" s="154">
        <f t="shared" si="2"/>
        <v>4085.0654619750658</v>
      </c>
      <c r="AI5" s="154">
        <f t="shared" si="2"/>
        <v>3972.1045514107868</v>
      </c>
      <c r="AJ5" s="154">
        <f t="shared" si="2"/>
        <v>4208.180718950126</v>
      </c>
      <c r="AK5" s="154">
        <f t="shared" si="2"/>
        <v>4546.6108556658519</v>
      </c>
      <c r="AL5" s="154">
        <f t="shared" si="2"/>
        <v>5173.5053853503914</v>
      </c>
      <c r="AM5" s="154">
        <f t="shared" si="2"/>
        <v>5706.9528916035897</v>
      </c>
      <c r="AN5" s="154">
        <f t="shared" si="2"/>
        <v>5726.1634355493516</v>
      </c>
      <c r="AO5" s="154">
        <f t="shared" si="2"/>
        <v>5035.1595093486922</v>
      </c>
      <c r="AP5" s="154">
        <f t="shared" si="2"/>
        <v>5326.2224735088339</v>
      </c>
      <c r="AQ5" s="154">
        <f t="shared" si="2"/>
        <v>5629.954354964545</v>
      </c>
      <c r="AR5" s="154">
        <f t="shared" si="2"/>
        <v>6117.8349765581133</v>
      </c>
      <c r="AS5" s="154">
        <f t="shared" si="2"/>
        <v>6239.7444378807613</v>
      </c>
      <c r="AT5" s="154">
        <f t="shared" si="2"/>
        <v>6204.2691964576388</v>
      </c>
      <c r="AU5" s="154">
        <f t="shared" si="2"/>
        <v>5912.5962641335282</v>
      </c>
      <c r="AV5" s="154">
        <f t="shared" si="2"/>
        <v>6155.0519441006254</v>
      </c>
      <c r="AW5" s="154">
        <f t="shared" si="2"/>
        <v>6375.9613514237471</v>
      </c>
      <c r="AX5" s="154">
        <f t="shared" si="2"/>
        <v>6606.5145954268719</v>
      </c>
      <c r="AY5" s="154">
        <f t="shared" si="2"/>
        <v>6891.9681276607844</v>
      </c>
    </row>
    <row r="6" spans="1:51" x14ac:dyDescent="0.2">
      <c r="A6" s="104" t="s">
        <v>148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6">
        <v>0</v>
      </c>
      <c r="M6" s="156">
        <f t="shared" ref="M6:Y6" si="3">M52</f>
        <v>50.272921999999994</v>
      </c>
      <c r="N6" s="156">
        <f t="shared" si="3"/>
        <v>303.399542</v>
      </c>
      <c r="O6" s="156">
        <f t="shared" si="3"/>
        <v>328.75148999999999</v>
      </c>
      <c r="P6" s="156">
        <f t="shared" si="3"/>
        <v>336.29695800000002</v>
      </c>
      <c r="Q6" s="156">
        <f t="shared" si="3"/>
        <v>349.686036</v>
      </c>
      <c r="R6" s="156">
        <f t="shared" si="3"/>
        <v>344.38169499999998</v>
      </c>
      <c r="S6" s="156">
        <f t="shared" si="3"/>
        <v>309.84663699999999</v>
      </c>
      <c r="T6" s="156">
        <f t="shared" si="3"/>
        <v>417.99749199999997</v>
      </c>
      <c r="U6" s="156">
        <f t="shared" si="3"/>
        <v>433.28415400000006</v>
      </c>
      <c r="V6" s="156">
        <f t="shared" si="3"/>
        <v>452.71395800000005</v>
      </c>
      <c r="W6" s="156">
        <f t="shared" si="3"/>
        <v>425.78085299999998</v>
      </c>
      <c r="X6" s="156">
        <f t="shared" si="3"/>
        <v>452.29152300000004</v>
      </c>
      <c r="Y6" s="156">
        <f t="shared" si="3"/>
        <v>423.52510699999993</v>
      </c>
      <c r="Z6" s="157">
        <f>('[3]Monthly Gallon Summary'!Q$127+'[3]Monthly Gallon Summary'!Q$111)/1000000</f>
        <v>223.25610825000001</v>
      </c>
      <c r="AA6" s="157">
        <f>('[3]Monthly Gallon Summary'!R$127+'[3]Monthly Gallon Summary'!R$111)/1000000</f>
        <v>273.75231812499999</v>
      </c>
      <c r="AB6" s="157">
        <f>('[3]Monthly Gallon Summary'!S$127+'[3]Monthly Gallon Summary'!S$111)/1000000</f>
        <v>252.69444749999997</v>
      </c>
      <c r="AC6" s="157">
        <f>('[3]Monthly Gallon Summary'!T$127+'[3]Monthly Gallon Summary'!T$111)/1000000</f>
        <v>231.63657687500003</v>
      </c>
      <c r="AD6" s="157">
        <f>('[3]Monthly Gallon Summary'!U$127+'[3]Monthly Gallon Summary'!U$111)/1000000</f>
        <v>210.57870625000001</v>
      </c>
      <c r="AE6" s="157">
        <f>('[3]Monthly Gallon Summary'!V$127+'[3]Monthly Gallon Summary'!V$111)/1000000</f>
        <v>189.52083562499999</v>
      </c>
      <c r="AF6" s="157">
        <f>('[3]Monthly Gallon Summary'!W$127+'[3]Monthly Gallon Summary'!W$111)/1000000</f>
        <v>189.52083562499999</v>
      </c>
      <c r="AG6" s="157">
        <f>('[3]Monthly Gallon Summary'!X$127+'[3]Monthly Gallon Summary'!X$111)/1000000</f>
        <v>168.46296500000003</v>
      </c>
      <c r="AH6" s="157">
        <f>('[3]Monthly Gallon Summary'!Y$127+'[3]Monthly Gallon Summary'!Y$111)/1000000</f>
        <v>160.03981675</v>
      </c>
      <c r="AI6" s="157">
        <f>('[3]Monthly Gallon Summary'!Z$127+'[3]Monthly Gallon Summary'!Z$111)/1000000</f>
        <v>151.6166685</v>
      </c>
      <c r="AJ6" s="157">
        <f>('[3]Monthly Gallon Summary'!AA$127+'[3]Monthly Gallon Summary'!AA$111)/1000000</f>
        <v>151.6166685</v>
      </c>
      <c r="AK6" s="157">
        <f>('[3]Monthly Gallon Summary'!AB$127+'[3]Monthly Gallon Summary'!AB$111)/1000000</f>
        <v>63.173611874999992</v>
      </c>
      <c r="AL6" s="157">
        <f>('[3]Monthly Gallon Summary'!AC$127+'[3]Monthly Gallon Summary'!AC$111)/1000000</f>
        <v>42.115741250000006</v>
      </c>
      <c r="AM6" s="157">
        <f>('[3]Monthly Gallon Summary'!AD$127+'[3]Monthly Gallon Summary'!AD$111)/1000000</f>
        <v>42.115741250000006</v>
      </c>
      <c r="AN6" s="157">
        <f>('[3]Monthly Gallon Summary'!AE$127+'[3]Monthly Gallon Summary'!AE$111)/1000000</f>
        <v>42.115741250000006</v>
      </c>
      <c r="AO6" s="157">
        <f>('[3]Monthly Gallon Summary'!AF$127+'[3]Monthly Gallon Summary'!AF$111)/1000000</f>
        <v>42.115741250000006</v>
      </c>
      <c r="AP6" s="157">
        <f>('[3]Monthly Gallon Summary'!AG$127+'[3]Monthly Gallon Summary'!AG$111)/1000000</f>
        <v>42.115741250000006</v>
      </c>
      <c r="AQ6" s="157">
        <f>('[3]Monthly Gallon Summary'!AH$127+'[3]Monthly Gallon Summary'!AH$111)/1000000</f>
        <v>42.115741250000006</v>
      </c>
      <c r="AR6" s="157">
        <f>('[3]Monthly Gallon Summary'!AI$127+'[3]Monthly Gallon Summary'!AI$111)/1000000</f>
        <v>42.115741250000006</v>
      </c>
      <c r="AS6" s="157">
        <f>('[3]Monthly Gallon Summary'!AJ$127+'[3]Monthly Gallon Summary'!AJ$111)/1000000</f>
        <v>42.115741250000006</v>
      </c>
      <c r="AT6" s="157">
        <f>('[3]Monthly Gallon Summary'!AK$127+'[3]Monthly Gallon Summary'!AK$111)/1000000</f>
        <v>42.115741250000006</v>
      </c>
      <c r="AU6" s="157">
        <f>('[3]Monthly Gallon Summary'!AL$127+'[3]Monthly Gallon Summary'!AL$111)/1000000</f>
        <v>42.115741250000006</v>
      </c>
      <c r="AV6" s="157">
        <f>('[3]Monthly Gallon Summary'!AM$127+'[3]Monthly Gallon Summary'!AM$111)/1000000</f>
        <v>42.115741250000006</v>
      </c>
      <c r="AW6" s="157">
        <f>('[3]Monthly Gallon Summary'!AN$127+'[3]Monthly Gallon Summary'!AN$111)/1000000</f>
        <v>42.115741250000006</v>
      </c>
      <c r="AX6" s="157">
        <f>('[3]Monthly Gallon Summary'!AO$127+'[3]Monthly Gallon Summary'!AO$111)/1000000</f>
        <v>42.115741250000006</v>
      </c>
      <c r="AY6" s="157">
        <f>('[3]Monthly Gallon Summary'!AP$127+'[3]Monthly Gallon Summary'!AP$111)/1000000</f>
        <v>42.115741250000006</v>
      </c>
    </row>
    <row r="7" spans="1:51" x14ac:dyDescent="0.2">
      <c r="A7" s="94" t="s">
        <v>149</v>
      </c>
      <c r="B7" s="158"/>
      <c r="C7" s="158"/>
      <c r="D7" s="158"/>
      <c r="E7" s="158"/>
      <c r="F7" s="158"/>
      <c r="G7" s="158"/>
      <c r="H7" s="158"/>
      <c r="I7" s="158"/>
      <c r="J7" s="158"/>
      <c r="K7" s="158"/>
      <c r="L7" s="95">
        <f>L4+L5+L6</f>
        <v>62.041289999999996</v>
      </c>
      <c r="M7" s="95">
        <f t="shared" ref="M7:AY7" si="4">M4+M5+M6</f>
        <v>102.674024</v>
      </c>
      <c r="N7" s="95">
        <f t="shared" si="4"/>
        <v>420.63339999999999</v>
      </c>
      <c r="O7" s="95">
        <f t="shared" si="4"/>
        <v>516.91469600000005</v>
      </c>
      <c r="P7" s="95">
        <f t="shared" si="4"/>
        <v>527.84457399999997</v>
      </c>
      <c r="Q7" s="95">
        <f t="shared" si="4"/>
        <v>617.80147099999999</v>
      </c>
      <c r="R7" s="95">
        <f t="shared" si="4"/>
        <v>657.95381999999995</v>
      </c>
      <c r="S7" s="95">
        <f t="shared" si="4"/>
        <v>646.9570839999999</v>
      </c>
      <c r="T7" s="95">
        <f t="shared" si="4"/>
        <v>982.66868099999999</v>
      </c>
      <c r="U7" s="95">
        <f t="shared" si="4"/>
        <v>1029.4145010000002</v>
      </c>
      <c r="V7" s="95">
        <f t="shared" si="4"/>
        <v>1352.2028650000002</v>
      </c>
      <c r="W7" s="95">
        <f t="shared" si="4"/>
        <v>1979.9331430000002</v>
      </c>
      <c r="X7" s="95">
        <f t="shared" si="4"/>
        <v>3023.1172099999999</v>
      </c>
      <c r="Y7" s="95">
        <f t="shared" si="4"/>
        <v>3791.0571109999996</v>
      </c>
      <c r="Z7" s="159">
        <f t="shared" si="4"/>
        <v>3036.0400860209375</v>
      </c>
      <c r="AA7" s="159">
        <f t="shared" si="4"/>
        <v>3212.2988096295976</v>
      </c>
      <c r="AB7" s="159">
        <f t="shared" si="4"/>
        <v>3510.541480737872</v>
      </c>
      <c r="AC7" s="159">
        <f t="shared" si="4"/>
        <v>3492.7171738271741</v>
      </c>
      <c r="AD7" s="159">
        <f t="shared" si="4"/>
        <v>3477.9184836484733</v>
      </c>
      <c r="AE7" s="159">
        <f t="shared" si="4"/>
        <v>3575.3411435191565</v>
      </c>
      <c r="AF7" s="159">
        <f t="shared" si="4"/>
        <v>3888.9786789636219</v>
      </c>
      <c r="AG7" s="159">
        <f t="shared" si="4"/>
        <v>4677.4263265337204</v>
      </c>
      <c r="AH7" s="159">
        <f t="shared" si="4"/>
        <v>4629.553549071431</v>
      </c>
      <c r="AI7" s="159">
        <f t="shared" si="4"/>
        <v>4457.2333921345271</v>
      </c>
      <c r="AJ7" s="159">
        <f t="shared" si="4"/>
        <v>4517.3647081096124</v>
      </c>
      <c r="AK7" s="159">
        <f t="shared" si="4"/>
        <v>4826.6343495318915</v>
      </c>
      <c r="AL7" s="159">
        <f t="shared" si="4"/>
        <v>5637.7706447068158</v>
      </c>
      <c r="AM7" s="159">
        <f t="shared" si="4"/>
        <v>6179.5915424196392</v>
      </c>
      <c r="AN7" s="159">
        <f t="shared" si="4"/>
        <v>6237.8103764689795</v>
      </c>
      <c r="AO7" s="159">
        <f t="shared" si="4"/>
        <v>5601.5151642183991</v>
      </c>
      <c r="AP7" s="159">
        <f t="shared" si="4"/>
        <v>5753.341143747688</v>
      </c>
      <c r="AQ7" s="159">
        <f t="shared" si="4"/>
        <v>6205.9745963924215</v>
      </c>
      <c r="AR7" s="159">
        <f t="shared" si="4"/>
        <v>6643.6643031886142</v>
      </c>
      <c r="AS7" s="159">
        <f t="shared" si="4"/>
        <v>6800.1568734655475</v>
      </c>
      <c r="AT7" s="159">
        <f t="shared" si="4"/>
        <v>6918.190948401023</v>
      </c>
      <c r="AU7" s="159">
        <f t="shared" si="4"/>
        <v>6741.5373584936142</v>
      </c>
      <c r="AV7" s="159">
        <f t="shared" si="4"/>
        <v>6704.2958410474557</v>
      </c>
      <c r="AW7" s="159">
        <f t="shared" si="4"/>
        <v>6884.9867680747766</v>
      </c>
      <c r="AX7" s="159">
        <f t="shared" si="4"/>
        <v>7293.2489490456664</v>
      </c>
      <c r="AY7" s="159">
        <f t="shared" si="4"/>
        <v>7483.9744462310146</v>
      </c>
    </row>
    <row r="8" spans="1:51" x14ac:dyDescent="0.2">
      <c r="A8" s="97" t="s">
        <v>150</v>
      </c>
      <c r="B8" s="97"/>
      <c r="C8" s="97"/>
      <c r="D8" s="97"/>
      <c r="E8" s="97"/>
      <c r="F8" s="97"/>
      <c r="G8" s="97"/>
      <c r="H8" s="97"/>
      <c r="I8" s="97"/>
      <c r="J8" s="97"/>
      <c r="K8" s="97"/>
      <c r="L8" s="88">
        <f>L10-L9</f>
        <v>62.041289999999996</v>
      </c>
      <c r="M8" s="88">
        <f>M10-M9</f>
        <v>97.72602400000001</v>
      </c>
      <c r="N8" s="88">
        <f>N10-N9</f>
        <v>389.6114</v>
      </c>
      <c r="O8" s="88">
        <f>O10-O9</f>
        <v>499.21469600000006</v>
      </c>
      <c r="P8" s="88">
        <f t="shared" ref="P8:V8" si="5">P84</f>
        <v>501.21657399999992</v>
      </c>
      <c r="Q8" s="88">
        <f t="shared" si="5"/>
        <v>562.57147099999997</v>
      </c>
      <c r="R8" s="88">
        <f t="shared" si="5"/>
        <v>626.32781999999997</v>
      </c>
      <c r="S8" s="88">
        <f t="shared" si="5"/>
        <v>574.42308400000002</v>
      </c>
      <c r="T8" s="88">
        <f t="shared" si="5"/>
        <v>920.04668100000004</v>
      </c>
      <c r="U8" s="88">
        <f t="shared" si="5"/>
        <v>975.36050099999989</v>
      </c>
      <c r="V8" s="88">
        <f t="shared" si="5"/>
        <v>1253.3872809999998</v>
      </c>
      <c r="W8" s="88">
        <f>W84</f>
        <v>1836.9038649999998</v>
      </c>
      <c r="X8" s="88">
        <f>X84</f>
        <v>2793.0508699999996</v>
      </c>
      <c r="Y8" s="88">
        <f>Y84</f>
        <v>3529.4119243999999</v>
      </c>
      <c r="Z8" s="154">
        <f>Z10-Z9</f>
        <v>2650</v>
      </c>
      <c r="AA8" s="154">
        <f t="shared" ref="AA8:AY8" si="6">AA10-AA9</f>
        <v>2750</v>
      </c>
      <c r="AB8" s="154">
        <f t="shared" si="6"/>
        <v>3100.0000000000005</v>
      </c>
      <c r="AC8" s="154">
        <f t="shared" si="6"/>
        <v>3100</v>
      </c>
      <c r="AD8" s="154">
        <f t="shared" si="6"/>
        <v>3099.9999999999995</v>
      </c>
      <c r="AE8" s="154">
        <f t="shared" si="6"/>
        <v>3149.9999999999991</v>
      </c>
      <c r="AF8" s="154">
        <f t="shared" si="6"/>
        <v>3299.9999999999995</v>
      </c>
      <c r="AG8" s="154">
        <f t="shared" si="6"/>
        <v>4099.9999999999991</v>
      </c>
      <c r="AH8" s="154">
        <f t="shared" si="6"/>
        <v>4099.9999999999982</v>
      </c>
      <c r="AI8" s="154">
        <f t="shared" si="6"/>
        <v>4100</v>
      </c>
      <c r="AJ8" s="154">
        <f t="shared" si="6"/>
        <v>4099.9999999999991</v>
      </c>
      <c r="AK8" s="154">
        <f t="shared" si="6"/>
        <v>4200</v>
      </c>
      <c r="AL8" s="154">
        <f t="shared" si="6"/>
        <v>5000</v>
      </c>
      <c r="AM8" s="154">
        <f t="shared" si="6"/>
        <v>5500</v>
      </c>
      <c r="AN8" s="154">
        <f t="shared" si="6"/>
        <v>5500</v>
      </c>
      <c r="AO8" s="154">
        <f t="shared" si="6"/>
        <v>4999.9999999999991</v>
      </c>
      <c r="AP8" s="154">
        <f t="shared" si="6"/>
        <v>5000</v>
      </c>
      <c r="AQ8" s="154">
        <f t="shared" si="6"/>
        <v>5499.9999999999991</v>
      </c>
      <c r="AR8" s="154">
        <f t="shared" si="6"/>
        <v>5900</v>
      </c>
      <c r="AS8" s="154">
        <f t="shared" si="6"/>
        <v>5899.9999999999982</v>
      </c>
      <c r="AT8" s="154">
        <f t="shared" si="6"/>
        <v>5900</v>
      </c>
      <c r="AU8" s="154">
        <f t="shared" si="6"/>
        <v>6000.0000000000009</v>
      </c>
      <c r="AV8" s="154">
        <f t="shared" si="6"/>
        <v>5999.9999999999991</v>
      </c>
      <c r="AW8" s="154">
        <f t="shared" si="6"/>
        <v>6000</v>
      </c>
      <c r="AX8" s="154">
        <f t="shared" si="6"/>
        <v>6500.0000000000018</v>
      </c>
      <c r="AY8" s="154">
        <f t="shared" si="6"/>
        <v>6500</v>
      </c>
    </row>
    <row r="9" spans="1:51" x14ac:dyDescent="0.2">
      <c r="A9" s="23" t="s">
        <v>151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108">
        <v>0</v>
      </c>
      <c r="M9" s="108">
        <v>1</v>
      </c>
      <c r="N9" s="108">
        <v>2</v>
      </c>
      <c r="O9" s="108">
        <v>3</v>
      </c>
      <c r="P9" s="108">
        <v>0</v>
      </c>
      <c r="Q9" s="108">
        <v>0</v>
      </c>
      <c r="R9" s="108">
        <v>0</v>
      </c>
      <c r="S9" s="108">
        <v>0</v>
      </c>
      <c r="T9" s="108">
        <v>0</v>
      </c>
      <c r="U9" s="108">
        <f>[6]RD!G$5*0.9</f>
        <v>0</v>
      </c>
      <c r="V9" s="108">
        <f>[6]RD!H$5*0.9</f>
        <v>0</v>
      </c>
      <c r="W9" s="108">
        <f>[6]RD!I$5*0.9</f>
        <v>33.779946240000001</v>
      </c>
      <c r="X9" s="108">
        <f>[6]RD!J$5*0.9</f>
        <v>99.563586057000009</v>
      </c>
      <c r="Y9" s="108">
        <f>[6]RD!K$5*0.9</f>
        <v>245.76266081700007</v>
      </c>
      <c r="Z9" s="160">
        <f>[6]RD!L$5</f>
        <v>136.53481156500004</v>
      </c>
      <c r="AA9" s="160">
        <f>[6]RD!M$5</f>
        <v>170.66851445625005</v>
      </c>
      <c r="AB9" s="160">
        <f>[6]RD!N$5</f>
        <v>172.72478897031255</v>
      </c>
      <c r="AC9" s="160">
        <f>[6]RD!O$5</f>
        <v>172.72478897031255</v>
      </c>
      <c r="AD9" s="160">
        <f>[6]RD!P$5</f>
        <v>185.14450541837505</v>
      </c>
      <c r="AE9" s="160">
        <f>[6]RD!Q$5</f>
        <v>187.55948187605003</v>
      </c>
      <c r="AF9" s="160">
        <f>[6]RD!R$5</f>
        <v>185.48950205518577</v>
      </c>
      <c r="AG9" s="160">
        <f>[6]RD!S$5</f>
        <v>192.97805618735515</v>
      </c>
      <c r="AH9" s="160">
        <f>[6]RD!T$5</f>
        <v>196.04137684769162</v>
      </c>
      <c r="AI9" s="160">
        <f>[6]RD!U$5</f>
        <v>199.66607147504038</v>
      </c>
      <c r="AJ9" s="160">
        <f>[6]RD!V$5</f>
        <v>200.51482611857293</v>
      </c>
      <c r="AK9" s="160">
        <f>[6]RD!W$5</f>
        <v>204.48483142546729</v>
      </c>
      <c r="AL9" s="160">
        <f>[6]RD!X$5</f>
        <v>207.2477351407662</v>
      </c>
      <c r="AM9" s="160">
        <f>[6]RD!Y$5</f>
        <v>210.06034275001136</v>
      </c>
      <c r="AN9" s="160">
        <f>[6]RD!Z$5</f>
        <v>213.57046284927216</v>
      </c>
      <c r="AO9" s="160">
        <f>[6]RD!AA$5</f>
        <v>216.51223522954598</v>
      </c>
      <c r="AP9" s="160">
        <f>[6]RD!AB$5</f>
        <v>219.43664356981088</v>
      </c>
      <c r="AQ9" s="160">
        <f>[6]RD!AC$5</f>
        <v>222.26101101192097</v>
      </c>
      <c r="AR9" s="160">
        <f>[6]RD!AD$5</f>
        <v>225.36760885382787</v>
      </c>
      <c r="AS9" s="160">
        <f>[6]RD!AE$5</f>
        <v>228.3508627721651</v>
      </c>
      <c r="AT9" s="160">
        <f>[6]RD!AF$5</f>
        <v>231.36559529093637</v>
      </c>
      <c r="AU9" s="160">
        <f>[6]RD!AG$5</f>
        <v>234.40920279678281</v>
      </c>
      <c r="AV9" s="160">
        <f>[6]RD!AH$5</f>
        <v>237.38616564642714</v>
      </c>
      <c r="AW9" s="160">
        <f>[6]RD!AI$5</f>
        <v>240.36815570598159</v>
      </c>
      <c r="AX9" s="160">
        <f>[6]RD!AJ$5</f>
        <v>243.35837172543455</v>
      </c>
      <c r="AY9" s="160">
        <f>[6]RD!AK$5</f>
        <v>246.37228039879363</v>
      </c>
    </row>
    <row r="10" spans="1:51" x14ac:dyDescent="0.2">
      <c r="A10" s="104" t="s">
        <v>152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6">
        <f>L7-L11</f>
        <v>62.041289999999996</v>
      </c>
      <c r="M10" s="156">
        <f>M7-M11</f>
        <v>98.72602400000001</v>
      </c>
      <c r="N10" s="156">
        <f>N7-N11</f>
        <v>391.6114</v>
      </c>
      <c r="O10" s="156">
        <f>O7-O11</f>
        <v>502.21469600000006</v>
      </c>
      <c r="P10" s="156">
        <f t="shared" ref="P10:Y10" si="7">P8+P9</f>
        <v>501.21657399999992</v>
      </c>
      <c r="Q10" s="156">
        <f t="shared" si="7"/>
        <v>562.57147099999997</v>
      </c>
      <c r="R10" s="156">
        <f t="shared" si="7"/>
        <v>626.32781999999997</v>
      </c>
      <c r="S10" s="156">
        <f t="shared" si="7"/>
        <v>574.42308400000002</v>
      </c>
      <c r="T10" s="156">
        <f t="shared" si="7"/>
        <v>920.04668100000004</v>
      </c>
      <c r="U10" s="156">
        <f t="shared" si="7"/>
        <v>975.36050099999989</v>
      </c>
      <c r="V10" s="156">
        <f t="shared" si="7"/>
        <v>1253.3872809999998</v>
      </c>
      <c r="W10" s="156">
        <f t="shared" si="7"/>
        <v>1870.6838112399998</v>
      </c>
      <c r="X10" s="156">
        <f t="shared" si="7"/>
        <v>2892.6144560569996</v>
      </c>
      <c r="Y10" s="156">
        <f t="shared" si="7"/>
        <v>3775.1745852169997</v>
      </c>
      <c r="Z10" s="157">
        <f>Z7-Z11</f>
        <v>2786.5348115649999</v>
      </c>
      <c r="AA10" s="157">
        <f t="shared" ref="AA10:AY10" si="8">AA7-AA11</f>
        <v>2920.6685144562503</v>
      </c>
      <c r="AB10" s="157">
        <f t="shared" si="8"/>
        <v>3272.7247889703131</v>
      </c>
      <c r="AC10" s="157">
        <f t="shared" si="8"/>
        <v>3272.7247889703126</v>
      </c>
      <c r="AD10" s="157">
        <f t="shared" si="8"/>
        <v>3285.1445054183746</v>
      </c>
      <c r="AE10" s="157">
        <f t="shared" si="8"/>
        <v>3337.5594818760492</v>
      </c>
      <c r="AF10" s="157">
        <f t="shared" si="8"/>
        <v>3485.4895020551853</v>
      </c>
      <c r="AG10" s="157">
        <f t="shared" si="8"/>
        <v>4292.978056187354</v>
      </c>
      <c r="AH10" s="157">
        <f t="shared" si="8"/>
        <v>4296.0413768476901</v>
      </c>
      <c r="AI10" s="157">
        <f t="shared" si="8"/>
        <v>4299.6660714750406</v>
      </c>
      <c r="AJ10" s="157">
        <f t="shared" si="8"/>
        <v>4300.5148261185723</v>
      </c>
      <c r="AK10" s="157">
        <f t="shared" si="8"/>
        <v>4404.4848314254668</v>
      </c>
      <c r="AL10" s="157">
        <f t="shared" si="8"/>
        <v>5207.2477351407661</v>
      </c>
      <c r="AM10" s="157">
        <f t="shared" si="8"/>
        <v>5710.0603427500109</v>
      </c>
      <c r="AN10" s="157">
        <f t="shared" si="8"/>
        <v>5713.5704628492722</v>
      </c>
      <c r="AO10" s="157">
        <f t="shared" si="8"/>
        <v>5216.5122352295448</v>
      </c>
      <c r="AP10" s="157">
        <f t="shared" si="8"/>
        <v>5219.4366435698112</v>
      </c>
      <c r="AQ10" s="157">
        <f t="shared" si="8"/>
        <v>5722.2610110119203</v>
      </c>
      <c r="AR10" s="157">
        <f t="shared" si="8"/>
        <v>6125.3676088538277</v>
      </c>
      <c r="AS10" s="157">
        <f t="shared" si="8"/>
        <v>6128.3508627721631</v>
      </c>
      <c r="AT10" s="157">
        <f t="shared" si="8"/>
        <v>6131.3655952909367</v>
      </c>
      <c r="AU10" s="157">
        <f t="shared" si="8"/>
        <v>6234.4092027967836</v>
      </c>
      <c r="AV10" s="157">
        <f t="shared" si="8"/>
        <v>6237.386165646426</v>
      </c>
      <c r="AW10" s="157">
        <f t="shared" si="8"/>
        <v>6240.3681557059817</v>
      </c>
      <c r="AX10" s="157">
        <f t="shared" si="8"/>
        <v>6743.358371725436</v>
      </c>
      <c r="AY10" s="157">
        <f t="shared" si="8"/>
        <v>6746.3722803987939</v>
      </c>
    </row>
    <row r="11" spans="1:51" x14ac:dyDescent="0.2">
      <c r="A11" s="158" t="s">
        <v>199</v>
      </c>
      <c r="B11" s="95"/>
      <c r="C11" s="95"/>
      <c r="D11" s="95"/>
      <c r="E11" s="95"/>
      <c r="F11" s="95"/>
      <c r="G11" s="95"/>
      <c r="H11" s="95"/>
      <c r="I11" s="95"/>
      <c r="J11" s="95"/>
      <c r="K11" s="95"/>
      <c r="L11" s="95">
        <f t="shared" ref="L11:V11" si="9">L100</f>
        <v>0</v>
      </c>
      <c r="M11" s="95">
        <f t="shared" si="9"/>
        <v>3.948</v>
      </c>
      <c r="N11" s="95">
        <f t="shared" si="9"/>
        <v>29.021999999999998</v>
      </c>
      <c r="O11" s="95">
        <f t="shared" si="9"/>
        <v>14.7</v>
      </c>
      <c r="P11" s="95">
        <f t="shared" si="9"/>
        <v>26.628</v>
      </c>
      <c r="Q11" s="95">
        <f t="shared" si="9"/>
        <v>55.23</v>
      </c>
      <c r="R11" s="95">
        <f t="shared" si="9"/>
        <v>31.626000000000001</v>
      </c>
      <c r="S11" s="95">
        <f t="shared" si="9"/>
        <v>72.534000000000006</v>
      </c>
      <c r="T11" s="95">
        <f t="shared" si="9"/>
        <v>62.622</v>
      </c>
      <c r="U11" s="95">
        <f t="shared" si="9"/>
        <v>54.054000000000002</v>
      </c>
      <c r="V11" s="95">
        <f t="shared" si="9"/>
        <v>98.815584000000001</v>
      </c>
      <c r="W11" s="95">
        <f>W100</f>
        <v>143.02927800000001</v>
      </c>
      <c r="X11" s="95">
        <f>X100</f>
        <v>230.06634000000003</v>
      </c>
      <c r="Y11" s="95">
        <f>Y100</f>
        <v>261.64518660000005</v>
      </c>
      <c r="Z11" s="159">
        <f>Z100</f>
        <v>249.50527445593744</v>
      </c>
      <c r="AA11" s="159">
        <f t="shared" ref="AA11:AY11" si="10">AA100</f>
        <v>291.63029517334741</v>
      </c>
      <c r="AB11" s="159">
        <f t="shared" si="10"/>
        <v>237.81669176755915</v>
      </c>
      <c r="AC11" s="159">
        <f t="shared" si="10"/>
        <v>219.99238485686138</v>
      </c>
      <c r="AD11" s="159">
        <f t="shared" si="10"/>
        <v>192.77397823009886</v>
      </c>
      <c r="AE11" s="159">
        <f t="shared" si="10"/>
        <v>237.78166164310733</v>
      </c>
      <c r="AF11" s="159">
        <f t="shared" si="10"/>
        <v>403.48917690843655</v>
      </c>
      <c r="AG11" s="159">
        <f t="shared" si="10"/>
        <v>384.44827034636592</v>
      </c>
      <c r="AH11" s="159">
        <f t="shared" si="10"/>
        <v>333.51217222374055</v>
      </c>
      <c r="AI11" s="159">
        <f t="shared" si="10"/>
        <v>157.56732065948694</v>
      </c>
      <c r="AJ11" s="159">
        <f t="shared" si="10"/>
        <v>216.84988199104023</v>
      </c>
      <c r="AK11" s="159">
        <f t="shared" si="10"/>
        <v>422.14951810642492</v>
      </c>
      <c r="AL11" s="159">
        <f t="shared" si="10"/>
        <v>430.52290956604975</v>
      </c>
      <c r="AM11" s="159">
        <f t="shared" si="10"/>
        <v>469.53119966962851</v>
      </c>
      <c r="AN11" s="159">
        <f t="shared" si="10"/>
        <v>524.23991361970729</v>
      </c>
      <c r="AO11" s="159">
        <f t="shared" si="10"/>
        <v>385.00292898885414</v>
      </c>
      <c r="AP11" s="159">
        <f t="shared" si="10"/>
        <v>533.90450017787668</v>
      </c>
      <c r="AQ11" s="159">
        <f t="shared" si="10"/>
        <v>483.713585380501</v>
      </c>
      <c r="AR11" s="159">
        <f t="shared" si="10"/>
        <v>518.29669433478648</v>
      </c>
      <c r="AS11" s="159">
        <f t="shared" si="10"/>
        <v>671.80601069338468</v>
      </c>
      <c r="AT11" s="159">
        <f t="shared" si="10"/>
        <v>786.82535311008633</v>
      </c>
      <c r="AU11" s="159">
        <f t="shared" si="10"/>
        <v>507.12815569683096</v>
      </c>
      <c r="AV11" s="159">
        <f t="shared" si="10"/>
        <v>466.9096754010294</v>
      </c>
      <c r="AW11" s="159">
        <f t="shared" si="10"/>
        <v>644.61861236879497</v>
      </c>
      <c r="AX11" s="159">
        <f t="shared" si="10"/>
        <v>549.89057732023082</v>
      </c>
      <c r="AY11" s="159">
        <f t="shared" si="10"/>
        <v>737.60216583222063</v>
      </c>
    </row>
    <row r="12" spans="1:51" x14ac:dyDescent="0.2">
      <c r="A12" s="97"/>
      <c r="B12" s="9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07"/>
      <c r="T12" s="107"/>
      <c r="U12" s="107"/>
      <c r="V12" s="107"/>
      <c r="W12" s="107"/>
      <c r="X12" s="107"/>
      <c r="Y12" s="107"/>
      <c r="Z12" s="161"/>
      <c r="AA12" s="161"/>
      <c r="AB12" s="161"/>
      <c r="AC12" s="161"/>
      <c r="AD12" s="161"/>
      <c r="AE12" s="161"/>
      <c r="AF12" s="161"/>
      <c r="AG12" s="161"/>
      <c r="AH12" s="161"/>
      <c r="AI12" s="161"/>
      <c r="AJ12" s="161"/>
      <c r="AK12" s="161"/>
      <c r="AL12" s="161"/>
      <c r="AM12" s="161"/>
      <c r="AN12" s="161"/>
      <c r="AO12" s="161"/>
      <c r="AP12" s="161"/>
      <c r="AQ12" s="161"/>
      <c r="AR12" s="161"/>
      <c r="AS12" s="161"/>
      <c r="AT12" s="161"/>
      <c r="AU12" s="161"/>
      <c r="AV12" s="161"/>
      <c r="AW12" s="161"/>
      <c r="AX12" s="161"/>
      <c r="AY12" s="161"/>
    </row>
    <row r="13" spans="1:51" x14ac:dyDescent="0.2">
      <c r="A13" s="94" t="s">
        <v>200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62"/>
      <c r="M13" s="162"/>
      <c r="N13" s="162"/>
      <c r="O13" s="162"/>
      <c r="P13" s="95">
        <f>AVERAGE(Capacity!$C50:$C61)</f>
        <v>255</v>
      </c>
      <c r="Q13" s="95">
        <f>AVERAGE(Capacity!$C62:$C73)</f>
        <v>366.5</v>
      </c>
      <c r="R13" s="95">
        <f>AVERAGE(Capacity!$C74:$C85)</f>
        <v>408</v>
      </c>
      <c r="S13" s="95">
        <f>AVERAGE(Capacity!$C86:$C97)</f>
        <v>443.21250000000003</v>
      </c>
      <c r="T13" s="95">
        <f>AVERAGE(Capacity!$C98:$C109)</f>
        <v>558</v>
      </c>
      <c r="U13" s="95">
        <f>AVERAGE(Capacity!$C110:$C121)</f>
        <v>633</v>
      </c>
      <c r="V13" s="95">
        <f>AVERAGE(Capacity!$C122:$C133)</f>
        <v>924.66666666666663</v>
      </c>
      <c r="W13" s="95">
        <f>AVERAGE(Capacity!$C134:$C145)</f>
        <v>2132.5833333333335</v>
      </c>
      <c r="X13" s="95">
        <f>AVERAGE(Capacity!$C146:$C157)</f>
        <v>3544.5</v>
      </c>
      <c r="Y13" s="95">
        <f>AVERAGE(Capacity!$C158:$C169)</f>
        <v>4310.166666666667</v>
      </c>
      <c r="Z13" s="163">
        <f>AVERAGE(Capacity!$C170:$C181)</f>
        <v>4761.1124999999993</v>
      </c>
      <c r="AA13" s="163">
        <f>AVERAGE(Capacity!$C182:$C193)</f>
        <v>5108.4124999999995</v>
      </c>
      <c r="AB13" s="163">
        <f>AVERAGE(Capacity!$C194:$C205)</f>
        <v>5191.8499999999995</v>
      </c>
      <c r="AC13" s="163">
        <f>AVERAGE(Capacity!$C206:$C217)</f>
        <v>5381.3291666666673</v>
      </c>
      <c r="AD13" s="163">
        <f>AVERAGE(Capacity!$C218:$C229)</f>
        <v>5389.35</v>
      </c>
      <c r="AE13" s="163">
        <f>AVERAGE(Capacity!$C230:$C241)</f>
        <v>5389.35</v>
      </c>
      <c r="AF13" s="163">
        <f>AVERAGE(Capacity!$C242:$C253)</f>
        <v>5438.8291666666673</v>
      </c>
      <c r="AG13" s="163">
        <f>AVERAGE(Capacity!$C254:$C265)</f>
        <v>5446.85</v>
      </c>
      <c r="AH13" s="163">
        <f>AVERAGE(Capacity!$C266:$C277)</f>
        <v>5446.85</v>
      </c>
      <c r="AI13" s="163">
        <f>AVERAGE(Capacity!$C278:$C289)</f>
        <v>5446.85</v>
      </c>
      <c r="AJ13" s="163">
        <f>AVERAGE(Capacity!$C290:$C301)</f>
        <v>5446.85</v>
      </c>
      <c r="AK13" s="163">
        <f>AVERAGE(Capacity!$C290:$C301)</f>
        <v>5446.85</v>
      </c>
      <c r="AL13" s="163">
        <f>AVERAGE(Capacity!$C290:$C301)</f>
        <v>5446.85</v>
      </c>
      <c r="AM13" s="163">
        <f>AVERAGE(Capacity!$C290:$C301)</f>
        <v>5446.85</v>
      </c>
      <c r="AN13" s="163">
        <f>AVERAGE(Capacity!$C290:$C301)</f>
        <v>5446.85</v>
      </c>
      <c r="AO13" s="163">
        <f>AVERAGE(Capacity!$C290:$C301)</f>
        <v>5446.85</v>
      </c>
      <c r="AP13" s="163">
        <f>AVERAGE(Capacity!$C290:$C301)</f>
        <v>5446.85</v>
      </c>
      <c r="AQ13" s="163">
        <f>AVERAGE(Capacity!$C290:$C301)</f>
        <v>5446.85</v>
      </c>
      <c r="AR13" s="163">
        <f>AVERAGE(Capacity!$C290:$C301)</f>
        <v>5446.85</v>
      </c>
      <c r="AS13" s="163">
        <f>AVERAGE(Capacity!$C290:$C301)</f>
        <v>5446.85</v>
      </c>
      <c r="AT13" s="163">
        <f>AVERAGE(Capacity!$C290:$C301)</f>
        <v>5446.85</v>
      </c>
      <c r="AU13" s="163">
        <f>AVERAGE(Capacity!$C290:$C301)</f>
        <v>5446.85</v>
      </c>
      <c r="AV13" s="163">
        <f>AVERAGE(Capacity!$C290:$C301)</f>
        <v>5446.85</v>
      </c>
      <c r="AW13" s="163">
        <f>AVERAGE(Capacity!$C290:$C301)</f>
        <v>5446.85</v>
      </c>
      <c r="AX13" s="163">
        <f>AVERAGE(Capacity!$C290:$C301)</f>
        <v>5446.85</v>
      </c>
      <c r="AY13" s="163">
        <f>AVERAGE(Capacity!$C290:$C301)</f>
        <v>5446.85</v>
      </c>
    </row>
    <row r="14" spans="1:51" x14ac:dyDescent="0.2">
      <c r="A14" s="104" t="s">
        <v>201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64"/>
      <c r="M14" s="164"/>
      <c r="N14" s="164"/>
      <c r="O14" s="164"/>
      <c r="P14" s="164">
        <f>P5/P13</f>
        <v>0.69352006274509814</v>
      </c>
      <c r="Q14" s="164">
        <f t="shared" ref="Q14:AY14" si="11">Q5/Q13</f>
        <v>0.65890159618008182</v>
      </c>
      <c r="R14" s="164">
        <f t="shared" si="11"/>
        <v>0.63319148284313731</v>
      </c>
      <c r="S14" s="164">
        <f t="shared" si="11"/>
        <v>0.68925052204078163</v>
      </c>
      <c r="T14" s="164">
        <f t="shared" si="11"/>
        <v>0.88196628853046588</v>
      </c>
      <c r="U14" s="164">
        <f t="shared" si="11"/>
        <v>0.84282519273301748</v>
      </c>
      <c r="V14" s="164">
        <f t="shared" si="11"/>
        <v>0.91431316546503261</v>
      </c>
      <c r="W14" s="164">
        <f t="shared" si="11"/>
        <v>0.68242899738189211</v>
      </c>
      <c r="X14" s="164">
        <f t="shared" si="11"/>
        <v>0.68494749865989557</v>
      </c>
      <c r="Y14" s="164">
        <f t="shared" si="11"/>
        <v>0.72792212149568836</v>
      </c>
      <c r="Z14" s="165">
        <f t="shared" si="11"/>
        <v>0.5358282945784073</v>
      </c>
      <c r="AA14" s="165">
        <f t="shared" si="11"/>
        <v>0.52639469053226629</v>
      </c>
      <c r="AB14" s="165">
        <f t="shared" si="11"/>
        <v>0.57132173272812681</v>
      </c>
      <c r="AC14" s="165">
        <f t="shared" si="11"/>
        <v>0.56180616564240049</v>
      </c>
      <c r="AD14" s="165">
        <f t="shared" si="11"/>
        <v>0.56543876210333566</v>
      </c>
      <c r="AE14" s="165">
        <f t="shared" si="11"/>
        <v>0.59247336500024261</v>
      </c>
      <c r="AF14" s="165">
        <f t="shared" si="11"/>
        <v>0.63647451972040814</v>
      </c>
      <c r="AG14" s="165">
        <f t="shared" si="11"/>
        <v>0.75373365975293694</v>
      </c>
      <c r="AH14" s="165">
        <f t="shared" si="11"/>
        <v>0.74998677436960182</v>
      </c>
      <c r="AI14" s="165">
        <f t="shared" si="11"/>
        <v>0.72924801516670856</v>
      </c>
      <c r="AJ14" s="165">
        <f t="shared" si="11"/>
        <v>0.77258979390842886</v>
      </c>
      <c r="AK14" s="165">
        <f t="shared" si="11"/>
        <v>0.83472297854096433</v>
      </c>
      <c r="AL14" s="165">
        <f t="shared" si="11"/>
        <v>0.94981601941496296</v>
      </c>
      <c r="AM14" s="165">
        <f t="shared" si="11"/>
        <v>1.047752901512542</v>
      </c>
      <c r="AN14" s="165">
        <f t="shared" si="11"/>
        <v>1.0512798104499574</v>
      </c>
      <c r="AO14" s="165">
        <f t="shared" si="11"/>
        <v>0.9244167747135853</v>
      </c>
      <c r="AP14" s="165">
        <f t="shared" si="11"/>
        <v>0.97785370875071531</v>
      </c>
      <c r="AQ14" s="165">
        <f t="shared" si="11"/>
        <v>1.0336165591056381</v>
      </c>
      <c r="AR14" s="165">
        <f t="shared" si="11"/>
        <v>1.1231877096960836</v>
      </c>
      <c r="AS14" s="165">
        <f t="shared" si="11"/>
        <v>1.1455693543756045</v>
      </c>
      <c r="AT14" s="165">
        <f t="shared" si="11"/>
        <v>1.1390563713811908</v>
      </c>
      <c r="AU14" s="165">
        <f t="shared" si="11"/>
        <v>1.0855074518544714</v>
      </c>
      <c r="AV14" s="165">
        <f t="shared" si="11"/>
        <v>1.1300204602844992</v>
      </c>
      <c r="AW14" s="165">
        <f t="shared" si="11"/>
        <v>1.170577737852841</v>
      </c>
      <c r="AX14" s="165">
        <f t="shared" si="11"/>
        <v>1.2129055500751575</v>
      </c>
      <c r="AY14" s="165">
        <f t="shared" si="11"/>
        <v>1.2653126353141328</v>
      </c>
    </row>
    <row r="15" spans="1:51" x14ac:dyDescent="0.2">
      <c r="A15" s="19" t="s">
        <v>202</v>
      </c>
      <c r="U15" s="108">
        <f>U13+BD!U19</f>
        <v>3124.25</v>
      </c>
      <c r="V15" s="108">
        <f>V13+BD!V19</f>
        <v>3331.333333333333</v>
      </c>
      <c r="W15" s="108">
        <f>W13+BD!W19</f>
        <v>4304.0833333333339</v>
      </c>
      <c r="X15" s="108">
        <f>X13+BD!X19</f>
        <v>5620.5833333333339</v>
      </c>
      <c r="Y15" s="108">
        <f>Y13+BD!Y19</f>
        <v>6316.25</v>
      </c>
      <c r="Z15" s="166">
        <f>Z13+BD!Z19</f>
        <v>6653.4458333333323</v>
      </c>
      <c r="AA15" s="166">
        <f>AA13+BD!AA19</f>
        <v>6905.4680555555533</v>
      </c>
      <c r="AB15" s="166">
        <f>AB13+BD!AB19</f>
        <v>6982.2388888888854</v>
      </c>
      <c r="AC15" s="166">
        <f>AC13+BD!AC19</f>
        <v>7160.190277777775</v>
      </c>
      <c r="AD15" s="166">
        <f>AD13+BD!AD19</f>
        <v>7185.0166666666637</v>
      </c>
      <c r="AE15" s="166">
        <f>AE13+BD!AE19</f>
        <v>7170.8499999999976</v>
      </c>
      <c r="AF15" s="166">
        <f>AF13+BD!AF19</f>
        <v>7254.4958333333316</v>
      </c>
      <c r="AG15" s="166">
        <f>AG13+BD!AG19</f>
        <v>7277.5166666666646</v>
      </c>
      <c r="AH15" s="166">
        <f>AH13+BD!AH19</f>
        <v>7277.5166666666646</v>
      </c>
      <c r="AI15" s="166">
        <f>AI13+BD!AI19</f>
        <v>7227.5166666666646</v>
      </c>
      <c r="AJ15" s="166">
        <f>AJ13+BD!AJ19</f>
        <v>7227.5166666666646</v>
      </c>
      <c r="AK15" s="166">
        <f>AK13+BD!AK19</f>
        <v>7113.0722222222194</v>
      </c>
      <c r="AL15" s="166">
        <f>AL13+BD!AL19</f>
        <v>6899.7388888888854</v>
      </c>
      <c r="AM15" s="166">
        <f>AM13+BD!AM19</f>
        <v>6686.4055555555515</v>
      </c>
      <c r="AN15" s="166">
        <f>AN13+BD!AN19</f>
        <v>6473.0722222222175</v>
      </c>
      <c r="AO15" s="166">
        <f>AO13+BD!AO19</f>
        <v>6259.7388888888836</v>
      </c>
      <c r="AP15" s="166">
        <f>AP13+BD!AP19</f>
        <v>6143.9055555555497</v>
      </c>
      <c r="AQ15" s="166">
        <f>AQ13+BD!AQ19</f>
        <v>6027.8870370370305</v>
      </c>
      <c r="AR15" s="166">
        <f>AR13+BD!AR19</f>
        <v>5986.4055555555487</v>
      </c>
      <c r="AS15" s="166">
        <f>AS13+BD!AS19</f>
        <v>5986.4055555555487</v>
      </c>
      <c r="AT15" s="166">
        <f>AT13+BD!AT19</f>
        <v>5986.4055555555487</v>
      </c>
      <c r="AU15" s="166">
        <f>AU13+BD!AU19</f>
        <v>5986.4055555555487</v>
      </c>
      <c r="AV15" s="166">
        <f>AV13+BD!AV19</f>
        <v>5986.4055555555487</v>
      </c>
      <c r="AW15" s="166">
        <f>AW13+BD!AW19</f>
        <v>5986.4055555555487</v>
      </c>
      <c r="AX15" s="166">
        <f>AX13+BD!AX19</f>
        <v>5986.4055555555487</v>
      </c>
      <c r="AY15" s="166">
        <f>AY13+BD!AY19</f>
        <v>5986.4055555555487</v>
      </c>
    </row>
    <row r="16" spans="1:51" x14ac:dyDescent="0.2">
      <c r="B16" s="108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67"/>
      <c r="AA16" s="167"/>
      <c r="AB16" s="167"/>
      <c r="AC16" s="167"/>
      <c r="AD16" s="167"/>
      <c r="AE16" s="167"/>
      <c r="AF16" s="167"/>
      <c r="AG16" s="167"/>
      <c r="AH16" s="167"/>
      <c r="AI16" s="167"/>
      <c r="AJ16" s="167"/>
      <c r="AK16" s="167"/>
      <c r="AL16" s="167"/>
      <c r="AM16" s="167"/>
      <c r="AN16" s="167"/>
      <c r="AO16" s="167"/>
      <c r="AP16" s="167"/>
      <c r="AQ16" s="167"/>
      <c r="AR16" s="167"/>
      <c r="AS16" s="167"/>
      <c r="AT16" s="167"/>
      <c r="AU16" s="167"/>
      <c r="AV16" s="167"/>
      <c r="AW16" s="167"/>
      <c r="AX16" s="167"/>
      <c r="AY16" s="167"/>
    </row>
    <row r="17" spans="1:51" x14ac:dyDescent="0.2">
      <c r="A17" s="23" t="s">
        <v>156</v>
      </c>
      <c r="B17" s="108"/>
      <c r="C17" s="109"/>
      <c r="D17" s="109"/>
      <c r="E17" s="109"/>
      <c r="F17" s="109"/>
      <c r="G17" s="109"/>
      <c r="H17" s="109"/>
      <c r="I17" s="109"/>
      <c r="J17" s="109"/>
      <c r="K17" s="109"/>
      <c r="L17" s="168">
        <f>Diesel!L8</f>
        <v>0</v>
      </c>
      <c r="M17" s="168">
        <f>Diesel!M8</f>
        <v>0</v>
      </c>
      <c r="N17" s="168">
        <f>Diesel!N8</f>
        <v>0</v>
      </c>
      <c r="O17" s="168">
        <f>Diesel!O8</f>
        <v>0</v>
      </c>
      <c r="P17" s="168">
        <f>Diesel!P8</f>
        <v>61247.004000000001</v>
      </c>
      <c r="Q17" s="168">
        <f>Diesel!Q8</f>
        <v>59601.15</v>
      </c>
      <c r="R17" s="168">
        <f>Diesel!R8</f>
        <v>60280.458000000006</v>
      </c>
      <c r="S17" s="110">
        <f>BD!S8+RD!S8+Diesel!S8</f>
        <v>64865.331509000003</v>
      </c>
      <c r="T17" s="110">
        <f>BD!T8+RD!T8+Diesel!T8</f>
        <v>64573.271849000012</v>
      </c>
      <c r="U17" s="110">
        <f>BD!U8+RD!U8+Diesel!U8</f>
        <v>59922.824599000007</v>
      </c>
      <c r="V17" s="110">
        <f>BD!V8+RD!V8+Diesel!V8</f>
        <v>62961.862569999998</v>
      </c>
      <c r="W17" s="110">
        <f>BD!W8+RD!W8+Diesel!W8</f>
        <v>64321.236908999999</v>
      </c>
      <c r="X17" s="110">
        <f>BD!X8+RD!X8+Diesel!X8</f>
        <v>63846.365485999988</v>
      </c>
      <c r="Y17" s="110">
        <f>BD!Y8+RD!Y8+Diesel!Y8</f>
        <v>62682.308166485396</v>
      </c>
      <c r="Z17" s="167">
        <f>BD!Z8+RD!Z8+Diesel!Z8</f>
        <v>64945.196740538595</v>
      </c>
      <c r="AA17" s="167">
        <f>BD!AA8+RD!AA8+Diesel!AA8</f>
        <v>66368.62320940537</v>
      </c>
      <c r="AB17" s="167">
        <f>BD!AB8+RD!AB8+Diesel!AB8</f>
        <v>68220.263163937212</v>
      </c>
      <c r="AC17" s="167">
        <f>BD!AC8+RD!AC8+Diesel!AC8</f>
        <v>68087.135279575683</v>
      </c>
      <c r="AD17" s="167">
        <f>BD!AD8+RD!AD8+Diesel!AD8</f>
        <v>68772.544675259385</v>
      </c>
      <c r="AE17" s="167">
        <f>BD!AE8+RD!AE8+Diesel!AE8</f>
        <v>68816.211439622552</v>
      </c>
      <c r="AF17" s="167">
        <f>BD!AF8+RD!AF8+Diesel!AF8</f>
        <v>69211.995174320065</v>
      </c>
      <c r="AG17" s="167">
        <f>BD!AG8+RD!AG8+Diesel!AG8</f>
        <v>69422.178015683297</v>
      </c>
      <c r="AH17" s="167">
        <f>BD!AH8+RD!AH8+Diesel!AH8</f>
        <v>69246.36966715414</v>
      </c>
      <c r="AI17" s="167">
        <f>BD!AI8+RD!AI8+Diesel!AI8</f>
        <v>68407.942304619908</v>
      </c>
      <c r="AJ17" s="167">
        <f>BD!AJ8+RD!AJ8+Diesel!AJ8</f>
        <v>67339.101700669009</v>
      </c>
      <c r="AK17" s="167">
        <f>BD!AK8+RD!AK8+Diesel!AK8</f>
        <v>67143.840189322378</v>
      </c>
      <c r="AL17" s="167">
        <f>BD!AL8+RD!AL8+Diesel!AL8</f>
        <v>66752.46025957173</v>
      </c>
      <c r="AM17" s="167">
        <f>BD!AM8+RD!AM8+Diesel!AM8</f>
        <v>67213.129195645568</v>
      </c>
      <c r="AN17" s="167">
        <f>BD!AN8+RD!AN8+Diesel!AN8</f>
        <v>66696.055601967062</v>
      </c>
      <c r="AO17" s="167">
        <f>BD!AO8+RD!AO8+Diesel!AO8</f>
        <v>65409.505811090654</v>
      </c>
      <c r="AP17" s="167">
        <f>BD!AP8+RD!AP8+Diesel!AP8</f>
        <v>64990.127644504617</v>
      </c>
      <c r="AQ17" s="167">
        <f>BD!AQ8+RD!AQ8+Diesel!AQ8</f>
        <v>65044.318560314816</v>
      </c>
      <c r="AR17" s="167">
        <f>BD!AR8+RD!AR8+Diesel!AR8</f>
        <v>64915.993245286823</v>
      </c>
      <c r="AS17" s="167">
        <f>BD!AS8+RD!AS8+Diesel!AS8</f>
        <v>64474.443912870338</v>
      </c>
      <c r="AT17" s="167">
        <f>BD!AT8+RD!AT8+Diesel!AT8</f>
        <v>64164.572525862386</v>
      </c>
      <c r="AU17" s="167">
        <f>BD!AU8+RD!AU8+Diesel!AU8</f>
        <v>63902.109771849922</v>
      </c>
      <c r="AV17" s="167">
        <f>BD!AV8+RD!AV8+Diesel!AV8</f>
        <v>63442.751311998196</v>
      </c>
      <c r="AW17" s="167">
        <f>BD!AW8+RD!AW8+Diesel!AW8</f>
        <v>63084.397346889724</v>
      </c>
      <c r="AX17" s="167">
        <f>BD!AX8+RD!AX8+Diesel!AX8</f>
        <v>63172.441387416067</v>
      </c>
      <c r="AY17" s="167">
        <f>BD!AY8+RD!AY8+Diesel!AY8</f>
        <v>62742.512473245268</v>
      </c>
    </row>
    <row r="18" spans="1:51" x14ac:dyDescent="0.2">
      <c r="A18" s="23" t="s">
        <v>203</v>
      </c>
      <c r="B18" s="23"/>
      <c r="C18" s="16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 s="109"/>
      <c r="Q18" s="109"/>
      <c r="R18" s="109"/>
      <c r="S18" s="109">
        <f t="shared" ref="S18:AY18" si="12">S8/S17</f>
        <v>8.8556255034370618E-3</v>
      </c>
      <c r="T18" s="109">
        <f t="shared" si="12"/>
        <v>1.4248103815328787E-2</v>
      </c>
      <c r="U18" s="109">
        <f t="shared" si="12"/>
        <v>1.6276944678877449E-2</v>
      </c>
      <c r="V18" s="109">
        <f t="shared" si="12"/>
        <v>1.9907087081588538E-2</v>
      </c>
      <c r="W18" s="111">
        <f t="shared" si="12"/>
        <v>2.8558279555456981E-2</v>
      </c>
      <c r="X18" s="111">
        <f t="shared" si="12"/>
        <v>4.3746434879091904E-2</v>
      </c>
      <c r="Y18" s="111">
        <f>Y8/Y17</f>
        <v>5.630634907422067E-2</v>
      </c>
      <c r="Z18" s="170">
        <f t="shared" si="12"/>
        <v>4.0803633417063438E-2</v>
      </c>
      <c r="AA18" s="170">
        <f t="shared" si="12"/>
        <v>4.1435242544104578E-2</v>
      </c>
      <c r="AB18" s="170">
        <f t="shared" si="12"/>
        <v>4.544104429134966E-2</v>
      </c>
      <c r="AC18" s="170">
        <f t="shared" si="12"/>
        <v>4.5529893235645019E-2</v>
      </c>
      <c r="AD18" s="170">
        <f t="shared" si="12"/>
        <v>4.5076127612233181E-2</v>
      </c>
      <c r="AE18" s="170">
        <f t="shared" si="12"/>
        <v>4.5774097906620771E-2</v>
      </c>
      <c r="AF18" s="170">
        <f t="shared" si="12"/>
        <v>4.7679596458511116E-2</v>
      </c>
      <c r="AG18" s="170">
        <f t="shared" si="12"/>
        <v>5.9058936455058497E-2</v>
      </c>
      <c r="AH18" s="170">
        <f t="shared" si="12"/>
        <v>5.9208880114689458E-2</v>
      </c>
      <c r="AI18" s="170">
        <f t="shared" si="12"/>
        <v>5.9934561132430203E-2</v>
      </c>
      <c r="AJ18" s="170">
        <f t="shared" si="12"/>
        <v>6.088587308789814E-2</v>
      </c>
      <c r="AK18" s="170">
        <f t="shared" si="12"/>
        <v>6.2552275654139747E-2</v>
      </c>
      <c r="AL18" s="170">
        <f t="shared" si="12"/>
        <v>7.4903606257464395E-2</v>
      </c>
      <c r="AM18" s="170">
        <f t="shared" si="12"/>
        <v>8.182925071068288E-2</v>
      </c>
      <c r="AN18" s="170">
        <f t="shared" si="12"/>
        <v>8.2463647218109087E-2</v>
      </c>
      <c r="AO18" s="170">
        <f t="shared" si="12"/>
        <v>7.6441488710226782E-2</v>
      </c>
      <c r="AP18" s="170">
        <f t="shared" si="12"/>
        <v>7.6934761958769374E-2</v>
      </c>
      <c r="AQ18" s="170">
        <f t="shared" si="12"/>
        <v>8.4557731124508831E-2</v>
      </c>
      <c r="AR18" s="170">
        <f t="shared" si="12"/>
        <v>9.0886693787564671E-2</v>
      </c>
      <c r="AS18" s="170">
        <f t="shared" si="12"/>
        <v>9.1509125816938527E-2</v>
      </c>
      <c r="AT18" s="170">
        <f t="shared" si="12"/>
        <v>9.1951052858988913E-2</v>
      </c>
      <c r="AU18" s="170">
        <f t="shared" si="12"/>
        <v>9.3893613550817587E-2</v>
      </c>
      <c r="AV18" s="170">
        <f t="shared" si="12"/>
        <v>9.4573452063786645E-2</v>
      </c>
      <c r="AW18" s="170">
        <f t="shared" si="12"/>
        <v>9.5110681124638191E-2</v>
      </c>
      <c r="AX18" s="170">
        <f t="shared" si="12"/>
        <v>0.10289296815580726</v>
      </c>
      <c r="AY18" s="170">
        <f t="shared" si="12"/>
        <v>0.10359801901098138</v>
      </c>
    </row>
    <row r="19" spans="1:51" x14ac:dyDescent="0.2">
      <c r="A19" s="23" t="s">
        <v>204</v>
      </c>
      <c r="B19" s="23"/>
      <c r="C19" s="16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09"/>
      <c r="R19" s="109"/>
      <c r="S19" s="110"/>
      <c r="T19" s="110"/>
      <c r="U19" s="110">
        <f>BD!U5+U5</f>
        <v>2358.381985</v>
      </c>
      <c r="V19" s="110">
        <f>BD!V5+V5</f>
        <v>2550.0622410000001</v>
      </c>
      <c r="W19" s="110">
        <f>BD!W5+W5</f>
        <v>3075.5457690000003</v>
      </c>
      <c r="X19" s="110">
        <f>BD!X5+X5</f>
        <v>4099.9437419999995</v>
      </c>
      <c r="Y19" s="110">
        <f>BD!Y5+Y5</f>
        <v>4807.171996</v>
      </c>
      <c r="Z19" s="167">
        <f>BD!Z5+Z5</f>
        <v>4137.0932280351644</v>
      </c>
      <c r="AA19" s="167">
        <f>BD!AA5+AA5</f>
        <v>4151.4242010250537</v>
      </c>
      <c r="AB19" s="167">
        <f>BD!AB5+AB5</f>
        <v>4438.3641066671698</v>
      </c>
      <c r="AC19" s="167">
        <f>BD!AC5+AC5</f>
        <v>4197.1681300116852</v>
      </c>
      <c r="AD19" s="167">
        <f>BD!AD5+AD5</f>
        <v>4400.5151553279338</v>
      </c>
      <c r="AE19" s="167">
        <f>BD!AE5+AE5</f>
        <v>4562.934298778624</v>
      </c>
      <c r="AF19" s="167">
        <f>BD!AF5+AF5</f>
        <v>4823.799320141713</v>
      </c>
      <c r="AG19" s="167">
        <f>BD!AG5+AG5</f>
        <v>5546.9973397583599</v>
      </c>
      <c r="AH19" s="167">
        <f>BD!AH5+AH5</f>
        <v>5438.927480606686</v>
      </c>
      <c r="AI19" s="167">
        <f>BD!AI5+AI5</f>
        <v>5295.0472281285201</v>
      </c>
      <c r="AJ19" s="167">
        <f>BD!AJ5+AJ5</f>
        <v>5479.0235758394729</v>
      </c>
      <c r="AK19" s="167">
        <f>BD!AK5+AK5</f>
        <v>5611.7565088730835</v>
      </c>
      <c r="AL19" s="167">
        <f>BD!AL5+AL5</f>
        <v>6038.2904755971276</v>
      </c>
      <c r="AM19" s="167">
        <f>BD!AM5+AM5</f>
        <v>6555.7119330383066</v>
      </c>
      <c r="AN19" s="167">
        <f>BD!AN5+AN5</f>
        <v>6432.798369567241</v>
      </c>
      <c r="AO19" s="167">
        <f>BD!AO5+AO5</f>
        <v>5461.3094199875995</v>
      </c>
      <c r="AP19" s="167">
        <f>BD!AP5+AP5</f>
        <v>5797.6002103483916</v>
      </c>
      <c r="AQ19" s="167">
        <f>BD!AQ5+AQ5</f>
        <v>6094.5028487006421</v>
      </c>
      <c r="AR19" s="167">
        <f>BD!AR5+AR5</f>
        <v>6504.0391524767883</v>
      </c>
      <c r="AS19" s="167">
        <f>BD!AS5+AS5</f>
        <v>6630.244299987774</v>
      </c>
      <c r="AT19" s="167">
        <f>BD!AT5+AT5</f>
        <v>6596.1914268251539</v>
      </c>
      <c r="AU19" s="167">
        <f>BD!AU5+AU5</f>
        <v>6303.2615926609587</v>
      </c>
      <c r="AV19" s="167">
        <f>BD!AV5+AV5</f>
        <v>6545.6457395080834</v>
      </c>
      <c r="AW19" s="167">
        <f>BD!AW5+AW5</f>
        <v>6773.348632156547</v>
      </c>
      <c r="AX19" s="167">
        <f>BD!AX5+AX5</f>
        <v>7011.0105538650078</v>
      </c>
      <c r="AY19" s="167">
        <f>BD!AY5+AY5</f>
        <v>7305.1297373769339</v>
      </c>
    </row>
    <row r="20" spans="1:51" x14ac:dyDescent="0.2">
      <c r="A20" s="23" t="s">
        <v>205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108"/>
      <c r="M20" s="108"/>
      <c r="N20" s="108"/>
      <c r="O20" s="108"/>
      <c r="P20" s="108"/>
      <c r="Q20" s="108"/>
      <c r="R20" s="108"/>
      <c r="S20" s="110"/>
      <c r="T20" s="110"/>
      <c r="U20" s="110">
        <f>U8+BD!U8</f>
        <v>2874.6445989999997</v>
      </c>
      <c r="V20" s="110">
        <f>V8+BD!V8</f>
        <v>2957.533402</v>
      </c>
      <c r="W20" s="110">
        <f>W8+BD!W8</f>
        <v>3483.5967449999998</v>
      </c>
      <c r="X20" s="110">
        <f>X8+BD!X8</f>
        <v>4708.7951479999992</v>
      </c>
      <c r="Y20" s="110">
        <f>Y8+BD!Y8</f>
        <v>5429.6262743999996</v>
      </c>
      <c r="Z20" s="167">
        <f>Z8+BD!Z8</f>
        <v>4250</v>
      </c>
      <c r="AA20" s="167">
        <f>AA8+BD!AA8</f>
        <v>4375</v>
      </c>
      <c r="AB20" s="167">
        <f>AB8+BD!AB8</f>
        <v>4625</v>
      </c>
      <c r="AC20" s="167">
        <f>AC8+BD!AC8</f>
        <v>4350</v>
      </c>
      <c r="AD20" s="167">
        <f>AD8+BD!AD8</f>
        <v>4599.9999999999991</v>
      </c>
      <c r="AE20" s="167">
        <f>AE8+BD!AE8</f>
        <v>4674.9999999999991</v>
      </c>
      <c r="AF20" s="167">
        <f>AF8+BD!AF8</f>
        <v>4800</v>
      </c>
      <c r="AG20" s="167">
        <f>AG8+BD!AG8</f>
        <v>5575</v>
      </c>
      <c r="AH20" s="167">
        <f>AH8+BD!AH8</f>
        <v>5549.9999999999982</v>
      </c>
      <c r="AI20" s="167">
        <f>AI8+BD!AI8</f>
        <v>5475</v>
      </c>
      <c r="AJ20" s="167">
        <f>AJ8+BD!AJ8</f>
        <v>5399.9999999999991</v>
      </c>
      <c r="AK20" s="167">
        <f>AK8+BD!AK8</f>
        <v>5350</v>
      </c>
      <c r="AL20" s="167">
        <f>AL8+BD!AL8</f>
        <v>5850</v>
      </c>
      <c r="AM20" s="167">
        <f>AM8+BD!AM8</f>
        <v>6300</v>
      </c>
      <c r="AN20" s="167">
        <f>AN8+BD!AN8</f>
        <v>6150</v>
      </c>
      <c r="AO20" s="167">
        <f>AO8+BD!AO8</f>
        <v>5399.9999999999991</v>
      </c>
      <c r="AP20" s="167">
        <f>AP8+BD!AP8</f>
        <v>5400</v>
      </c>
      <c r="AQ20" s="167">
        <f>AQ8+BD!AQ8</f>
        <v>5899.9999999999991</v>
      </c>
      <c r="AR20" s="167">
        <f>AR8+BD!AR8</f>
        <v>6300</v>
      </c>
      <c r="AS20" s="167">
        <f>AS8+BD!AS8</f>
        <v>6249.9999999999982</v>
      </c>
      <c r="AT20" s="167">
        <f>AT8+BD!AT8</f>
        <v>6250</v>
      </c>
      <c r="AU20" s="167">
        <f>AU8+BD!AU8</f>
        <v>6350.0000000000009</v>
      </c>
      <c r="AV20" s="167">
        <f>AV8+BD!AV8</f>
        <v>6349.9999999999991</v>
      </c>
      <c r="AW20" s="167">
        <f>AW8+BD!AW8</f>
        <v>6350</v>
      </c>
      <c r="AX20" s="167">
        <f>AX8+BD!AX8</f>
        <v>6850.0000000000018</v>
      </c>
      <c r="AY20" s="167">
        <f>AY8+BD!AY8</f>
        <v>6850</v>
      </c>
    </row>
    <row r="21" spans="1:51" x14ac:dyDescent="0.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108"/>
      <c r="M21" s="108"/>
      <c r="N21" s="108"/>
      <c r="O21" s="108"/>
      <c r="P21" s="108"/>
      <c r="Q21" s="108"/>
      <c r="R21" s="108"/>
      <c r="S21" s="108"/>
      <c r="T21" s="108"/>
      <c r="U21" s="108"/>
      <c r="V21" s="108"/>
      <c r="W21" s="108"/>
      <c r="X21" s="118"/>
      <c r="Y21" s="119"/>
      <c r="Z21" s="118"/>
      <c r="AA21" s="118"/>
      <c r="AB21" s="118"/>
      <c r="AC21" s="118"/>
    </row>
    <row r="22" spans="1:51" ht="12" thickBot="1" x14ac:dyDescent="0.25">
      <c r="A22" s="121" t="s">
        <v>206</v>
      </c>
    </row>
    <row r="23" spans="1:51" ht="12" thickBot="1" x14ac:dyDescent="0.25">
      <c r="A23" s="122"/>
      <c r="B23" s="122">
        <v>2001</v>
      </c>
      <c r="C23" s="122">
        <v>2002</v>
      </c>
      <c r="D23" s="122">
        <v>2003</v>
      </c>
      <c r="E23" s="122">
        <v>2004</v>
      </c>
      <c r="F23" s="122">
        <v>2005</v>
      </c>
      <c r="G23" s="122">
        <v>2006</v>
      </c>
      <c r="H23" s="122">
        <v>2007</v>
      </c>
      <c r="I23" s="128">
        <f t="shared" ref="I23:AY23" si="13">I2</f>
        <v>2008</v>
      </c>
      <c r="J23" s="128">
        <f t="shared" si="13"/>
        <v>2009</v>
      </c>
      <c r="K23" s="128">
        <f t="shared" si="13"/>
        <v>2010</v>
      </c>
      <c r="L23" s="171">
        <f t="shared" si="13"/>
        <v>2011</v>
      </c>
      <c r="M23" s="171">
        <f t="shared" si="13"/>
        <v>2012</v>
      </c>
      <c r="N23" s="171">
        <f t="shared" si="13"/>
        <v>2013</v>
      </c>
      <c r="O23" s="171">
        <f t="shared" si="13"/>
        <v>2014</v>
      </c>
      <c r="P23" s="171">
        <f t="shared" si="13"/>
        <v>2015</v>
      </c>
      <c r="Q23" s="171">
        <f t="shared" si="13"/>
        <v>2016</v>
      </c>
      <c r="R23" s="171">
        <f t="shared" si="13"/>
        <v>2017</v>
      </c>
      <c r="S23" s="171">
        <f t="shared" si="13"/>
        <v>2018</v>
      </c>
      <c r="T23" s="171">
        <f t="shared" si="13"/>
        <v>2019</v>
      </c>
      <c r="U23" s="171">
        <f t="shared" si="13"/>
        <v>2020</v>
      </c>
      <c r="V23" s="171">
        <f t="shared" si="13"/>
        <v>2021</v>
      </c>
      <c r="W23" s="171">
        <f t="shared" si="13"/>
        <v>2022</v>
      </c>
      <c r="X23" s="171">
        <f t="shared" si="13"/>
        <v>2023</v>
      </c>
      <c r="Y23" s="171">
        <f t="shared" si="13"/>
        <v>2024</v>
      </c>
      <c r="Z23" s="171">
        <f t="shared" si="13"/>
        <v>2025</v>
      </c>
      <c r="AA23" s="171">
        <f t="shared" si="13"/>
        <v>2026</v>
      </c>
      <c r="AB23" s="171">
        <f t="shared" si="13"/>
        <v>2027</v>
      </c>
      <c r="AC23" s="171">
        <f t="shared" si="13"/>
        <v>2028</v>
      </c>
      <c r="AD23" s="171">
        <f t="shared" si="13"/>
        <v>2029</v>
      </c>
      <c r="AE23" s="171">
        <f t="shared" si="13"/>
        <v>2030</v>
      </c>
      <c r="AF23" s="171">
        <f t="shared" si="13"/>
        <v>2031</v>
      </c>
      <c r="AG23" s="171">
        <f t="shared" si="13"/>
        <v>2032</v>
      </c>
      <c r="AH23" s="171">
        <f t="shared" si="13"/>
        <v>2033</v>
      </c>
      <c r="AI23" s="171">
        <f t="shared" si="13"/>
        <v>2034</v>
      </c>
      <c r="AJ23" s="171">
        <f t="shared" si="13"/>
        <v>2035</v>
      </c>
      <c r="AK23" s="171">
        <f t="shared" si="13"/>
        <v>2036</v>
      </c>
      <c r="AL23" s="171">
        <f t="shared" si="13"/>
        <v>2037</v>
      </c>
      <c r="AM23" s="171">
        <f t="shared" si="13"/>
        <v>2038</v>
      </c>
      <c r="AN23" s="171">
        <f t="shared" si="13"/>
        <v>2039</v>
      </c>
      <c r="AO23" s="171">
        <f t="shared" si="13"/>
        <v>2040</v>
      </c>
      <c r="AP23" s="171">
        <f t="shared" si="13"/>
        <v>2041</v>
      </c>
      <c r="AQ23" s="171">
        <f t="shared" si="13"/>
        <v>2042</v>
      </c>
      <c r="AR23" s="171">
        <f t="shared" si="13"/>
        <v>2043</v>
      </c>
      <c r="AS23" s="171">
        <f t="shared" si="13"/>
        <v>2044</v>
      </c>
      <c r="AT23" s="171">
        <f t="shared" si="13"/>
        <v>2045</v>
      </c>
      <c r="AU23" s="171">
        <f t="shared" si="13"/>
        <v>2046</v>
      </c>
      <c r="AV23" s="171">
        <f t="shared" si="13"/>
        <v>2047</v>
      </c>
      <c r="AW23" s="171">
        <f t="shared" si="13"/>
        <v>2048</v>
      </c>
      <c r="AX23" s="171">
        <f t="shared" si="13"/>
        <v>2049</v>
      </c>
      <c r="AY23" s="171">
        <f t="shared" si="13"/>
        <v>2050</v>
      </c>
    </row>
    <row r="24" spans="1:51" x14ac:dyDescent="0.2">
      <c r="A24" s="19" t="s">
        <v>162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172">
        <f>'[3]Monthly Gallon Summary'!C83/1000000</f>
        <v>4.4278550000000001</v>
      </c>
      <c r="M24" s="172">
        <f>'[3]Monthly Gallon Summary'!D83/1000000</f>
        <v>4.2173639999999999</v>
      </c>
      <c r="N24" s="172">
        <f>'[3]Monthly Gallon Summary'!E83/1000000</f>
        <v>1.278753</v>
      </c>
      <c r="O24" s="172">
        <f>'[3]Monthly Gallon Summary'!F83/1000000</f>
        <v>10.328728999999999</v>
      </c>
      <c r="P24" s="172">
        <f>'[3]Monthly Gallon Summary'!G83/1000000</f>
        <v>17.504678999999999</v>
      </c>
      <c r="Q24" s="172">
        <f>'[3]Monthly Gallon Summary'!H83/1000000</f>
        <v>11.758144</v>
      </c>
      <c r="R24" s="172">
        <f>'[3]Monthly Gallon Summary'!I83/1000000</f>
        <v>18.560535000000002</v>
      </c>
      <c r="S24" s="172">
        <f>'[3]Monthly Gallon Summary'!J83/1000000</f>
        <v>13.680652</v>
      </c>
      <c r="T24" s="172">
        <f>'[3]Monthly Gallon Summary'!K83/1000000</f>
        <v>36.487020999999999</v>
      </c>
      <c r="U24" s="172">
        <f>'[3]Monthly Gallon Summary'!L83/1000000</f>
        <v>41.857492000000001</v>
      </c>
      <c r="V24" s="172">
        <f>'[3]Monthly Gallon Summary'!M83/1000000</f>
        <v>50.374630000000003</v>
      </c>
      <c r="W24" s="172">
        <f>'[3]Monthly Gallon Summary'!N83/1000000</f>
        <v>87.010244</v>
      </c>
      <c r="X24" s="172">
        <f>'[3]Monthly Gallon Summary'!O83/1000000</f>
        <v>148.27837500000001</v>
      </c>
      <c r="Y24" s="172">
        <f>'[3]Monthly Gallon Summary'!P83/1000000</f>
        <v>230.210264</v>
      </c>
      <c r="Z24" s="172">
        <f>'[3]Monthly Gallon Summary'!Q83/1000000</f>
        <v>217.36727500000001</v>
      </c>
      <c r="AA24" s="173">
        <f>'[3]Monthly Gallon Summary'!R83/1000000</f>
        <v>173.30103992010649</v>
      </c>
      <c r="AB24" s="173">
        <f>'[3]Monthly Gallon Summary'!S83/1000000</f>
        <v>190.32772721764925</v>
      </c>
      <c r="AC24" s="173">
        <f>'[3]Monthly Gallon Summary'!T83/1000000</f>
        <v>194.3127904450902</v>
      </c>
      <c r="AD24" s="173">
        <f>'[3]Monthly Gallon Summary'!U83/1000000</f>
        <v>196.3153831932172</v>
      </c>
      <c r="AE24" s="173">
        <f>'[3]Monthly Gallon Summary'!V83/1000000</f>
        <v>205.70763169478792</v>
      </c>
      <c r="AF24" s="173">
        <f>'[3]Monthly Gallon Summary'!W83/1000000</f>
        <v>222.78229377920414</v>
      </c>
      <c r="AG24" s="173">
        <f>'[3]Monthly Gallon Summary'!X83/1000000</f>
        <v>264.0590131817014</v>
      </c>
      <c r="AH24" s="173">
        <f>'[3]Monthly Gallon Summary'!Y83/1000000</f>
        <v>262.89022864060161</v>
      </c>
      <c r="AI24" s="173">
        <f>'[3]Monthly Gallon Summary'!Z83/1000000</f>
        <v>255.77713345371302</v>
      </c>
      <c r="AJ24" s="173">
        <f>'[3]Monthly Gallon Summary'!AA83/1000000</f>
        <v>270.94848935168307</v>
      </c>
      <c r="AK24" s="173">
        <f>'[3]Monthly Gallon Summary'!AB83/1000000</f>
        <v>292.54820423721026</v>
      </c>
      <c r="AL24" s="173">
        <f>'[3]Monthly Gallon Summary'!AC83/1000000</f>
        <v>332.80102216583555</v>
      </c>
      <c r="AM24" s="173">
        <f>'[3]Monthly Gallon Summary'!AD83/1000000</f>
        <v>367.13890577510347</v>
      </c>
      <c r="AN24" s="173">
        <f>'[3]Monthly Gallon Summary'!AE83/1000000</f>
        <v>368.53790728145384</v>
      </c>
      <c r="AO24" s="173">
        <f>'[3]Monthly Gallon Summary'!AF83/1000000</f>
        <v>324.29240180549533</v>
      </c>
      <c r="AP24" s="173">
        <f>'[3]Monthly Gallon Summary'!AG83/1000000</f>
        <v>342.92867657374359</v>
      </c>
      <c r="AQ24" s="173">
        <f>'[3]Monthly Gallon Summary'!AH83/1000000</f>
        <v>362.47462886067655</v>
      </c>
      <c r="AR24" s="173">
        <f>'[3]Monthly Gallon Summary'!AI83/1000000</f>
        <v>393.87503693947525</v>
      </c>
      <c r="AS24" s="173">
        <f>'[3]Monthly Gallon Summary'!AJ83/1000000</f>
        <v>401.73417858368697</v>
      </c>
      <c r="AT24" s="173">
        <f>'[3]Monthly Gallon Summary'!AK83/1000000</f>
        <v>399.45715346708329</v>
      </c>
      <c r="AU24" s="173">
        <f>'[3]Monthly Gallon Summary'!AL83/1000000</f>
        <v>380.77502591852135</v>
      </c>
      <c r="AV24" s="173">
        <f>'[3]Monthly Gallon Summary'!AM83/1000000</f>
        <v>396.25781208964474</v>
      </c>
      <c r="AW24" s="173">
        <f>'[3]Monthly Gallon Summary'!AN83/1000000</f>
        <v>410.48541823343174</v>
      </c>
      <c r="AX24" s="173">
        <f>'[3]Monthly Gallon Summary'!AO83/1000000</f>
        <v>425.32799879783437</v>
      </c>
      <c r="AY24" s="173">
        <f>'[3]Monthly Gallon Summary'!AP83/1000000</f>
        <v>443.62295822248586</v>
      </c>
    </row>
    <row r="25" spans="1:51" x14ac:dyDescent="0.2">
      <c r="A25" s="19" t="s">
        <v>163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172">
        <f>'[3]Monthly Gallon Summary'!C84/1000000</f>
        <v>0.96220600000000001</v>
      </c>
      <c r="M25" s="172">
        <f>'[3]Monthly Gallon Summary'!D84/1000000</f>
        <v>3.1894840000000002</v>
      </c>
      <c r="N25" s="172">
        <f>'[3]Monthly Gallon Summary'!E84/1000000</f>
        <v>1.2926899999999999</v>
      </c>
      <c r="O25" s="172">
        <f>'[3]Monthly Gallon Summary'!F84/1000000</f>
        <v>12.293217</v>
      </c>
      <c r="P25" s="172">
        <f>'[3]Monthly Gallon Summary'!G84/1000000</f>
        <v>13.481081</v>
      </c>
      <c r="Q25" s="172">
        <f>'[3]Monthly Gallon Summary'!H84/1000000</f>
        <v>7.3549499999999997</v>
      </c>
      <c r="R25" s="172">
        <f>'[3]Monthly Gallon Summary'!I84/1000000</f>
        <v>21.042625000000001</v>
      </c>
      <c r="S25" s="172">
        <f>'[3]Monthly Gallon Summary'!J84/1000000</f>
        <v>21.604811999999999</v>
      </c>
      <c r="T25" s="172">
        <f>'[3]Monthly Gallon Summary'!K84/1000000</f>
        <v>40.173701000000001</v>
      </c>
      <c r="U25" s="172">
        <f>'[3]Monthly Gallon Summary'!L84/1000000</f>
        <v>37.300666</v>
      </c>
      <c r="V25" s="172">
        <f>'[3]Monthly Gallon Summary'!M84/1000000</f>
        <v>51.175710000000002</v>
      </c>
      <c r="W25" s="172">
        <f>'[3]Monthly Gallon Summary'!N84/1000000</f>
        <v>101.396491</v>
      </c>
      <c r="X25" s="172">
        <f>'[3]Monthly Gallon Summary'!O84/1000000</f>
        <v>141.070359</v>
      </c>
      <c r="Y25" s="172">
        <f>'[3]Monthly Gallon Summary'!P84/1000000</f>
        <v>230.07363599999999</v>
      </c>
      <c r="Z25" s="172">
        <f>'[3]Monthly Gallon Summary'!Q84/1000000</f>
        <v>186.10279199999999</v>
      </c>
      <c r="AA25" s="173">
        <f>'[3]Monthly Gallon Summary'!R84/1000000</f>
        <v>188.92087788275504</v>
      </c>
      <c r="AB25" s="173">
        <f>'[3]Monthly Gallon Summary'!S84/1000000</f>
        <v>208.08745874720728</v>
      </c>
      <c r="AC25" s="173">
        <f>'[3]Monthly Gallon Summary'!T84/1000000</f>
        <v>211.94025730155559</v>
      </c>
      <c r="AD25" s="173">
        <f>'[3]Monthly Gallon Summary'!U84/1000000</f>
        <v>214.0204126848578</v>
      </c>
      <c r="AE25" s="173">
        <f>'[3]Monthly Gallon Summary'!V84/1000000</f>
        <v>224.2489923909564</v>
      </c>
      <c r="AF25" s="173">
        <f>'[3]Monthly Gallon Summary'!W84/1000000</f>
        <v>242.94168809107899</v>
      </c>
      <c r="AG25" s="173">
        <f>'[3]Monthly Gallon Summary'!X84/1000000</f>
        <v>288.18676380865526</v>
      </c>
      <c r="AH25" s="173">
        <f>'[3]Monthly Gallon Summary'!Y84/1000000</f>
        <v>286.74040806441189</v>
      </c>
      <c r="AI25" s="173">
        <f>'[3]Monthly Gallon Summary'!Z84/1000000</f>
        <v>278.75945426224507</v>
      </c>
      <c r="AJ25" s="173">
        <f>'[3]Monthly Gallon Summary'!AA84/1000000</f>
        <v>295.30031929712442</v>
      </c>
      <c r="AK25" s="173">
        <f>'[3]Monthly Gallon Summary'!AB84/1000000</f>
        <v>319.19465898223018</v>
      </c>
      <c r="AL25" s="173">
        <f>'[3]Monthly Gallon Summary'!AC84/1000000</f>
        <v>363.31246739881755</v>
      </c>
      <c r="AM25" s="173">
        <f>'[3]Monthly Gallon Summary'!AD84/1000000</f>
        <v>400.78788250954102</v>
      </c>
      <c r="AN25" s="173">
        <f>'[3]Monthly Gallon Summary'!AE84/1000000</f>
        <v>401.95995389041195</v>
      </c>
      <c r="AO25" s="173">
        <f>'[3]Monthly Gallon Summary'!AF84/1000000</f>
        <v>353.17469714437715</v>
      </c>
      <c r="AP25" s="173">
        <f>'[3]Monthly Gallon Summary'!AG84/1000000</f>
        <v>373.70870781553322</v>
      </c>
      <c r="AQ25" s="173">
        <f>'[3]Monthly Gallon Summary'!AH84/1000000</f>
        <v>395.03723216588793</v>
      </c>
      <c r="AR25" s="173">
        <f>'[3]Monthly Gallon Summary'!AI84/1000000</f>
        <v>429.28916377650756</v>
      </c>
      <c r="AS25" s="173">
        <f>'[3]Monthly Gallon Summary'!AJ84/1000000</f>
        <v>437.83050935546811</v>
      </c>
      <c r="AT25" s="173">
        <f>'[3]Monthly Gallon Summary'!AK84/1000000</f>
        <v>435.32969764782507</v>
      </c>
      <c r="AU25" s="173">
        <f>'[3]Monthly Gallon Summary'!AL84/1000000</f>
        <v>414.75207712690269</v>
      </c>
      <c r="AV25" s="173">
        <f>'[3]Monthly Gallon Summary'!AM84/1000000</f>
        <v>431.91277261670194</v>
      </c>
      <c r="AW25" s="173">
        <f>'[3]Monthly Gallon Summary'!AN84/1000000</f>
        <v>447.4085316435964</v>
      </c>
      <c r="AX25" s="173">
        <f>'[3]Monthly Gallon Summary'!AO84/1000000</f>
        <v>463.58669781772699</v>
      </c>
      <c r="AY25" s="173">
        <f>'[3]Monthly Gallon Summary'!AP84/1000000</f>
        <v>483.71198743685954</v>
      </c>
    </row>
    <row r="26" spans="1:51" x14ac:dyDescent="0.2">
      <c r="A26" s="19" t="s">
        <v>164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172">
        <f>'[3]Monthly Gallon Summary'!C85/1000000</f>
        <v>3.151383</v>
      </c>
      <c r="M26" s="172">
        <f>'[3]Monthly Gallon Summary'!D85/1000000</f>
        <v>5.3542699999999996</v>
      </c>
      <c r="N26" s="172">
        <f>'[3]Monthly Gallon Summary'!E85/1000000</f>
        <v>1.874493</v>
      </c>
      <c r="O26" s="172">
        <f>'[3]Monthly Gallon Summary'!F85/1000000</f>
        <v>14.953326000000001</v>
      </c>
      <c r="P26" s="172">
        <f>'[3]Monthly Gallon Summary'!G85/1000000</f>
        <v>16.109923999999999</v>
      </c>
      <c r="Q26" s="172">
        <f>'[3]Monthly Gallon Summary'!H85/1000000</f>
        <v>17.925080999999999</v>
      </c>
      <c r="R26" s="172">
        <f>'[3]Monthly Gallon Summary'!I85/1000000</f>
        <v>15.856579999999999</v>
      </c>
      <c r="S26" s="172">
        <f>'[3]Monthly Gallon Summary'!J85/1000000</f>
        <v>25.067979000000001</v>
      </c>
      <c r="T26" s="172">
        <f>'[3]Monthly Gallon Summary'!K85/1000000</f>
        <v>35.740265000000001</v>
      </c>
      <c r="U26" s="172">
        <f>'[3]Monthly Gallon Summary'!L85/1000000</f>
        <v>45.226785</v>
      </c>
      <c r="V26" s="172">
        <f>'[3]Monthly Gallon Summary'!M85/1000000</f>
        <v>59.222033000000003</v>
      </c>
      <c r="W26" s="172">
        <f>'[3]Monthly Gallon Summary'!N85/1000000</f>
        <v>110.055959</v>
      </c>
      <c r="X26" s="172">
        <f>'[3]Monthly Gallon Summary'!O85/1000000</f>
        <v>184.173779</v>
      </c>
      <c r="Y26" s="172">
        <f>'[3]Monthly Gallon Summary'!P85/1000000</f>
        <v>215.237303</v>
      </c>
      <c r="Z26" s="173">
        <f>'[3]Monthly Gallon Summary'!Q85/1000000</f>
        <v>229.398492</v>
      </c>
      <c r="AA26" s="173">
        <f>'[3]Monthly Gallon Summary'!R85/1000000</f>
        <v>201.08552547234575</v>
      </c>
      <c r="AB26" s="173">
        <f>'[3]Monthly Gallon Summary'!S85/1000000</f>
        <v>222.32944736161846</v>
      </c>
      <c r="AC26" s="173">
        <f>'[3]Monthly Gallon Summary'!T85/1000000</f>
        <v>227.26487974707709</v>
      </c>
      <c r="AD26" s="173">
        <f>'[3]Monthly Gallon Summary'!U85/1000000</f>
        <v>228.57826488394292</v>
      </c>
      <c r="AE26" s="173">
        <f>'[3]Monthly Gallon Summary'!V85/1000000</f>
        <v>239.81743750720793</v>
      </c>
      <c r="AF26" s="173">
        <f>'[3]Monthly Gallon Summary'!W85/1000000</f>
        <v>259.74055744060632</v>
      </c>
      <c r="AG26" s="173">
        <f>'[3]Monthly Gallon Summary'!X85/1000000</f>
        <v>308.02834558673578</v>
      </c>
      <c r="AH26" s="173">
        <f>'[3]Monthly Gallon Summary'!Y85/1000000</f>
        <v>306.62719056984639</v>
      </c>
      <c r="AI26" s="173">
        <f>'[3]Monthly Gallon Summary'!Z85/1000000</f>
        <v>298.27499633242473</v>
      </c>
      <c r="AJ26" s="173">
        <f>'[3]Monthly Gallon Summary'!AA85/1000000</f>
        <v>316.0429041115849</v>
      </c>
      <c r="AK26" s="173">
        <f>'[3]Monthly Gallon Summary'!AB85/1000000</f>
        <v>341.12271072358976</v>
      </c>
      <c r="AL26" s="173">
        <f>'[3]Monthly Gallon Summary'!AC85/1000000</f>
        <v>387.9993930252391</v>
      </c>
      <c r="AM26" s="173">
        <f>'[3]Monthly Gallon Summary'!AD85/1000000</f>
        <v>428.00340827289244</v>
      </c>
      <c r="AN26" s="173">
        <f>'[3]Monthly Gallon Summary'!AE85/1000000</f>
        <v>429.75963369802207</v>
      </c>
      <c r="AO26" s="173">
        <f>'[3]Monthly Gallon Summary'!AF85/1000000</f>
        <v>378.38741096765256</v>
      </c>
      <c r="AP26" s="173">
        <f>'[3]Monthly Gallon Summary'!AG85/1000000</f>
        <v>400.04196207578815</v>
      </c>
      <c r="AQ26" s="173">
        <f>'[3]Monthly Gallon Summary'!AH85/1000000</f>
        <v>422.83087671840815</v>
      </c>
      <c r="AR26" s="173">
        <f>'[3]Monthly Gallon Summary'!AI85/1000000</f>
        <v>459.44178741338158</v>
      </c>
      <c r="AS26" s="173">
        <f>'[3]Monthly Gallon Summary'!AJ85/1000000</f>
        <v>468.61884621794417</v>
      </c>
      <c r="AT26" s="173">
        <f>'[3]Monthly Gallon Summary'!AK85/1000000</f>
        <v>465.97345787264112</v>
      </c>
      <c r="AU26" s="173">
        <f>'[3]Monthly Gallon Summary'!AL85/1000000</f>
        <v>444.26629348293</v>
      </c>
      <c r="AV26" s="173">
        <f>'[3]Monthly Gallon Summary'!AM85/1000000</f>
        <v>462.21311695904552</v>
      </c>
      <c r="AW26" s="173">
        <f>'[3]Monthly Gallon Summary'!AN85/1000000</f>
        <v>478.81291639649663</v>
      </c>
      <c r="AX26" s="173">
        <f>'[3]Monthly Gallon Summary'!AO85/1000000</f>
        <v>496.1262921475851</v>
      </c>
      <c r="AY26" s="173">
        <f>'[3]Monthly Gallon Summary'!AP85/1000000</f>
        <v>517.39420178451201</v>
      </c>
    </row>
    <row r="27" spans="1:51" x14ac:dyDescent="0.2">
      <c r="A27" s="19" t="s">
        <v>165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172">
        <f>'[3]Monthly Gallon Summary'!C86/1000000</f>
        <v>1.966907</v>
      </c>
      <c r="M27" s="172">
        <f>'[3]Monthly Gallon Summary'!D86/1000000</f>
        <v>3.5523479999999998</v>
      </c>
      <c r="N27" s="172">
        <f>'[3]Monthly Gallon Summary'!E86/1000000</f>
        <v>1.6738230000000001</v>
      </c>
      <c r="O27" s="172">
        <f>'[3]Monthly Gallon Summary'!F86/1000000</f>
        <v>13.676328</v>
      </c>
      <c r="P27" s="172">
        <f>'[3]Monthly Gallon Summary'!G86/1000000</f>
        <v>15.732656</v>
      </c>
      <c r="Q27" s="172">
        <f>'[3]Monthly Gallon Summary'!H86/1000000</f>
        <v>21.253081000000002</v>
      </c>
      <c r="R27" s="172">
        <f>'[3]Monthly Gallon Summary'!I86/1000000</f>
        <v>20.403202</v>
      </c>
      <c r="S27" s="172">
        <f>'[3]Monthly Gallon Summary'!J86/1000000</f>
        <v>25.750983999999999</v>
      </c>
      <c r="T27" s="172">
        <f>'[3]Monthly Gallon Summary'!K86/1000000</f>
        <v>38.557434000000001</v>
      </c>
      <c r="U27" s="172">
        <f>'[3]Monthly Gallon Summary'!L86/1000000</f>
        <v>38.638855999999997</v>
      </c>
      <c r="V27" s="172">
        <f>'[3]Monthly Gallon Summary'!M86/1000000</f>
        <v>50.634433000000001</v>
      </c>
      <c r="W27" s="172">
        <f>'[3]Monthly Gallon Summary'!N86/1000000</f>
        <v>106.480662</v>
      </c>
      <c r="X27" s="172">
        <f>'[3]Monthly Gallon Summary'!O86/1000000</f>
        <v>174.40754000000001</v>
      </c>
      <c r="Y27" s="172">
        <f>'[3]Monthly Gallon Summary'!P86/1000000</f>
        <v>283.18935699999997</v>
      </c>
      <c r="Z27" s="173">
        <f>'[3]Monthly Gallon Summary'!Q86/1000000</f>
        <v>201.33135648154609</v>
      </c>
      <c r="AA27" s="173">
        <f>'[3]Monthly Gallon Summary'!R86/1000000</f>
        <v>193.34420249970381</v>
      </c>
      <c r="AB27" s="173">
        <f>'[3]Monthly Gallon Summary'!S86/1000000</f>
        <v>213.39685974068041</v>
      </c>
      <c r="AC27" s="173">
        <f>'[3]Monthly Gallon Summary'!T86/1000000</f>
        <v>217.37146725445896</v>
      </c>
      <c r="AD27" s="173">
        <f>'[3]Monthly Gallon Summary'!U86/1000000</f>
        <v>218.95534114504278</v>
      </c>
      <c r="AE27" s="173">
        <f>'[3]Monthly Gallon Summary'!V86/1000000</f>
        <v>229.46227814924833</v>
      </c>
      <c r="AF27" s="173">
        <f>'[3]Monthly Gallon Summary'!W86/1000000</f>
        <v>248.8264453684256</v>
      </c>
      <c r="AG27" s="173">
        <f>'[3]Monthly Gallon Summary'!X86/1000000</f>
        <v>295.17532688767369</v>
      </c>
      <c r="AH27" s="173">
        <f>'[3]Monthly Gallon Summary'!Y86/1000000</f>
        <v>293.6431974874647</v>
      </c>
      <c r="AI27" s="173">
        <f>'[3]Monthly Gallon Summary'!Z86/1000000</f>
        <v>285.42126234656848</v>
      </c>
      <c r="AJ27" s="173">
        <f>'[3]Monthly Gallon Summary'!AA86/1000000</f>
        <v>302.39750853541153</v>
      </c>
      <c r="AK27" s="173">
        <f>'[3]Monthly Gallon Summary'!AB86/1000000</f>
        <v>326.86144374999731</v>
      </c>
      <c r="AL27" s="173">
        <f>'[3]Monthly Gallon Summary'!AC86/1000000</f>
        <v>372.00604933358062</v>
      </c>
      <c r="AM27" s="173">
        <f>'[3]Monthly Gallon Summary'!AD86/1000000</f>
        <v>410.35986985578813</v>
      </c>
      <c r="AN27" s="173">
        <f>'[3]Monthly Gallon Summary'!AE86/1000000</f>
        <v>411.59704179497294</v>
      </c>
      <c r="AO27" s="173">
        <f>'[3]Monthly Gallon Summary'!AF86/1000000</f>
        <v>361.71666573921573</v>
      </c>
      <c r="AP27" s="173">
        <f>'[3]Monthly Gallon Summary'!AG86/1000000</f>
        <v>382.72197009857024</v>
      </c>
      <c r="AQ27" s="173">
        <f>'[3]Monthly Gallon Summary'!AH86/1000000</f>
        <v>404.55774823663205</v>
      </c>
      <c r="AR27" s="173">
        <f>'[3]Monthly Gallon Summary'!AI86/1000000</f>
        <v>439.62831967919084</v>
      </c>
      <c r="AS27" s="173">
        <f>'[3]Monthly Gallon Summary'!AJ86/1000000</f>
        <v>448.37891680213147</v>
      </c>
      <c r="AT27" s="173">
        <f>'[3]Monthly Gallon Summary'!AK86/1000000</f>
        <v>445.82222049405357</v>
      </c>
      <c r="AU27" s="173">
        <f>'[3]Monthly Gallon Summary'!AL86/1000000</f>
        <v>424.77543769649986</v>
      </c>
      <c r="AV27" s="173">
        <f>'[3]Monthly Gallon Summary'!AM86/1000000</f>
        <v>442.31355422764301</v>
      </c>
      <c r="AW27" s="173">
        <f>'[3]Monthly Gallon Summary'!AN86/1000000</f>
        <v>458.18368348848298</v>
      </c>
      <c r="AX27" s="173">
        <f>'[3]Monthly Gallon Summary'!AO86/1000000</f>
        <v>474.75172027144509</v>
      </c>
      <c r="AY27" s="173">
        <f>'[3]Monthly Gallon Summary'!AP86/1000000</f>
        <v>495.33926125581235</v>
      </c>
    </row>
    <row r="28" spans="1:51" x14ac:dyDescent="0.2">
      <c r="A28" s="19" t="s">
        <v>166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172">
        <f>'[3]Monthly Gallon Summary'!C87/1000000</f>
        <v>7.5256429999999996</v>
      </c>
      <c r="M28" s="172">
        <f>'[3]Monthly Gallon Summary'!D87/1000000</f>
        <v>3.766248</v>
      </c>
      <c r="N28" s="172">
        <f>'[3]Monthly Gallon Summary'!E87/1000000</f>
        <v>2.7924669999999998</v>
      </c>
      <c r="O28" s="172">
        <f>'[3]Monthly Gallon Summary'!F87/1000000</f>
        <v>16.218844000000001</v>
      </c>
      <c r="P28" s="172">
        <f>'[3]Monthly Gallon Summary'!G87/1000000</f>
        <v>15.741161999999999</v>
      </c>
      <c r="Q28" s="172">
        <f>'[3]Monthly Gallon Summary'!H87/1000000</f>
        <v>21.933496999999999</v>
      </c>
      <c r="R28" s="172">
        <f>'[3]Monthly Gallon Summary'!I87/1000000</f>
        <v>24.392752000000002</v>
      </c>
      <c r="S28" s="172">
        <f>'[3]Monthly Gallon Summary'!J87/1000000</f>
        <v>21.508247000000001</v>
      </c>
      <c r="T28" s="172">
        <f>'[3]Monthly Gallon Summary'!K87/1000000</f>
        <v>40.382854999999999</v>
      </c>
      <c r="U28" s="172">
        <f>'[3]Monthly Gallon Summary'!L87/1000000</f>
        <v>46.421171000000001</v>
      </c>
      <c r="V28" s="172">
        <f>'[3]Monthly Gallon Summary'!M87/1000000</f>
        <v>60.051437</v>
      </c>
      <c r="W28" s="172">
        <f>'[3]Monthly Gallon Summary'!N87/1000000</f>
        <v>136.07572200000001</v>
      </c>
      <c r="X28" s="172">
        <f>'[3]Monthly Gallon Summary'!O87/1000000</f>
        <v>229.265334</v>
      </c>
      <c r="Y28" s="172">
        <f>'[3]Monthly Gallon Summary'!P87/1000000</f>
        <v>220.40273500000001</v>
      </c>
      <c r="Z28" s="173">
        <f>'[3]Monthly Gallon Summary'!Q87/1000000</f>
        <v>198.33698821685206</v>
      </c>
      <c r="AA28" s="173">
        <f>'[3]Monthly Gallon Summary'!R87/1000000</f>
        <v>216.09968158198112</v>
      </c>
      <c r="AB28" s="173">
        <f>'[3]Monthly Gallon Summary'!S87/1000000</f>
        <v>238.85318510802395</v>
      </c>
      <c r="AC28" s="173">
        <f>'[3]Monthly Gallon Summary'!T87/1000000</f>
        <v>242.70211427576911</v>
      </c>
      <c r="AD28" s="173">
        <f>'[3]Monthly Gallon Summary'!U87/1000000</f>
        <v>244.00003758973341</v>
      </c>
      <c r="AE28" s="173">
        <f>'[3]Monthly Gallon Summary'!V87/1000000</f>
        <v>256.3516941498354</v>
      </c>
      <c r="AF28" s="173">
        <f>'[3]Monthly Gallon Summary'!W87/1000000</f>
        <v>277.9360548082077</v>
      </c>
      <c r="AG28" s="173">
        <f>'[3]Monthly Gallon Summary'!X87/1000000</f>
        <v>329.67493386319137</v>
      </c>
      <c r="AH28" s="173">
        <f>'[3]Monthly Gallon Summary'!Y87/1000000</f>
        <v>327.83804139430305</v>
      </c>
      <c r="AI28" s="173">
        <f>'[3]Monthly Gallon Summary'!Z87/1000000</f>
        <v>318.64096261132664</v>
      </c>
      <c r="AJ28" s="173">
        <f>'[3]Monthly Gallon Summary'!AA87/1000000</f>
        <v>337.69797664706579</v>
      </c>
      <c r="AK28" s="173">
        <f>'[3]Monthly Gallon Summary'!AB87/1000000</f>
        <v>365.00683042158005</v>
      </c>
      <c r="AL28" s="173">
        <f>'[3]Monthly Gallon Summary'!AC87/1000000</f>
        <v>415.41034878232517</v>
      </c>
      <c r="AM28" s="173">
        <f>'[3]Monthly Gallon Summary'!AD87/1000000</f>
        <v>458.22361586661657</v>
      </c>
      <c r="AN28" s="173">
        <f>'[3]Monthly Gallon Summary'!AE87/1000000</f>
        <v>459.59940871388926</v>
      </c>
      <c r="AO28" s="173">
        <f>'[3]Monthly Gallon Summary'!AF87/1000000</f>
        <v>403.8919719483311</v>
      </c>
      <c r="AP28" s="173">
        <f>'[3]Monthly Gallon Summary'!AG87/1000000</f>
        <v>427.34898791155643</v>
      </c>
      <c r="AQ28" s="173">
        <f>'[3]Monthly Gallon Summary'!AH87/1000000</f>
        <v>451.7287099638163</v>
      </c>
      <c r="AR28" s="173">
        <f>'[3]Monthly Gallon Summary'!AI87/1000000</f>
        <v>490.88931985094069</v>
      </c>
      <c r="AS28" s="173">
        <f>'[3]Monthly Gallon Summary'!AJ87/1000000</f>
        <v>500.66195388548073</v>
      </c>
      <c r="AT28" s="173">
        <f>'[3]Monthly Gallon Summary'!AK87/1000000</f>
        <v>497.80739627595096</v>
      </c>
      <c r="AU28" s="173">
        <f>'[3]Monthly Gallon Summary'!AL87/1000000</f>
        <v>474.29554119663419</v>
      </c>
      <c r="AV28" s="173">
        <f>'[3]Monthly Gallon Summary'!AM87/1000000</f>
        <v>493.89068447622213</v>
      </c>
      <c r="AW28" s="173">
        <f>'[3]Monthly Gallon Summary'!AN87/1000000</f>
        <v>511.61113512325238</v>
      </c>
      <c r="AX28" s="173">
        <f>'[3]Monthly Gallon Summary'!AO87/1000000</f>
        <v>530.11159103694376</v>
      </c>
      <c r="AY28" s="173">
        <f>'[3]Monthly Gallon Summary'!AP87/1000000</f>
        <v>553.10771981817891</v>
      </c>
    </row>
    <row r="29" spans="1:51" x14ac:dyDescent="0.2">
      <c r="A29" s="19" t="s">
        <v>167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172">
        <f>'[3]Monthly Gallon Summary'!C88/1000000</f>
        <v>4.5637270000000001</v>
      </c>
      <c r="M29" s="172">
        <f>'[3]Monthly Gallon Summary'!D88/1000000</f>
        <v>3.5926279999999999</v>
      </c>
      <c r="N29" s="172">
        <f>'[3]Monthly Gallon Summary'!E88/1000000</f>
        <v>7.2559750000000003</v>
      </c>
      <c r="O29" s="172">
        <f>'[3]Monthly Gallon Summary'!F88/1000000</f>
        <v>15.664923</v>
      </c>
      <c r="P29" s="172">
        <f>'[3]Monthly Gallon Summary'!G88/1000000</f>
        <v>14.419983</v>
      </c>
      <c r="Q29" s="172">
        <f>'[3]Monthly Gallon Summary'!H88/1000000</f>
        <v>22.569322</v>
      </c>
      <c r="R29" s="172">
        <f>'[3]Monthly Gallon Summary'!I88/1000000</f>
        <v>17.747237999999999</v>
      </c>
      <c r="S29" s="172">
        <f>'[3]Monthly Gallon Summary'!J88/1000000</f>
        <v>12.384024999999999</v>
      </c>
      <c r="T29" s="172">
        <f>'[3]Monthly Gallon Summary'!K88/1000000</f>
        <v>39.760652</v>
      </c>
      <c r="U29" s="172">
        <f>'[3]Monthly Gallon Summary'!L88/1000000</f>
        <v>53.207935999999997</v>
      </c>
      <c r="V29" s="172">
        <f>'[3]Monthly Gallon Summary'!M88/1000000</f>
        <v>68.859544999999997</v>
      </c>
      <c r="W29" s="172">
        <f>'[3]Monthly Gallon Summary'!N88/1000000</f>
        <v>116.253275</v>
      </c>
      <c r="X29" s="172">
        <f>'[3]Monthly Gallon Summary'!O88/1000000</f>
        <v>202.49099899999999</v>
      </c>
      <c r="Y29" s="172">
        <f>'[3]Monthly Gallon Summary'!P88/1000000</f>
        <v>282.589564</v>
      </c>
      <c r="Z29" s="173">
        <f>'[3]Monthly Gallon Summary'!Q88/1000000</f>
        <v>195.59531042807598</v>
      </c>
      <c r="AA29" s="173">
        <f>'[3]Monthly Gallon Summary'!R88/1000000</f>
        <v>215.72292855995022</v>
      </c>
      <c r="AB29" s="173">
        <f>'[3]Monthly Gallon Summary'!S88/1000000</f>
        <v>238.36601068480832</v>
      </c>
      <c r="AC29" s="173">
        <f>'[3]Monthly Gallon Summary'!T88/1000000</f>
        <v>243.60668290877291</v>
      </c>
      <c r="AD29" s="173">
        <f>'[3]Monthly Gallon Summary'!U88/1000000</f>
        <v>244.9705224732177</v>
      </c>
      <c r="AE29" s="173">
        <f>'[3]Monthly Gallon Summary'!V88/1000000</f>
        <v>256.70844304556442</v>
      </c>
      <c r="AF29" s="173">
        <f>'[3]Monthly Gallon Summary'!W88/1000000</f>
        <v>278.34248254892327</v>
      </c>
      <c r="AG29" s="173">
        <f>'[3]Monthly Gallon Summary'!X88/1000000</f>
        <v>330.11554104007666</v>
      </c>
      <c r="AH29" s="173">
        <f>'[3]Monthly Gallon Summary'!Y88/1000000</f>
        <v>328.55680866775873</v>
      </c>
      <c r="AI29" s="173">
        <f>'[3]Monthly Gallon Summary'!Z88/1000000</f>
        <v>319.49402872717371</v>
      </c>
      <c r="AJ29" s="173">
        <f>'[3]Monthly Gallon Summary'!AA88/1000000</f>
        <v>338.50410654127819</v>
      </c>
      <c r="AK29" s="173">
        <f>'[3]Monthly Gallon Summary'!AB88/1000000</f>
        <v>365.55578146483305</v>
      </c>
      <c r="AL29" s="173">
        <f>'[3]Monthly Gallon Summary'!AC88/1000000</f>
        <v>415.86089526614876</v>
      </c>
      <c r="AM29" s="173">
        <f>'[3]Monthly Gallon Summary'!AD88/1000000</f>
        <v>458.73248028835752</v>
      </c>
      <c r="AN29" s="173">
        <f>'[3]Monthly Gallon Summary'!AE88/1000000</f>
        <v>460.46109031863699</v>
      </c>
      <c r="AO29" s="173">
        <f>'[3]Monthly Gallon Summary'!AF88/1000000</f>
        <v>405.19659980051375</v>
      </c>
      <c r="AP29" s="173">
        <f>'[3]Monthly Gallon Summary'!AG88/1000000</f>
        <v>428.49087393320309</v>
      </c>
      <c r="AQ29" s="173">
        <f>'[3]Monthly Gallon Summary'!AH88/1000000</f>
        <v>452.90981518144463</v>
      </c>
      <c r="AR29" s="173">
        <f>'[3]Monthly Gallon Summary'!AI88/1000000</f>
        <v>492.13759767026903</v>
      </c>
      <c r="AS29" s="173">
        <f>'[3]Monthly Gallon Summary'!AJ88/1000000</f>
        <v>501.95704962916807</v>
      </c>
      <c r="AT29" s="173">
        <f>'[3]Monthly Gallon Summary'!AK88/1000000</f>
        <v>499.11583075627993</v>
      </c>
      <c r="AU29" s="173">
        <f>'[3]Monthly Gallon Summary'!AL88/1000000</f>
        <v>475.7736648911565</v>
      </c>
      <c r="AV29" s="173">
        <f>'[3]Monthly Gallon Summary'!AM88/1000000</f>
        <v>495.11745528483743</v>
      </c>
      <c r="AW29" s="173">
        <f>'[3]Monthly Gallon Summary'!AN88/1000000</f>
        <v>512.89385003131952</v>
      </c>
      <c r="AX29" s="173">
        <f>'[3]Monthly Gallon Summary'!AO88/1000000</f>
        <v>531.43977940409593</v>
      </c>
      <c r="AY29" s="173">
        <f>'[3]Monthly Gallon Summary'!AP88/1000000</f>
        <v>554.29930350247605</v>
      </c>
    </row>
    <row r="30" spans="1:51" x14ac:dyDescent="0.2">
      <c r="A30" s="19" t="s">
        <v>168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172">
        <f>'[3]Monthly Gallon Summary'!C89/1000000</f>
        <v>6.4663659999999998</v>
      </c>
      <c r="M30" s="172">
        <f>'[3]Monthly Gallon Summary'!D89/1000000</f>
        <v>6.2787110000000004</v>
      </c>
      <c r="N30" s="172">
        <f>'[3]Monthly Gallon Summary'!E89/1000000</f>
        <v>15.712344999999999</v>
      </c>
      <c r="O30" s="172">
        <f>'[3]Monthly Gallon Summary'!F89/1000000</f>
        <v>13.997563</v>
      </c>
      <c r="P30" s="172">
        <f>'[3]Monthly Gallon Summary'!G89/1000000</f>
        <v>15.521248999999999</v>
      </c>
      <c r="Q30" s="172">
        <f>'[3]Monthly Gallon Summary'!H89/1000000</f>
        <v>19.520008000000001</v>
      </c>
      <c r="R30" s="172">
        <f>'[3]Monthly Gallon Summary'!I89/1000000</f>
        <v>19.651809</v>
      </c>
      <c r="S30" s="172">
        <f>'[3]Monthly Gallon Summary'!J89/1000000</f>
        <v>10.553514</v>
      </c>
      <c r="T30" s="172">
        <f>'[3]Monthly Gallon Summary'!K89/1000000</f>
        <v>46.282285000000002</v>
      </c>
      <c r="U30" s="172">
        <f>'[3]Monthly Gallon Summary'!L89/1000000</f>
        <v>46.684398999999999</v>
      </c>
      <c r="V30" s="172">
        <f>'[3]Monthly Gallon Summary'!M89/1000000</f>
        <v>69.500573000000003</v>
      </c>
      <c r="W30" s="172">
        <f>'[3]Monthly Gallon Summary'!N89/1000000</f>
        <v>108.975538</v>
      </c>
      <c r="X30" s="172">
        <f>'[3]Monthly Gallon Summary'!O89/1000000</f>
        <v>182.796774</v>
      </c>
      <c r="Y30" s="172">
        <f>'[3]Monthly Gallon Summary'!P89/1000000</f>
        <v>292.48618900000002</v>
      </c>
      <c r="Z30" s="173">
        <f>'[3]Monthly Gallon Summary'!Q89/1000000</f>
        <v>192.07520021665866</v>
      </c>
      <c r="AA30" s="173">
        <f>'[3]Monthly Gallon Summary'!R89/1000000</f>
        <v>210.51934009415069</v>
      </c>
      <c r="AB30" s="173">
        <f>'[3]Monthly Gallon Summary'!S89/1000000</f>
        <v>232.08209356796181</v>
      </c>
      <c r="AC30" s="173">
        <f>'[3]Monthly Gallon Summary'!T89/1000000</f>
        <v>236.77352209535536</v>
      </c>
      <c r="AD30" s="173">
        <f>'[3]Monthly Gallon Summary'!U89/1000000</f>
        <v>238.95691024844706</v>
      </c>
      <c r="AE30" s="173">
        <f>'[3]Monthly Gallon Summary'!V89/1000000</f>
        <v>250.03321112136015</v>
      </c>
      <c r="AF30" s="173">
        <f>'[3]Monthly Gallon Summary'!W89/1000000</f>
        <v>271.09563563357653</v>
      </c>
      <c r="AG30" s="173">
        <f>'[3]Monthly Gallon Summary'!X89/1000000</f>
        <v>321.53883371866874</v>
      </c>
      <c r="AH30" s="173">
        <f>'[3]Monthly Gallon Summary'!Y89/1000000</f>
        <v>319.99342768153832</v>
      </c>
      <c r="AI30" s="173">
        <f>'[3]Monthly Gallon Summary'!Z89/1000000</f>
        <v>311.15316781072767</v>
      </c>
      <c r="AJ30" s="173">
        <f>'[3]Monthly Gallon Summary'!AA89/1000000</f>
        <v>329.58868568030601</v>
      </c>
      <c r="AK30" s="173">
        <f>'[3]Monthly Gallon Summary'!AB89/1000000</f>
        <v>356.11482216137313</v>
      </c>
      <c r="AL30" s="173">
        <f>'[3]Monthly Gallon Summary'!AC89/1000000</f>
        <v>405.22957833277349</v>
      </c>
      <c r="AM30" s="173">
        <f>'[3]Monthly Gallon Summary'!AD89/1000000</f>
        <v>447.02094442079215</v>
      </c>
      <c r="AN30" s="173">
        <f>'[3]Monthly Gallon Summary'!AE89/1000000</f>
        <v>448.51491247089086</v>
      </c>
      <c r="AO30" s="173">
        <f>'[3]Monthly Gallon Summary'!AF89/1000000</f>
        <v>394.37283667875039</v>
      </c>
      <c r="AP30" s="173">
        <f>'[3]Monthly Gallon Summary'!AG89/1000000</f>
        <v>417.17858162669512</v>
      </c>
      <c r="AQ30" s="173">
        <f>'[3]Monthly Gallon Summary'!AH89/1000000</f>
        <v>440.97084772339889</v>
      </c>
      <c r="AR30" s="173">
        <f>'[3]Monthly Gallon Summary'!AI89/1000000</f>
        <v>479.18542611763957</v>
      </c>
      <c r="AS30" s="173">
        <f>'[3]Monthly Gallon Summary'!AJ89/1000000</f>
        <v>488.73230266466373</v>
      </c>
      <c r="AT30" s="173">
        <f>'[3]Monthly Gallon Summary'!AK89/1000000</f>
        <v>485.95261805736914</v>
      </c>
      <c r="AU30" s="173">
        <f>'[3]Monthly Gallon Summary'!AL89/1000000</f>
        <v>463.10371350400578</v>
      </c>
      <c r="AV30" s="173">
        <f>'[3]Monthly Gallon Summary'!AM89/1000000</f>
        <v>482.10002713165693</v>
      </c>
      <c r="AW30" s="173">
        <f>'[3]Monthly Gallon Summary'!AN89/1000000</f>
        <v>499.40260078882289</v>
      </c>
      <c r="AX30" s="173">
        <f>'[3]Monthly Gallon Summary'!AO89/1000000</f>
        <v>517.46066101597353</v>
      </c>
      <c r="AY30" s="173">
        <f>'[3]Monthly Gallon Summary'!AP89/1000000</f>
        <v>539.82265784982314</v>
      </c>
    </row>
    <row r="31" spans="1:51" x14ac:dyDescent="0.2">
      <c r="A31" s="19" t="s">
        <v>169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172">
        <f>'[3]Monthly Gallon Summary'!C90/1000000</f>
        <v>8.4453549999999993</v>
      </c>
      <c r="M31" s="172">
        <f>'[3]Monthly Gallon Summary'!D90/1000000</f>
        <v>5.4811009999999998</v>
      </c>
      <c r="N31" s="172">
        <f>'[3]Monthly Gallon Summary'!E90/1000000</f>
        <v>15.256251000000001</v>
      </c>
      <c r="O31" s="172">
        <f>'[3]Monthly Gallon Summary'!F90/1000000</f>
        <v>2.0431140000000001</v>
      </c>
      <c r="P31" s="172">
        <f>'[3]Monthly Gallon Summary'!G90/1000000</f>
        <v>15.100408</v>
      </c>
      <c r="Q31" s="172">
        <f>'[3]Monthly Gallon Summary'!H90/1000000</f>
        <v>24.799963999999999</v>
      </c>
      <c r="R31" s="172">
        <f>'[3]Monthly Gallon Summary'!I90/1000000</f>
        <v>24.672391999999999</v>
      </c>
      <c r="S31" s="172">
        <f>'[3]Monthly Gallon Summary'!J90/1000000</f>
        <v>16.024601000000001</v>
      </c>
      <c r="T31" s="172">
        <f>'[3]Monthly Gallon Summary'!K90/1000000</f>
        <v>30.180616000000001</v>
      </c>
      <c r="U31" s="172">
        <f>'[3]Monthly Gallon Summary'!L90/1000000</f>
        <v>43.952654000000003</v>
      </c>
      <c r="V31" s="172">
        <f>'[3]Monthly Gallon Summary'!M90/1000000</f>
        <v>82.392520000000005</v>
      </c>
      <c r="W31" s="172">
        <f>'[3]Monthly Gallon Summary'!N90/1000000</f>
        <v>122.248954</v>
      </c>
      <c r="X31" s="172">
        <f>'[3]Monthly Gallon Summary'!O90/1000000</f>
        <v>236.669072</v>
      </c>
      <c r="Y31" s="172">
        <f>'[3]Monthly Gallon Summary'!P90/1000000</f>
        <v>260.49037299999998</v>
      </c>
      <c r="Z31" s="173">
        <f>'[3]Monthly Gallon Summary'!Q90/1000000</f>
        <v>196.75880169768377</v>
      </c>
      <c r="AA31" s="173">
        <f>'[3]Monthly Gallon Summary'!R90/1000000</f>
        <v>216.24145326312794</v>
      </c>
      <c r="AB31" s="173">
        <f>'[3]Monthly Gallon Summary'!S90/1000000</f>
        <v>238.63689718670946</v>
      </c>
      <c r="AC31" s="173">
        <f>'[3]Monthly Gallon Summary'!T90/1000000</f>
        <v>243.62656818724156</v>
      </c>
      <c r="AD31" s="173">
        <f>'[3]Monthly Gallon Summary'!U90/1000000</f>
        <v>245.85113401359109</v>
      </c>
      <c r="AE31" s="173">
        <f>'[3]Monthly Gallon Summary'!V90/1000000</f>
        <v>257.41208430610368</v>
      </c>
      <c r="AF31" s="173">
        <f>'[3]Monthly Gallon Summary'!W90/1000000</f>
        <v>278.9790387578098</v>
      </c>
      <c r="AG31" s="173">
        <f>'[3]Monthly Gallon Summary'!X90/1000000</f>
        <v>330.66768335045754</v>
      </c>
      <c r="AH31" s="173">
        <f>'[3]Monthly Gallon Summary'!Y90/1000000</f>
        <v>329.21131118897267</v>
      </c>
      <c r="AI31" s="173">
        <f>'[3]Monthly Gallon Summary'!Z90/1000000</f>
        <v>320.43870651265905</v>
      </c>
      <c r="AJ31" s="173">
        <f>'[3]Monthly Gallon Summary'!AA90/1000000</f>
        <v>339.44802986728587</v>
      </c>
      <c r="AK31" s="173">
        <f>'[3]Monthly Gallon Summary'!AB90/1000000</f>
        <v>366.24629828555049</v>
      </c>
      <c r="AL31" s="173">
        <f>'[3]Monthly Gallon Summary'!AC90/1000000</f>
        <v>416.46855418677683</v>
      </c>
      <c r="AM31" s="173">
        <f>'[3]Monthly Gallon Summary'!AD90/1000000</f>
        <v>459.41334634739809</v>
      </c>
      <c r="AN31" s="173">
        <f>'[3]Monthly Gallon Summary'!AE90/1000000</f>
        <v>461.48017325302555</v>
      </c>
      <c r="AO31" s="173">
        <f>'[3]Monthly Gallon Summary'!AF90/1000000</f>
        <v>406.56313011718686</v>
      </c>
      <c r="AP31" s="173">
        <f>'[3]Monthly Gallon Summary'!AG90/1000000</f>
        <v>429.71941564624353</v>
      </c>
      <c r="AQ31" s="173">
        <f>'[3]Monthly Gallon Summary'!AH90/1000000</f>
        <v>454.18389550973092</v>
      </c>
      <c r="AR31" s="173">
        <f>'[3]Monthly Gallon Summary'!AI90/1000000</f>
        <v>493.49513425461197</v>
      </c>
      <c r="AS31" s="173">
        <f>'[3]Monthly Gallon Summary'!AJ90/1000000</f>
        <v>503.36486006139029</v>
      </c>
      <c r="AT31" s="173">
        <f>'[3]Monthly Gallon Summary'!AK90/1000000</f>
        <v>500.53140909394165</v>
      </c>
      <c r="AU31" s="173">
        <f>'[3]Monthly Gallon Summary'!AL90/1000000</f>
        <v>477.32093933113725</v>
      </c>
      <c r="AV31" s="173">
        <f>'[3]Monthly Gallon Summary'!AM90/1000000</f>
        <v>496.45883836562479</v>
      </c>
      <c r="AW31" s="173">
        <f>'[3]Monthly Gallon Summary'!AN90/1000000</f>
        <v>514.29446448160763</v>
      </c>
      <c r="AX31" s="173">
        <f>'[3]Monthly Gallon Summary'!AO90/1000000</f>
        <v>532.89056932980839</v>
      </c>
      <c r="AY31" s="173">
        <f>'[3]Monthly Gallon Summary'!AP90/1000000</f>
        <v>555.64456033273007</v>
      </c>
    </row>
    <row r="32" spans="1:51" x14ac:dyDescent="0.2">
      <c r="A32" s="19" t="s">
        <v>170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172">
        <f>'[3]Monthly Gallon Summary'!C91/1000000</f>
        <v>5.89907</v>
      </c>
      <c r="M32" s="172">
        <f>'[3]Monthly Gallon Summary'!D91/1000000</f>
        <v>3.7389169999999998</v>
      </c>
      <c r="N32" s="172">
        <f>'[3]Monthly Gallon Summary'!E91/1000000</f>
        <v>17.641090999999999</v>
      </c>
      <c r="O32" s="172">
        <f>'[3]Monthly Gallon Summary'!F91/1000000</f>
        <v>5.9494259999999999</v>
      </c>
      <c r="P32" s="172">
        <f>'[3]Monthly Gallon Summary'!G91/1000000</f>
        <v>13.846254999999999</v>
      </c>
      <c r="Q32" s="172">
        <f>'[3]Monthly Gallon Summary'!H91/1000000</f>
        <v>19.215411</v>
      </c>
      <c r="R32" s="172">
        <f>'[3]Monthly Gallon Summary'!I91/1000000</f>
        <v>21.967037999999999</v>
      </c>
      <c r="S32" s="172">
        <f>'[3]Monthly Gallon Summary'!J91/1000000</f>
        <v>32.248455999999997</v>
      </c>
      <c r="T32" s="172">
        <f>'[3]Monthly Gallon Summary'!K91/1000000</f>
        <v>40.69238</v>
      </c>
      <c r="U32" s="172">
        <f>'[3]Monthly Gallon Summary'!L91/1000000</f>
        <v>48.112771000000002</v>
      </c>
      <c r="V32" s="172">
        <f>'[3]Monthly Gallon Summary'!M91/1000000</f>
        <v>55.747506000000001</v>
      </c>
      <c r="W32" s="172">
        <f>'[3]Monthly Gallon Summary'!N91/1000000</f>
        <v>127.613378</v>
      </c>
      <c r="X32" s="172">
        <f>'[3]Monthly Gallon Summary'!O91/1000000</f>
        <v>234.00850800000001</v>
      </c>
      <c r="Y32" s="172">
        <f>'[3]Monthly Gallon Summary'!P91/1000000</f>
        <v>257.92793699999999</v>
      </c>
      <c r="Z32" s="173">
        <f>'[3]Monthly Gallon Summary'!Q91/1000000</f>
        <v>199.56749623015037</v>
      </c>
      <c r="AA32" s="173">
        <f>'[3]Monthly Gallon Summary'!R91/1000000</f>
        <v>219.22870434448103</v>
      </c>
      <c r="AB32" s="173">
        <f>'[3]Monthly Gallon Summary'!S91/1000000</f>
        <v>242.15675552030524</v>
      </c>
      <c r="AC32" s="173">
        <f>'[3]Monthly Gallon Summary'!T91/1000000</f>
        <v>246.63014323247262</v>
      </c>
      <c r="AD32" s="173">
        <f>'[3]Monthly Gallon Summary'!U91/1000000</f>
        <v>248.71833123381199</v>
      </c>
      <c r="AE32" s="173">
        <f>'[3]Monthly Gallon Summary'!V91/1000000</f>
        <v>260.67037302903577</v>
      </c>
      <c r="AF32" s="173">
        <f>'[3]Monthly Gallon Summary'!W91/1000000</f>
        <v>282.55959833993489</v>
      </c>
      <c r="AG32" s="173">
        <f>'[3]Monthly Gallon Summary'!X91/1000000</f>
        <v>334.97753800954769</v>
      </c>
      <c r="AH32" s="173">
        <f>'[3]Monthly Gallon Summary'!Y91/1000000</f>
        <v>333.35698957658457</v>
      </c>
      <c r="AI32" s="173">
        <f>'[3]Monthly Gallon Summary'!Z91/1000000</f>
        <v>324.35906304280564</v>
      </c>
      <c r="AJ32" s="173">
        <f>'[3]Monthly Gallon Summary'!AA91/1000000</f>
        <v>343.64672572550035</v>
      </c>
      <c r="AK32" s="173">
        <f>'[3]Monthly Gallon Summary'!AB91/1000000</f>
        <v>370.96712754239712</v>
      </c>
      <c r="AL32" s="173">
        <f>'[3]Monthly Gallon Summary'!AC91/1000000</f>
        <v>421.93643803856435</v>
      </c>
      <c r="AM32" s="173">
        <f>'[3]Monthly Gallon Summary'!AD91/1000000</f>
        <v>465.43535269876645</v>
      </c>
      <c r="AN32" s="173">
        <f>'[3]Monthly Gallon Summary'!AE91/1000000</f>
        <v>467.33232568381385</v>
      </c>
      <c r="AO32" s="173">
        <f>'[3]Monthly Gallon Summary'!AF91/1000000</f>
        <v>411.42166876684036</v>
      </c>
      <c r="AP32" s="173">
        <f>'[3]Monthly Gallon Summary'!AG91/1000000</f>
        <v>434.9869585297854</v>
      </c>
      <c r="AQ32" s="173">
        <f>'[3]Monthly Gallon Summary'!AH91/1000000</f>
        <v>459.76544383089225</v>
      </c>
      <c r="AR32" s="173">
        <f>'[3]Monthly Gallon Summary'!AI91/1000000</f>
        <v>499.57784943475701</v>
      </c>
      <c r="AS32" s="173">
        <f>'[3]Monthly Gallon Summary'!AJ91/1000000</f>
        <v>509.55667475729842</v>
      </c>
      <c r="AT32" s="173">
        <f>'[3]Monthly Gallon Summary'!AK91/1000000</f>
        <v>506.67759734702884</v>
      </c>
      <c r="AU32" s="173">
        <f>'[3]Monthly Gallon Summary'!AL91/1000000</f>
        <v>483.05671848419172</v>
      </c>
      <c r="AV32" s="173">
        <f>'[3]Monthly Gallon Summary'!AM91/1000000</f>
        <v>502.59401262212805</v>
      </c>
      <c r="AW32" s="173">
        <f>'[3]Monthly Gallon Summary'!AN91/1000000</f>
        <v>520.6433836052413</v>
      </c>
      <c r="AX32" s="173">
        <f>'[3]Monthly Gallon Summary'!AO91/1000000</f>
        <v>539.46953374594193</v>
      </c>
      <c r="AY32" s="173">
        <f>'[3]Monthly Gallon Summary'!AP91/1000000</f>
        <v>562.61009202643618</v>
      </c>
    </row>
    <row r="33" spans="1:51" x14ac:dyDescent="0.2">
      <c r="A33" s="19" t="s">
        <v>171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172">
        <f>'[3]Monthly Gallon Summary'!C92/1000000</f>
        <v>6.9180260000000002</v>
      </c>
      <c r="M33" s="172">
        <f>'[3]Monthly Gallon Summary'!D92/1000000</f>
        <v>3.8538540000000001</v>
      </c>
      <c r="N33" s="172">
        <f>'[3]Monthly Gallon Summary'!E92/1000000</f>
        <v>18.931761999999999</v>
      </c>
      <c r="O33" s="172">
        <f>'[3]Monthly Gallon Summary'!F92/1000000</f>
        <v>14.721823000000001</v>
      </c>
      <c r="P33" s="172">
        <f>'[3]Monthly Gallon Summary'!G92/1000000</f>
        <v>13.414121</v>
      </c>
      <c r="Q33" s="172">
        <f>'[3]Monthly Gallon Summary'!H92/1000000</f>
        <v>20.639765000000001</v>
      </c>
      <c r="R33" s="172">
        <f>'[3]Monthly Gallon Summary'!I92/1000000</f>
        <v>25.346827000000001</v>
      </c>
      <c r="S33" s="172">
        <f>'[3]Monthly Gallon Summary'!J92/1000000</f>
        <v>39.005346000000003</v>
      </c>
      <c r="T33" s="172">
        <f>'[3]Monthly Gallon Summary'!K92/1000000</f>
        <v>48.569223000000001</v>
      </c>
      <c r="U33" s="172">
        <f>'[3]Monthly Gallon Summary'!L92/1000000</f>
        <v>25.237496</v>
      </c>
      <c r="V33" s="172">
        <f>'[3]Monthly Gallon Summary'!M92/1000000</f>
        <v>77.344973999999993</v>
      </c>
      <c r="W33" s="172">
        <f>'[3]Monthly Gallon Summary'!N92/1000000</f>
        <v>113.679693</v>
      </c>
      <c r="X33" s="172">
        <f>'[3]Monthly Gallon Summary'!O92/1000000</f>
        <v>214.03540699999999</v>
      </c>
      <c r="Y33" s="172">
        <f>'[3]Monthly Gallon Summary'!P92/1000000</f>
        <v>289.55729300000002</v>
      </c>
      <c r="Z33" s="173">
        <f>'[3]Monthly Gallon Summary'!Q92/1000000</f>
        <v>216.64754243543953</v>
      </c>
      <c r="AA33" s="173">
        <f>'[3]Monthly Gallon Summary'!R92/1000000</f>
        <v>238.58329733016379</v>
      </c>
      <c r="AB33" s="173">
        <f>'[3]Monthly Gallon Summary'!S92/1000000</f>
        <v>263.13373324879842</v>
      </c>
      <c r="AC33" s="173">
        <f>'[3]Monthly Gallon Summary'!T92/1000000</f>
        <v>268.32381152612464</v>
      </c>
      <c r="AD33" s="173">
        <f>'[3]Monthly Gallon Summary'!U92/1000000</f>
        <v>270.20842665035696</v>
      </c>
      <c r="AE33" s="173">
        <f>'[3]Monthly Gallon Summary'!V92/1000000</f>
        <v>283.20654538055896</v>
      </c>
      <c r="AF33" s="173">
        <f>'[3]Monthly Gallon Summary'!W92/1000000</f>
        <v>307.06117011684262</v>
      </c>
      <c r="AG33" s="173">
        <f>'[3]Monthly Gallon Summary'!X92/1000000</f>
        <v>364.21140358770157</v>
      </c>
      <c r="AH33" s="173">
        <f>'[3]Monthly Gallon Summary'!Y92/1000000</f>
        <v>362.38101827605021</v>
      </c>
      <c r="AI33" s="173">
        <f>'[3]Monthly Gallon Summary'!Z92/1000000</f>
        <v>352.27008106497885</v>
      </c>
      <c r="AJ33" s="173">
        <f>'[3]Monthly Gallon Summary'!AA92/1000000</f>
        <v>373.22415201937724</v>
      </c>
      <c r="AK33" s="173">
        <f>'[3]Monthly Gallon Summary'!AB92/1000000</f>
        <v>403.33435346090243</v>
      </c>
      <c r="AL33" s="173">
        <f>'[3]Monthly Gallon Summary'!AC92/1000000</f>
        <v>458.99830558736232</v>
      </c>
      <c r="AM33" s="173">
        <f>'[3]Monthly Gallon Summary'!AD92/1000000</f>
        <v>506.32540438053087</v>
      </c>
      <c r="AN33" s="173">
        <f>'[3]Monthly Gallon Summary'!AE92/1000000</f>
        <v>507.93041099449977</v>
      </c>
      <c r="AO33" s="173">
        <f>'[3]Monthly Gallon Summary'!AF92/1000000</f>
        <v>446.49664492050312</v>
      </c>
      <c r="AP33" s="173">
        <f>'[3]Monthly Gallon Summary'!AG92/1000000</f>
        <v>472.37063098572713</v>
      </c>
      <c r="AQ33" s="173">
        <f>'[3]Monthly Gallon Summary'!AH92/1000000</f>
        <v>499.31523669568378</v>
      </c>
      <c r="AR33" s="173">
        <f>'[3]Monthly Gallon Summary'!AI92/1000000</f>
        <v>542.593217690762</v>
      </c>
      <c r="AS33" s="173">
        <f>'[3]Monthly Gallon Summary'!AJ92/1000000</f>
        <v>553.39847727520532</v>
      </c>
      <c r="AT33" s="173">
        <f>'[3]Monthly Gallon Summary'!AK92/1000000</f>
        <v>550.2474598193495</v>
      </c>
      <c r="AU33" s="173">
        <f>'[3]Monthly Gallon Summary'!AL92/1000000</f>
        <v>524.3207399237001</v>
      </c>
      <c r="AV33" s="173">
        <f>'[3]Monthly Gallon Summary'!AM92/1000000</f>
        <v>545.90107971907059</v>
      </c>
      <c r="AW33" s="173">
        <f>'[3]Monthly Gallon Summary'!AN92/1000000</f>
        <v>565.49063475281753</v>
      </c>
      <c r="AX33" s="173">
        <f>'[3]Monthly Gallon Summary'!AO92/1000000</f>
        <v>585.93875752156669</v>
      </c>
      <c r="AY33" s="173">
        <f>'[3]Monthly Gallon Summary'!AP92/1000000</f>
        <v>611.30567684576067</v>
      </c>
    </row>
    <row r="34" spans="1:51" x14ac:dyDescent="0.2">
      <c r="A34" s="19" t="s">
        <v>172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172">
        <f>'[3]Monthly Gallon Summary'!C93/1000000</f>
        <v>5.2339200000000003</v>
      </c>
      <c r="M34" s="172">
        <f>'[3]Monthly Gallon Summary'!D93/1000000</f>
        <v>5.5807089999999997</v>
      </c>
      <c r="N34" s="172">
        <f>'[3]Monthly Gallon Summary'!E93/1000000</f>
        <v>15.678898</v>
      </c>
      <c r="O34" s="172">
        <f>'[3]Monthly Gallon Summary'!F93/1000000</f>
        <v>16.462802</v>
      </c>
      <c r="P34" s="172">
        <f>'[3]Monthly Gallon Summary'!G93/1000000</f>
        <v>12.655566</v>
      </c>
      <c r="Q34" s="172">
        <f>'[3]Monthly Gallon Summary'!H93/1000000</f>
        <v>27.361235000000001</v>
      </c>
      <c r="R34" s="172">
        <f>'[3]Monthly Gallon Summary'!I93/1000000</f>
        <v>23.176779</v>
      </c>
      <c r="S34" s="172">
        <f>'[3]Monthly Gallon Summary'!J93/1000000</f>
        <v>40.325398999999997</v>
      </c>
      <c r="T34" s="172">
        <f>'[3]Monthly Gallon Summary'!K93/1000000</f>
        <v>42.514597000000002</v>
      </c>
      <c r="U34" s="172">
        <f>'[3]Monthly Gallon Summary'!L93/1000000</f>
        <v>49.060129000000003</v>
      </c>
      <c r="V34" s="172">
        <f>'[3]Monthly Gallon Summary'!M93/1000000</f>
        <v>101.86108400000001</v>
      </c>
      <c r="W34" s="172">
        <f>'[3]Monthly Gallon Summary'!N93/1000000</f>
        <v>171.78763000000001</v>
      </c>
      <c r="X34" s="172">
        <f>'[3]Monthly Gallon Summary'!O93/1000000</f>
        <v>205.78383400000001</v>
      </c>
      <c r="Y34" s="172">
        <f>'[3]Monthly Gallon Summary'!P93/1000000</f>
        <v>261.18942399999997</v>
      </c>
      <c r="Z34" s="173">
        <f>'[3]Monthly Gallon Summary'!Q93/1000000</f>
        <v>233.98093373434196</v>
      </c>
      <c r="AA34" s="173">
        <f>'[3]Monthly Gallon Summary'!R93/1000000</f>
        <v>288.00590449351927</v>
      </c>
      <c r="AB34" s="173">
        <f>'[3]Monthly Gallon Summary'!S93/1000000</f>
        <v>318.43776519553728</v>
      </c>
      <c r="AC34" s="173">
        <f>'[3]Monthly Gallon Summary'!T93/1000000</f>
        <v>324.10578434622977</v>
      </c>
      <c r="AD34" s="173">
        <f>'[3]Monthly Gallon Summary'!U93/1000000</f>
        <v>326.91595751048095</v>
      </c>
      <c r="AE34" s="173">
        <f>'[3]Monthly Gallon Summary'!V93/1000000</f>
        <v>342.12788418371906</v>
      </c>
      <c r="AF34" s="173">
        <f>'[3]Monthly Gallon Summary'!W93/1000000</f>
        <v>371.06226734164443</v>
      </c>
      <c r="AG34" s="173">
        <f>'[3]Monthly Gallon Summary'!X93/1000000</f>
        <v>440.36338172453424</v>
      </c>
      <c r="AH34" s="173">
        <f>'[3]Monthly Gallon Summary'!Y93/1000000</f>
        <v>438.02223240879124</v>
      </c>
      <c r="AI34" s="173">
        <f>'[3]Monthly Gallon Summary'!Z93/1000000</f>
        <v>425.69298524432094</v>
      </c>
      <c r="AJ34" s="173">
        <f>'[3]Monthly Gallon Summary'!AA93/1000000</f>
        <v>450.93823456570317</v>
      </c>
      <c r="AK34" s="173">
        <f>'[3]Monthly Gallon Summary'!AB93/1000000</f>
        <v>487.59562741366341</v>
      </c>
      <c r="AL34" s="173">
        <f>'[3]Monthly Gallon Summary'!AC93/1000000</f>
        <v>555.04404536868401</v>
      </c>
      <c r="AM34" s="173">
        <f>'[3]Monthly Gallon Summary'!AD93/1000000</f>
        <v>612.26692157508739</v>
      </c>
      <c r="AN34" s="173">
        <f>'[3]Monthly Gallon Summary'!AE93/1000000</f>
        <v>613.95284632622713</v>
      </c>
      <c r="AO34" s="173">
        <f>'[3]Monthly Gallon Summary'!AF93/1000000</f>
        <v>539.30442554450042</v>
      </c>
      <c r="AP34" s="173">
        <f>'[3]Monthly Gallon Summary'!AG93/1000000</f>
        <v>570.73421915428582</v>
      </c>
      <c r="AQ34" s="173">
        <f>'[3]Monthly Gallon Summary'!AH93/1000000</f>
        <v>603.31170482833284</v>
      </c>
      <c r="AR34" s="173">
        <f>'[3]Monthly Gallon Summary'!AI93/1000000</f>
        <v>655.62528377727415</v>
      </c>
      <c r="AS34" s="173">
        <f>'[3]Monthly Gallon Summary'!AJ93/1000000</f>
        <v>668.66319227012843</v>
      </c>
      <c r="AT34" s="173">
        <f>'[3]Monthly Gallon Summary'!AK93/1000000</f>
        <v>664.84091018463346</v>
      </c>
      <c r="AU34" s="173">
        <f>'[3]Monthly Gallon Summary'!AL93/1000000</f>
        <v>633.35819298578224</v>
      </c>
      <c r="AV34" s="173">
        <f>'[3]Monthly Gallon Summary'!AM93/1000000</f>
        <v>659.64095916620397</v>
      </c>
      <c r="AW34" s="173">
        <f>'[3]Monthly Gallon Summary'!AN93/1000000</f>
        <v>683.30315960383518</v>
      </c>
      <c r="AX34" s="173">
        <f>'[3]Monthly Gallon Summary'!AO93/1000000</f>
        <v>708.01159508728233</v>
      </c>
      <c r="AY34" s="173">
        <f>'[3]Monthly Gallon Summary'!AP93/1000000</f>
        <v>738.79692908413995</v>
      </c>
    </row>
    <row r="35" spans="1:51" x14ac:dyDescent="0.2">
      <c r="A35" s="19" t="s">
        <v>173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172">
        <f>'[3]Monthly Gallon Summary'!C94/1000000</f>
        <v>6.4808320000000004</v>
      </c>
      <c r="M35" s="172">
        <f>'[3]Monthly Gallon Summary'!D94/1000000</f>
        <v>3.7954680000000001</v>
      </c>
      <c r="N35" s="172">
        <f>'[3]Monthly Gallon Summary'!E94/1000000</f>
        <v>13.897309999999999</v>
      </c>
      <c r="O35" s="172">
        <f>'[3]Monthly Gallon Summary'!F94/1000000</f>
        <v>22.831111</v>
      </c>
      <c r="P35" s="172">
        <f>'[3]Monthly Gallon Summary'!G94/1000000</f>
        <v>13.320532</v>
      </c>
      <c r="Q35" s="172">
        <f>'[3]Monthly Gallon Summary'!H94/1000000</f>
        <v>27.156977000000001</v>
      </c>
      <c r="R35" s="172">
        <f>'[3]Monthly Gallon Summary'!I94/1000000</f>
        <v>25.524348</v>
      </c>
      <c r="S35" s="172">
        <f>'[3]Monthly Gallon Summary'!J94/1000000</f>
        <v>47.330432000000002</v>
      </c>
      <c r="T35" s="172">
        <f>'[3]Monthly Gallon Summary'!K94/1000000</f>
        <v>52.79616</v>
      </c>
      <c r="U35" s="172">
        <f>'[3]Monthly Gallon Summary'!L94/1000000</f>
        <v>57.807991999999999</v>
      </c>
      <c r="V35" s="172">
        <f>'[3]Monthly Gallon Summary'!M94/1000000</f>
        <v>118.27046199999999</v>
      </c>
      <c r="W35" s="172">
        <f>'[3]Monthly Gallon Summary'!N94/1000000</f>
        <v>153.75916000000001</v>
      </c>
      <c r="X35" s="172">
        <f>'[3]Monthly Gallon Summary'!O94/1000000</f>
        <v>274.81642799999997</v>
      </c>
      <c r="Y35" s="172">
        <f>'[3]Monthly Gallon Summary'!P94/1000000</f>
        <v>314.11158899999998</v>
      </c>
      <c r="Z35" s="173">
        <f>'[3]Monthly Gallon Summary'!Q94/1000000</f>
        <v>283.9766027301884</v>
      </c>
      <c r="AA35" s="173">
        <f>'[3]Monthly Gallon Summary'!R94/1000000</f>
        <v>327.98826160637503</v>
      </c>
      <c r="AB35" s="173">
        <f>'[3]Monthly Gallon Summary'!S94/1000000</f>
        <v>360.40880448522427</v>
      </c>
      <c r="AC35" s="173">
        <f>'[3]Monthly Gallon Summary'!T94/1000000</f>
        <v>366.60588386446722</v>
      </c>
      <c r="AD35" s="173">
        <f>'[3]Monthly Gallon Summary'!U94/1000000</f>
        <v>369.85667091491246</v>
      </c>
      <c r="AE35" s="173">
        <f>'[3]Monthly Gallon Summary'!V94/1000000</f>
        <v>387.29975470567996</v>
      </c>
      <c r="AF35" s="173">
        <f>'[3]Monthly Gallon Summary'!W94/1000000</f>
        <v>420.34894946926062</v>
      </c>
      <c r="AG35" s="173">
        <f>'[3]Monthly Gallon Summary'!X94/1000000</f>
        <v>498.47541986634047</v>
      </c>
      <c r="AH35" s="173">
        <f>'[3]Monthly Gallon Summary'!Y94/1000000</f>
        <v>495.80460801874244</v>
      </c>
      <c r="AI35" s="173">
        <f>'[3]Monthly Gallon Summary'!Z94/1000000</f>
        <v>481.82271000184312</v>
      </c>
      <c r="AJ35" s="173">
        <f>'[3]Monthly Gallon Summary'!AA94/1000000</f>
        <v>510.44358660780591</v>
      </c>
      <c r="AK35" s="173">
        <f>'[3]Monthly Gallon Summary'!AB94/1000000</f>
        <v>552.06299722252447</v>
      </c>
      <c r="AL35" s="173">
        <f>'[3]Monthly Gallon Summary'!AC94/1000000</f>
        <v>628.43828786428332</v>
      </c>
      <c r="AM35" s="173">
        <f>'[3]Monthly Gallon Summary'!AD94/1000000</f>
        <v>693.24475961271594</v>
      </c>
      <c r="AN35" s="173">
        <f>'[3]Monthly Gallon Summary'!AE94/1000000</f>
        <v>695.03773112350711</v>
      </c>
      <c r="AO35" s="173">
        <f>'[3]Monthly Gallon Summary'!AF94/1000000</f>
        <v>610.34105591532546</v>
      </c>
      <c r="AP35" s="173">
        <f>'[3]Monthly Gallon Summary'!AG94/1000000</f>
        <v>645.99148915770172</v>
      </c>
      <c r="AQ35" s="173">
        <f>'[3]Monthly Gallon Summary'!AH94/1000000</f>
        <v>682.86821524964091</v>
      </c>
      <c r="AR35" s="173">
        <f>'[3]Monthly Gallon Summary'!AI94/1000000</f>
        <v>742.09683995330363</v>
      </c>
      <c r="AS35" s="173">
        <f>'[3]Monthly Gallon Summary'!AJ94/1000000</f>
        <v>756.84747637819601</v>
      </c>
      <c r="AT35" s="173">
        <f>'[3]Monthly Gallon Summary'!AK94/1000000</f>
        <v>752.51344544148162</v>
      </c>
      <c r="AU35" s="173">
        <f>'[3]Monthly Gallon Summary'!AL94/1000000</f>
        <v>716.79791959206682</v>
      </c>
      <c r="AV35" s="173">
        <f>'[3]Monthly Gallon Summary'!AM94/1000000</f>
        <v>746.65163144184578</v>
      </c>
      <c r="AW35" s="173">
        <f>'[3]Monthly Gallon Summary'!AN94/1000000</f>
        <v>773.431573274843</v>
      </c>
      <c r="AX35" s="173">
        <f>'[3]Monthly Gallon Summary'!AO94/1000000</f>
        <v>801.3993992506671</v>
      </c>
      <c r="AY35" s="173">
        <f>'[3]Monthly Gallon Summary'!AP94/1000000</f>
        <v>836.3127795015688</v>
      </c>
    </row>
    <row r="36" spans="1:51" x14ac:dyDescent="0.2">
      <c r="A36" s="117" t="s">
        <v>174</v>
      </c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31">
        <f>SUM(L24:L35)</f>
        <v>62.041289999999996</v>
      </c>
      <c r="M36" s="131">
        <f t="shared" ref="M36:AY36" si="14">SUM(M24:M35)</f>
        <v>52.401102000000002</v>
      </c>
      <c r="N36" s="131">
        <f t="shared" si="14"/>
        <v>113.28585800000002</v>
      </c>
      <c r="O36" s="131">
        <f t="shared" si="14"/>
        <v>159.14120600000001</v>
      </c>
      <c r="P36" s="131">
        <f t="shared" si="14"/>
        <v>176.84761600000002</v>
      </c>
      <c r="Q36" s="131">
        <f t="shared" si="14"/>
        <v>241.487435</v>
      </c>
      <c r="R36" s="131">
        <f t="shared" si="14"/>
        <v>258.34212500000001</v>
      </c>
      <c r="S36" s="131">
        <f t="shared" si="14"/>
        <v>305.48444699999993</v>
      </c>
      <c r="T36" s="131">
        <f t="shared" si="14"/>
        <v>492.13718899999998</v>
      </c>
      <c r="U36" s="131">
        <f t="shared" si="14"/>
        <v>533.50834700000007</v>
      </c>
      <c r="V36" s="131">
        <f t="shared" si="14"/>
        <v>845.43490700000007</v>
      </c>
      <c r="W36" s="131">
        <f t="shared" si="14"/>
        <v>1455.3367060000003</v>
      </c>
      <c r="X36" s="131">
        <f t="shared" si="14"/>
        <v>2427.796409</v>
      </c>
      <c r="Y36" s="131">
        <f t="shared" si="14"/>
        <v>3137.4656639999998</v>
      </c>
      <c r="Z36" s="132">
        <f t="shared" si="14"/>
        <v>2551.1387911709371</v>
      </c>
      <c r="AA36" s="132">
        <f t="shared" si="14"/>
        <v>2689.0412170486602</v>
      </c>
      <c r="AB36" s="132">
        <f t="shared" si="14"/>
        <v>2966.2167380645246</v>
      </c>
      <c r="AC36" s="132">
        <f t="shared" si="14"/>
        <v>3023.2639051846149</v>
      </c>
      <c r="AD36" s="132">
        <f t="shared" si="14"/>
        <v>3047.347392541612</v>
      </c>
      <c r="AE36" s="132">
        <f t="shared" si="14"/>
        <v>3193.0463296640578</v>
      </c>
      <c r="AF36" s="132">
        <f t="shared" si="14"/>
        <v>3461.6761816955145</v>
      </c>
      <c r="AG36" s="132">
        <f t="shared" si="14"/>
        <v>4105.4741846252846</v>
      </c>
      <c r="AH36" s="132">
        <f t="shared" si="14"/>
        <v>4085.0654619750658</v>
      </c>
      <c r="AI36" s="132">
        <f t="shared" si="14"/>
        <v>3972.1045514107868</v>
      </c>
      <c r="AJ36" s="132">
        <f t="shared" si="14"/>
        <v>4208.180718950126</v>
      </c>
      <c r="AK36" s="132">
        <f t="shared" si="14"/>
        <v>4546.6108556658519</v>
      </c>
      <c r="AL36" s="132">
        <f t="shared" si="14"/>
        <v>5173.5053853503914</v>
      </c>
      <c r="AM36" s="132">
        <f t="shared" si="14"/>
        <v>5706.9528916035897</v>
      </c>
      <c r="AN36" s="132">
        <f t="shared" si="14"/>
        <v>5726.1634355493516</v>
      </c>
      <c r="AO36" s="132">
        <f t="shared" si="14"/>
        <v>5035.1595093486922</v>
      </c>
      <c r="AP36" s="132">
        <f t="shared" si="14"/>
        <v>5326.2224735088339</v>
      </c>
      <c r="AQ36" s="132">
        <f t="shared" si="14"/>
        <v>5629.954354964545</v>
      </c>
      <c r="AR36" s="132">
        <f t="shared" si="14"/>
        <v>6117.8349765581133</v>
      </c>
      <c r="AS36" s="132">
        <f t="shared" si="14"/>
        <v>6239.7444378807613</v>
      </c>
      <c r="AT36" s="132">
        <f t="shared" si="14"/>
        <v>6204.2691964576388</v>
      </c>
      <c r="AU36" s="132">
        <f t="shared" si="14"/>
        <v>5912.5962641335282</v>
      </c>
      <c r="AV36" s="132">
        <f t="shared" si="14"/>
        <v>6155.0519441006254</v>
      </c>
      <c r="AW36" s="132">
        <f t="shared" si="14"/>
        <v>6375.9613514237471</v>
      </c>
      <c r="AX36" s="132">
        <f t="shared" si="14"/>
        <v>6606.5145954268719</v>
      </c>
      <c r="AY36" s="132">
        <f t="shared" si="14"/>
        <v>6891.9681276607844</v>
      </c>
    </row>
    <row r="37" spans="1:51" x14ac:dyDescent="0.2"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18"/>
      <c r="Y37" s="118"/>
      <c r="Z37" s="118"/>
      <c r="AA37" s="118"/>
      <c r="AB37" s="118"/>
      <c r="AC37" s="118"/>
      <c r="AD37" s="118"/>
      <c r="AE37" s="118"/>
      <c r="AF37" s="118"/>
      <c r="AG37" s="118"/>
      <c r="AH37" s="118"/>
      <c r="AI37" s="118"/>
      <c r="AJ37" s="118"/>
      <c r="AK37" s="118"/>
      <c r="AL37" s="118"/>
      <c r="AM37" s="118"/>
      <c r="AN37" s="118"/>
      <c r="AO37" s="118"/>
      <c r="AP37" s="118"/>
      <c r="AQ37" s="118"/>
      <c r="AR37" s="118"/>
      <c r="AS37" s="118"/>
      <c r="AT37" s="118"/>
      <c r="AU37" s="118"/>
      <c r="AV37" s="118"/>
      <c r="AW37" s="118"/>
      <c r="AX37" s="118"/>
      <c r="AY37" s="118"/>
    </row>
    <row r="38" spans="1:51" ht="12" thickBot="1" x14ac:dyDescent="0.25">
      <c r="A38" s="121" t="s">
        <v>207</v>
      </c>
    </row>
    <row r="39" spans="1:51" ht="12" thickBot="1" x14ac:dyDescent="0.25">
      <c r="A39" s="122"/>
      <c r="B39" s="122">
        <v>2001</v>
      </c>
      <c r="C39" s="122">
        <v>2002</v>
      </c>
      <c r="D39" s="122">
        <v>2003</v>
      </c>
      <c r="E39" s="122">
        <v>2004</v>
      </c>
      <c r="F39" s="122">
        <v>2005</v>
      </c>
      <c r="G39" s="122">
        <v>2006</v>
      </c>
      <c r="H39" s="122">
        <v>2007</v>
      </c>
      <c r="I39" s="122">
        <v>2008</v>
      </c>
      <c r="J39" s="122">
        <v>2009</v>
      </c>
      <c r="K39" s="122">
        <v>2010</v>
      </c>
      <c r="L39" s="128">
        <v>2011</v>
      </c>
      <c r="M39" s="171">
        <f t="shared" ref="M39:AY39" si="15">M2</f>
        <v>2012</v>
      </c>
      <c r="N39" s="171">
        <f t="shared" si="15"/>
        <v>2013</v>
      </c>
      <c r="O39" s="171">
        <f t="shared" si="15"/>
        <v>2014</v>
      </c>
      <c r="P39" s="171">
        <f t="shared" si="15"/>
        <v>2015</v>
      </c>
      <c r="Q39" s="171">
        <f t="shared" si="15"/>
        <v>2016</v>
      </c>
      <c r="R39" s="171">
        <f t="shared" si="15"/>
        <v>2017</v>
      </c>
      <c r="S39" s="171">
        <f t="shared" si="15"/>
        <v>2018</v>
      </c>
      <c r="T39" s="171">
        <f t="shared" si="15"/>
        <v>2019</v>
      </c>
      <c r="U39" s="171">
        <f t="shared" si="15"/>
        <v>2020</v>
      </c>
      <c r="V39" s="171">
        <f t="shared" si="15"/>
        <v>2021</v>
      </c>
      <c r="W39" s="171">
        <f t="shared" si="15"/>
        <v>2022</v>
      </c>
      <c r="X39" s="171">
        <f t="shared" si="15"/>
        <v>2023</v>
      </c>
      <c r="Y39" s="171">
        <f t="shared" si="15"/>
        <v>2024</v>
      </c>
      <c r="Z39" s="171">
        <f t="shared" si="15"/>
        <v>2025</v>
      </c>
      <c r="AA39" s="171">
        <f t="shared" si="15"/>
        <v>2026</v>
      </c>
      <c r="AB39" s="171">
        <f t="shared" si="15"/>
        <v>2027</v>
      </c>
      <c r="AC39" s="171">
        <f t="shared" si="15"/>
        <v>2028</v>
      </c>
      <c r="AD39" s="171">
        <f t="shared" si="15"/>
        <v>2029</v>
      </c>
      <c r="AE39" s="171">
        <f t="shared" si="15"/>
        <v>2030</v>
      </c>
      <c r="AF39" s="171">
        <f t="shared" si="15"/>
        <v>2031</v>
      </c>
      <c r="AG39" s="171">
        <f t="shared" si="15"/>
        <v>2032</v>
      </c>
      <c r="AH39" s="171">
        <f t="shared" si="15"/>
        <v>2033</v>
      </c>
      <c r="AI39" s="171">
        <f t="shared" si="15"/>
        <v>2034</v>
      </c>
      <c r="AJ39" s="171">
        <f t="shared" si="15"/>
        <v>2035</v>
      </c>
      <c r="AK39" s="171">
        <f t="shared" si="15"/>
        <v>2036</v>
      </c>
      <c r="AL39" s="171">
        <f t="shared" si="15"/>
        <v>2037</v>
      </c>
      <c r="AM39" s="171">
        <f t="shared" si="15"/>
        <v>2038</v>
      </c>
      <c r="AN39" s="171">
        <f t="shared" si="15"/>
        <v>2039</v>
      </c>
      <c r="AO39" s="171">
        <f t="shared" si="15"/>
        <v>2040</v>
      </c>
      <c r="AP39" s="171">
        <f t="shared" si="15"/>
        <v>2041</v>
      </c>
      <c r="AQ39" s="171">
        <f t="shared" si="15"/>
        <v>2042</v>
      </c>
      <c r="AR39" s="171">
        <f t="shared" si="15"/>
        <v>2043</v>
      </c>
      <c r="AS39" s="171">
        <f t="shared" si="15"/>
        <v>2044</v>
      </c>
      <c r="AT39" s="171">
        <f t="shared" si="15"/>
        <v>2045</v>
      </c>
      <c r="AU39" s="171">
        <f t="shared" si="15"/>
        <v>2046</v>
      </c>
      <c r="AV39" s="171">
        <f t="shared" si="15"/>
        <v>2047</v>
      </c>
      <c r="AW39" s="171">
        <f t="shared" si="15"/>
        <v>2048</v>
      </c>
      <c r="AX39" s="171">
        <f t="shared" si="15"/>
        <v>2049</v>
      </c>
      <c r="AY39" s="171">
        <f t="shared" si="15"/>
        <v>2050</v>
      </c>
    </row>
    <row r="40" spans="1:51" x14ac:dyDescent="0.2">
      <c r="A40" s="19" t="s">
        <v>162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172">
        <f>('[3]Monthly Gallon Summary'!C99+'[3]Monthly Gallon Summary'!C115)/1000000</f>
        <v>0</v>
      </c>
      <c r="M40" s="172">
        <f>('[3]Monthly Gallon Summary'!D99+'[3]Monthly Gallon Summary'!D115)/1000000</f>
        <v>0</v>
      </c>
      <c r="N40" s="172">
        <f>('[3]Monthly Gallon Summary'!E99+'[3]Monthly Gallon Summary'!E115)/1000000</f>
        <v>7.0097149999999999</v>
      </c>
      <c r="O40" s="172">
        <f>('[3]Monthly Gallon Summary'!F99+'[3]Monthly Gallon Summary'!F115)/1000000</f>
        <v>33.400671000000003</v>
      </c>
      <c r="P40" s="172">
        <f>('[3]Monthly Gallon Summary'!G99+'[3]Monthly Gallon Summary'!G115)/1000000</f>
        <v>30.183332</v>
      </c>
      <c r="Q40" s="172">
        <f>('[3]Monthly Gallon Summary'!H99+'[3]Monthly Gallon Summary'!H115)/1000000</f>
        <v>26.199124999999999</v>
      </c>
      <c r="R40" s="172">
        <f>('[3]Monthly Gallon Summary'!I99+'[3]Monthly Gallon Summary'!I115)/1000000</f>
        <v>30.476694999999999</v>
      </c>
      <c r="S40" s="172">
        <f>('[3]Monthly Gallon Summary'!J99+'[3]Monthly Gallon Summary'!J115)/1000000</f>
        <v>31.803799000000001</v>
      </c>
      <c r="T40" s="172">
        <f>('[3]Monthly Gallon Summary'!K99+'[3]Monthly Gallon Summary'!K115)/1000000</f>
        <v>27.498052000000001</v>
      </c>
      <c r="U40" s="172">
        <f>('[3]Monthly Gallon Summary'!L99+'[3]Monthly Gallon Summary'!L115)/1000000</f>
        <v>29.777982999999999</v>
      </c>
      <c r="V40" s="172">
        <f>('[3]Monthly Gallon Summary'!M99+'[3]Monthly Gallon Summary'!M115)/1000000</f>
        <v>35.976103000000002</v>
      </c>
      <c r="W40" s="172">
        <f>('[3]Monthly Gallon Summary'!N99+'[3]Monthly Gallon Summary'!N115)/1000000</f>
        <v>34.614001000000002</v>
      </c>
      <c r="X40" s="172">
        <f>('[3]Monthly Gallon Summary'!O99+'[3]Monthly Gallon Summary'!O115)/1000000</f>
        <v>42.148710999999999</v>
      </c>
      <c r="Y40" s="172">
        <f>('[3]Monthly Gallon Summary'!P99+'[3]Monthly Gallon Summary'!P115)/1000000</f>
        <v>24.232959999999999</v>
      </c>
      <c r="Z40" s="172">
        <f>('[3]Monthly Gallon Summary'!Q99+'[3]Monthly Gallon Summary'!Q115)/1000000</f>
        <v>0</v>
      </c>
      <c r="AA40" s="173">
        <f>('[3]Monthly Gallon Summary'!R99+'[3]Monthly Gallon Summary'!R115)/1000000</f>
        <v>19.880459240872472</v>
      </c>
      <c r="AB40" s="173">
        <f>('[3]Monthly Gallon Summary'!S99+'[3]Monthly Gallon Summary'!S115)/1000000</f>
        <v>17.883204211857176</v>
      </c>
      <c r="AC40" s="173">
        <f>('[3]Monthly Gallon Summary'!T99+'[3]Monthly Gallon Summary'!T115)/1000000</f>
        <v>15.357222123277106</v>
      </c>
      <c r="AD40" s="173">
        <f>('[3]Monthly Gallon Summary'!U99+'[3]Monthly Gallon Summary'!U115)/1000000</f>
        <v>12.728717603032351</v>
      </c>
      <c r="AE40" s="173">
        <f>('[3]Monthly Gallon Summary'!V99+'[3]Monthly Gallon Summary'!V115)/1000000</f>
        <v>10.582971939488427</v>
      </c>
      <c r="AF40" s="173">
        <f>('[3]Monthly Gallon Summary'!W99+'[3]Monthly Gallon Summary'!W115)/1000000</f>
        <v>12.50714865575905</v>
      </c>
      <c r="AG40" s="173">
        <f>('[3]Monthly Gallon Summary'!X99+'[3]Monthly Gallon Summary'!X115)/1000000</f>
        <v>10.832825809162999</v>
      </c>
      <c r="AH40" s="173">
        <f>('[3]Monthly Gallon Summary'!Y99+'[3]Monthly Gallon Summary'!Y115)/1000000</f>
        <v>10.026968821137691</v>
      </c>
      <c r="AI40" s="173">
        <f>('[3]Monthly Gallon Summary'!Z99+'[3]Monthly Gallon Summary'!Z115)/1000000</f>
        <v>9.3597742285729293</v>
      </c>
      <c r="AJ40" s="173">
        <f>('[3]Monthly Gallon Summary'!AA99+'[3]Monthly Gallon Summary'!AA115)/1000000</f>
        <v>9.407592256609604</v>
      </c>
      <c r="AK40" s="173">
        <f>('[3]Monthly Gallon Summary'!AB99+'[3]Monthly Gallon Summary'!AB115)/1000000</f>
        <v>4.0103315208647885</v>
      </c>
      <c r="AL40" s="173">
        <f>('[3]Monthly Gallon Summary'!AC99+'[3]Monthly Gallon Summary'!AC115)/1000000</f>
        <v>2.7082064522907499</v>
      </c>
      <c r="AM40" s="173">
        <f>('[3]Monthly Gallon Summary'!AD99+'[3]Monthly Gallon Summary'!AD115)/1000000</f>
        <v>2.6386760055625507</v>
      </c>
      <c r="AN40" s="173">
        <f>('[3]Monthly Gallon Summary'!AE99+'[3]Monthly Gallon Summary'!AE115)/1000000</f>
        <v>2.5999372857147027</v>
      </c>
      <c r="AO40" s="173">
        <f>('[3]Monthly Gallon Summary'!AF99+'[3]Monthly Gallon Summary'!AF115)/1000000</f>
        <v>2.6132200712804461</v>
      </c>
      <c r="AP40" s="173">
        <f>('[3]Monthly Gallon Summary'!AG99+'[3]Monthly Gallon Summary'!AG115)/1000000</f>
        <v>2.6735543472431935</v>
      </c>
      <c r="AQ40" s="173">
        <f>('[3]Monthly Gallon Summary'!AH99+'[3]Monthly Gallon Summary'!AH115)/1000000</f>
        <v>2.6446965234150315</v>
      </c>
      <c r="AR40" s="173">
        <f>('[3]Monthly Gallon Summary'!AI99+'[3]Monthly Gallon Summary'!AI115)/1000000</f>
        <v>2.6305832058870942</v>
      </c>
      <c r="AS40" s="173">
        <f>('[3]Monthly Gallon Summary'!AJ99+'[3]Monthly Gallon Summary'!AJ115)/1000000</f>
        <v>2.6284654639159464</v>
      </c>
      <c r="AT40" s="173">
        <f>('[3]Monthly Gallon Summary'!AK99+'[3]Monthly Gallon Summary'!AK115)/1000000</f>
        <v>2.6376226569188139</v>
      </c>
      <c r="AU40" s="173">
        <f>('[3]Monthly Gallon Summary'!AL99+'[3]Monthly Gallon Summary'!AL115)/1000000</f>
        <v>2.6491584246751345</v>
      </c>
      <c r="AV40" s="173">
        <f>('[3]Monthly Gallon Summary'!AM99+'[3]Monthly Gallon Summary'!AM115)/1000000</f>
        <v>2.6467188324183288</v>
      </c>
      <c r="AW40" s="173">
        <f>('[3]Monthly Gallon Summary'!AN99+'[3]Monthly Gallon Summary'!AN115)/1000000</f>
        <v>2.6340168466431848</v>
      </c>
      <c r="AX40" s="173">
        <f>('[3]Monthly Gallon Summary'!AO99+'[3]Monthly Gallon Summary'!AO115)/1000000</f>
        <v>2.6323982867080935</v>
      </c>
      <c r="AY40" s="173">
        <f>('[3]Monthly Gallon Summary'!AP99+'[3]Monthly Gallon Summary'!AP115)/1000000</f>
        <v>2.6381039223483422</v>
      </c>
    </row>
    <row r="41" spans="1:51" x14ac:dyDescent="0.2">
      <c r="A41" s="19" t="s">
        <v>163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172">
        <f>('[3]Monthly Gallon Summary'!C100+'[3]Monthly Gallon Summary'!C116)/1000000</f>
        <v>0</v>
      </c>
      <c r="M41" s="172">
        <f>('[3]Monthly Gallon Summary'!D100+'[3]Monthly Gallon Summary'!D116)/1000000</f>
        <v>0</v>
      </c>
      <c r="N41" s="172">
        <f>('[3]Monthly Gallon Summary'!E100+'[3]Monthly Gallon Summary'!E116)/1000000</f>
        <v>2.4058920000000001</v>
      </c>
      <c r="O41" s="172">
        <f>('[3]Monthly Gallon Summary'!F100+'[3]Monthly Gallon Summary'!F116)/1000000</f>
        <v>35.953651999999998</v>
      </c>
      <c r="P41" s="172">
        <f>('[3]Monthly Gallon Summary'!G100+'[3]Monthly Gallon Summary'!G116)/1000000</f>
        <v>25.603549000000001</v>
      </c>
      <c r="Q41" s="172">
        <f>('[3]Monthly Gallon Summary'!H100+'[3]Monthly Gallon Summary'!H116)/1000000</f>
        <v>24.430108000000001</v>
      </c>
      <c r="R41" s="172">
        <f>('[3]Monthly Gallon Summary'!I100+'[3]Monthly Gallon Summary'!I116)/1000000</f>
        <v>24.245166999999999</v>
      </c>
      <c r="S41" s="172">
        <f>('[3]Monthly Gallon Summary'!J100+'[3]Monthly Gallon Summary'!J116)/1000000</f>
        <v>28.296029999999998</v>
      </c>
      <c r="T41" s="172">
        <f>('[3]Monthly Gallon Summary'!K100+'[3]Monthly Gallon Summary'!K116)/1000000</f>
        <v>33.386660999999997</v>
      </c>
      <c r="U41" s="172">
        <f>('[3]Monthly Gallon Summary'!L100+'[3]Monthly Gallon Summary'!L116)/1000000</f>
        <v>40.666518000000003</v>
      </c>
      <c r="V41" s="172">
        <f>('[3]Monthly Gallon Summary'!M100+'[3]Monthly Gallon Summary'!M116)/1000000</f>
        <v>35.138122000000003</v>
      </c>
      <c r="W41" s="172">
        <f>('[3]Monthly Gallon Summary'!N100+'[3]Monthly Gallon Summary'!N116)/1000000</f>
        <v>33.553587</v>
      </c>
      <c r="X41" s="172">
        <f>('[3]Monthly Gallon Summary'!O100+'[3]Monthly Gallon Summary'!O116)/1000000</f>
        <v>33.382185999999997</v>
      </c>
      <c r="Y41" s="172">
        <f>('[3]Monthly Gallon Summary'!P100+'[3]Monthly Gallon Summary'!P116)/1000000</f>
        <v>56.213822999999998</v>
      </c>
      <c r="Z41" s="172">
        <f>('[3]Monthly Gallon Summary'!Q100+'[3]Monthly Gallon Summary'!Q116)/1000000</f>
        <v>0</v>
      </c>
      <c r="AA41" s="173">
        <f>('[3]Monthly Gallon Summary'!R100+'[3]Monthly Gallon Summary'!R116)/1000000</f>
        <v>23.468739279069105</v>
      </c>
      <c r="AB41" s="173">
        <f>('[3]Monthly Gallon Summary'!S100+'[3]Monthly Gallon Summary'!S116)/1000000</f>
        <v>22.370115195129227</v>
      </c>
      <c r="AC41" s="173">
        <f>('[3]Monthly Gallon Summary'!T100+'[3]Monthly Gallon Summary'!T116)/1000000</f>
        <v>20.731065204576122</v>
      </c>
      <c r="AD41" s="173">
        <f>('[3]Monthly Gallon Summary'!U100+'[3]Monthly Gallon Summary'!U116)/1000000</f>
        <v>20.2042907519814</v>
      </c>
      <c r="AE41" s="173">
        <f>('[3]Monthly Gallon Summary'!V100+'[3]Monthly Gallon Summary'!V116)/1000000</f>
        <v>13.945855247800049</v>
      </c>
      <c r="AF41" s="173">
        <f>('[3]Monthly Gallon Summary'!W100+'[3]Monthly Gallon Summary'!W116)/1000000</f>
        <v>16.481465292854605</v>
      </c>
      <c r="AG41" s="173">
        <f>('[3]Monthly Gallon Summary'!X100+'[3]Monthly Gallon Summary'!X116)/1000000</f>
        <v>14.703183010563359</v>
      </c>
      <c r="AH41" s="173">
        <f>('[3]Monthly Gallon Summary'!Y100+'[3]Monthly Gallon Summary'!Y116)/1000000</f>
        <v>13.917032601257322</v>
      </c>
      <c r="AI41" s="173">
        <f>('[3]Monthly Gallon Summary'!Z100+'[3]Monthly Gallon Summary'!Z116)/1000000</f>
        <v>13.087457653946982</v>
      </c>
      <c r="AJ41" s="173">
        <f>('[3]Monthly Gallon Summary'!AA100+'[3]Monthly Gallon Summary'!AA116)/1000000</f>
        <v>12.729704789368645</v>
      </c>
      <c r="AK41" s="173">
        <f>('[3]Monthly Gallon Summary'!AB100+'[3]Monthly Gallon Summary'!AB116)/1000000</f>
        <v>5.4552956421531453</v>
      </c>
      <c r="AL41" s="173">
        <f>('[3]Monthly Gallon Summary'!AC100+'[3]Monthly Gallon Summary'!AC116)/1000000</f>
        <v>3.6757957526408398</v>
      </c>
      <c r="AM41" s="173">
        <f>('[3]Monthly Gallon Summary'!AD100+'[3]Monthly Gallon Summary'!AD116)/1000000</f>
        <v>3.6623770003308751</v>
      </c>
      <c r="AN41" s="173">
        <f>('[3]Monthly Gallon Summary'!AE100+'[3]Monthly Gallon Summary'!AE116)/1000000</f>
        <v>3.6354049038741625</v>
      </c>
      <c r="AO41" s="173">
        <f>('[3]Monthly Gallon Summary'!AF100+'[3]Monthly Gallon Summary'!AF116)/1000000</f>
        <v>3.5360291081579573</v>
      </c>
      <c r="AP41" s="173">
        <f>('[3]Monthly Gallon Summary'!AG100+'[3]Monthly Gallon Summary'!AG116)/1000000</f>
        <v>3.636863761435432</v>
      </c>
      <c r="AQ41" s="173">
        <f>('[3]Monthly Gallon Summary'!AH100+'[3]Monthly Gallon Summary'!AH116)/1000000</f>
        <v>3.6298590119569369</v>
      </c>
      <c r="AR41" s="173">
        <f>('[3]Monthly Gallon Summary'!AI100+'[3]Monthly Gallon Summary'!AI116)/1000000</f>
        <v>3.6196508473605147</v>
      </c>
      <c r="AS41" s="173">
        <f>('[3]Monthly Gallon Summary'!AJ100+'[3]Monthly Gallon Summary'!AJ116)/1000000</f>
        <v>3.6084701718168684</v>
      </c>
      <c r="AT41" s="173">
        <f>('[3]Monthly Gallon Summary'!AK100+'[3]Monthly Gallon Summary'!AK116)/1000000</f>
        <v>3.5998244553540335</v>
      </c>
      <c r="AU41" s="173">
        <f>('[3]Monthly Gallon Summary'!AL100+'[3]Monthly Gallon Summary'!AL116)/1000000</f>
        <v>3.6299822558467247</v>
      </c>
      <c r="AV41" s="173">
        <f>('[3]Monthly Gallon Summary'!AM100+'[3]Monthly Gallon Summary'!AM116)/1000000</f>
        <v>3.6292941052878529</v>
      </c>
      <c r="AW41" s="173">
        <f>('[3]Monthly Gallon Summary'!AN100+'[3]Monthly Gallon Summary'!AN116)/1000000</f>
        <v>3.6201067571510723</v>
      </c>
      <c r="AX41" s="173">
        <f>('[3]Monthly Gallon Summary'!AO100+'[3]Monthly Gallon Summary'!AO116)/1000000</f>
        <v>3.6115615265570007</v>
      </c>
      <c r="AY41" s="173">
        <f>('[3]Monthly Gallon Summary'!AP100+'[3]Monthly Gallon Summary'!AP116)/1000000</f>
        <v>3.606174580145542</v>
      </c>
    </row>
    <row r="42" spans="1:51" x14ac:dyDescent="0.2">
      <c r="A42" s="19" t="s">
        <v>164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172">
        <f>('[3]Monthly Gallon Summary'!C101+'[3]Monthly Gallon Summary'!C117)/1000000</f>
        <v>0</v>
      </c>
      <c r="M42" s="172">
        <f>('[3]Monthly Gallon Summary'!D101+'[3]Monthly Gallon Summary'!D117)/1000000</f>
        <v>3.1184280000000002</v>
      </c>
      <c r="N42" s="172">
        <f>('[3]Monthly Gallon Summary'!E101+'[3]Monthly Gallon Summary'!E117)/1000000</f>
        <v>17.946287000000002</v>
      </c>
      <c r="O42" s="172">
        <f>('[3]Monthly Gallon Summary'!F101+'[3]Monthly Gallon Summary'!F117)/1000000</f>
        <v>35.769457000000003</v>
      </c>
      <c r="P42" s="172">
        <f>('[3]Monthly Gallon Summary'!G101+'[3]Monthly Gallon Summary'!G117)/1000000</f>
        <v>26.064696000000001</v>
      </c>
      <c r="Q42" s="172">
        <f>('[3]Monthly Gallon Summary'!H101+'[3]Monthly Gallon Summary'!H117)/1000000</f>
        <v>25.938753999999999</v>
      </c>
      <c r="R42" s="172">
        <f>('[3]Monthly Gallon Summary'!I101+'[3]Monthly Gallon Summary'!I117)/1000000</f>
        <v>30.878391000000001</v>
      </c>
      <c r="S42" s="172">
        <f>('[3]Monthly Gallon Summary'!J101+'[3]Monthly Gallon Summary'!J117)/1000000</f>
        <v>28.445622</v>
      </c>
      <c r="T42" s="172">
        <f>('[3]Monthly Gallon Summary'!K101+'[3]Monthly Gallon Summary'!K117)/1000000</f>
        <v>32.948385999999999</v>
      </c>
      <c r="U42" s="172">
        <f>('[3]Monthly Gallon Summary'!L101+'[3]Monthly Gallon Summary'!L117)/1000000</f>
        <v>43.695656999999997</v>
      </c>
      <c r="V42" s="172">
        <f>('[3]Monthly Gallon Summary'!M101+'[3]Monthly Gallon Summary'!M117)/1000000</f>
        <v>46.570075000000003</v>
      </c>
      <c r="W42" s="172">
        <f>('[3]Monthly Gallon Summary'!N101+'[3]Monthly Gallon Summary'!N117)/1000000</f>
        <v>43.011803</v>
      </c>
      <c r="X42" s="172">
        <f>('[3]Monthly Gallon Summary'!O101+'[3]Monthly Gallon Summary'!O117)/1000000</f>
        <v>41.029273000000003</v>
      </c>
      <c r="Y42" s="172">
        <f>('[3]Monthly Gallon Summary'!P101+'[3]Monthly Gallon Summary'!P117)/1000000</f>
        <v>26.633514000000002</v>
      </c>
      <c r="Z42" s="173">
        <f>('[3]Monthly Gallon Summary'!Q101+'[3]Monthly Gallon Summary'!Q117)/1000000</f>
        <v>20.112020000000001</v>
      </c>
      <c r="AA42" s="173">
        <f>('[3]Monthly Gallon Summary'!R101+'[3]Monthly Gallon Summary'!R117)/1000000</f>
        <v>23.866352757887888</v>
      </c>
      <c r="AB42" s="173">
        <f>('[3]Monthly Gallon Summary'!S101+'[3]Monthly Gallon Summary'!S117)/1000000</f>
        <v>21.043662833512599</v>
      </c>
      <c r="AC42" s="173">
        <f>('[3]Monthly Gallon Summary'!T101+'[3]Monthly Gallon Summary'!T117)/1000000</f>
        <v>17.997338760218735</v>
      </c>
      <c r="AD42" s="173">
        <f>('[3]Monthly Gallon Summary'!U101+'[3]Monthly Gallon Summary'!U117)/1000000</f>
        <v>15.957494692020211</v>
      </c>
      <c r="AE42" s="173">
        <f>('[3]Monthly Gallon Summary'!V101+'[3]Monthly Gallon Summary'!V117)/1000000</f>
        <v>13.869557203442053</v>
      </c>
      <c r="AF42" s="173">
        <f>('[3]Monthly Gallon Summary'!W101+'[3]Monthly Gallon Summary'!W117)/1000000</f>
        <v>15.174721022249699</v>
      </c>
      <c r="AG42" s="173">
        <f>('[3]Monthly Gallon Summary'!X101+'[3]Monthly Gallon Summary'!X117)/1000000</f>
        <v>13.183180315520522</v>
      </c>
      <c r="AH42" s="173">
        <f>('[3]Monthly Gallon Summary'!Y101+'[3]Monthly Gallon Summary'!Y117)/1000000</f>
        <v>12.318838705324028</v>
      </c>
      <c r="AI42" s="173">
        <f>('[3]Monthly Gallon Summary'!Z101+'[3]Monthly Gallon Summary'!Z117)/1000000</f>
        <v>11.642828026550616</v>
      </c>
      <c r="AJ42" s="173">
        <f>('[3]Monthly Gallon Summary'!AA101+'[3]Monthly Gallon Summary'!AA117)/1000000</f>
        <v>11.68043387172122</v>
      </c>
      <c r="AK42" s="173">
        <f>('[3]Monthly Gallon Summary'!AB101+'[3]Monthly Gallon Summary'!AB117)/1000000</f>
        <v>4.9230770724127755</v>
      </c>
      <c r="AL42" s="173">
        <f>('[3]Monthly Gallon Summary'!AC101+'[3]Monthly Gallon Summary'!AC117)/1000000</f>
        <v>3.2957950788801305</v>
      </c>
      <c r="AM42" s="173">
        <f>('[3]Monthly Gallon Summary'!AD101+'[3]Monthly Gallon Summary'!AD117)/1000000</f>
        <v>3.2417996592957974</v>
      </c>
      <c r="AN42" s="173">
        <f>('[3]Monthly Gallon Summary'!AE101+'[3]Monthly Gallon Summary'!AE117)/1000000</f>
        <v>3.2341188962640603</v>
      </c>
      <c r="AO42" s="173">
        <f>('[3]Monthly Gallon Summary'!AF101+'[3]Monthly Gallon Summary'!AF117)/1000000</f>
        <v>3.2445649643670063</v>
      </c>
      <c r="AP42" s="173">
        <f>('[3]Monthly Gallon Summary'!AG101+'[3]Monthly Gallon Summary'!AG117)/1000000</f>
        <v>3.2820513816085177</v>
      </c>
      <c r="AQ42" s="173">
        <f>('[3]Monthly Gallon Summary'!AH101+'[3]Monthly Gallon Summary'!AH117)/1000000</f>
        <v>3.2574762419108585</v>
      </c>
      <c r="AR42" s="173">
        <f>('[3]Monthly Gallon Summary'!AI101+'[3]Monthly Gallon Summary'!AI117)/1000000</f>
        <v>3.2489609448065764</v>
      </c>
      <c r="AS42" s="173">
        <f>('[3]Monthly Gallon Summary'!AJ101+'[3]Monthly Gallon Summary'!AJ117)/1000000</f>
        <v>3.2508349260617333</v>
      </c>
      <c r="AT42" s="173">
        <f>('[3]Monthly Gallon Summary'!AK101+'[3]Monthly Gallon Summary'!AK117)/1000000</f>
        <v>3.256200565256048</v>
      </c>
      <c r="AU42" s="173">
        <f>('[3]Monthly Gallon Summary'!AL101+'[3]Monthly Gallon Summary'!AL117)/1000000</f>
        <v>3.2617010311308681</v>
      </c>
      <c r="AV42" s="173">
        <f>('[3]Monthly Gallon Summary'!AM101+'[3]Monthly Gallon Summary'!AM117)/1000000</f>
        <v>3.2596659960831023</v>
      </c>
      <c r="AW42" s="173">
        <f>('[3]Monthly Gallon Summary'!AN101+'[3]Monthly Gallon Summary'!AN117)/1000000</f>
        <v>3.2520022286892485</v>
      </c>
      <c r="AX42" s="173">
        <f>('[3]Monthly Gallon Summary'!AO101+'[3]Monthly Gallon Summary'!AO117)/1000000</f>
        <v>3.2534344857914039</v>
      </c>
      <c r="AY42" s="173">
        <f>('[3]Monthly Gallon Summary'!AP101+'[3]Monthly Gallon Summary'!AP117)/1000000</f>
        <v>3.2567776917509383</v>
      </c>
    </row>
    <row r="43" spans="1:51" x14ac:dyDescent="0.2">
      <c r="A43" s="19" t="s">
        <v>165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172">
        <f>('[3]Monthly Gallon Summary'!C102+'[3]Monthly Gallon Summary'!C118)/1000000</f>
        <v>0</v>
      </c>
      <c r="M43" s="172">
        <f>('[3]Monthly Gallon Summary'!D102+'[3]Monthly Gallon Summary'!D118)/1000000</f>
        <v>0.64888100000000004</v>
      </c>
      <c r="N43" s="172">
        <f>('[3]Monthly Gallon Summary'!E102+'[3]Monthly Gallon Summary'!E118)/1000000</f>
        <v>8.5899599999999996</v>
      </c>
      <c r="O43" s="172">
        <f>('[3]Monthly Gallon Summary'!F102+'[3]Monthly Gallon Summary'!F118)/1000000</f>
        <v>38.494565000000001</v>
      </c>
      <c r="P43" s="172">
        <f>('[3]Monthly Gallon Summary'!G102+'[3]Monthly Gallon Summary'!G118)/1000000</f>
        <v>27.472168</v>
      </c>
      <c r="Q43" s="172">
        <f>('[3]Monthly Gallon Summary'!H102+'[3]Monthly Gallon Summary'!H118)/1000000</f>
        <v>34.395316000000001</v>
      </c>
      <c r="R43" s="172">
        <f>('[3]Monthly Gallon Summary'!I102+'[3]Monthly Gallon Summary'!I118)/1000000</f>
        <v>28.890013</v>
      </c>
      <c r="S43" s="172">
        <f>('[3]Monthly Gallon Summary'!J102+'[3]Monthly Gallon Summary'!J118)/1000000</f>
        <v>31.753453</v>
      </c>
      <c r="T43" s="172">
        <f>('[3]Monthly Gallon Summary'!K102+'[3]Monthly Gallon Summary'!K118)/1000000</f>
        <v>35.712304000000003</v>
      </c>
      <c r="U43" s="172">
        <f>('[3]Monthly Gallon Summary'!L102+'[3]Monthly Gallon Summary'!L118)/1000000</f>
        <v>34.143403999999997</v>
      </c>
      <c r="V43" s="172">
        <f>('[3]Monthly Gallon Summary'!M102+'[3]Monthly Gallon Summary'!M118)/1000000</f>
        <v>43.085985999999998</v>
      </c>
      <c r="W43" s="172">
        <f>('[3]Monthly Gallon Summary'!N102+'[3]Monthly Gallon Summary'!N118)/1000000</f>
        <v>43.291572000000002</v>
      </c>
      <c r="X43" s="172">
        <f>('[3]Monthly Gallon Summary'!O102+'[3]Monthly Gallon Summary'!O118)/1000000</f>
        <v>43.711678999999997</v>
      </c>
      <c r="Y43" s="172">
        <f>('[3]Monthly Gallon Summary'!P102+'[3]Monthly Gallon Summary'!P118)/1000000</f>
        <v>27.627663999999999</v>
      </c>
      <c r="Z43" s="173">
        <f>('[3]Monthly Gallon Summary'!Q102+'[3]Monthly Gallon Summary'!Q118)/1000000</f>
        <v>18.783896830137824</v>
      </c>
      <c r="AA43" s="173">
        <f>('[3]Monthly Gallon Summary'!R102+'[3]Monthly Gallon Summary'!R118)/1000000</f>
        <v>25.636030997711245</v>
      </c>
      <c r="AB43" s="173">
        <f>('[3]Monthly Gallon Summary'!S102+'[3]Monthly Gallon Summary'!S118)/1000000</f>
        <v>23.651913529208844</v>
      </c>
      <c r="AC43" s="173">
        <f>('[3]Monthly Gallon Summary'!T102+'[3]Monthly Gallon Summary'!T118)/1000000</f>
        <v>20.835365962812116</v>
      </c>
      <c r="AD43" s="173">
        <f>('[3]Monthly Gallon Summary'!U102+'[3]Monthly Gallon Summary'!U118)/1000000</f>
        <v>19.176027473370173</v>
      </c>
      <c r="AE43" s="173">
        <f>('[3]Monthly Gallon Summary'!V102+'[3]Monthly Gallon Summary'!V118)/1000000</f>
        <v>17.37051987748503</v>
      </c>
      <c r="AF43" s="173">
        <f>('[3]Monthly Gallon Summary'!W102+'[3]Monthly Gallon Summary'!W118)/1000000</f>
        <v>17.455067646641574</v>
      </c>
      <c r="AG43" s="173">
        <f>('[3]Monthly Gallon Summary'!X102+'[3]Monthly Gallon Summary'!X118)/1000000</f>
        <v>15.449238351296906</v>
      </c>
      <c r="AH43" s="173">
        <f>('[3]Monthly Gallon Summary'!Y102+'[3]Monthly Gallon Summary'!Y118)/1000000</f>
        <v>14.599473761025619</v>
      </c>
      <c r="AI43" s="173">
        <f>('[3]Monthly Gallon Summary'!Z102+'[3]Monthly Gallon Summary'!Z118)/1000000</f>
        <v>13.879870531896767</v>
      </c>
      <c r="AJ43" s="173">
        <f>('[3]Monthly Gallon Summary'!AA102+'[3]Monthly Gallon Summary'!AA118)/1000000</f>
        <v>13.897794735590452</v>
      </c>
      <c r="AK43" s="173">
        <f>('[3]Monthly Gallon Summary'!AB102+'[3]Monthly Gallon Summary'!AB118)/1000000</f>
        <v>5.7908803866501</v>
      </c>
      <c r="AL43" s="173">
        <f>('[3]Monthly Gallon Summary'!AC102+'[3]Monthly Gallon Summary'!AC118)/1000000</f>
        <v>3.8623095878242264</v>
      </c>
      <c r="AM43" s="173">
        <f>('[3]Monthly Gallon Summary'!AD102+'[3]Monthly Gallon Summary'!AD118)/1000000</f>
        <v>3.8419667792172687</v>
      </c>
      <c r="AN43" s="173">
        <f>('[3]Monthly Gallon Summary'!AE102+'[3]Monthly Gallon Summary'!AE118)/1000000</f>
        <v>3.8555195921935472</v>
      </c>
      <c r="AO43" s="173">
        <f>('[3]Monthly Gallon Summary'!AF102+'[3]Monthly Gallon Summary'!AF118)/1000000</f>
        <v>3.8604985376640153</v>
      </c>
      <c r="AP43" s="173">
        <f>('[3]Monthly Gallon Summary'!AG102+'[3]Monthly Gallon Summary'!AG118)/1000000</f>
        <v>3.8605869244334015</v>
      </c>
      <c r="AQ43" s="173">
        <f>('[3]Monthly Gallon Summary'!AH102+'[3]Monthly Gallon Summary'!AH118)/1000000</f>
        <v>3.8555913797854462</v>
      </c>
      <c r="AR43" s="173">
        <f>('[3]Monthly Gallon Summary'!AI102+'[3]Monthly Gallon Summary'!AI118)/1000000</f>
        <v>3.8540984446657167</v>
      </c>
      <c r="AS43" s="173">
        <f>('[3]Monthly Gallon Summary'!AJ102+'[3]Monthly Gallon Summary'!AJ118)/1000000</f>
        <v>3.8572730860914786</v>
      </c>
      <c r="AT43" s="173">
        <f>('[3]Monthly Gallon Summary'!AK102+'[3]Monthly Gallon Summary'!AK118)/1000000</f>
        <v>3.8578359359846419</v>
      </c>
      <c r="AU43" s="173">
        <f>('[3]Monthly Gallon Summary'!AL102+'[3]Monthly Gallon Summary'!AL118)/1000000</f>
        <v>3.856577251554393</v>
      </c>
      <c r="AV43" s="173">
        <f>('[3]Monthly Gallon Summary'!AM102+'[3]Monthly Gallon Summary'!AM118)/1000000</f>
        <v>3.8561762842664922</v>
      </c>
      <c r="AW43" s="173">
        <f>('[3]Monthly Gallon Summary'!AN102+'[3]Monthly Gallon Summary'!AN118)/1000000</f>
        <v>3.854832642658736</v>
      </c>
      <c r="AX43" s="173">
        <f>('[3]Monthly Gallon Summary'!AO102+'[3]Monthly Gallon Summary'!AO118)/1000000</f>
        <v>3.857258975748425</v>
      </c>
      <c r="AY43" s="173">
        <f>('[3]Monthly Gallon Summary'!AP102+'[3]Monthly Gallon Summary'!AP118)/1000000</f>
        <v>3.8576096745280122</v>
      </c>
    </row>
    <row r="44" spans="1:51" x14ac:dyDescent="0.2">
      <c r="A44" s="19" t="s">
        <v>166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172">
        <f>('[3]Monthly Gallon Summary'!C103+'[3]Monthly Gallon Summary'!C119)/1000000</f>
        <v>0</v>
      </c>
      <c r="M44" s="172">
        <f>('[3]Monthly Gallon Summary'!D103+'[3]Monthly Gallon Summary'!D119)/1000000</f>
        <v>3.4376340000000001</v>
      </c>
      <c r="N44" s="172">
        <f>('[3]Monthly Gallon Summary'!E103+'[3]Monthly Gallon Summary'!E119)/1000000</f>
        <v>23.447486999999999</v>
      </c>
      <c r="O44" s="172">
        <f>('[3]Monthly Gallon Summary'!F103+'[3]Monthly Gallon Summary'!F119)/1000000</f>
        <v>29.257926999999999</v>
      </c>
      <c r="P44" s="172">
        <f>('[3]Monthly Gallon Summary'!G103+'[3]Monthly Gallon Summary'!G119)/1000000</f>
        <v>30.007923000000002</v>
      </c>
      <c r="Q44" s="172">
        <f>('[3]Monthly Gallon Summary'!H103+'[3]Monthly Gallon Summary'!H119)/1000000</f>
        <v>31.019276999999999</v>
      </c>
      <c r="R44" s="172">
        <f>('[3]Monthly Gallon Summary'!I103+'[3]Monthly Gallon Summary'!I119)/1000000</f>
        <v>30.83229</v>
      </c>
      <c r="S44" s="172">
        <f>('[3]Monthly Gallon Summary'!J103+'[3]Monthly Gallon Summary'!J119)/1000000</f>
        <v>31.714034000000002</v>
      </c>
      <c r="T44" s="172">
        <f>('[3]Monthly Gallon Summary'!K103+'[3]Monthly Gallon Summary'!K119)/1000000</f>
        <v>36.623654000000002</v>
      </c>
      <c r="U44" s="172">
        <f>('[3]Monthly Gallon Summary'!L103+'[3]Monthly Gallon Summary'!L119)/1000000</f>
        <v>35.796446000000003</v>
      </c>
      <c r="V44" s="172">
        <f>('[3]Monthly Gallon Summary'!M103+'[3]Monthly Gallon Summary'!M119)/1000000</f>
        <v>38.273454999999998</v>
      </c>
      <c r="W44" s="172">
        <f>('[3]Monthly Gallon Summary'!N103+'[3]Monthly Gallon Summary'!N119)/1000000</f>
        <v>44.935718999999999</v>
      </c>
      <c r="X44" s="172">
        <f>('[3]Monthly Gallon Summary'!O103+'[3]Monthly Gallon Summary'!O119)/1000000</f>
        <v>55.758515000000003</v>
      </c>
      <c r="Y44" s="172">
        <f>('[3]Monthly Gallon Summary'!P103+'[3]Monthly Gallon Summary'!P119)/1000000</f>
        <v>29.680713999999998</v>
      </c>
      <c r="Z44" s="173">
        <f>('[3]Monthly Gallon Summary'!Q103+'[3]Monthly Gallon Summary'!Q119)/1000000</f>
        <v>20.510382244069802</v>
      </c>
      <c r="AA44" s="173">
        <f>('[3]Monthly Gallon Summary'!R103+'[3]Monthly Gallon Summary'!R119)/1000000</f>
        <v>27.054449148971411</v>
      </c>
      <c r="AB44" s="173">
        <f>('[3]Monthly Gallon Summary'!S103+'[3]Monthly Gallon Summary'!S119)/1000000</f>
        <v>25.954708324242713</v>
      </c>
      <c r="AC44" s="173">
        <f>('[3]Monthly Gallon Summary'!T103+'[3]Monthly Gallon Summary'!T119)/1000000</f>
        <v>23.374585168831292</v>
      </c>
      <c r="AD44" s="173">
        <f>('[3]Monthly Gallon Summary'!U103+'[3]Monthly Gallon Summary'!U119)/1000000</f>
        <v>20.828122607654979</v>
      </c>
      <c r="AE44" s="173">
        <f>('[3]Monthly Gallon Summary'!V103+'[3]Monthly Gallon Summary'!V119)/1000000</f>
        <v>18.919646918641643</v>
      </c>
      <c r="AF44" s="173">
        <f>('[3]Monthly Gallon Summary'!W103+'[3]Monthly Gallon Summary'!W119)/1000000</f>
        <v>19.003338354819604</v>
      </c>
      <c r="AG44" s="173">
        <f>('[3]Monthly Gallon Summary'!X103+'[3]Monthly Gallon Summary'!X119)/1000000</f>
        <v>16.95378845085337</v>
      </c>
      <c r="AH44" s="173">
        <f>('[3]Monthly Gallon Summary'!Y103+'[3]Monthly Gallon Summary'!Y119)/1000000</f>
        <v>16.021362966086951</v>
      </c>
      <c r="AI44" s="173">
        <f>('[3]Monthly Gallon Summary'!Z103+'[3]Monthly Gallon Summary'!Z119)/1000000</f>
        <v>15.147455663899247</v>
      </c>
      <c r="AJ44" s="173">
        <f>('[3]Monthly Gallon Summary'!AA103+'[3]Monthly Gallon Summary'!AA119)/1000000</f>
        <v>15.184516297817789</v>
      </c>
      <c r="AK44" s="173">
        <f>('[3]Monthly Gallon Summary'!AB103+'[3]Monthly Gallon Summary'!AB119)/1000000</f>
        <v>6.3315739794982271</v>
      </c>
      <c r="AL44" s="173">
        <f>('[3]Monthly Gallon Summary'!AC103+'[3]Monthly Gallon Summary'!AC119)/1000000</f>
        <v>4.2384471127133425</v>
      </c>
      <c r="AM44" s="173">
        <f>('[3]Monthly Gallon Summary'!AD103+'[3]Monthly Gallon Summary'!AD119)/1000000</f>
        <v>4.2161481489702508</v>
      </c>
      <c r="AN44" s="173">
        <f>('[3]Monthly Gallon Summary'!AE103+'[3]Monthly Gallon Summary'!AE119)/1000000</f>
        <v>4.2076265733053466</v>
      </c>
      <c r="AO44" s="173">
        <f>('[3]Monthly Gallon Summary'!AF103+'[3]Monthly Gallon Summary'!AF119)/1000000</f>
        <v>4.2179211938382757</v>
      </c>
      <c r="AP44" s="173">
        <f>('[3]Monthly Gallon Summary'!AG103+'[3]Monthly Gallon Summary'!AG119)/1000000</f>
        <v>4.2210493196654859</v>
      </c>
      <c r="AQ44" s="173">
        <f>('[3]Monthly Gallon Summary'!AH103+'[3]Monthly Gallon Summary'!AH119)/1000000</f>
        <v>4.22052711261549</v>
      </c>
      <c r="AR44" s="173">
        <f>('[3]Monthly Gallon Summary'!AI103+'[3]Monthly Gallon Summary'!AI119)/1000000</f>
        <v>4.2165448903715239</v>
      </c>
      <c r="AS44" s="173">
        <f>('[3]Monthly Gallon Summary'!AJ103+'[3]Monthly Gallon Summary'!AJ119)/1000000</f>
        <v>4.2166487105512962</v>
      </c>
      <c r="AT44" s="173">
        <f>('[3]Monthly Gallon Summary'!AK103+'[3]Monthly Gallon Summary'!AK119)/1000000</f>
        <v>4.2195447052228348</v>
      </c>
      <c r="AU44" s="173">
        <f>('[3]Monthly Gallon Summary'!AL103+'[3]Monthly Gallon Summary'!AL119)/1000000</f>
        <v>4.2203121833318997</v>
      </c>
      <c r="AV44" s="173">
        <f>('[3]Monthly Gallon Summary'!AM103+'[3]Monthly Gallon Summary'!AM119)/1000000</f>
        <v>4.2202384696985407</v>
      </c>
      <c r="AW44" s="173">
        <f>('[3]Monthly Gallon Summary'!AN103+'[3]Monthly Gallon Summary'!AN119)/1000000</f>
        <v>4.2166544696789696</v>
      </c>
      <c r="AX44" s="173">
        <f>('[3]Monthly Gallon Summary'!AO103+'[3]Monthly Gallon Summary'!AO119)/1000000</f>
        <v>4.2167338179592244</v>
      </c>
      <c r="AY44" s="173">
        <f>('[3]Monthly Gallon Summary'!AP103+'[3]Monthly Gallon Summary'!AP119)/1000000</f>
        <v>4.2185382454084142</v>
      </c>
    </row>
    <row r="45" spans="1:51" x14ac:dyDescent="0.2">
      <c r="A45" s="19" t="s">
        <v>167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172">
        <f>('[3]Monthly Gallon Summary'!C104+'[3]Monthly Gallon Summary'!C120)/1000000</f>
        <v>0</v>
      </c>
      <c r="M45" s="172">
        <f>('[3]Monthly Gallon Summary'!D104+'[3]Monthly Gallon Summary'!D120)/1000000</f>
        <v>2.6901999999999999</v>
      </c>
      <c r="N45" s="172">
        <f>('[3]Monthly Gallon Summary'!E104+'[3]Monthly Gallon Summary'!E120)/1000000</f>
        <v>28.363199000000002</v>
      </c>
      <c r="O45" s="172">
        <f>('[3]Monthly Gallon Summary'!F104+'[3]Monthly Gallon Summary'!F120)/1000000</f>
        <v>32.07385</v>
      </c>
      <c r="P45" s="172">
        <f>('[3]Monthly Gallon Summary'!G104+'[3]Monthly Gallon Summary'!G120)/1000000</f>
        <v>27.769942</v>
      </c>
      <c r="Q45" s="172">
        <f>('[3]Monthly Gallon Summary'!H104+'[3]Monthly Gallon Summary'!H120)/1000000</f>
        <v>29.704812</v>
      </c>
      <c r="R45" s="172">
        <f>('[3]Monthly Gallon Summary'!I104+'[3]Monthly Gallon Summary'!I120)/1000000</f>
        <v>27.728403</v>
      </c>
      <c r="S45" s="172">
        <f>('[3]Monthly Gallon Summary'!J104+'[3]Monthly Gallon Summary'!J120)/1000000</f>
        <v>28.811261999999999</v>
      </c>
      <c r="T45" s="172">
        <f>('[3]Monthly Gallon Summary'!K104+'[3]Monthly Gallon Summary'!K120)/1000000</f>
        <v>35.745741000000002</v>
      </c>
      <c r="U45" s="172">
        <f>('[3]Monthly Gallon Summary'!L104+'[3]Monthly Gallon Summary'!L120)/1000000</f>
        <v>21.827207999999999</v>
      </c>
      <c r="V45" s="172">
        <f>('[3]Monthly Gallon Summary'!M104+'[3]Monthly Gallon Summary'!M120)/1000000</f>
        <v>44.681302000000002</v>
      </c>
      <c r="W45" s="172">
        <f>('[3]Monthly Gallon Summary'!N104+'[3]Monthly Gallon Summary'!N120)/1000000</f>
        <v>34.653522000000002</v>
      </c>
      <c r="X45" s="172">
        <f>('[3]Monthly Gallon Summary'!O104+'[3]Monthly Gallon Summary'!O120)/1000000</f>
        <v>38.408310999999998</v>
      </c>
      <c r="Y45" s="172">
        <f>('[3]Monthly Gallon Summary'!P104+'[3]Monthly Gallon Summary'!P120)/1000000</f>
        <v>56.471169000000003</v>
      </c>
      <c r="Z45" s="173">
        <f>('[3]Monthly Gallon Summary'!Q104+'[3]Monthly Gallon Summary'!Q120)/1000000</f>
        <v>20.293640747774504</v>
      </c>
      <c r="AA45" s="173">
        <f>('[3]Monthly Gallon Summary'!R104+'[3]Monthly Gallon Summary'!R120)/1000000</f>
        <v>29.292945596426961</v>
      </c>
      <c r="AB45" s="173">
        <f>('[3]Monthly Gallon Summary'!S104+'[3]Monthly Gallon Summary'!S120)/1000000</f>
        <v>27.714957653552009</v>
      </c>
      <c r="AC45" s="173">
        <f>('[3]Monthly Gallon Summary'!T104+'[3]Monthly Gallon Summary'!T120)/1000000</f>
        <v>26.536959200748576</v>
      </c>
      <c r="AD45" s="173">
        <f>('[3]Monthly Gallon Summary'!U104+'[3]Monthly Gallon Summary'!U120)/1000000</f>
        <v>26.379251493636698</v>
      </c>
      <c r="AE45" s="173">
        <f>('[3]Monthly Gallon Summary'!V104+'[3]Monthly Gallon Summary'!V120)/1000000</f>
        <v>20.92785343266516</v>
      </c>
      <c r="AF45" s="173">
        <f>('[3]Monthly Gallon Summary'!W104+'[3]Monthly Gallon Summary'!W120)/1000000</f>
        <v>21.412140116241176</v>
      </c>
      <c r="AG45" s="173">
        <f>('[3]Monthly Gallon Summary'!X104+'[3]Monthly Gallon Summary'!X120)/1000000</f>
        <v>19.289594023034297</v>
      </c>
      <c r="AH45" s="173">
        <f>('[3]Monthly Gallon Summary'!Y104+'[3]Monthly Gallon Summary'!Y120)/1000000</f>
        <v>18.522299294129294</v>
      </c>
      <c r="AI45" s="173">
        <f>('[3]Monthly Gallon Summary'!Z104+'[3]Monthly Gallon Summary'!Z120)/1000000</f>
        <v>17.592298077749717</v>
      </c>
      <c r="AJ45" s="173">
        <f>('[3]Monthly Gallon Summary'!AA104+'[3]Monthly Gallon Summary'!AA120)/1000000</f>
        <v>17.248973813615233</v>
      </c>
      <c r="AK45" s="173">
        <f>('[3]Monthly Gallon Summary'!AB104+'[3]Monthly Gallon Summary'!AB120)/1000000</f>
        <v>7.2357927172899776</v>
      </c>
      <c r="AL45" s="173">
        <f>('[3]Monthly Gallon Summary'!AC104+'[3]Monthly Gallon Summary'!AC120)/1000000</f>
        <v>4.8223985057585743</v>
      </c>
      <c r="AM45" s="173">
        <f>('[3]Monthly Gallon Summary'!AD104+'[3]Monthly Gallon Summary'!AD120)/1000000</f>
        <v>4.8742892879287618</v>
      </c>
      <c r="AN45" s="173">
        <f>('[3]Monthly Gallon Summary'!AE104+'[3]Monthly Gallon Summary'!AE120)/1000000</f>
        <v>4.8867494660415893</v>
      </c>
      <c r="AO45" s="173">
        <f>('[3]Monthly Gallon Summary'!AF104+'[3]Monthly Gallon Summary'!AF120)/1000000</f>
        <v>4.7913816148931208</v>
      </c>
      <c r="AP45" s="173">
        <f>('[3]Monthly Gallon Summary'!AG104+'[3]Monthly Gallon Summary'!AG120)/1000000</f>
        <v>4.8238618115266529</v>
      </c>
      <c r="AQ45" s="173">
        <f>('[3]Monthly Gallon Summary'!AH104+'[3]Monthly Gallon Summary'!AH120)/1000000</f>
        <v>4.841755025807184</v>
      </c>
      <c r="AR45" s="173">
        <f>('[3]Monthly Gallon Summary'!AI104+'[3]Monthly Gallon Summary'!AI120)/1000000</f>
        <v>4.8460564747068746</v>
      </c>
      <c r="AS45" s="173">
        <f>('[3]Monthly Gallon Summary'!AJ104+'[3]Monthly Gallon Summary'!AJ120)/1000000</f>
        <v>4.8386684488170344</v>
      </c>
      <c r="AT45" s="173">
        <f>('[3]Monthly Gallon Summary'!AK104+'[3]Monthly Gallon Summary'!AK120)/1000000</f>
        <v>4.8232350358807583</v>
      </c>
      <c r="AU45" s="173">
        <f>('[3]Monthly Gallon Summary'!AL104+'[3]Monthly Gallon Summary'!AL120)/1000000</f>
        <v>4.838293016711277</v>
      </c>
      <c r="AV45" s="173">
        <f>('[3]Monthly Gallon Summary'!AM104+'[3]Monthly Gallon Summary'!AM120)/1000000</f>
        <v>4.8397361372297407</v>
      </c>
      <c r="AW45" s="173">
        <f>('[3]Monthly Gallon Summary'!AN104+'[3]Monthly Gallon Summary'!AN120)/1000000</f>
        <v>4.8436074412394614</v>
      </c>
      <c r="AX45" s="173">
        <f>('[3]Monthly Gallon Summary'!AO104+'[3]Monthly Gallon Summary'!AO120)/1000000</f>
        <v>4.8379608785950836</v>
      </c>
      <c r="AY45" s="173">
        <f>('[3]Monthly Gallon Summary'!AP104+'[3]Monthly Gallon Summary'!AP120)/1000000</f>
        <v>4.8283446751501726</v>
      </c>
    </row>
    <row r="46" spans="1:51" x14ac:dyDescent="0.2">
      <c r="A46" s="19" t="s">
        <v>168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172">
        <f>('[3]Monthly Gallon Summary'!C105+'[3]Monthly Gallon Summary'!C121)/1000000</f>
        <v>0</v>
      </c>
      <c r="M46" s="172">
        <f>('[3]Monthly Gallon Summary'!D105+'[3]Monthly Gallon Summary'!D121)/1000000</f>
        <v>3.0852740000000001</v>
      </c>
      <c r="N46" s="172">
        <f>('[3]Monthly Gallon Summary'!E105+'[3]Monthly Gallon Summary'!E121)/1000000</f>
        <v>40.455371</v>
      </c>
      <c r="O46" s="172">
        <f>('[3]Monthly Gallon Summary'!F105+'[3]Monthly Gallon Summary'!F121)/1000000</f>
        <v>38.56353</v>
      </c>
      <c r="P46" s="172">
        <f>('[3]Monthly Gallon Summary'!G105+'[3]Monthly Gallon Summary'!G121)/1000000</f>
        <v>30.307441000000001</v>
      </c>
      <c r="Q46" s="172">
        <f>('[3]Monthly Gallon Summary'!H105+'[3]Monthly Gallon Summary'!H121)/1000000</f>
        <v>30.723687999999999</v>
      </c>
      <c r="R46" s="172">
        <f>('[3]Monthly Gallon Summary'!I105+'[3]Monthly Gallon Summary'!I121)/1000000</f>
        <v>30.797969999999999</v>
      </c>
      <c r="S46" s="172">
        <f>('[3]Monthly Gallon Summary'!J105+'[3]Monthly Gallon Summary'!J121)/1000000</f>
        <v>29.674375000000001</v>
      </c>
      <c r="T46" s="172">
        <f>('[3]Monthly Gallon Summary'!K105+'[3]Monthly Gallon Summary'!K121)/1000000</f>
        <v>36.893681000000001</v>
      </c>
      <c r="U46" s="172">
        <f>('[3]Monthly Gallon Summary'!L105+'[3]Monthly Gallon Summary'!L121)/1000000</f>
        <v>21.925485999999999</v>
      </c>
      <c r="V46" s="172">
        <f>('[3]Monthly Gallon Summary'!M105+'[3]Monthly Gallon Summary'!M121)/1000000</f>
        <v>1.8084579999999999</v>
      </c>
      <c r="W46" s="172">
        <f>('[3]Monthly Gallon Summary'!N105+'[3]Monthly Gallon Summary'!N121)/1000000</f>
        <v>15.245723999999999</v>
      </c>
      <c r="X46" s="172">
        <f>('[3]Monthly Gallon Summary'!O105+'[3]Monthly Gallon Summary'!O121)/1000000</f>
        <v>47.149908000000003</v>
      </c>
      <c r="Y46" s="172">
        <f>('[3]Monthly Gallon Summary'!P105+'[3]Monthly Gallon Summary'!P121)/1000000</f>
        <v>47.223599999999998</v>
      </c>
      <c r="Z46" s="173">
        <f>('[3]Monthly Gallon Summary'!Q105+'[3]Monthly Gallon Summary'!Q121)/1000000</f>
        <v>14.613410606759492</v>
      </c>
      <c r="AA46" s="173">
        <f>('[3]Monthly Gallon Summary'!R105+'[3]Monthly Gallon Summary'!R121)/1000000</f>
        <v>15.307116154142731</v>
      </c>
      <c r="AB46" s="173">
        <f>('[3]Monthly Gallon Summary'!S105+'[3]Monthly Gallon Summary'!S121)/1000000</f>
        <v>17.284380951269526</v>
      </c>
      <c r="AC46" s="173">
        <f>('[3]Monthly Gallon Summary'!T105+'[3]Monthly Gallon Summary'!T121)/1000000</f>
        <v>17.840507414250023</v>
      </c>
      <c r="AD46" s="173">
        <f>('[3]Monthly Gallon Summary'!U105+'[3]Monthly Gallon Summary'!U121)/1000000</f>
        <v>14.330999108120734</v>
      </c>
      <c r="AE46" s="173">
        <f>('[3]Monthly Gallon Summary'!V105+'[3]Monthly Gallon Summary'!V121)/1000000</f>
        <v>12.756923716265758</v>
      </c>
      <c r="AF46" s="173">
        <f>('[3]Monthly Gallon Summary'!W105+'[3]Monthly Gallon Summary'!W121)/1000000</f>
        <v>12.685079019935252</v>
      </c>
      <c r="AG46" s="173">
        <f>('[3]Monthly Gallon Summary'!X105+'[3]Monthly Gallon Summary'!X121)/1000000</f>
        <v>11.748688660367266</v>
      </c>
      <c r="AH46" s="173">
        <f>('[3]Monthly Gallon Summary'!Y105+'[3]Monthly Gallon Summary'!Y121)/1000000</f>
        <v>11.216014982636947</v>
      </c>
      <c r="AI46" s="173">
        <f>('[3]Monthly Gallon Summary'!Z105+'[3]Monthly Gallon Summary'!Z121)/1000000</f>
        <v>10.360355034604284</v>
      </c>
      <c r="AJ46" s="173">
        <f>('[3]Monthly Gallon Summary'!AA105+'[3]Monthly Gallon Summary'!AA121)/1000000</f>
        <v>10.370657896554619</v>
      </c>
      <c r="AK46" s="173">
        <f>('[3]Monthly Gallon Summary'!AB105+'[3]Monthly Gallon Summary'!AB121)/1000000</f>
        <v>4.3369842764691038</v>
      </c>
      <c r="AL46" s="173">
        <f>('[3]Monthly Gallon Summary'!AC105+'[3]Monthly Gallon Summary'!AC121)/1000000</f>
        <v>2.9371721650918166</v>
      </c>
      <c r="AM46" s="173">
        <f>('[3]Monthly Gallon Summary'!AD105+'[3]Monthly Gallon Summary'!AD121)/1000000</f>
        <v>2.951582890167618</v>
      </c>
      <c r="AN46" s="173">
        <f>('[3]Monthly Gallon Summary'!AE105+'[3]Monthly Gallon Summary'!AE121)/1000000</f>
        <v>2.8778763985011908</v>
      </c>
      <c r="AO46" s="173">
        <f>('[3]Monthly Gallon Summary'!AF105+'[3]Monthly Gallon Summary'!AF121)/1000000</f>
        <v>2.880738304598506</v>
      </c>
      <c r="AP46" s="173">
        <f>('[3]Monthly Gallon Summary'!AG105+'[3]Monthly Gallon Summary'!AG121)/1000000</f>
        <v>2.8913228509794036</v>
      </c>
      <c r="AQ46" s="173">
        <f>('[3]Monthly Gallon Summary'!AH105+'[3]Monthly Gallon Summary'!AH121)/1000000</f>
        <v>2.9110727788261959</v>
      </c>
      <c r="AR46" s="173">
        <f>('[3]Monthly Gallon Summary'!AI105+'[3]Monthly Gallon Summary'!AI121)/1000000</f>
        <v>2.9052729152116128</v>
      </c>
      <c r="AS46" s="173">
        <f>('[3]Monthly Gallon Summary'!AJ105+'[3]Monthly Gallon Summary'!AJ121)/1000000</f>
        <v>2.8931544170922847</v>
      </c>
      <c r="AT46" s="173">
        <f>('[3]Monthly Gallon Summary'!AK105+'[3]Monthly Gallon Summary'!AK121)/1000000</f>
        <v>2.8980584724425129</v>
      </c>
      <c r="AU46" s="173">
        <f>('[3]Monthly Gallon Summary'!AL105+'[3]Monthly Gallon Summary'!AL121)/1000000</f>
        <v>2.9062461881505888</v>
      </c>
      <c r="AV46" s="173">
        <f>('[3]Monthly Gallon Summary'!AM105+'[3]Monthly Gallon Summary'!AM121)/1000000</f>
        <v>2.9077385218677074</v>
      </c>
      <c r="AW46" s="173">
        <f>('[3]Monthly Gallon Summary'!AN105+'[3]Monthly Gallon Summary'!AN121)/1000000</f>
        <v>2.9025186446145836</v>
      </c>
      <c r="AX46" s="173">
        <f>('[3]Monthly Gallon Summary'!AO105+'[3]Monthly Gallon Summary'!AO121)/1000000</f>
        <v>2.8932566496233818</v>
      </c>
      <c r="AY46" s="173">
        <f>('[3]Monthly Gallon Summary'!AP105+'[3]Monthly Gallon Summary'!AP121)/1000000</f>
        <v>2.8963122533416001</v>
      </c>
    </row>
    <row r="47" spans="1:51" x14ac:dyDescent="0.2">
      <c r="A47" s="19" t="s">
        <v>169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172">
        <f>('[3]Monthly Gallon Summary'!C106+'[3]Monthly Gallon Summary'!C122)/1000000</f>
        <v>0</v>
      </c>
      <c r="M47" s="172">
        <f>('[3]Monthly Gallon Summary'!D106+'[3]Monthly Gallon Summary'!D122)/1000000</f>
        <v>1.030821</v>
      </c>
      <c r="N47" s="172">
        <f>('[3]Monthly Gallon Summary'!E106+'[3]Monthly Gallon Summary'!E122)/1000000</f>
        <v>37.965147999999999</v>
      </c>
      <c r="O47" s="172">
        <f>('[3]Monthly Gallon Summary'!F106+'[3]Monthly Gallon Summary'!F122)/1000000</f>
        <v>28.467617000000001</v>
      </c>
      <c r="P47" s="172">
        <f>('[3]Monthly Gallon Summary'!G106+'[3]Monthly Gallon Summary'!G122)/1000000</f>
        <v>29.977018999999999</v>
      </c>
      <c r="Q47" s="172">
        <f>('[3]Monthly Gallon Summary'!H106+'[3]Monthly Gallon Summary'!H122)/1000000</f>
        <v>31.186692000000001</v>
      </c>
      <c r="R47" s="172">
        <f>('[3]Monthly Gallon Summary'!I106+'[3]Monthly Gallon Summary'!I122)/1000000</f>
        <v>31.467596</v>
      </c>
      <c r="S47" s="172">
        <f>('[3]Monthly Gallon Summary'!J106+'[3]Monthly Gallon Summary'!J122)/1000000</f>
        <v>29.795497999999998</v>
      </c>
      <c r="T47" s="172">
        <f>('[3]Monthly Gallon Summary'!K106+'[3]Monthly Gallon Summary'!K122)/1000000</f>
        <v>29.840623000000001</v>
      </c>
      <c r="U47" s="172">
        <f>('[3]Monthly Gallon Summary'!L106+'[3]Monthly Gallon Summary'!L122)/1000000</f>
        <v>24.200462999999999</v>
      </c>
      <c r="V47" s="172">
        <f>('[3]Monthly Gallon Summary'!M106+'[3]Monthly Gallon Summary'!M122)/1000000</f>
        <v>27.890042000000001</v>
      </c>
      <c r="W47" s="172">
        <f>('[3]Monthly Gallon Summary'!N106+'[3]Monthly Gallon Summary'!N122)/1000000</f>
        <v>13.400586000000001</v>
      </c>
      <c r="X47" s="172">
        <f>('[3]Monthly Gallon Summary'!O106+'[3]Monthly Gallon Summary'!O122)/1000000</f>
        <v>9.015174</v>
      </c>
      <c r="Y47" s="172">
        <f>('[3]Monthly Gallon Summary'!P106+'[3]Monthly Gallon Summary'!P122)/1000000</f>
        <v>22.976837</v>
      </c>
      <c r="Z47" s="173">
        <f>('[3]Monthly Gallon Summary'!Q106+'[3]Monthly Gallon Summary'!Q122)/1000000</f>
        <v>13.889072991061935</v>
      </c>
      <c r="AA47" s="173">
        <f>('[3]Monthly Gallon Summary'!R106+'[3]Monthly Gallon Summary'!R122)/1000000</f>
        <v>13.809419090967605</v>
      </c>
      <c r="AB47" s="173">
        <f>('[3]Monthly Gallon Summary'!S106+'[3]Monthly Gallon Summary'!S122)/1000000</f>
        <v>11.673993698898958</v>
      </c>
      <c r="AC47" s="173">
        <f>('[3]Monthly Gallon Summary'!T106+'[3]Monthly Gallon Summary'!T122)/1000000</f>
        <v>11.468099439572299</v>
      </c>
      <c r="AD47" s="173">
        <f>('[3]Monthly Gallon Summary'!U106+'[3]Monthly Gallon Summary'!U122)/1000000</f>
        <v>12.146792633668374</v>
      </c>
      <c r="AE47" s="173">
        <f>('[3]Monthly Gallon Summary'!V106+'[3]Monthly Gallon Summary'!V122)/1000000</f>
        <v>10.122971440848616</v>
      </c>
      <c r="AF47" s="173">
        <f>('[3]Monthly Gallon Summary'!W106+'[3]Monthly Gallon Summary'!W122)/1000000</f>
        <v>9.6907543042836846</v>
      </c>
      <c r="AG47" s="173">
        <f>('[3]Monthly Gallon Summary'!X106+'[3]Monthly Gallon Summary'!X122)/1000000</f>
        <v>8.6435469046701101</v>
      </c>
      <c r="AH47" s="173">
        <f>('[3]Monthly Gallon Summary'!Y106+'[3]Monthly Gallon Summary'!Y122)/1000000</f>
        <v>8.4201798275559039</v>
      </c>
      <c r="AI47" s="173">
        <f>('[3]Monthly Gallon Summary'!Z106+'[3]Monthly Gallon Summary'!Z122)/1000000</f>
        <v>8.0957468990686277</v>
      </c>
      <c r="AJ47" s="173">
        <f>('[3]Monthly Gallon Summary'!AA106+'[3]Monthly Gallon Summary'!AA122)/1000000</f>
        <v>7.9364469487812244</v>
      </c>
      <c r="AK47" s="173">
        <f>('[3]Monthly Gallon Summary'!AB106+'[3]Monthly Gallon Summary'!AB122)/1000000</f>
        <v>3.2912826834122728</v>
      </c>
      <c r="AL47" s="173">
        <f>('[3]Monthly Gallon Summary'!AC106+'[3]Monthly Gallon Summary'!AC122)/1000000</f>
        <v>2.1608867261675275</v>
      </c>
      <c r="AM47" s="173">
        <f>('[3]Monthly Gallon Summary'!AD106+'[3]Monthly Gallon Summary'!AD122)/1000000</f>
        <v>2.2158367967252381</v>
      </c>
      <c r="AN47" s="173">
        <f>('[3]Monthly Gallon Summary'!AE106+'[3]Monthly Gallon Summary'!AE122)/1000000</f>
        <v>2.2488185830746192</v>
      </c>
      <c r="AO47" s="173">
        <f>('[3]Monthly Gallon Summary'!AF106+'[3]Monthly Gallon Summary'!AF122)/1000000</f>
        <v>2.2045685968836737</v>
      </c>
      <c r="AP47" s="173">
        <f>('[3]Monthly Gallon Summary'!AG106+'[3]Monthly Gallon Summary'!AG122)/1000000</f>
        <v>2.1941884556081828</v>
      </c>
      <c r="AQ47" s="173">
        <f>('[3]Monthly Gallon Summary'!AH106+'[3]Monthly Gallon Summary'!AH122)/1000000</f>
        <v>2.2052850462720093</v>
      </c>
      <c r="AR47" s="173">
        <f>('[3]Monthly Gallon Summary'!AI106+'[3]Monthly Gallon Summary'!AI122)/1000000</f>
        <v>2.21515133962856</v>
      </c>
      <c r="AS47" s="173">
        <f>('[3]Monthly Gallon Summary'!AJ106+'[3]Monthly Gallon Summary'!AJ122)/1000000</f>
        <v>2.2149719676780277</v>
      </c>
      <c r="AT47" s="173">
        <f>('[3]Monthly Gallon Summary'!AK106+'[3]Monthly Gallon Summary'!AK122)/1000000</f>
        <v>2.204107621995171</v>
      </c>
      <c r="AU47" s="173">
        <f>('[3]Monthly Gallon Summary'!AL106+'[3]Monthly Gallon Summary'!AL122)/1000000</f>
        <v>2.2038897065933334</v>
      </c>
      <c r="AV47" s="173">
        <f>('[3]Monthly Gallon Summary'!AM106+'[3]Monthly Gallon Summary'!AM122)/1000000</f>
        <v>2.2048598316918486</v>
      </c>
      <c r="AW47" s="173">
        <f>('[3]Monthly Gallon Summary'!AN106+'[3]Monthly Gallon Summary'!AN122)/1000000</f>
        <v>2.2137394957127445</v>
      </c>
      <c r="AX47" s="173">
        <f>('[3]Monthly Gallon Summary'!AO106+'[3]Monthly Gallon Summary'!AO122)/1000000</f>
        <v>2.2136024042934093</v>
      </c>
      <c r="AY47" s="173">
        <f>('[3]Monthly Gallon Summary'!AP106+'[3]Monthly Gallon Summary'!AP122)/1000000</f>
        <v>2.2068330812140906</v>
      </c>
    </row>
    <row r="48" spans="1:51" x14ac:dyDescent="0.2">
      <c r="A48" s="19" t="s">
        <v>170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172">
        <f>('[3]Monthly Gallon Summary'!C107+'[3]Monthly Gallon Summary'!C123)/1000000</f>
        <v>0</v>
      </c>
      <c r="M48" s="172">
        <f>('[3]Monthly Gallon Summary'!D107+'[3]Monthly Gallon Summary'!D123)/1000000</f>
        <v>8.813936</v>
      </c>
      <c r="N48" s="172">
        <f>('[3]Monthly Gallon Summary'!E107+'[3]Monthly Gallon Summary'!E123)/1000000</f>
        <v>36.721277000000001</v>
      </c>
      <c r="O48" s="172">
        <f>('[3]Monthly Gallon Summary'!F107+'[3]Monthly Gallon Summary'!F123)/1000000</f>
        <v>0</v>
      </c>
      <c r="P48" s="172">
        <f>('[3]Monthly Gallon Summary'!G107+'[3]Monthly Gallon Summary'!G123)/1000000</f>
        <v>27.810105</v>
      </c>
      <c r="Q48" s="172">
        <f>('[3]Monthly Gallon Summary'!H107+'[3]Monthly Gallon Summary'!H123)/1000000</f>
        <v>29.858021999999998</v>
      </c>
      <c r="R48" s="172">
        <f>('[3]Monthly Gallon Summary'!I107+'[3]Monthly Gallon Summary'!I123)/1000000</f>
        <v>29.480416999999999</v>
      </c>
      <c r="S48" s="172">
        <f>('[3]Monthly Gallon Summary'!J107+'[3]Monthly Gallon Summary'!J123)/1000000</f>
        <v>22.397593000000001</v>
      </c>
      <c r="T48" s="172">
        <f>('[3]Monthly Gallon Summary'!K107+'[3]Monthly Gallon Summary'!K123)/1000000</f>
        <v>27.898129999999998</v>
      </c>
      <c r="U48" s="172">
        <f>('[3]Monthly Gallon Summary'!L107+'[3]Monthly Gallon Summary'!L123)/1000000</f>
        <v>55.120083000000001</v>
      </c>
      <c r="V48" s="172">
        <f>('[3]Monthly Gallon Summary'!M107+'[3]Monthly Gallon Summary'!M123)/1000000</f>
        <v>47.663086999999997</v>
      </c>
      <c r="W48" s="172">
        <f>('[3]Monthly Gallon Summary'!N107+'[3]Monthly Gallon Summary'!N123)/1000000</f>
        <v>42.101846999999999</v>
      </c>
      <c r="X48" s="172">
        <f>('[3]Monthly Gallon Summary'!O107+'[3]Monthly Gallon Summary'!O123)/1000000</f>
        <v>7.5339130000000001</v>
      </c>
      <c r="Y48" s="172">
        <f>('[3]Monthly Gallon Summary'!P107+'[3]Monthly Gallon Summary'!P123)/1000000</f>
        <v>42.805613000000001</v>
      </c>
      <c r="Z48" s="173">
        <f>('[3]Monthly Gallon Summary'!Q107+'[3]Monthly Gallon Summary'!Q123)/1000000</f>
        <v>18.042274536135054</v>
      </c>
      <c r="AA48" s="173">
        <f>('[3]Monthly Gallon Summary'!R107+'[3]Monthly Gallon Summary'!R123)/1000000</f>
        <v>19.793062848750957</v>
      </c>
      <c r="AB48" s="173">
        <f>('[3]Monthly Gallon Summary'!S107+'[3]Monthly Gallon Summary'!S123)/1000000</f>
        <v>16.022774236714163</v>
      </c>
      <c r="AC48" s="173">
        <f>('[3]Monthly Gallon Summary'!T107+'[3]Monthly Gallon Summary'!T123)/1000000</f>
        <v>12.737771041761835</v>
      </c>
      <c r="AD48" s="173">
        <f>('[3]Monthly Gallon Summary'!U107+'[3]Monthly Gallon Summary'!U123)/1000000</f>
        <v>13.961597100472977</v>
      </c>
      <c r="AE48" s="173">
        <f>('[3]Monthly Gallon Summary'!V107+'[3]Monthly Gallon Summary'!V123)/1000000</f>
        <v>12.946737819187765</v>
      </c>
      <c r="AF48" s="173">
        <f>('[3]Monthly Gallon Summary'!W107+'[3]Monthly Gallon Summary'!W123)/1000000</f>
        <v>12.348317953127079</v>
      </c>
      <c r="AG48" s="173">
        <f>('[3]Monthly Gallon Summary'!X107+'[3]Monthly Gallon Summary'!X123)/1000000</f>
        <v>10.669364415884525</v>
      </c>
      <c r="AH48" s="173">
        <f>('[3]Monthly Gallon Summary'!Y107+'[3]Monthly Gallon Summary'!Y123)/1000000</f>
        <v>10.13286790024042</v>
      </c>
      <c r="AI48" s="173">
        <f>('[3]Monthly Gallon Summary'!Z107+'[3]Monthly Gallon Summary'!Z123)/1000000</f>
        <v>9.9179810403709165</v>
      </c>
      <c r="AJ48" s="173">
        <f>('[3]Monthly Gallon Summary'!AA107+'[3]Monthly Gallon Summary'!AA123)/1000000</f>
        <v>9.8850474933195382</v>
      </c>
      <c r="AK48" s="173">
        <f>('[3]Monthly Gallon Summary'!AB107+'[3]Monthly Gallon Summary'!AB123)/1000000</f>
        <v>4.0733522156109601</v>
      </c>
      <c r="AL48" s="173">
        <f>('[3]Monthly Gallon Summary'!AC107+'[3]Monthly Gallon Summary'!AC123)/1000000</f>
        <v>2.6673411039711312</v>
      </c>
      <c r="AM48" s="173">
        <f>('[3]Monthly Gallon Summary'!AD107+'[3]Monthly Gallon Summary'!AD123)/1000000</f>
        <v>2.6665441842737954</v>
      </c>
      <c r="AN48" s="173">
        <f>('[3]Monthly Gallon Summary'!AE107+'[3]Monthly Gallon Summary'!AE123)/1000000</f>
        <v>2.7549947334363662</v>
      </c>
      <c r="AO48" s="173">
        <f>('[3]Monthly Gallon Summary'!AF107+'[3]Monthly Gallon Summary'!AF123)/1000000</f>
        <v>2.7458465259220941</v>
      </c>
      <c r="AP48" s="173">
        <f>('[3]Monthly Gallon Summary'!AG107+'[3]Monthly Gallon Summary'!AG123)/1000000</f>
        <v>2.7155681437406405</v>
      </c>
      <c r="AQ48" s="173">
        <f>('[3]Monthly Gallon Summary'!AH107+'[3]Monthly Gallon Summary'!AH123)/1000000</f>
        <v>2.7077947312379615</v>
      </c>
      <c r="AR48" s="173">
        <f>('[3]Monthly Gallon Summary'!AI107+'[3]Monthly Gallon Summary'!AI123)/1000000</f>
        <v>2.7167844261861456</v>
      </c>
      <c r="AS48" s="173">
        <f>('[3]Monthly Gallon Summary'!AJ107+'[3]Monthly Gallon Summary'!AJ123)/1000000</f>
        <v>2.7299314053781623</v>
      </c>
      <c r="AT48" s="173">
        <f>('[3]Monthly Gallon Summary'!AK107+'[3]Monthly Gallon Summary'!AK123)/1000000</f>
        <v>2.7218863864952834</v>
      </c>
      <c r="AU48" s="173">
        <f>('[3]Monthly Gallon Summary'!AL107+'[3]Monthly Gallon Summary'!AL123)/1000000</f>
        <v>2.710559775129882</v>
      </c>
      <c r="AV48" s="173">
        <f>('[3]Monthly Gallon Summary'!AM107+'[3]Monthly Gallon Summary'!AM123)/1000000</f>
        <v>2.7100589382688054</v>
      </c>
      <c r="AW48" s="173">
        <f>('[3]Monthly Gallon Summary'!AN107+'[3]Monthly Gallon Summary'!AN123)/1000000</f>
        <v>2.7181496637221714</v>
      </c>
      <c r="AX48" s="173">
        <f>('[3]Monthly Gallon Summary'!AO107+'[3]Monthly Gallon Summary'!AO123)/1000000</f>
        <v>2.7281977121046417</v>
      </c>
      <c r="AY48" s="173">
        <f>('[3]Monthly Gallon Summary'!AP107+'[3]Monthly Gallon Summary'!AP123)/1000000</f>
        <v>2.723185046493001</v>
      </c>
    </row>
    <row r="49" spans="1:51" x14ac:dyDescent="0.2">
      <c r="A49" s="19" t="s">
        <v>171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172">
        <f>('[3]Monthly Gallon Summary'!C108+'[3]Monthly Gallon Summary'!C124)/1000000</f>
        <v>0</v>
      </c>
      <c r="M49" s="172">
        <f>('[3]Monthly Gallon Summary'!D108+'[3]Monthly Gallon Summary'!D124)/1000000</f>
        <v>12.718014999999999</v>
      </c>
      <c r="N49" s="172">
        <f>('[3]Monthly Gallon Summary'!E108+'[3]Monthly Gallon Summary'!E124)/1000000</f>
        <v>35.231797999999998</v>
      </c>
      <c r="O49" s="172">
        <f>('[3]Monthly Gallon Summary'!F108+'[3]Monthly Gallon Summary'!F124)/1000000</f>
        <v>0.81773899999999999</v>
      </c>
      <c r="P49" s="172">
        <f>('[3]Monthly Gallon Summary'!G108+'[3]Monthly Gallon Summary'!G124)/1000000</f>
        <v>29.548908000000001</v>
      </c>
      <c r="Q49" s="172">
        <f>('[3]Monthly Gallon Summary'!H108+'[3]Monthly Gallon Summary'!H124)/1000000</f>
        <v>29.032098999999999</v>
      </c>
      <c r="R49" s="172">
        <f>('[3]Monthly Gallon Summary'!I108+'[3]Monthly Gallon Summary'!I124)/1000000</f>
        <v>32.315111000000002</v>
      </c>
      <c r="S49" s="172">
        <f>('[3]Monthly Gallon Summary'!J108+'[3]Monthly Gallon Summary'!J124)/1000000</f>
        <v>0</v>
      </c>
      <c r="T49" s="172">
        <f>('[3]Monthly Gallon Summary'!K108+'[3]Monthly Gallon Summary'!K124)/1000000</f>
        <v>43.803567999999999</v>
      </c>
      <c r="U49" s="172">
        <f>('[3]Monthly Gallon Summary'!L108+'[3]Monthly Gallon Summary'!L124)/1000000</f>
        <v>38.235425999999997</v>
      </c>
      <c r="V49" s="172">
        <f>('[3]Monthly Gallon Summary'!M108+'[3]Monthly Gallon Summary'!M124)/1000000</f>
        <v>47.052036999999999</v>
      </c>
      <c r="W49" s="172">
        <f>('[3]Monthly Gallon Summary'!N108+'[3]Monthly Gallon Summary'!N124)/1000000</f>
        <v>45.048892000000002</v>
      </c>
      <c r="X49" s="172">
        <f>('[3]Monthly Gallon Summary'!O108+'[3]Monthly Gallon Summary'!O124)/1000000</f>
        <v>45.134276999999997</v>
      </c>
      <c r="Y49" s="172">
        <f>('[3]Monthly Gallon Summary'!P108+'[3]Monthly Gallon Summary'!P124)/1000000</f>
        <v>15.413235</v>
      </c>
      <c r="Z49" s="173">
        <f>('[3]Monthly Gallon Summary'!Q108+'[3]Monthly Gallon Summary'!Q124)/1000000</f>
        <v>18.677867257025422</v>
      </c>
      <c r="AA49" s="173">
        <f>('[3]Monthly Gallon Summary'!R108+'[3]Monthly Gallon Summary'!R124)/1000000</f>
        <v>24.683901871777788</v>
      </c>
      <c r="AB49" s="173">
        <f>('[3]Monthly Gallon Summary'!S108+'[3]Monthly Gallon Summary'!S124)/1000000</f>
        <v>22.304498820663067</v>
      </c>
      <c r="AC49" s="173">
        <f>('[3]Monthly Gallon Summary'!T108+'[3]Monthly Gallon Summary'!T124)/1000000</f>
        <v>20.290254418766203</v>
      </c>
      <c r="AD49" s="173">
        <f>('[3]Monthly Gallon Summary'!U108+'[3]Monthly Gallon Summary'!U124)/1000000</f>
        <v>16.680580072264178</v>
      </c>
      <c r="AE49" s="173">
        <f>('[3]Monthly Gallon Summary'!V108+'[3]Monthly Gallon Summary'!V124)/1000000</f>
        <v>16.49524860650839</v>
      </c>
      <c r="AF49" s="173">
        <f>('[3]Monthly Gallon Summary'!W108+'[3]Monthly Gallon Summary'!W124)/1000000</f>
        <v>16.438006438360301</v>
      </c>
      <c r="AG49" s="173">
        <f>('[3]Monthly Gallon Summary'!X108+'[3]Monthly Gallon Summary'!X124)/1000000</f>
        <v>14.464092291225439</v>
      </c>
      <c r="AH49" s="173">
        <f>('[3]Monthly Gallon Summary'!Y108+'[3]Monthly Gallon Summary'!Y124)/1000000</f>
        <v>13.642514508215879</v>
      </c>
      <c r="AI49" s="173">
        <f>('[3]Monthly Gallon Summary'!Z108+'[3]Monthly Gallon Summary'!Z124)/1000000</f>
        <v>12.834568389892986</v>
      </c>
      <c r="AJ49" s="173">
        <f>('[3]Monthly Gallon Summary'!AA108+'[3]Monthly Gallon Summary'!AA124)/1000000</f>
        <v>13.036664158976999</v>
      </c>
      <c r="AK49" s="173">
        <f>('[3]Monthly Gallon Summary'!AB108+'[3]Monthly Gallon Summary'!AB124)/1000000</f>
        <v>5.4166035220516608</v>
      </c>
      <c r="AL49" s="173">
        <f>('[3]Monthly Gallon Summary'!AC108+'[3]Monthly Gallon Summary'!AC124)/1000000</f>
        <v>3.6160230728063598</v>
      </c>
      <c r="AM49" s="173">
        <f>('[3]Monthly Gallon Summary'!AD108+'[3]Monthly Gallon Summary'!AD124)/1000000</f>
        <v>3.590135396898916</v>
      </c>
      <c r="AN49" s="173">
        <f>('[3]Monthly Gallon Summary'!AE108+'[3]Monthly Gallon Summary'!AE124)/1000000</f>
        <v>3.5651578860813853</v>
      </c>
      <c r="AO49" s="173">
        <f>('[3]Monthly Gallon Summary'!AF108+'[3]Monthly Gallon Summary'!AF124)/1000000</f>
        <v>3.6212955997158334</v>
      </c>
      <c r="AP49" s="173">
        <f>('[3]Monthly Gallon Summary'!AG108+'[3]Monthly Gallon Summary'!AG124)/1000000</f>
        <v>3.6110690147011089</v>
      </c>
      <c r="AQ49" s="173">
        <f>('[3]Monthly Gallon Summary'!AH108+'[3]Monthly Gallon Summary'!AH124)/1000000</f>
        <v>3.5996632042644232</v>
      </c>
      <c r="AR49" s="173">
        <f>('[3]Monthly Gallon Summary'!AI108+'[3]Monthly Gallon Summary'!AI124)/1000000</f>
        <v>3.5960276779217697</v>
      </c>
      <c r="AS49" s="173">
        <f>('[3]Monthly Gallon Summary'!AJ108+'[3]Monthly Gallon Summary'!AJ124)/1000000</f>
        <v>3.5975695832361612</v>
      </c>
      <c r="AT49" s="173">
        <f>('[3]Monthly Gallon Summary'!AK108+'[3]Monthly Gallon Summary'!AK124)/1000000</f>
        <v>3.6079733378784353</v>
      </c>
      <c r="AU49" s="173">
        <f>('[3]Monthly Gallon Summary'!AL108+'[3]Monthly Gallon Summary'!AL124)/1000000</f>
        <v>3.6016755413734831</v>
      </c>
      <c r="AV49" s="173">
        <f>('[3]Monthly Gallon Summary'!AM108+'[3]Monthly Gallon Summary'!AM124)/1000000</f>
        <v>3.6007361940407212</v>
      </c>
      <c r="AW49" s="173">
        <f>('[3]Monthly Gallon Summary'!AN108+'[3]Monthly Gallon Summary'!AN124)/1000000</f>
        <v>3.5974642203323337</v>
      </c>
      <c r="AX49" s="173">
        <f>('[3]Monthly Gallon Summary'!AO108+'[3]Monthly Gallon Summary'!AO124)/1000000</f>
        <v>3.5986426765369046</v>
      </c>
      <c r="AY49" s="173">
        <f>('[3]Monthly Gallon Summary'!AP108+'[3]Monthly Gallon Summary'!AP124)/1000000</f>
        <v>3.6051250159678596</v>
      </c>
    </row>
    <row r="50" spans="1:51" x14ac:dyDescent="0.2">
      <c r="A50" s="19" t="s">
        <v>172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172">
        <f>('[3]Monthly Gallon Summary'!C109+'[3]Monthly Gallon Summary'!C125)/1000000</f>
        <v>0</v>
      </c>
      <c r="M50" s="172">
        <f>('[3]Monthly Gallon Summary'!D109+'[3]Monthly Gallon Summary'!D125)/1000000</f>
        <v>10.308273</v>
      </c>
      <c r="N50" s="172">
        <f>('[3]Monthly Gallon Summary'!E109+'[3]Monthly Gallon Summary'!E125)/1000000</f>
        <v>35.137994999999997</v>
      </c>
      <c r="O50" s="172">
        <f>('[3]Monthly Gallon Summary'!F109+'[3]Monthly Gallon Summary'!F125)/1000000</f>
        <v>28.597517</v>
      </c>
      <c r="P50" s="172">
        <f>('[3]Monthly Gallon Summary'!G109+'[3]Monthly Gallon Summary'!G125)/1000000</f>
        <v>26.831313000000002</v>
      </c>
      <c r="Q50" s="172">
        <f>('[3]Monthly Gallon Summary'!H109+'[3]Monthly Gallon Summary'!H125)/1000000</f>
        <v>28.792959</v>
      </c>
      <c r="R50" s="172">
        <f>('[3]Monthly Gallon Summary'!I109+'[3]Monthly Gallon Summary'!I125)/1000000</f>
        <v>16.007542999999998</v>
      </c>
      <c r="S50" s="172">
        <f>('[3]Monthly Gallon Summary'!J109+'[3]Monthly Gallon Summary'!J125)/1000000</f>
        <v>11.371102</v>
      </c>
      <c r="T50" s="172">
        <f>('[3]Monthly Gallon Summary'!K109+'[3]Monthly Gallon Summary'!K125)/1000000</f>
        <v>37.253948000000001</v>
      </c>
      <c r="U50" s="172">
        <f>('[3]Monthly Gallon Summary'!L109+'[3]Monthly Gallon Summary'!L125)/1000000</f>
        <v>44.453797999999999</v>
      </c>
      <c r="V50" s="172">
        <f>('[3]Monthly Gallon Summary'!M109+'[3]Monthly Gallon Summary'!M125)/1000000</f>
        <v>38.155377000000001</v>
      </c>
      <c r="W50" s="172">
        <f>('[3]Monthly Gallon Summary'!N109+'[3]Monthly Gallon Summary'!N125)/1000000</f>
        <v>32.881127999999997</v>
      </c>
      <c r="X50" s="172">
        <f>('[3]Monthly Gallon Summary'!O109+'[3]Monthly Gallon Summary'!O125)/1000000</f>
        <v>43.040497000000002</v>
      </c>
      <c r="Y50" s="172">
        <f>('[3]Monthly Gallon Summary'!P109+'[3]Monthly Gallon Summary'!P125)/1000000</f>
        <v>37.106794999999998</v>
      </c>
      <c r="Z50" s="173">
        <f>('[3]Monthly Gallon Summary'!Q109+'[3]Monthly Gallon Summary'!Q125)/1000000</f>
        <v>16.859024316303564</v>
      </c>
      <c r="AA50" s="173">
        <f>('[3]Monthly Gallon Summary'!R109+'[3]Monthly Gallon Summary'!R125)/1000000</f>
        <v>19.886348568507259</v>
      </c>
      <c r="AB50" s="173">
        <f>('[3]Monthly Gallon Summary'!S109+'[3]Monthly Gallon Summary'!S125)/1000000</f>
        <v>18.075205539549987</v>
      </c>
      <c r="AC50" s="173">
        <f>('[3]Monthly Gallon Summary'!T109+'[3]Monthly Gallon Summary'!T125)/1000000</f>
        <v>16.900310280594748</v>
      </c>
      <c r="AD50" s="173">
        <f>('[3]Monthly Gallon Summary'!U109+'[3]Monthly Gallon Summary'!U125)/1000000</f>
        <v>12.997413007001388</v>
      </c>
      <c r="AE50" s="173">
        <f>('[3]Monthly Gallon Summary'!V109+'[3]Monthly Gallon Summary'!V125)/1000000</f>
        <v>13.615441346564511</v>
      </c>
      <c r="AF50" s="173">
        <f>('[3]Monthly Gallon Summary'!W109+'[3]Monthly Gallon Summary'!W125)/1000000</f>
        <v>13.332226703272021</v>
      </c>
      <c r="AG50" s="173">
        <f>('[3]Monthly Gallon Summary'!X109+'[3]Monthly Gallon Summary'!X125)/1000000</f>
        <v>11.752250490507086</v>
      </c>
      <c r="AH50" s="173">
        <f>('[3]Monthly Gallon Summary'!Y109+'[3]Monthly Gallon Summary'!Y125)/1000000</f>
        <v>11.09238463600728</v>
      </c>
      <c r="AI50" s="173">
        <f>('[3]Monthly Gallon Summary'!Z109+'[3]Monthly Gallon Summary'!Z125)/1000000</f>
        <v>10.368943956883863</v>
      </c>
      <c r="AJ50" s="173">
        <f>('[3]Monthly Gallon Summary'!AA109+'[3]Monthly Gallon Summary'!AA125)/1000000</f>
        <v>10.61669067057084</v>
      </c>
      <c r="AK50" s="173">
        <f>('[3]Monthly Gallon Summary'!AB109+'[3]Monthly Gallon Summary'!AB125)/1000000</f>
        <v>4.3971151120954675</v>
      </c>
      <c r="AL50" s="173">
        <f>('[3]Monthly Gallon Summary'!AC109+'[3]Monthly Gallon Summary'!AC125)/1000000</f>
        <v>2.9380626226267714</v>
      </c>
      <c r="AM50" s="173">
        <f>('[3]Monthly Gallon Summary'!AD109+'[3]Monthly Gallon Summary'!AD125)/1000000</f>
        <v>2.9190485884229687</v>
      </c>
      <c r="AN50" s="173">
        <f>('[3]Monthly Gallon Summary'!AE109+'[3]Monthly Gallon Summary'!AE125)/1000000</f>
        <v>2.880262210245518</v>
      </c>
      <c r="AO50" s="173">
        <f>('[3]Monthly Gallon Summary'!AF109+'[3]Monthly Gallon Summary'!AF125)/1000000</f>
        <v>2.9490807418252336</v>
      </c>
      <c r="AP50" s="173">
        <f>('[3]Monthly Gallon Summary'!AG109+'[3]Monthly Gallon Summary'!AG125)/1000000</f>
        <v>2.9314100747303122</v>
      </c>
      <c r="AQ50" s="173">
        <f>('[3]Monthly Gallon Summary'!AH109+'[3]Monthly Gallon Summary'!AH125)/1000000</f>
        <v>2.9228718100645179</v>
      </c>
      <c r="AR50" s="173">
        <f>('[3]Monthly Gallon Summary'!AI109+'[3]Monthly Gallon Summary'!AI125)/1000000</f>
        <v>2.9194960739395732</v>
      </c>
      <c r="AS50" s="173">
        <f>('[3]Monthly Gallon Summary'!AJ109+'[3]Monthly Gallon Summary'!AJ125)/1000000</f>
        <v>2.9196131729532628</v>
      </c>
      <c r="AT50" s="173">
        <f>('[3]Monthly Gallon Summary'!AK109+'[3]Monthly Gallon Summary'!AK125)/1000000</f>
        <v>2.9322443461680954</v>
      </c>
      <c r="AU50" s="173">
        <f>('[3]Monthly Gallon Summary'!AL109+'[3]Monthly Gallon Summary'!AL125)/1000000</f>
        <v>2.9242853227665386</v>
      </c>
      <c r="AV50" s="173">
        <f>('[3]Monthly Gallon Summary'!AM109+'[3]Monthly Gallon Summary'!AM125)/1000000</f>
        <v>2.9235728475701608</v>
      </c>
      <c r="AW50" s="173">
        <f>('[3]Monthly Gallon Summary'!AN109+'[3]Monthly Gallon Summary'!AN125)/1000000</f>
        <v>2.9205346850577105</v>
      </c>
      <c r="AX50" s="173">
        <f>('[3]Monthly Gallon Summary'!AO109+'[3]Monthly Gallon Summary'!AO125)/1000000</f>
        <v>2.9206241821610308</v>
      </c>
      <c r="AY50" s="173">
        <f>('[3]Monthly Gallon Summary'!AP109+'[3]Monthly Gallon Summary'!AP125)/1000000</f>
        <v>2.9284943747025802</v>
      </c>
    </row>
    <row r="51" spans="1:51" x14ac:dyDescent="0.2">
      <c r="A51" s="19" t="s">
        <v>173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172">
        <f>('[3]Monthly Gallon Summary'!C110+'[3]Monthly Gallon Summary'!C126)/1000000</f>
        <v>0</v>
      </c>
      <c r="M51" s="172">
        <f>('[3]Monthly Gallon Summary'!D110+'[3]Monthly Gallon Summary'!D126)/1000000</f>
        <v>4.4214599999999997</v>
      </c>
      <c r="N51" s="172">
        <f>('[3]Monthly Gallon Summary'!E110+'[3]Monthly Gallon Summary'!E126)/1000000</f>
        <v>30.125413000000002</v>
      </c>
      <c r="O51" s="172">
        <f>('[3]Monthly Gallon Summary'!F110+'[3]Monthly Gallon Summary'!F126)/1000000</f>
        <v>27.354965</v>
      </c>
      <c r="P51" s="172">
        <f>('[3]Monthly Gallon Summary'!G110+'[3]Monthly Gallon Summary'!G126)/1000000</f>
        <v>24.720562000000001</v>
      </c>
      <c r="Q51" s="172">
        <f>('[3]Monthly Gallon Summary'!H110+'[3]Monthly Gallon Summary'!H126)/1000000</f>
        <v>28.405183999999998</v>
      </c>
      <c r="R51" s="172">
        <f>('[3]Monthly Gallon Summary'!I110+'[3]Monthly Gallon Summary'!I126)/1000000</f>
        <v>31.262098999999999</v>
      </c>
      <c r="S51" s="172">
        <f>('[3]Monthly Gallon Summary'!J110+'[3]Monthly Gallon Summary'!J126)/1000000</f>
        <v>35.783869000000003</v>
      </c>
      <c r="T51" s="172">
        <f>('[3]Monthly Gallon Summary'!K110+'[3]Monthly Gallon Summary'!K126)/1000000</f>
        <v>40.392744</v>
      </c>
      <c r="U51" s="172">
        <f>('[3]Monthly Gallon Summary'!L110+'[3]Monthly Gallon Summary'!L126)/1000000</f>
        <v>43.441682</v>
      </c>
      <c r="V51" s="172">
        <f>('[3]Monthly Gallon Summary'!M110+'[3]Monthly Gallon Summary'!M126)/1000000</f>
        <v>46.419913999999999</v>
      </c>
      <c r="W51" s="172">
        <f>('[3]Monthly Gallon Summary'!N110+'[3]Monthly Gallon Summary'!N126)/1000000</f>
        <v>43.042471999999997</v>
      </c>
      <c r="X51" s="172">
        <f>('[3]Monthly Gallon Summary'!O110+'[3]Monthly Gallon Summary'!O126)/1000000</f>
        <v>45.979078999999999</v>
      </c>
      <c r="Y51" s="172">
        <f>('[3]Monthly Gallon Summary'!P110+'[3]Monthly Gallon Summary'!P126)/1000000</f>
        <v>37.139183000000003</v>
      </c>
      <c r="Z51" s="173">
        <f>('[3]Monthly Gallon Summary'!Q110+'[3]Monthly Gallon Summary'!Q126)/1000000</f>
        <v>61.474518720732391</v>
      </c>
      <c r="AA51" s="173">
        <f>('[3]Monthly Gallon Summary'!R110+'[3]Monthly Gallon Summary'!R126)/1000000</f>
        <v>31.073492569914578</v>
      </c>
      <c r="AB51" s="173">
        <f>('[3]Monthly Gallon Summary'!S110+'[3]Monthly Gallon Summary'!S126)/1000000</f>
        <v>28.715032505401702</v>
      </c>
      <c r="AC51" s="173">
        <f>('[3]Monthly Gallon Summary'!T110+'[3]Monthly Gallon Summary'!T126)/1000000</f>
        <v>27.567097859590977</v>
      </c>
      <c r="AD51" s="173">
        <f>('[3]Monthly Gallon Summary'!U110+'[3]Monthly Gallon Summary'!U126)/1000000</f>
        <v>25.187419706776531</v>
      </c>
      <c r="AE51" s="173">
        <f>('[3]Monthly Gallon Summary'!V110+'[3]Monthly Gallon Summary'!V126)/1000000</f>
        <v>27.967108076102615</v>
      </c>
      <c r="AF51" s="173">
        <f>('[3]Monthly Gallon Summary'!W110+'[3]Monthly Gallon Summary'!W126)/1000000</f>
        <v>22.99257011745599</v>
      </c>
      <c r="AG51" s="173">
        <f>('[3]Monthly Gallon Summary'!X110+'[3]Monthly Gallon Summary'!X126)/1000000</f>
        <v>20.773212276914151</v>
      </c>
      <c r="AH51" s="173">
        <f>('[3]Monthly Gallon Summary'!Y110+'[3]Monthly Gallon Summary'!Y126)/1000000</f>
        <v>20.129878746382655</v>
      </c>
      <c r="AI51" s="173">
        <f>('[3]Monthly Gallon Summary'!Z110+'[3]Monthly Gallon Summary'!Z126)/1000000</f>
        <v>19.329388996563093</v>
      </c>
      <c r="AJ51" s="173">
        <f>('[3]Monthly Gallon Summary'!AA110+'[3]Monthly Gallon Summary'!AA126)/1000000</f>
        <v>19.622145567073837</v>
      </c>
      <c r="AK51" s="173">
        <f>('[3]Monthly Gallon Summary'!AB110+'[3]Monthly Gallon Summary'!AB126)/1000000</f>
        <v>7.911322746491507</v>
      </c>
      <c r="AL51" s="173">
        <f>('[3]Monthly Gallon Summary'!AC110+'[3]Monthly Gallon Summary'!AC126)/1000000</f>
        <v>5.1933030692285378</v>
      </c>
      <c r="AM51" s="173">
        <f>('[3]Monthly Gallon Summary'!AD110+'[3]Monthly Gallon Summary'!AD126)/1000000</f>
        <v>5.2973365122059661</v>
      </c>
      <c r="AN51" s="173">
        <f>('[3]Monthly Gallon Summary'!AE110+'[3]Monthly Gallon Summary'!AE126)/1000000</f>
        <v>5.3692747212675211</v>
      </c>
      <c r="AO51" s="173">
        <f>('[3]Monthly Gallon Summary'!AF110+'[3]Monthly Gallon Summary'!AF126)/1000000</f>
        <v>5.4505959908538459</v>
      </c>
      <c r="AP51" s="173">
        <f>('[3]Monthly Gallon Summary'!AG110+'[3]Monthly Gallon Summary'!AG126)/1000000</f>
        <v>5.2742151643276811</v>
      </c>
      <c r="AQ51" s="173">
        <f>('[3]Monthly Gallon Summary'!AH110+'[3]Monthly Gallon Summary'!AH126)/1000000</f>
        <v>5.3191483838439506</v>
      </c>
      <c r="AR51" s="173">
        <f>('[3]Monthly Gallon Summary'!AI110+'[3]Monthly Gallon Summary'!AI126)/1000000</f>
        <v>5.347114009314053</v>
      </c>
      <c r="AS51" s="173">
        <f>('[3]Monthly Gallon Summary'!AJ110+'[3]Monthly Gallon Summary'!AJ126)/1000000</f>
        <v>5.3601398964077536</v>
      </c>
      <c r="AT51" s="173">
        <f>('[3]Monthly Gallon Summary'!AK110+'[3]Monthly Gallon Summary'!AK126)/1000000</f>
        <v>5.3572077304033865</v>
      </c>
      <c r="AU51" s="173">
        <f>('[3]Monthly Gallon Summary'!AL110+'[3]Monthly Gallon Summary'!AL126)/1000000</f>
        <v>5.3130605527358874</v>
      </c>
      <c r="AV51" s="173">
        <f>('[3]Monthly Gallon Summary'!AM110+'[3]Monthly Gallon Summary'!AM126)/1000000</f>
        <v>5.3169450915767031</v>
      </c>
      <c r="AW51" s="173">
        <f>('[3]Monthly Gallon Summary'!AN110+'[3]Monthly Gallon Summary'!AN126)/1000000</f>
        <v>5.3421141544997912</v>
      </c>
      <c r="AX51" s="173">
        <f>('[3]Monthly Gallon Summary'!AO110+'[3]Monthly Gallon Summary'!AO126)/1000000</f>
        <v>5.3520696539214025</v>
      </c>
      <c r="AY51" s="173">
        <f>('[3]Monthly Gallon Summary'!AP110+'[3]Monthly Gallon Summary'!AP126)/1000000</f>
        <v>5.350242688949451</v>
      </c>
    </row>
    <row r="52" spans="1:51" x14ac:dyDescent="0.2">
      <c r="A52" s="117" t="s">
        <v>174</v>
      </c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31">
        <f t="shared" ref="L52:Y52" si="16">SUM(L40:L51)</f>
        <v>0</v>
      </c>
      <c r="M52" s="131">
        <f t="shared" si="16"/>
        <v>50.272921999999994</v>
      </c>
      <c r="N52" s="131">
        <f t="shared" si="16"/>
        <v>303.399542</v>
      </c>
      <c r="O52" s="131">
        <f t="shared" si="16"/>
        <v>328.75148999999999</v>
      </c>
      <c r="P52" s="131">
        <f t="shared" si="16"/>
        <v>336.29695800000002</v>
      </c>
      <c r="Q52" s="131">
        <f t="shared" si="16"/>
        <v>349.686036</v>
      </c>
      <c r="R52" s="131">
        <f t="shared" si="16"/>
        <v>344.38169499999998</v>
      </c>
      <c r="S52" s="131">
        <f t="shared" si="16"/>
        <v>309.84663699999999</v>
      </c>
      <c r="T52" s="131">
        <f t="shared" si="16"/>
        <v>417.99749199999997</v>
      </c>
      <c r="U52" s="131">
        <f t="shared" si="16"/>
        <v>433.28415400000006</v>
      </c>
      <c r="V52" s="131">
        <f t="shared" si="16"/>
        <v>452.71395800000005</v>
      </c>
      <c r="W52" s="131">
        <f t="shared" si="16"/>
        <v>425.78085299999998</v>
      </c>
      <c r="X52" s="131">
        <f t="shared" si="16"/>
        <v>452.29152300000004</v>
      </c>
      <c r="Y52" s="131">
        <f t="shared" si="16"/>
        <v>423.52510699999993</v>
      </c>
      <c r="Z52" s="132">
        <f t="shared" ref="Z52:AY52" si="17">Z6</f>
        <v>223.25610825000001</v>
      </c>
      <c r="AA52" s="132">
        <f t="shared" si="17"/>
        <v>273.75231812499999</v>
      </c>
      <c r="AB52" s="132">
        <f t="shared" si="17"/>
        <v>252.69444749999997</v>
      </c>
      <c r="AC52" s="132">
        <f t="shared" si="17"/>
        <v>231.63657687500003</v>
      </c>
      <c r="AD52" s="132">
        <f t="shared" si="17"/>
        <v>210.57870625000001</v>
      </c>
      <c r="AE52" s="132">
        <f t="shared" si="17"/>
        <v>189.52083562499999</v>
      </c>
      <c r="AF52" s="132">
        <f t="shared" si="17"/>
        <v>189.52083562499999</v>
      </c>
      <c r="AG52" s="132">
        <f t="shared" si="17"/>
        <v>168.46296500000003</v>
      </c>
      <c r="AH52" s="132">
        <f t="shared" si="17"/>
        <v>160.03981675</v>
      </c>
      <c r="AI52" s="132">
        <f t="shared" si="17"/>
        <v>151.6166685</v>
      </c>
      <c r="AJ52" s="132">
        <f t="shared" si="17"/>
        <v>151.6166685</v>
      </c>
      <c r="AK52" s="132">
        <f t="shared" si="17"/>
        <v>63.173611874999992</v>
      </c>
      <c r="AL52" s="132">
        <f t="shared" si="17"/>
        <v>42.115741250000006</v>
      </c>
      <c r="AM52" s="132">
        <f t="shared" si="17"/>
        <v>42.115741250000006</v>
      </c>
      <c r="AN52" s="132">
        <f t="shared" si="17"/>
        <v>42.115741250000006</v>
      </c>
      <c r="AO52" s="132">
        <f t="shared" si="17"/>
        <v>42.115741250000006</v>
      </c>
      <c r="AP52" s="132">
        <f t="shared" si="17"/>
        <v>42.115741250000006</v>
      </c>
      <c r="AQ52" s="132">
        <f t="shared" si="17"/>
        <v>42.115741250000006</v>
      </c>
      <c r="AR52" s="132">
        <f t="shared" si="17"/>
        <v>42.115741250000006</v>
      </c>
      <c r="AS52" s="132">
        <f t="shared" si="17"/>
        <v>42.115741250000006</v>
      </c>
      <c r="AT52" s="132">
        <f t="shared" si="17"/>
        <v>42.115741250000006</v>
      </c>
      <c r="AU52" s="132">
        <f t="shared" si="17"/>
        <v>42.115741250000006</v>
      </c>
      <c r="AV52" s="132">
        <f t="shared" si="17"/>
        <v>42.115741250000006</v>
      </c>
      <c r="AW52" s="132">
        <f t="shared" si="17"/>
        <v>42.115741250000006</v>
      </c>
      <c r="AX52" s="132">
        <f t="shared" si="17"/>
        <v>42.115741250000006</v>
      </c>
      <c r="AY52" s="132">
        <f t="shared" si="17"/>
        <v>42.115741250000006</v>
      </c>
    </row>
    <row r="53" spans="1:51" x14ac:dyDescent="0.2">
      <c r="X53" s="118"/>
    </row>
    <row r="54" spans="1:51" ht="12" thickBot="1" x14ac:dyDescent="0.25">
      <c r="A54" s="121" t="s">
        <v>208</v>
      </c>
    </row>
    <row r="55" spans="1:51" ht="12" thickBot="1" x14ac:dyDescent="0.25">
      <c r="A55" s="122"/>
      <c r="B55" s="171">
        <f t="shared" ref="B55:AK55" si="18">B2</f>
        <v>2001</v>
      </c>
      <c r="C55" s="171">
        <f t="shared" si="18"/>
        <v>2002</v>
      </c>
      <c r="D55" s="171">
        <f t="shared" si="18"/>
        <v>2003</v>
      </c>
      <c r="E55" s="171">
        <f t="shared" si="18"/>
        <v>2004</v>
      </c>
      <c r="F55" s="171">
        <f t="shared" si="18"/>
        <v>2005</v>
      </c>
      <c r="G55" s="171">
        <f t="shared" si="18"/>
        <v>2006</v>
      </c>
      <c r="H55" s="171">
        <f t="shared" si="18"/>
        <v>2007</v>
      </c>
      <c r="I55" s="171">
        <f t="shared" si="18"/>
        <v>2008</v>
      </c>
      <c r="J55" s="171">
        <f t="shared" si="18"/>
        <v>2009</v>
      </c>
      <c r="K55" s="171">
        <f t="shared" si="18"/>
        <v>2010</v>
      </c>
      <c r="L55" s="171">
        <f t="shared" si="18"/>
        <v>2011</v>
      </c>
      <c r="M55" s="171">
        <f t="shared" si="18"/>
        <v>2012</v>
      </c>
      <c r="N55" s="171">
        <f t="shared" si="18"/>
        <v>2013</v>
      </c>
      <c r="O55" s="171">
        <f t="shared" si="18"/>
        <v>2014</v>
      </c>
      <c r="P55" s="171">
        <f t="shared" si="18"/>
        <v>2015</v>
      </c>
      <c r="Q55" s="171">
        <f t="shared" si="18"/>
        <v>2016</v>
      </c>
      <c r="R55" s="171">
        <f t="shared" si="18"/>
        <v>2017</v>
      </c>
      <c r="S55" s="171">
        <f t="shared" si="18"/>
        <v>2018</v>
      </c>
      <c r="T55" s="171">
        <f t="shared" si="18"/>
        <v>2019</v>
      </c>
      <c r="U55" s="171">
        <f t="shared" si="18"/>
        <v>2020</v>
      </c>
      <c r="V55" s="171">
        <f t="shared" si="18"/>
        <v>2021</v>
      </c>
      <c r="W55" s="171">
        <f t="shared" si="18"/>
        <v>2022</v>
      </c>
      <c r="X55" s="171">
        <f t="shared" si="18"/>
        <v>2023</v>
      </c>
      <c r="Y55" s="171">
        <f t="shared" si="18"/>
        <v>2024</v>
      </c>
      <c r="Z55" s="171">
        <f t="shared" si="18"/>
        <v>2025</v>
      </c>
      <c r="AA55" s="171">
        <f t="shared" si="18"/>
        <v>2026</v>
      </c>
      <c r="AB55" s="171">
        <f t="shared" si="18"/>
        <v>2027</v>
      </c>
      <c r="AC55" s="171">
        <f t="shared" si="18"/>
        <v>2028</v>
      </c>
      <c r="AD55" s="171">
        <f t="shared" si="18"/>
        <v>2029</v>
      </c>
      <c r="AE55" s="171">
        <f t="shared" si="18"/>
        <v>2030</v>
      </c>
      <c r="AF55" s="171">
        <f t="shared" si="18"/>
        <v>2031</v>
      </c>
      <c r="AG55" s="171">
        <f t="shared" si="18"/>
        <v>2032</v>
      </c>
      <c r="AH55" s="171">
        <f t="shared" si="18"/>
        <v>2033</v>
      </c>
      <c r="AI55" s="171">
        <f t="shared" si="18"/>
        <v>2034</v>
      </c>
      <c r="AJ55" s="171">
        <f t="shared" si="18"/>
        <v>2035</v>
      </c>
      <c r="AK55" s="171">
        <f t="shared" si="18"/>
        <v>2036</v>
      </c>
      <c r="AL55" s="171">
        <f>AL2</f>
        <v>2037</v>
      </c>
      <c r="AM55" s="171">
        <f t="shared" ref="AM55:AY55" si="19">AM2</f>
        <v>2038</v>
      </c>
      <c r="AN55" s="171">
        <f t="shared" si="19"/>
        <v>2039</v>
      </c>
      <c r="AO55" s="171">
        <f t="shared" si="19"/>
        <v>2040</v>
      </c>
      <c r="AP55" s="171">
        <f t="shared" si="19"/>
        <v>2041</v>
      </c>
      <c r="AQ55" s="171">
        <f t="shared" si="19"/>
        <v>2042</v>
      </c>
      <c r="AR55" s="171">
        <f t="shared" si="19"/>
        <v>2043</v>
      </c>
      <c r="AS55" s="171">
        <f t="shared" si="19"/>
        <v>2044</v>
      </c>
      <c r="AT55" s="171">
        <f t="shared" si="19"/>
        <v>2045</v>
      </c>
      <c r="AU55" s="171">
        <f t="shared" si="19"/>
        <v>2046</v>
      </c>
      <c r="AV55" s="171">
        <f t="shared" si="19"/>
        <v>2047</v>
      </c>
      <c r="AW55" s="171">
        <f t="shared" si="19"/>
        <v>2048</v>
      </c>
      <c r="AX55" s="171">
        <f t="shared" si="19"/>
        <v>2049</v>
      </c>
      <c r="AY55" s="171">
        <f t="shared" si="19"/>
        <v>2050</v>
      </c>
    </row>
    <row r="56" spans="1:51" x14ac:dyDescent="0.2">
      <c r="A56" s="19" t="s">
        <v>162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>
        <f>'Monthly Data'!T627*42/1000</f>
        <v>6.8475539999999997</v>
      </c>
      <c r="AA56" s="173">
        <f>AA$68*(SUM(V24:Z24)/SUM(V$36:Z$36))</f>
        <v>12.012963815366875</v>
      </c>
      <c r="AB56" s="173">
        <f t="shared" ref="AB56:AY66" si="20">AB$68*(SUM(W24:AA24)/SUM(W$36:AA$36))</f>
        <v>12.061329965287596</v>
      </c>
      <c r="AC56" s="173">
        <f t="shared" si="20"/>
        <v>12.033901743027736</v>
      </c>
      <c r="AD56" s="173">
        <f t="shared" si="20"/>
        <v>12.957799057221454</v>
      </c>
      <c r="AE56" s="173">
        <f t="shared" si="20"/>
        <v>12.764392506288184</v>
      </c>
      <c r="AF56" s="173">
        <f t="shared" si="20"/>
        <v>11.935408411792721</v>
      </c>
      <c r="AG56" s="173">
        <f t="shared" si="20"/>
        <v>12.414381409042393</v>
      </c>
      <c r="AH56" s="173">
        <f t="shared" si="20"/>
        <v>12.616597643046449</v>
      </c>
      <c r="AI56" s="173">
        <f t="shared" si="20"/>
        <v>12.852586189323958</v>
      </c>
      <c r="AJ56" s="173">
        <f t="shared" si="20"/>
        <v>12.906525641333531</v>
      </c>
      <c r="AK56" s="173">
        <f t="shared" si="20"/>
        <v>13.161029239844328</v>
      </c>
      <c r="AL56" s="173">
        <f t="shared" si="20"/>
        <v>13.338235386462149</v>
      </c>
      <c r="AM56" s="173">
        <f t="shared" si="20"/>
        <v>13.519296615010537</v>
      </c>
      <c r="AN56" s="173">
        <f t="shared" si="20"/>
        <v>13.743987542197836</v>
      </c>
      <c r="AO56" s="173">
        <f t="shared" si="20"/>
        <v>13.932285597430571</v>
      </c>
      <c r="AP56" s="173">
        <f t="shared" si="20"/>
        <v>14.12154747809053</v>
      </c>
      <c r="AQ56" s="173">
        <f t="shared" si="20"/>
        <v>14.305033465111643</v>
      </c>
      <c r="AR56" s="173">
        <f t="shared" si="20"/>
        <v>14.507410174992977</v>
      </c>
      <c r="AS56" s="173">
        <f t="shared" si="20"/>
        <v>14.701801160971527</v>
      </c>
      <c r="AT56" s="173">
        <f t="shared" si="20"/>
        <v>14.896963387704691</v>
      </c>
      <c r="AU56" s="173">
        <f t="shared" si="20"/>
        <v>15.092052218614015</v>
      </c>
      <c r="AV56" s="173">
        <f t="shared" si="20"/>
        <v>15.284457436878736</v>
      </c>
      <c r="AW56" s="173">
        <f t="shared" si="20"/>
        <v>15.476253235716429</v>
      </c>
      <c r="AX56" s="173">
        <f t="shared" si="20"/>
        <v>15.668707307192877</v>
      </c>
      <c r="AY56" s="173">
        <f t="shared" si="20"/>
        <v>15.862594868876217</v>
      </c>
    </row>
    <row r="57" spans="1:51" x14ac:dyDescent="0.2">
      <c r="A57" s="19" t="s">
        <v>163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3">
        <f t="shared" ref="Z57:AA66" si="21">Z$68*(SUM(U25:Y25)/SUM(U$36:Y$36))</f>
        <v>9.119346178282008</v>
      </c>
      <c r="AA57" s="173">
        <f t="shared" si="21"/>
        <v>11.629235522430228</v>
      </c>
      <c r="AB57" s="173">
        <f t="shared" si="20"/>
        <v>11.940133861337559</v>
      </c>
      <c r="AC57" s="173">
        <f t="shared" si="20"/>
        <v>11.968312388194397</v>
      </c>
      <c r="AD57" s="173">
        <f t="shared" si="20"/>
        <v>13.210454269700598</v>
      </c>
      <c r="AE57" s="173">
        <f t="shared" si="20"/>
        <v>13.256347768440335</v>
      </c>
      <c r="AF57" s="173">
        <f t="shared" si="20"/>
        <v>13.020245614024867</v>
      </c>
      <c r="AG57" s="173">
        <f t="shared" si="20"/>
        <v>13.543271212232678</v>
      </c>
      <c r="AH57" s="173">
        <f t="shared" si="20"/>
        <v>13.759954396252059</v>
      </c>
      <c r="AI57" s="173">
        <f t="shared" si="20"/>
        <v>14.017418303467743</v>
      </c>
      <c r="AJ57" s="173">
        <f t="shared" si="20"/>
        <v>14.075055641470446</v>
      </c>
      <c r="AK57" s="173">
        <f t="shared" si="20"/>
        <v>14.351608532199426</v>
      </c>
      <c r="AL57" s="173">
        <f t="shared" si="20"/>
        <v>14.546587621818256</v>
      </c>
      <c r="AM57" s="173">
        <f t="shared" si="20"/>
        <v>14.745543612106477</v>
      </c>
      <c r="AN57" s="173">
        <f t="shared" si="20"/>
        <v>14.99371856545687</v>
      </c>
      <c r="AO57" s="173">
        <f t="shared" si="20"/>
        <v>15.200730326346029</v>
      </c>
      <c r="AP57" s="173">
        <f t="shared" si="20"/>
        <v>15.404490387156661</v>
      </c>
      <c r="AQ57" s="173">
        <f t="shared" si="20"/>
        <v>15.600990983612736</v>
      </c>
      <c r="AR57" s="173">
        <f t="shared" si="20"/>
        <v>15.816466312518864</v>
      </c>
      <c r="AS57" s="173">
        <f t="shared" si="20"/>
        <v>16.023087297290161</v>
      </c>
      <c r="AT57" s="173">
        <f t="shared" si="20"/>
        <v>16.233266184219271</v>
      </c>
      <c r="AU57" s="173">
        <f t="shared" si="20"/>
        <v>16.447822454425555</v>
      </c>
      <c r="AV57" s="173">
        <f t="shared" si="20"/>
        <v>16.655912558218922</v>
      </c>
      <c r="AW57" s="173">
        <f t="shared" si="20"/>
        <v>16.865396928951927</v>
      </c>
      <c r="AX57" s="173">
        <f t="shared" si="20"/>
        <v>17.075267783048329</v>
      </c>
      <c r="AY57" s="173">
        <f t="shared" si="20"/>
        <v>17.286910231703182</v>
      </c>
    </row>
    <row r="58" spans="1:51" x14ac:dyDescent="0.2">
      <c r="A58" s="19" t="s">
        <v>164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3">
        <f t="shared" si="21"/>
        <v>9.9792209856222929</v>
      </c>
      <c r="AA58" s="173">
        <f t="shared" si="21"/>
        <v>13.075373340867969</v>
      </c>
      <c r="AB58" s="173">
        <f t="shared" si="20"/>
        <v>13.241642397650249</v>
      </c>
      <c r="AC58" s="173">
        <f t="shared" si="20"/>
        <v>13.197049475752747</v>
      </c>
      <c r="AD58" s="173">
        <f t="shared" si="20"/>
        <v>14.114978137977266</v>
      </c>
      <c r="AE58" s="173">
        <f t="shared" si="20"/>
        <v>14.56461035874724</v>
      </c>
      <c r="AF58" s="173">
        <f t="shared" si="20"/>
        <v>13.913663248913574</v>
      </c>
      <c r="AG58" s="173">
        <f t="shared" si="20"/>
        <v>14.483983510567482</v>
      </c>
      <c r="AH58" s="173">
        <f t="shared" si="20"/>
        <v>14.716135785897922</v>
      </c>
      <c r="AI58" s="173">
        <f t="shared" si="20"/>
        <v>14.984396879458561</v>
      </c>
      <c r="AJ58" s="173">
        <f t="shared" si="20"/>
        <v>15.051250041932404</v>
      </c>
      <c r="AK58" s="173">
        <f t="shared" si="20"/>
        <v>15.349522916848159</v>
      </c>
      <c r="AL58" s="173">
        <f t="shared" si="20"/>
        <v>15.556346103952258</v>
      </c>
      <c r="AM58" s="173">
        <f t="shared" si="20"/>
        <v>15.765581914294431</v>
      </c>
      <c r="AN58" s="173">
        <f t="shared" si="20"/>
        <v>16.025852920809765</v>
      </c>
      <c r="AO58" s="173">
        <f t="shared" si="20"/>
        <v>16.245435571180657</v>
      </c>
      <c r="AP58" s="173">
        <f t="shared" si="20"/>
        <v>16.467326908151932</v>
      </c>
      <c r="AQ58" s="173">
        <f t="shared" si="20"/>
        <v>16.682692676073824</v>
      </c>
      <c r="AR58" s="173">
        <f t="shared" si="20"/>
        <v>16.920562153088767</v>
      </c>
      <c r="AS58" s="173">
        <f t="shared" si="20"/>
        <v>17.149379751477838</v>
      </c>
      <c r="AT58" s="173">
        <f t="shared" si="20"/>
        <v>17.378145889491147</v>
      </c>
      <c r="AU58" s="173">
        <f t="shared" si="20"/>
        <v>17.604950821430975</v>
      </c>
      <c r="AV58" s="173">
        <f t="shared" si="20"/>
        <v>17.829994750557489</v>
      </c>
      <c r="AW58" s="173">
        <f t="shared" si="20"/>
        <v>18.053518505536776</v>
      </c>
      <c r="AX58" s="173">
        <f t="shared" si="20"/>
        <v>18.277979591627872</v>
      </c>
      <c r="AY58" s="173">
        <f t="shared" si="20"/>
        <v>18.504033415743677</v>
      </c>
    </row>
    <row r="59" spans="1:51" x14ac:dyDescent="0.2">
      <c r="A59" s="19" t="s">
        <v>165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3">
        <f t="shared" si="21"/>
        <v>10.620237932859332</v>
      </c>
      <c r="AA59" s="173">
        <f t="shared" si="21"/>
        <v>13.369549781619122</v>
      </c>
      <c r="AB59" s="173">
        <f t="shared" si="20"/>
        <v>13.50651804847497</v>
      </c>
      <c r="AC59" s="173">
        <f t="shared" si="20"/>
        <v>13.365674395916816</v>
      </c>
      <c r="AD59" s="173">
        <f t="shared" si="20"/>
        <v>14.286597678217474</v>
      </c>
      <c r="AE59" s="173">
        <f t="shared" si="20"/>
        <v>13.720450202647578</v>
      </c>
      <c r="AF59" s="173">
        <f t="shared" si="20"/>
        <v>13.334956025315021</v>
      </c>
      <c r="AG59" s="173">
        <f t="shared" si="20"/>
        <v>13.872538474976572</v>
      </c>
      <c r="AH59" s="173">
        <f t="shared" si="20"/>
        <v>14.091365414332653</v>
      </c>
      <c r="AI59" s="173">
        <f t="shared" si="20"/>
        <v>14.351347918225276</v>
      </c>
      <c r="AJ59" s="173">
        <f t="shared" si="20"/>
        <v>14.412325764795142</v>
      </c>
      <c r="AK59" s="173">
        <f t="shared" si="20"/>
        <v>14.697375346404105</v>
      </c>
      <c r="AL59" s="173">
        <f t="shared" si="20"/>
        <v>14.896506045639832</v>
      </c>
      <c r="AM59" s="173">
        <f t="shared" si="20"/>
        <v>15.099272111578296</v>
      </c>
      <c r="AN59" s="173">
        <f t="shared" si="20"/>
        <v>15.352797356701265</v>
      </c>
      <c r="AO59" s="173">
        <f t="shared" si="20"/>
        <v>15.564978469161684</v>
      </c>
      <c r="AP59" s="173">
        <f t="shared" si="20"/>
        <v>15.774106812829915</v>
      </c>
      <c r="AQ59" s="173">
        <f t="shared" si="20"/>
        <v>15.975639262127556</v>
      </c>
      <c r="AR59" s="173">
        <f t="shared" si="20"/>
        <v>16.196823938347862</v>
      </c>
      <c r="AS59" s="173">
        <f t="shared" si="20"/>
        <v>16.409084547934924</v>
      </c>
      <c r="AT59" s="173">
        <f t="shared" si="20"/>
        <v>16.62471183724492</v>
      </c>
      <c r="AU59" s="173">
        <f t="shared" si="20"/>
        <v>16.844199550229391</v>
      </c>
      <c r="AV59" s="173">
        <f t="shared" si="20"/>
        <v>17.05746995801233</v>
      </c>
      <c r="AW59" s="173">
        <f t="shared" si="20"/>
        <v>17.271935988541063</v>
      </c>
      <c r="AX59" s="173">
        <f t="shared" si="20"/>
        <v>17.486859696379749</v>
      </c>
      <c r="AY59" s="173">
        <f t="shared" si="20"/>
        <v>17.70357037585606</v>
      </c>
    </row>
    <row r="60" spans="1:51" x14ac:dyDescent="0.2">
      <c r="A60" s="19" t="s">
        <v>166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3">
        <f t="shared" si="21"/>
        <v>11.251998648063422</v>
      </c>
      <c r="AA60" s="173">
        <f t="shared" si="21"/>
        <v>13.82974042736762</v>
      </c>
      <c r="AB60" s="173">
        <f t="shared" si="20"/>
        <v>14.090129348372711</v>
      </c>
      <c r="AC60" s="173">
        <f t="shared" si="20"/>
        <v>13.83334986364765</v>
      </c>
      <c r="AD60" s="173">
        <f t="shared" si="20"/>
        <v>14.386617115981133</v>
      </c>
      <c r="AE60" s="173">
        <f t="shared" si="20"/>
        <v>14.97626880043434</v>
      </c>
      <c r="AF60" s="173">
        <f t="shared" si="20"/>
        <v>14.895028219014483</v>
      </c>
      <c r="AG60" s="173">
        <f t="shared" si="20"/>
        <v>15.49382064529663</v>
      </c>
      <c r="AH60" s="173">
        <f t="shared" si="20"/>
        <v>15.732233054449104</v>
      </c>
      <c r="AI60" s="173">
        <f t="shared" si="20"/>
        <v>16.022296620365974</v>
      </c>
      <c r="AJ60" s="173">
        <f t="shared" si="20"/>
        <v>16.095023117422205</v>
      </c>
      <c r="AK60" s="173">
        <f t="shared" si="20"/>
        <v>16.412276643936238</v>
      </c>
      <c r="AL60" s="173">
        <f t="shared" si="20"/>
        <v>16.633954385789416</v>
      </c>
      <c r="AM60" s="173">
        <f t="shared" si="20"/>
        <v>16.859830836589595</v>
      </c>
      <c r="AN60" s="173">
        <f t="shared" si="20"/>
        <v>17.143458434271512</v>
      </c>
      <c r="AO60" s="173">
        <f t="shared" si="20"/>
        <v>17.380952758585909</v>
      </c>
      <c r="AP60" s="173">
        <f t="shared" si="20"/>
        <v>17.614095115786018</v>
      </c>
      <c r="AQ60" s="173">
        <f t="shared" si="20"/>
        <v>17.838852999497025</v>
      </c>
      <c r="AR60" s="173">
        <f t="shared" si="20"/>
        <v>18.085589279756068</v>
      </c>
      <c r="AS60" s="173">
        <f t="shared" si="20"/>
        <v>18.322472383381374</v>
      </c>
      <c r="AT60" s="173">
        <f t="shared" si="20"/>
        <v>18.563175280046483</v>
      </c>
      <c r="AU60" s="173">
        <f t="shared" si="20"/>
        <v>18.808279775075814</v>
      </c>
      <c r="AV60" s="173">
        <f t="shared" si="20"/>
        <v>19.046335581870569</v>
      </c>
      <c r="AW60" s="173">
        <f t="shared" si="20"/>
        <v>19.285838668154557</v>
      </c>
      <c r="AX60" s="173">
        <f t="shared" si="20"/>
        <v>19.525845277638666</v>
      </c>
      <c r="AY60" s="173">
        <f t="shared" si="20"/>
        <v>19.767838342844051</v>
      </c>
    </row>
    <row r="61" spans="1:51" x14ac:dyDescent="0.2">
      <c r="A61" s="19" t="s">
        <v>167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3">
        <f t="shared" si="21"/>
        <v>11.758910472439263</v>
      </c>
      <c r="AA61" s="173">
        <f t="shared" si="21"/>
        <v>14.184546762973094</v>
      </c>
      <c r="AB61" s="173">
        <f t="shared" si="20"/>
        <v>14.265824327605397</v>
      </c>
      <c r="AC61" s="173">
        <f t="shared" si="20"/>
        <v>14.232273350062572</v>
      </c>
      <c r="AD61" s="173">
        <f t="shared" si="20"/>
        <v>15.153191263886521</v>
      </c>
      <c r="AE61" s="173">
        <f t="shared" si="20"/>
        <v>14.9535342483139</v>
      </c>
      <c r="AF61" s="173">
        <f t="shared" si="20"/>
        <v>14.912035249122933</v>
      </c>
      <c r="AG61" s="173">
        <f t="shared" si="20"/>
        <v>15.52027479029805</v>
      </c>
      <c r="AH61" s="173">
        <f t="shared" si="20"/>
        <v>15.768094642879863</v>
      </c>
      <c r="AI61" s="173">
        <f t="shared" si="20"/>
        <v>16.054580403521772</v>
      </c>
      <c r="AJ61" s="173">
        <f t="shared" si="20"/>
        <v>16.124599646877865</v>
      </c>
      <c r="AK61" s="173">
        <f t="shared" si="20"/>
        <v>16.445528285281025</v>
      </c>
      <c r="AL61" s="173">
        <f t="shared" si="20"/>
        <v>16.667319431689705</v>
      </c>
      <c r="AM61" s="173">
        <f t="shared" si="20"/>
        <v>16.892100816406604</v>
      </c>
      <c r="AN61" s="173">
        <f t="shared" si="20"/>
        <v>17.172114623687378</v>
      </c>
      <c r="AO61" s="173">
        <f t="shared" si="20"/>
        <v>17.408067982996702</v>
      </c>
      <c r="AP61" s="173">
        <f t="shared" si="20"/>
        <v>17.644885763684993</v>
      </c>
      <c r="AQ61" s="173">
        <f t="shared" si="20"/>
        <v>17.874025143503491</v>
      </c>
      <c r="AR61" s="173">
        <f t="shared" si="20"/>
        <v>18.126663008192839</v>
      </c>
      <c r="AS61" s="173">
        <f t="shared" si="20"/>
        <v>18.369541370193122</v>
      </c>
      <c r="AT61" s="173">
        <f t="shared" si="20"/>
        <v>18.613538948326255</v>
      </c>
      <c r="AU61" s="173">
        <f t="shared" si="20"/>
        <v>18.857315229030622</v>
      </c>
      <c r="AV61" s="173">
        <f t="shared" si="20"/>
        <v>19.097677915110268</v>
      </c>
      <c r="AW61" s="173">
        <f t="shared" si="20"/>
        <v>19.337293071990089</v>
      </c>
      <c r="AX61" s="173">
        <f t="shared" si="20"/>
        <v>19.577775754754633</v>
      </c>
      <c r="AY61" s="173">
        <f t="shared" si="20"/>
        <v>19.820055872364044</v>
      </c>
    </row>
    <row r="62" spans="1:51" x14ac:dyDescent="0.2">
      <c r="A62" s="19" t="s">
        <v>168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3">
        <f t="shared" si="21"/>
        <v>11.385729986499278</v>
      </c>
      <c r="AA62" s="173">
        <f t="shared" si="21"/>
        <v>13.857625893503656</v>
      </c>
      <c r="AB62" s="173">
        <f t="shared" si="20"/>
        <v>13.902378165634852</v>
      </c>
      <c r="AC62" s="173">
        <f t="shared" si="20"/>
        <v>13.921165173508475</v>
      </c>
      <c r="AD62" s="173">
        <f t="shared" si="20"/>
        <v>14.999270849083166</v>
      </c>
      <c r="AE62" s="173">
        <f t="shared" si="20"/>
        <v>14.587606406762891</v>
      </c>
      <c r="AF62" s="173">
        <f t="shared" si="20"/>
        <v>14.526488549152333</v>
      </c>
      <c r="AG62" s="173">
        <f t="shared" si="20"/>
        <v>15.113784743758758</v>
      </c>
      <c r="AH62" s="173">
        <f t="shared" si="20"/>
        <v>15.356397706319148</v>
      </c>
      <c r="AI62" s="173">
        <f t="shared" si="20"/>
        <v>15.640846722407321</v>
      </c>
      <c r="AJ62" s="173">
        <f t="shared" si="20"/>
        <v>15.704727331970561</v>
      </c>
      <c r="AK62" s="173">
        <f t="shared" si="20"/>
        <v>16.016162056282493</v>
      </c>
      <c r="AL62" s="173">
        <f t="shared" si="20"/>
        <v>16.232983821477063</v>
      </c>
      <c r="AM62" s="173">
        <f t="shared" si="20"/>
        <v>16.453625870771543</v>
      </c>
      <c r="AN62" s="173">
        <f t="shared" si="20"/>
        <v>16.728459846886579</v>
      </c>
      <c r="AO62" s="173">
        <f t="shared" si="20"/>
        <v>16.95863027064669</v>
      </c>
      <c r="AP62" s="173">
        <f t="shared" si="20"/>
        <v>17.187771312624367</v>
      </c>
      <c r="AQ62" s="173">
        <f t="shared" si="20"/>
        <v>17.408988991047881</v>
      </c>
      <c r="AR62" s="173">
        <f t="shared" si="20"/>
        <v>17.65222915314223</v>
      </c>
      <c r="AS62" s="173">
        <f t="shared" si="20"/>
        <v>17.885745484020624</v>
      </c>
      <c r="AT62" s="173">
        <f t="shared" si="20"/>
        <v>18.121801401392659</v>
      </c>
      <c r="AU62" s="173">
        <f t="shared" si="20"/>
        <v>18.360263077224594</v>
      </c>
      <c r="AV62" s="173">
        <f t="shared" si="20"/>
        <v>18.593412087554931</v>
      </c>
      <c r="AW62" s="173">
        <f t="shared" si="20"/>
        <v>18.826982931312283</v>
      </c>
      <c r="AX62" s="173">
        <f t="shared" si="20"/>
        <v>19.061187666909436</v>
      </c>
      <c r="AY62" s="173">
        <f t="shared" si="20"/>
        <v>19.29726069481605</v>
      </c>
    </row>
    <row r="63" spans="1:51" x14ac:dyDescent="0.2">
      <c r="A63" s="19" t="s">
        <v>169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3">
        <f t="shared" si="21"/>
        <v>12.122247041975186</v>
      </c>
      <c r="AA63" s="173">
        <f t="shared" si="21"/>
        <v>14.721447016239146</v>
      </c>
      <c r="AB63" s="173">
        <f t="shared" si="20"/>
        <v>14.54414682633257</v>
      </c>
      <c r="AC63" s="173">
        <f t="shared" si="20"/>
        <v>14.408260647168234</v>
      </c>
      <c r="AD63" s="173">
        <f t="shared" si="20"/>
        <v>14.893828821240223</v>
      </c>
      <c r="AE63" s="173">
        <f t="shared" si="20"/>
        <v>14.991019839932957</v>
      </c>
      <c r="AF63" s="173">
        <f t="shared" si="20"/>
        <v>14.941794668463023</v>
      </c>
      <c r="AG63" s="173">
        <f t="shared" si="20"/>
        <v>15.55116274986508</v>
      </c>
      <c r="AH63" s="173">
        <f t="shared" si="20"/>
        <v>15.800624960634915</v>
      </c>
      <c r="AI63" s="173">
        <f t="shared" si="20"/>
        <v>16.09282782862439</v>
      </c>
      <c r="AJ63" s="173">
        <f t="shared" si="20"/>
        <v>16.161804722053798</v>
      </c>
      <c r="AK63" s="173">
        <f t="shared" si="20"/>
        <v>16.484005375495901</v>
      </c>
      <c r="AL63" s="173">
        <f t="shared" si="20"/>
        <v>16.704828367637084</v>
      </c>
      <c r="AM63" s="173">
        <f t="shared" si="20"/>
        <v>16.928802354876996</v>
      </c>
      <c r="AN63" s="173">
        <f t="shared" si="20"/>
        <v>17.207104325317029</v>
      </c>
      <c r="AO63" s="173">
        <f t="shared" si="20"/>
        <v>17.441721534845712</v>
      </c>
      <c r="AP63" s="173">
        <f t="shared" si="20"/>
        <v>17.681457892741058</v>
      </c>
      <c r="AQ63" s="173">
        <f t="shared" si="20"/>
        <v>17.914431345359578</v>
      </c>
      <c r="AR63" s="173">
        <f t="shared" si="20"/>
        <v>18.172428554377795</v>
      </c>
      <c r="AS63" s="173">
        <f t="shared" si="20"/>
        <v>18.420779388688068</v>
      </c>
      <c r="AT63" s="173">
        <f t="shared" si="20"/>
        <v>18.667685459983623</v>
      </c>
      <c r="AU63" s="173">
        <f t="shared" si="20"/>
        <v>18.910390764860896</v>
      </c>
      <c r="AV63" s="173">
        <f t="shared" si="20"/>
        <v>19.152893912491965</v>
      </c>
      <c r="AW63" s="173">
        <f t="shared" si="20"/>
        <v>19.392772357441874</v>
      </c>
      <c r="AX63" s="173">
        <f t="shared" si="20"/>
        <v>19.633815208670498</v>
      </c>
      <c r="AY63" s="173">
        <f t="shared" si="20"/>
        <v>19.876462387199918</v>
      </c>
    </row>
    <row r="64" spans="1:51" x14ac:dyDescent="0.2">
      <c r="A64" s="19" t="s">
        <v>170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3">
        <f t="shared" si="21"/>
        <v>11.759053207861703</v>
      </c>
      <c r="AA64" s="173">
        <f t="shared" si="21"/>
        <v>14.333244495977304</v>
      </c>
      <c r="AB64" s="173">
        <f t="shared" si="20"/>
        <v>14.627790037859624</v>
      </c>
      <c r="AC64" s="173">
        <f t="shared" si="20"/>
        <v>14.459592785684785</v>
      </c>
      <c r="AD64" s="173">
        <f t="shared" si="20"/>
        <v>15.019563386740904</v>
      </c>
      <c r="AE64" s="173">
        <f t="shared" si="20"/>
        <v>15.19052847347691</v>
      </c>
      <c r="AF64" s="173">
        <f t="shared" si="20"/>
        <v>15.136201925889006</v>
      </c>
      <c r="AG64" s="173">
        <f t="shared" si="20"/>
        <v>15.75075636443089</v>
      </c>
      <c r="AH64" s="173">
        <f t="shared" si="20"/>
        <v>15.998863890012668</v>
      </c>
      <c r="AI64" s="173">
        <f t="shared" si="20"/>
        <v>16.295495362111751</v>
      </c>
      <c r="AJ64" s="173">
        <f t="shared" si="20"/>
        <v>16.366553871326936</v>
      </c>
      <c r="AK64" s="173">
        <f t="shared" si="20"/>
        <v>16.691816856795892</v>
      </c>
      <c r="AL64" s="173">
        <f t="shared" si="20"/>
        <v>16.915821077821818</v>
      </c>
      <c r="AM64" s="173">
        <f t="shared" si="20"/>
        <v>17.143333987251943</v>
      </c>
      <c r="AN64" s="173">
        <f t="shared" si="20"/>
        <v>17.427210337450948</v>
      </c>
      <c r="AO64" s="173">
        <f t="shared" si="20"/>
        <v>17.665918454378467</v>
      </c>
      <c r="AP64" s="173">
        <f t="shared" si="20"/>
        <v>17.907036612949366</v>
      </c>
      <c r="AQ64" s="173">
        <f t="shared" si="20"/>
        <v>18.140814177287162</v>
      </c>
      <c r="AR64" s="173">
        <f t="shared" si="20"/>
        <v>18.399089112707244</v>
      </c>
      <c r="AS64" s="173">
        <f t="shared" si="20"/>
        <v>18.647548285203396</v>
      </c>
      <c r="AT64" s="173">
        <f t="shared" si="20"/>
        <v>18.896057828794099</v>
      </c>
      <c r="AU64" s="173">
        <f t="shared" si="20"/>
        <v>19.142828828377471</v>
      </c>
      <c r="AV64" s="173">
        <f t="shared" si="20"/>
        <v>19.387391221860813</v>
      </c>
      <c r="AW64" s="173">
        <f t="shared" si="20"/>
        <v>19.630489394192558</v>
      </c>
      <c r="AX64" s="173">
        <f t="shared" si="20"/>
        <v>19.874575553810264</v>
      </c>
      <c r="AY64" s="173">
        <f t="shared" si="20"/>
        <v>20.120395978882964</v>
      </c>
    </row>
    <row r="65" spans="1:51" x14ac:dyDescent="0.2">
      <c r="A65" s="19" t="s">
        <v>171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3">
        <f t="shared" si="21"/>
        <v>11.701262722147501</v>
      </c>
      <c r="AA65" s="173">
        <f t="shared" si="21"/>
        <v>14.929600974763977</v>
      </c>
      <c r="AB65" s="173">
        <f t="shared" si="20"/>
        <v>15.108982697128157</v>
      </c>
      <c r="AC65" s="173">
        <f t="shared" si="20"/>
        <v>15.325845265394296</v>
      </c>
      <c r="AD65" s="173">
        <f t="shared" si="20"/>
        <v>16.446564857314034</v>
      </c>
      <c r="AE65" s="173">
        <f t="shared" si="20"/>
        <v>16.512067090802201</v>
      </c>
      <c r="AF65" s="173">
        <f t="shared" si="20"/>
        <v>16.454758966799758</v>
      </c>
      <c r="AG65" s="173">
        <f t="shared" si="20"/>
        <v>17.118299204205751</v>
      </c>
      <c r="AH65" s="173">
        <f t="shared" si="20"/>
        <v>17.390252579446436</v>
      </c>
      <c r="AI65" s="173">
        <f t="shared" si="20"/>
        <v>17.710314666137091</v>
      </c>
      <c r="AJ65" s="173">
        <f t="shared" si="20"/>
        <v>17.785982528060327</v>
      </c>
      <c r="AK65" s="173">
        <f t="shared" si="20"/>
        <v>18.137855869588076</v>
      </c>
      <c r="AL65" s="173">
        <f t="shared" si="20"/>
        <v>18.383314566146211</v>
      </c>
      <c r="AM65" s="173">
        <f t="shared" si="20"/>
        <v>18.633279092537101</v>
      </c>
      <c r="AN65" s="173">
        <f t="shared" si="20"/>
        <v>18.94532812142257</v>
      </c>
      <c r="AO65" s="173">
        <f t="shared" si="20"/>
        <v>19.206814505331831</v>
      </c>
      <c r="AP65" s="173">
        <f t="shared" si="20"/>
        <v>19.465494475829324</v>
      </c>
      <c r="AQ65" s="173">
        <f t="shared" si="20"/>
        <v>19.71504180054416</v>
      </c>
      <c r="AR65" s="173">
        <f t="shared" si="20"/>
        <v>19.98919782857466</v>
      </c>
      <c r="AS65" s="173">
        <f t="shared" si="20"/>
        <v>20.252358463024994</v>
      </c>
      <c r="AT65" s="173">
        <f t="shared" si="20"/>
        <v>20.519070897893812</v>
      </c>
      <c r="AU65" s="173">
        <f t="shared" si="20"/>
        <v>20.789524650239443</v>
      </c>
      <c r="AV65" s="173">
        <f t="shared" si="20"/>
        <v>21.053116368701133</v>
      </c>
      <c r="AW65" s="173">
        <f t="shared" si="20"/>
        <v>21.31770947222126</v>
      </c>
      <c r="AX65" s="173">
        <f t="shared" si="20"/>
        <v>21.582942576657185</v>
      </c>
      <c r="AY65" s="173">
        <f t="shared" si="20"/>
        <v>21.85033601864512</v>
      </c>
    </row>
    <row r="66" spans="1:51" x14ac:dyDescent="0.2">
      <c r="A66" s="19" t="s">
        <v>172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3">
        <f t="shared" si="21"/>
        <v>12.836306602513588</v>
      </c>
      <c r="AA66" s="173">
        <f t="shared" si="21"/>
        <v>15.967291553532702</v>
      </c>
      <c r="AB66" s="173">
        <f t="shared" si="20"/>
        <v>16.352134684092363</v>
      </c>
      <c r="AC66" s="173">
        <f t="shared" si="20"/>
        <v>16.397445121017963</v>
      </c>
      <c r="AD66" s="173">
        <f t="shared" si="20"/>
        <v>18.37278963233328</v>
      </c>
      <c r="AE66" s="173">
        <f t="shared" si="20"/>
        <v>19.593384195368806</v>
      </c>
      <c r="AF66" s="173">
        <f t="shared" si="20"/>
        <v>19.888024855080442</v>
      </c>
      <c r="AG66" s="173">
        <f t="shared" si="20"/>
        <v>20.693586614077109</v>
      </c>
      <c r="AH66" s="173">
        <f t="shared" si="20"/>
        <v>21.019277368584437</v>
      </c>
      <c r="AI66" s="173">
        <f t="shared" si="20"/>
        <v>21.408710922875514</v>
      </c>
      <c r="AJ66" s="173">
        <f t="shared" si="20"/>
        <v>21.495690606928434</v>
      </c>
      <c r="AK66" s="173">
        <f t="shared" si="20"/>
        <v>21.921134629505506</v>
      </c>
      <c r="AL66" s="173">
        <f t="shared" si="20"/>
        <v>22.219566416592691</v>
      </c>
      <c r="AM66" s="173">
        <f t="shared" si="20"/>
        <v>22.522778451791428</v>
      </c>
      <c r="AN66" s="173">
        <f t="shared" si="20"/>
        <v>22.902257214553153</v>
      </c>
      <c r="AO66" s="173">
        <f t="shared" si="20"/>
        <v>23.219111150222886</v>
      </c>
      <c r="AP66" s="173">
        <f t="shared" si="20"/>
        <v>23.530045356550801</v>
      </c>
      <c r="AQ66" s="173">
        <f t="shared" ref="AQ66:AY66" si="22">AQ$68*(SUM(AL34:AP34)/SUM(AL$36:AP$36))</f>
        <v>23.829120416500864</v>
      </c>
      <c r="AR66" s="173">
        <f t="shared" si="22"/>
        <v>24.156685878697576</v>
      </c>
      <c r="AS66" s="173">
        <f t="shared" si="22"/>
        <v>24.470849660359814</v>
      </c>
      <c r="AT66" s="173">
        <f t="shared" si="22"/>
        <v>24.79125202881378</v>
      </c>
      <c r="AU66" s="173">
        <f t="shared" si="22"/>
        <v>25.119478411483861</v>
      </c>
      <c r="AV66" s="173">
        <f t="shared" si="22"/>
        <v>25.436817965851951</v>
      </c>
      <c r="AW66" s="173">
        <f t="shared" si="22"/>
        <v>25.756844398063723</v>
      </c>
      <c r="AX66" s="173">
        <f t="shared" si="22"/>
        <v>26.077406300567912</v>
      </c>
      <c r="AY66" s="173">
        <f t="shared" si="22"/>
        <v>26.400733503247071</v>
      </c>
    </row>
    <row r="67" spans="1:51" x14ac:dyDescent="0.2">
      <c r="A67" s="19" t="s">
        <v>173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3">
        <f>Z68-SUM(Z56:Z66)</f>
        <v>17.152943786736472</v>
      </c>
      <c r="AA67" s="173">
        <f>AA68-SUM(AA56:AA66)</f>
        <v>18.757894871608357</v>
      </c>
      <c r="AB67" s="173">
        <f t="shared" ref="AB67:AY67" si="23">AB68-SUM(AB56:AB66)</f>
        <v>19.083778610536484</v>
      </c>
      <c r="AC67" s="173">
        <f t="shared" si="23"/>
        <v>19.581918760936873</v>
      </c>
      <c r="AD67" s="173">
        <f t="shared" si="23"/>
        <v>21.302850348678987</v>
      </c>
      <c r="AE67" s="173">
        <f t="shared" si="23"/>
        <v>22.449271984834695</v>
      </c>
      <c r="AF67" s="173">
        <f t="shared" si="23"/>
        <v>22.530896321617632</v>
      </c>
      <c r="AG67" s="173">
        <f t="shared" si="23"/>
        <v>23.422196468603744</v>
      </c>
      <c r="AH67" s="173">
        <f t="shared" si="23"/>
        <v>23.791579405835961</v>
      </c>
      <c r="AI67" s="173">
        <f t="shared" si="23"/>
        <v>24.235249658521013</v>
      </c>
      <c r="AJ67" s="173">
        <f t="shared" si="23"/>
        <v>24.335287204401283</v>
      </c>
      <c r="AK67" s="173">
        <f t="shared" si="23"/>
        <v>24.816515673286148</v>
      </c>
      <c r="AL67" s="173">
        <f t="shared" si="23"/>
        <v>25.152271915739675</v>
      </c>
      <c r="AM67" s="173">
        <f t="shared" si="23"/>
        <v>25.496897086796423</v>
      </c>
      <c r="AN67" s="173">
        <f t="shared" si="23"/>
        <v>25.928173560517251</v>
      </c>
      <c r="AO67" s="173">
        <f t="shared" si="23"/>
        <v>26.287588608418815</v>
      </c>
      <c r="AP67" s="173">
        <f t="shared" si="23"/>
        <v>26.638385453415935</v>
      </c>
      <c r="AQ67" s="173">
        <f t="shared" si="23"/>
        <v>26.975379751255048</v>
      </c>
      <c r="AR67" s="173">
        <f t="shared" si="23"/>
        <v>27.344463459430983</v>
      </c>
      <c r="AS67" s="173">
        <f t="shared" si="23"/>
        <v>27.69821497961928</v>
      </c>
      <c r="AT67" s="173">
        <f t="shared" si="23"/>
        <v>28.059926147025664</v>
      </c>
      <c r="AU67" s="173">
        <f t="shared" si="23"/>
        <v>28.432097015790191</v>
      </c>
      <c r="AV67" s="173">
        <f t="shared" si="23"/>
        <v>28.790685889318041</v>
      </c>
      <c r="AW67" s="173">
        <f t="shared" si="23"/>
        <v>29.153120753859071</v>
      </c>
      <c r="AX67" s="173">
        <f t="shared" si="23"/>
        <v>29.516009008177122</v>
      </c>
      <c r="AY67" s="173">
        <f t="shared" si="23"/>
        <v>29.882088708615299</v>
      </c>
    </row>
    <row r="68" spans="1:51" x14ac:dyDescent="0.2">
      <c r="A68" s="117" t="s">
        <v>174</v>
      </c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31"/>
      <c r="M68" s="131"/>
      <c r="N68" s="131"/>
      <c r="O68" s="131"/>
      <c r="P68" s="131"/>
      <c r="Q68" s="131"/>
      <c r="R68" s="131"/>
      <c r="S68" s="131"/>
      <c r="T68" s="131"/>
      <c r="U68" s="131"/>
      <c r="V68" s="131"/>
      <c r="W68" s="132">
        <f>W9</f>
        <v>33.779946240000001</v>
      </c>
      <c r="X68" s="132">
        <f>X9</f>
        <v>99.563586057000009</v>
      </c>
      <c r="Y68" s="132">
        <f>Y9</f>
        <v>245.76266081700007</v>
      </c>
      <c r="Z68" s="132">
        <f>Z9</f>
        <v>136.53481156500004</v>
      </c>
      <c r="AA68" s="132">
        <f t="shared" ref="AA68:AY68" si="24">AA9</f>
        <v>170.66851445625005</v>
      </c>
      <c r="AB68" s="132">
        <f t="shared" si="24"/>
        <v>172.72478897031255</v>
      </c>
      <c r="AC68" s="132">
        <f t="shared" si="24"/>
        <v>172.72478897031255</v>
      </c>
      <c r="AD68" s="132">
        <f t="shared" si="24"/>
        <v>185.14450541837505</v>
      </c>
      <c r="AE68" s="132">
        <f t="shared" si="24"/>
        <v>187.55948187605003</v>
      </c>
      <c r="AF68" s="132">
        <f t="shared" si="24"/>
        <v>185.48950205518577</v>
      </c>
      <c r="AG68" s="132">
        <f t="shared" si="24"/>
        <v>192.97805618735515</v>
      </c>
      <c r="AH68" s="132">
        <f t="shared" si="24"/>
        <v>196.04137684769162</v>
      </c>
      <c r="AI68" s="132">
        <f t="shared" si="24"/>
        <v>199.66607147504038</v>
      </c>
      <c r="AJ68" s="132">
        <f t="shared" si="24"/>
        <v>200.51482611857293</v>
      </c>
      <c r="AK68" s="132">
        <f t="shared" si="24"/>
        <v>204.48483142546729</v>
      </c>
      <c r="AL68" s="132">
        <f t="shared" si="24"/>
        <v>207.2477351407662</v>
      </c>
      <c r="AM68" s="132">
        <f t="shared" si="24"/>
        <v>210.06034275001136</v>
      </c>
      <c r="AN68" s="132">
        <f t="shared" si="24"/>
        <v>213.57046284927216</v>
      </c>
      <c r="AO68" s="132">
        <f t="shared" si="24"/>
        <v>216.51223522954598</v>
      </c>
      <c r="AP68" s="132">
        <f t="shared" si="24"/>
        <v>219.43664356981088</v>
      </c>
      <c r="AQ68" s="132">
        <f t="shared" si="24"/>
        <v>222.26101101192097</v>
      </c>
      <c r="AR68" s="132">
        <f t="shared" si="24"/>
        <v>225.36760885382787</v>
      </c>
      <c r="AS68" s="132">
        <f t="shared" si="24"/>
        <v>228.3508627721651</v>
      </c>
      <c r="AT68" s="132">
        <f t="shared" si="24"/>
        <v>231.36559529093637</v>
      </c>
      <c r="AU68" s="132">
        <f t="shared" si="24"/>
        <v>234.40920279678281</v>
      </c>
      <c r="AV68" s="132">
        <f t="shared" si="24"/>
        <v>237.38616564642714</v>
      </c>
      <c r="AW68" s="132">
        <f t="shared" si="24"/>
        <v>240.36815570598159</v>
      </c>
      <c r="AX68" s="132">
        <f t="shared" si="24"/>
        <v>243.35837172543455</v>
      </c>
      <c r="AY68" s="132">
        <f t="shared" si="24"/>
        <v>246.37228039879363</v>
      </c>
    </row>
    <row r="69" spans="1:51" x14ac:dyDescent="0.2">
      <c r="X69" s="118"/>
    </row>
    <row r="70" spans="1:51" ht="12" thickBot="1" x14ac:dyDescent="0.25">
      <c r="A70" s="121" t="s">
        <v>209</v>
      </c>
    </row>
    <row r="71" spans="1:51" ht="12" thickBot="1" x14ac:dyDescent="0.25">
      <c r="A71" s="122"/>
      <c r="B71" s="122">
        <f t="shared" ref="B71:AY71" si="25">B2</f>
        <v>2001</v>
      </c>
      <c r="C71" s="122">
        <f t="shared" si="25"/>
        <v>2002</v>
      </c>
      <c r="D71" s="122">
        <f t="shared" si="25"/>
        <v>2003</v>
      </c>
      <c r="E71" s="122">
        <f t="shared" si="25"/>
        <v>2004</v>
      </c>
      <c r="F71" s="122">
        <f t="shared" si="25"/>
        <v>2005</v>
      </c>
      <c r="G71" s="122">
        <f t="shared" si="25"/>
        <v>2006</v>
      </c>
      <c r="H71" s="122">
        <f t="shared" si="25"/>
        <v>2007</v>
      </c>
      <c r="I71" s="122">
        <f t="shared" si="25"/>
        <v>2008</v>
      </c>
      <c r="J71" s="122">
        <f t="shared" si="25"/>
        <v>2009</v>
      </c>
      <c r="K71" s="122">
        <f t="shared" si="25"/>
        <v>2010</v>
      </c>
      <c r="L71" s="171">
        <f t="shared" si="25"/>
        <v>2011</v>
      </c>
      <c r="M71" s="171">
        <f t="shared" si="25"/>
        <v>2012</v>
      </c>
      <c r="N71" s="171">
        <f t="shared" si="25"/>
        <v>2013</v>
      </c>
      <c r="O71" s="171">
        <f t="shared" si="25"/>
        <v>2014</v>
      </c>
      <c r="P71" s="171">
        <f t="shared" si="25"/>
        <v>2015</v>
      </c>
      <c r="Q71" s="171">
        <f t="shared" si="25"/>
        <v>2016</v>
      </c>
      <c r="R71" s="171">
        <f t="shared" si="25"/>
        <v>2017</v>
      </c>
      <c r="S71" s="171">
        <f t="shared" si="25"/>
        <v>2018</v>
      </c>
      <c r="T71" s="171">
        <f t="shared" si="25"/>
        <v>2019</v>
      </c>
      <c r="U71" s="171">
        <f t="shared" si="25"/>
        <v>2020</v>
      </c>
      <c r="V71" s="171">
        <f t="shared" si="25"/>
        <v>2021</v>
      </c>
      <c r="W71" s="171">
        <f t="shared" si="25"/>
        <v>2022</v>
      </c>
      <c r="X71" s="171">
        <f t="shared" si="25"/>
        <v>2023</v>
      </c>
      <c r="Y71" s="171">
        <f t="shared" si="25"/>
        <v>2024</v>
      </c>
      <c r="Z71" s="171">
        <f t="shared" si="25"/>
        <v>2025</v>
      </c>
      <c r="AA71" s="171">
        <f t="shared" si="25"/>
        <v>2026</v>
      </c>
      <c r="AB71" s="171">
        <f t="shared" si="25"/>
        <v>2027</v>
      </c>
      <c r="AC71" s="171">
        <f t="shared" si="25"/>
        <v>2028</v>
      </c>
      <c r="AD71" s="171">
        <f t="shared" si="25"/>
        <v>2029</v>
      </c>
      <c r="AE71" s="171">
        <f t="shared" si="25"/>
        <v>2030</v>
      </c>
      <c r="AF71" s="171">
        <f t="shared" si="25"/>
        <v>2031</v>
      </c>
      <c r="AG71" s="171">
        <f t="shared" si="25"/>
        <v>2032</v>
      </c>
      <c r="AH71" s="171">
        <f t="shared" si="25"/>
        <v>2033</v>
      </c>
      <c r="AI71" s="171">
        <f t="shared" si="25"/>
        <v>2034</v>
      </c>
      <c r="AJ71" s="171">
        <f t="shared" si="25"/>
        <v>2035</v>
      </c>
      <c r="AK71" s="171">
        <f t="shared" si="25"/>
        <v>2036</v>
      </c>
      <c r="AL71" s="171">
        <f t="shared" si="25"/>
        <v>2037</v>
      </c>
      <c r="AM71" s="171">
        <f t="shared" si="25"/>
        <v>2038</v>
      </c>
      <c r="AN71" s="171">
        <f t="shared" si="25"/>
        <v>2039</v>
      </c>
      <c r="AO71" s="171">
        <f t="shared" si="25"/>
        <v>2040</v>
      </c>
      <c r="AP71" s="171">
        <f t="shared" si="25"/>
        <v>2041</v>
      </c>
      <c r="AQ71" s="171">
        <f t="shared" si="25"/>
        <v>2042</v>
      </c>
      <c r="AR71" s="171">
        <f t="shared" si="25"/>
        <v>2043</v>
      </c>
      <c r="AS71" s="171">
        <f t="shared" si="25"/>
        <v>2044</v>
      </c>
      <c r="AT71" s="171">
        <f t="shared" si="25"/>
        <v>2045</v>
      </c>
      <c r="AU71" s="171">
        <f t="shared" si="25"/>
        <v>2046</v>
      </c>
      <c r="AV71" s="171">
        <f t="shared" si="25"/>
        <v>2047</v>
      </c>
      <c r="AW71" s="171">
        <f t="shared" si="25"/>
        <v>2048</v>
      </c>
      <c r="AX71" s="171">
        <f t="shared" si="25"/>
        <v>2049</v>
      </c>
      <c r="AY71" s="171">
        <f t="shared" si="25"/>
        <v>2050</v>
      </c>
    </row>
    <row r="72" spans="1:51" x14ac:dyDescent="0.2">
      <c r="A72" s="19" t="s">
        <v>162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172">
        <f t="shared" ref="L72:W72" si="26">K100+L24+L40-L56-L89</f>
        <v>4.4278550000000001</v>
      </c>
      <c r="M72" s="172">
        <f t="shared" si="26"/>
        <v>3.9233639999999999</v>
      </c>
      <c r="N72" s="172">
        <f t="shared" si="26"/>
        <v>8.9184680000000007</v>
      </c>
      <c r="O72" s="172">
        <f t="shared" si="26"/>
        <v>44.611400000000003</v>
      </c>
      <c r="P72" s="172">
        <f t="shared" si="26"/>
        <v>45.462011000000004</v>
      </c>
      <c r="Q72" s="172">
        <f t="shared" si="26"/>
        <v>31.279268999999999</v>
      </c>
      <c r="R72" s="172">
        <f t="shared" si="26"/>
        <v>61.301230000000011</v>
      </c>
      <c r="S72" s="172">
        <f t="shared" si="26"/>
        <v>30.280450999999999</v>
      </c>
      <c r="T72" s="172">
        <f t="shared" si="26"/>
        <v>53.989072999999991</v>
      </c>
      <c r="U72" s="172">
        <f t="shared" si="26"/>
        <v>62.269475</v>
      </c>
      <c r="V72" s="172">
        <f t="shared" si="26"/>
        <v>68.459783000000002</v>
      </c>
      <c r="W72" s="172">
        <f t="shared" si="26"/>
        <v>106.631715</v>
      </c>
      <c r="X72" s="172">
        <f>W100+X24+X40-X56-X89</f>
        <v>178.671244</v>
      </c>
      <c r="Y72" s="172">
        <f>X100+Y24+Y40-Y56-Y89</f>
        <v>216.57707400000004</v>
      </c>
      <c r="Z72" s="172">
        <f>Y100+Z24+Z40-Z56-Z89</f>
        <v>182.2570096</v>
      </c>
      <c r="AA72" s="174">
        <f t="shared" ref="AA72:AA82" si="27">AA$84*((SUM(V72:Z72)/SUM(V$84:Z$84)))</f>
        <v>171.57286641390047</v>
      </c>
      <c r="AB72" s="174">
        <f t="shared" ref="AB72:AB82" si="28">AB$84*((SUM(W72:AA72)/SUM(W$84:AA$84)))</f>
        <v>195.63603408453545</v>
      </c>
      <c r="AC72" s="174">
        <f t="shared" ref="AC72:AR82" si="29">AC$84*((SUM(X72:AB72)/SUM(X$84:AB$84)))</f>
        <v>197.57945408448566</v>
      </c>
      <c r="AD72" s="174">
        <f t="shared" si="29"/>
        <v>197.44518645496026</v>
      </c>
      <c r="AE72" s="174">
        <f t="shared" si="29"/>
        <v>202.39083227954612</v>
      </c>
      <c r="AF72" s="174">
        <f t="shared" si="29"/>
        <v>209.42502841759949</v>
      </c>
      <c r="AG72" s="174">
        <f t="shared" si="29"/>
        <v>260.9621457026426</v>
      </c>
      <c r="AH72" s="174">
        <f t="shared" si="29"/>
        <v>261.37258820602153</v>
      </c>
      <c r="AI72" s="174">
        <f t="shared" si="29"/>
        <v>261.38268745629057</v>
      </c>
      <c r="AJ72" s="174">
        <f t="shared" si="29"/>
        <v>261.42327767757928</v>
      </c>
      <c r="AK72" s="174">
        <f t="shared" si="29"/>
        <v>267.4708657529219</v>
      </c>
      <c r="AL72" s="174">
        <f t="shared" si="29"/>
        <v>318.59503999889705</v>
      </c>
      <c r="AM72" s="174">
        <f t="shared" si="29"/>
        <v>350.52765232578633</v>
      </c>
      <c r="AN72" s="174">
        <f t="shared" si="29"/>
        <v>350.51080251803995</v>
      </c>
      <c r="AO72" s="174">
        <f t="shared" si="29"/>
        <v>318.62708606444949</v>
      </c>
      <c r="AP72" s="174">
        <f t="shared" si="29"/>
        <v>318.59750925795532</v>
      </c>
      <c r="AQ72" s="174">
        <f t="shared" si="29"/>
        <v>350.48921138108483</v>
      </c>
      <c r="AR72" s="174">
        <f t="shared" si="29"/>
        <v>375.98635257091178</v>
      </c>
      <c r="AS72" s="174">
        <f t="shared" ref="AS72:AY82" si="30">AS$84*((SUM(AN72:AR72)/SUM(AN$84:AR$84)))</f>
        <v>375.97935593217119</v>
      </c>
      <c r="AT72" s="174">
        <f t="shared" si="30"/>
        <v>375.97469376259261</v>
      </c>
      <c r="AU72" s="174">
        <f t="shared" si="30"/>
        <v>382.34619636270537</v>
      </c>
      <c r="AV72" s="174">
        <f t="shared" si="30"/>
        <v>382.35119383756142</v>
      </c>
      <c r="AW72" s="174">
        <f t="shared" si="30"/>
        <v>382.35106918503885</v>
      </c>
      <c r="AX72" s="174">
        <f t="shared" si="30"/>
        <v>414.21195667853857</v>
      </c>
      <c r="AY72" s="174">
        <f t="shared" si="30"/>
        <v>414.21145440367894</v>
      </c>
    </row>
    <row r="73" spans="1:51" x14ac:dyDescent="0.2">
      <c r="A73" s="19" t="s">
        <v>163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172">
        <f t="shared" ref="L73:Y83" si="31">L89+L25+L41-L57-L90</f>
        <v>0.96220600000000001</v>
      </c>
      <c r="M73" s="172">
        <f t="shared" si="31"/>
        <v>3.1894840000000002</v>
      </c>
      <c r="N73" s="172">
        <f t="shared" si="31"/>
        <v>4.5805819999999997</v>
      </c>
      <c r="O73" s="172">
        <f t="shared" si="31"/>
        <v>50.052868999999987</v>
      </c>
      <c r="P73" s="172">
        <f t="shared" si="31"/>
        <v>39.966629999999995</v>
      </c>
      <c r="Q73" s="172">
        <f t="shared" si="31"/>
        <v>33.381058000000003</v>
      </c>
      <c r="R73" s="172">
        <f t="shared" si="31"/>
        <v>45.749791999999992</v>
      </c>
      <c r="S73" s="172">
        <f t="shared" si="31"/>
        <v>54.226841999999998</v>
      </c>
      <c r="T73" s="172">
        <f t="shared" si="31"/>
        <v>68.016362000000001</v>
      </c>
      <c r="U73" s="172">
        <f t="shared" si="31"/>
        <v>91.65918400000001</v>
      </c>
      <c r="V73" s="172">
        <f t="shared" si="31"/>
        <v>75.147249999999985</v>
      </c>
      <c r="W73" s="172">
        <f t="shared" si="31"/>
        <v>133.34034400000002</v>
      </c>
      <c r="X73" s="172">
        <f>X89+X25+X41-X57-X90</f>
        <v>174.72898900000001</v>
      </c>
      <c r="Y73" s="172">
        <f>Y89+Y25+Y41-Y57-Y90</f>
        <v>290.02230900000001</v>
      </c>
      <c r="Z73" s="175">
        <f t="shared" ref="Z73:Z82" si="32">Z$84*((SUM(U73:Y73)/SUM(U$84:Y$84)))</f>
        <v>195.12491057297456</v>
      </c>
      <c r="AA73" s="174">
        <f t="shared" si="27"/>
        <v>197.9647822441195</v>
      </c>
      <c r="AB73" s="174">
        <f t="shared" si="28"/>
        <v>226.60808687571526</v>
      </c>
      <c r="AC73" s="174">
        <f t="shared" si="29"/>
        <v>226.80388458237931</v>
      </c>
      <c r="AD73" s="174">
        <f t="shared" si="29"/>
        <v>232.87252239269097</v>
      </c>
      <c r="AE73" s="174">
        <f t="shared" si="29"/>
        <v>231.29446857168847</v>
      </c>
      <c r="AF73" s="174">
        <f t="shared" si="29"/>
        <v>242.19041824998413</v>
      </c>
      <c r="AG73" s="174">
        <f t="shared" si="29"/>
        <v>301.90821973060815</v>
      </c>
      <c r="AH73" s="174">
        <f t="shared" si="29"/>
        <v>302.31552271415757</v>
      </c>
      <c r="AI73" s="174">
        <f t="shared" si="29"/>
        <v>302.72578714379893</v>
      </c>
      <c r="AJ73" s="174">
        <f t="shared" si="29"/>
        <v>301.8549923883719</v>
      </c>
      <c r="AK73" s="174">
        <f t="shared" si="29"/>
        <v>309.34917507375974</v>
      </c>
      <c r="AL73" s="174">
        <f t="shared" si="29"/>
        <v>368.48390705113991</v>
      </c>
      <c r="AM73" s="174">
        <f t="shared" si="29"/>
        <v>405.39588902519796</v>
      </c>
      <c r="AN73" s="174">
        <f t="shared" si="29"/>
        <v>405.36915409399461</v>
      </c>
      <c r="AO73" s="174">
        <f t="shared" si="29"/>
        <v>368.40599128240001</v>
      </c>
      <c r="AP73" s="174">
        <f t="shared" si="29"/>
        <v>368.45319772351041</v>
      </c>
      <c r="AQ73" s="174">
        <f t="shared" si="29"/>
        <v>405.33056790266676</v>
      </c>
      <c r="AR73" s="174">
        <f t="shared" si="29"/>
        <v>434.80880453448458</v>
      </c>
      <c r="AS73" s="174">
        <f t="shared" si="30"/>
        <v>434.79440600998635</v>
      </c>
      <c r="AT73" s="174">
        <f t="shared" si="30"/>
        <v>434.78309553014594</v>
      </c>
      <c r="AU73" s="174">
        <f t="shared" si="30"/>
        <v>442.16384504272219</v>
      </c>
      <c r="AV73" s="174">
        <f t="shared" si="30"/>
        <v>442.16727103150805</v>
      </c>
      <c r="AW73" s="174">
        <f t="shared" si="30"/>
        <v>442.16513578764591</v>
      </c>
      <c r="AX73" s="174">
        <f t="shared" si="30"/>
        <v>479.00937574204886</v>
      </c>
      <c r="AY73" s="174">
        <f t="shared" si="30"/>
        <v>479.00910198590338</v>
      </c>
    </row>
    <row r="74" spans="1:51" x14ac:dyDescent="0.2">
      <c r="A74" s="19" t="s">
        <v>164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172">
        <f t="shared" si="31"/>
        <v>3.151383</v>
      </c>
      <c r="M74" s="172">
        <f t="shared" si="31"/>
        <v>8.4726979999999994</v>
      </c>
      <c r="N74" s="172">
        <f t="shared" si="31"/>
        <v>18.224780000000003</v>
      </c>
      <c r="O74" s="172">
        <f t="shared" si="31"/>
        <v>51.898782999999995</v>
      </c>
      <c r="P74" s="172">
        <f t="shared" si="31"/>
        <v>35.87462</v>
      </c>
      <c r="Q74" s="172">
        <f t="shared" si="31"/>
        <v>47.769835</v>
      </c>
      <c r="R74" s="172">
        <f t="shared" si="31"/>
        <v>50.598970999999992</v>
      </c>
      <c r="S74" s="172">
        <f t="shared" si="31"/>
        <v>41.207600999999997</v>
      </c>
      <c r="T74" s="172">
        <f t="shared" si="31"/>
        <v>70.704650999999998</v>
      </c>
      <c r="U74" s="172">
        <f t="shared" si="31"/>
        <v>87.116441999999978</v>
      </c>
      <c r="V74" s="172">
        <f t="shared" si="31"/>
        <v>106.27074000000002</v>
      </c>
      <c r="W74" s="172">
        <f t="shared" si="31"/>
        <v>154.85986000000003</v>
      </c>
      <c r="X74" s="172">
        <f t="shared" si="31"/>
        <v>210.2235</v>
      </c>
      <c r="Y74" s="172">
        <f t="shared" si="31"/>
        <v>241.81239500000004</v>
      </c>
      <c r="Z74" s="174">
        <f t="shared" si="32"/>
        <v>204.15156138424175</v>
      </c>
      <c r="AA74" s="174">
        <f t="shared" si="27"/>
        <v>209.12510256948966</v>
      </c>
      <c r="AB74" s="174">
        <f t="shared" si="28"/>
        <v>233.23615167262611</v>
      </c>
      <c r="AC74" s="174">
        <f t="shared" si="29"/>
        <v>229.75271047590851</v>
      </c>
      <c r="AD74" s="174">
        <f t="shared" si="29"/>
        <v>229.09294642359208</v>
      </c>
      <c r="AE74" s="174">
        <f t="shared" si="29"/>
        <v>236.86252982696962</v>
      </c>
      <c r="AF74" s="174">
        <f t="shared" si="29"/>
        <v>247.080865473443</v>
      </c>
      <c r="AG74" s="174">
        <f t="shared" si="29"/>
        <v>306.13989434142292</v>
      </c>
      <c r="AH74" s="174">
        <f t="shared" si="29"/>
        <v>305.70798094444643</v>
      </c>
      <c r="AI74" s="174">
        <f t="shared" si="29"/>
        <v>306.02959378819628</v>
      </c>
      <c r="AJ74" s="174">
        <f t="shared" si="29"/>
        <v>306.53149567655259</v>
      </c>
      <c r="AK74" s="174">
        <f t="shared" si="29"/>
        <v>313.71864400716026</v>
      </c>
      <c r="AL74" s="174">
        <f t="shared" si="29"/>
        <v>373.33194387324721</v>
      </c>
      <c r="AM74" s="174">
        <f t="shared" si="29"/>
        <v>410.66316839966584</v>
      </c>
      <c r="AN74" s="174">
        <f t="shared" si="29"/>
        <v>410.76470094307962</v>
      </c>
      <c r="AO74" s="174">
        <f t="shared" si="29"/>
        <v>373.4588380452069</v>
      </c>
      <c r="AP74" s="174">
        <f t="shared" si="29"/>
        <v>373.40025699769041</v>
      </c>
      <c r="AQ74" s="174">
        <f t="shared" si="29"/>
        <v>410.72707674707289</v>
      </c>
      <c r="AR74" s="174">
        <f t="shared" si="29"/>
        <v>440.61067330879331</v>
      </c>
      <c r="AS74" s="174">
        <f t="shared" si="30"/>
        <v>440.62725359282064</v>
      </c>
      <c r="AT74" s="174">
        <f t="shared" si="30"/>
        <v>440.62498836191747</v>
      </c>
      <c r="AU74" s="174">
        <f t="shared" si="30"/>
        <v>448.08303170389252</v>
      </c>
      <c r="AV74" s="174">
        <f t="shared" si="30"/>
        <v>448.08349802352683</v>
      </c>
      <c r="AW74" s="174">
        <f t="shared" si="30"/>
        <v>448.08675656382843</v>
      </c>
      <c r="AX74" s="174">
        <f t="shared" si="30"/>
        <v>485.42905817446012</v>
      </c>
      <c r="AY74" s="174">
        <f t="shared" si="30"/>
        <v>485.42755471643295</v>
      </c>
    </row>
    <row r="75" spans="1:51" x14ac:dyDescent="0.2">
      <c r="A75" s="19" t="s">
        <v>165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172">
        <f t="shared" si="31"/>
        <v>1.966907</v>
      </c>
      <c r="M75" s="172">
        <f t="shared" si="31"/>
        <v>4.0752290000000002</v>
      </c>
      <c r="N75" s="172">
        <f t="shared" si="31"/>
        <v>11.103783</v>
      </c>
      <c r="O75" s="172">
        <f t="shared" si="31"/>
        <v>61.620892999999995</v>
      </c>
      <c r="P75" s="172">
        <f t="shared" si="31"/>
        <v>45.934823999999992</v>
      </c>
      <c r="Q75" s="172">
        <f t="shared" si="31"/>
        <v>44.518396999999993</v>
      </c>
      <c r="R75" s="172">
        <f t="shared" si="31"/>
        <v>49.041215000000001</v>
      </c>
      <c r="S75" s="172">
        <f t="shared" si="31"/>
        <v>46.836437000000004</v>
      </c>
      <c r="T75" s="172">
        <f t="shared" si="31"/>
        <v>76.999738000000008</v>
      </c>
      <c r="U75" s="172">
        <f t="shared" si="31"/>
        <v>67.490259999999978</v>
      </c>
      <c r="V75" s="172">
        <f t="shared" si="31"/>
        <v>95.650108999999986</v>
      </c>
      <c r="W75" s="172">
        <f t="shared" si="31"/>
        <v>142.76596199999994</v>
      </c>
      <c r="X75" s="172">
        <f t="shared" si="31"/>
        <v>213.61988500000001</v>
      </c>
      <c r="Y75" s="172">
        <f t="shared" si="31"/>
        <v>292.83753499999989</v>
      </c>
      <c r="Z75" s="174">
        <f t="shared" si="32"/>
        <v>207.23336773905172</v>
      </c>
      <c r="AA75" s="174">
        <f t="shared" si="27"/>
        <v>217.05606153196305</v>
      </c>
      <c r="AB75" s="174">
        <f t="shared" si="28"/>
        <v>245.43105873113137</v>
      </c>
      <c r="AC75" s="174">
        <f t="shared" si="29"/>
        <v>245.98823862011562</v>
      </c>
      <c r="AD75" s="174">
        <f t="shared" si="29"/>
        <v>247.62981071239417</v>
      </c>
      <c r="AE75" s="174">
        <f t="shared" si="29"/>
        <v>249.28682942885487</v>
      </c>
      <c r="AF75" s="174">
        <f t="shared" si="29"/>
        <v>261.69694715662598</v>
      </c>
      <c r="AG75" s="174">
        <f t="shared" si="29"/>
        <v>325.40538584516827</v>
      </c>
      <c r="AH75" s="174">
        <f t="shared" si="29"/>
        <v>325.55400407337027</v>
      </c>
      <c r="AI75" s="174">
        <f t="shared" si="29"/>
        <v>325.59150459646736</v>
      </c>
      <c r="AJ75" s="174">
        <f t="shared" si="29"/>
        <v>325.27424808063972</v>
      </c>
      <c r="AK75" s="174">
        <f t="shared" si="29"/>
        <v>333.33973487104271</v>
      </c>
      <c r="AL75" s="174">
        <f t="shared" si="29"/>
        <v>396.88467899676903</v>
      </c>
      <c r="AM75" s="174">
        <f t="shared" si="29"/>
        <v>436.58339248374841</v>
      </c>
      <c r="AN75" s="174">
        <f t="shared" si="29"/>
        <v>436.55915173177601</v>
      </c>
      <c r="AO75" s="174">
        <f t="shared" si="29"/>
        <v>396.83975435472752</v>
      </c>
      <c r="AP75" s="174">
        <f t="shared" si="29"/>
        <v>396.86641119802852</v>
      </c>
      <c r="AQ75" s="174">
        <f t="shared" si="29"/>
        <v>436.55898608491424</v>
      </c>
      <c r="AR75" s="174">
        <f t="shared" si="29"/>
        <v>468.30586435976784</v>
      </c>
      <c r="AS75" s="174">
        <f t="shared" si="30"/>
        <v>468.29992526402833</v>
      </c>
      <c r="AT75" s="174">
        <f t="shared" si="30"/>
        <v>468.29811551071981</v>
      </c>
      <c r="AU75" s="174">
        <f t="shared" si="30"/>
        <v>476.24027711009762</v>
      </c>
      <c r="AV75" s="174">
        <f t="shared" si="30"/>
        <v>476.24037705401264</v>
      </c>
      <c r="AW75" s="174">
        <f t="shared" si="30"/>
        <v>476.23930490881344</v>
      </c>
      <c r="AX75" s="174">
        <f t="shared" si="30"/>
        <v>515.92506708086796</v>
      </c>
      <c r="AY75" s="174">
        <f t="shared" si="30"/>
        <v>515.92534279010943</v>
      </c>
    </row>
    <row r="76" spans="1:51" x14ac:dyDescent="0.2">
      <c r="A76" s="19" t="s">
        <v>166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172">
        <f t="shared" si="31"/>
        <v>7.5256429999999996</v>
      </c>
      <c r="M76" s="172">
        <f t="shared" si="31"/>
        <v>7.623882</v>
      </c>
      <c r="N76" s="172">
        <f t="shared" si="31"/>
        <v>23.971953999999997</v>
      </c>
      <c r="O76" s="172">
        <f t="shared" si="31"/>
        <v>44.720770999999999</v>
      </c>
      <c r="P76" s="172">
        <f t="shared" si="31"/>
        <v>35.291084999999995</v>
      </c>
      <c r="Q76" s="172">
        <f t="shared" si="31"/>
        <v>59.378774</v>
      </c>
      <c r="R76" s="172">
        <f t="shared" si="31"/>
        <v>57.955041999999999</v>
      </c>
      <c r="S76" s="172">
        <f t="shared" si="31"/>
        <v>77.876280999999992</v>
      </c>
      <c r="T76" s="172">
        <f t="shared" si="31"/>
        <v>82.508509000000032</v>
      </c>
      <c r="U76" s="172">
        <f t="shared" si="31"/>
        <v>74.489617000000024</v>
      </c>
      <c r="V76" s="172">
        <f t="shared" si="31"/>
        <v>105.12439799999999</v>
      </c>
      <c r="W76" s="172">
        <f t="shared" si="31"/>
        <v>164.15931900000001</v>
      </c>
      <c r="X76" s="172">
        <f t="shared" si="31"/>
        <v>303.028325</v>
      </c>
      <c r="Y76" s="172">
        <f t="shared" si="31"/>
        <v>285.06054499999999</v>
      </c>
      <c r="Z76" s="174">
        <f t="shared" si="32"/>
        <v>237.71733114129958</v>
      </c>
      <c r="AA76" s="174">
        <f t="shared" si="27"/>
        <v>249.65254947318553</v>
      </c>
      <c r="AB76" s="174">
        <f t="shared" si="28"/>
        <v>283.40674843694711</v>
      </c>
      <c r="AC76" s="174">
        <f t="shared" si="29"/>
        <v>284.19589278044515</v>
      </c>
      <c r="AD76" s="174">
        <f t="shared" si="29"/>
        <v>274.57131367275946</v>
      </c>
      <c r="AE76" s="174">
        <f t="shared" si="29"/>
        <v>284.90225046527934</v>
      </c>
      <c r="AF76" s="174">
        <f t="shared" si="29"/>
        <v>298.89505861410754</v>
      </c>
      <c r="AG76" s="174">
        <f t="shared" si="29"/>
        <v>371.20521792222911</v>
      </c>
      <c r="AH76" s="174">
        <f t="shared" si="29"/>
        <v>370.53468102476205</v>
      </c>
      <c r="AI76" s="174">
        <f t="shared" si="29"/>
        <v>369.60253177275854</v>
      </c>
      <c r="AJ76" s="174">
        <f t="shared" si="29"/>
        <v>370.6705564360779</v>
      </c>
      <c r="AK76" s="174">
        <f t="shared" si="29"/>
        <v>379.6859793012045</v>
      </c>
      <c r="AL76" s="174">
        <f t="shared" si="29"/>
        <v>451.86868117889128</v>
      </c>
      <c r="AM76" s="174">
        <f t="shared" si="29"/>
        <v>496.88341225234041</v>
      </c>
      <c r="AN76" s="174">
        <f t="shared" si="29"/>
        <v>496.8520255535808</v>
      </c>
      <c r="AO76" s="174">
        <f t="shared" si="29"/>
        <v>451.84375611565741</v>
      </c>
      <c r="AP76" s="174">
        <f t="shared" si="29"/>
        <v>451.81227269874495</v>
      </c>
      <c r="AQ76" s="174">
        <f t="shared" si="29"/>
        <v>496.95887741906466</v>
      </c>
      <c r="AR76" s="174">
        <f t="shared" si="29"/>
        <v>533.0817747106563</v>
      </c>
      <c r="AS76" s="174">
        <f t="shared" si="30"/>
        <v>533.09432596046304</v>
      </c>
      <c r="AT76" s="174">
        <f t="shared" si="30"/>
        <v>533.11600515520365</v>
      </c>
      <c r="AU76" s="174">
        <f t="shared" si="30"/>
        <v>542.14111828598561</v>
      </c>
      <c r="AV76" s="174">
        <f t="shared" si="30"/>
        <v>542.13536332836441</v>
      </c>
      <c r="AW76" s="174">
        <f t="shared" si="30"/>
        <v>542.13506816983295</v>
      </c>
      <c r="AX76" s="174">
        <f t="shared" si="30"/>
        <v>587.3168532164101</v>
      </c>
      <c r="AY76" s="174">
        <f t="shared" si="30"/>
        <v>587.31870569120645</v>
      </c>
    </row>
    <row r="77" spans="1:51" x14ac:dyDescent="0.2">
      <c r="A77" s="19" t="s">
        <v>167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172">
        <f t="shared" si="31"/>
        <v>4.5637270000000001</v>
      </c>
      <c r="M77" s="172">
        <f t="shared" si="31"/>
        <v>6.2828280000000003</v>
      </c>
      <c r="N77" s="172">
        <f t="shared" si="31"/>
        <v>37.845174</v>
      </c>
      <c r="O77" s="172">
        <f t="shared" si="31"/>
        <v>49.670773000000011</v>
      </c>
      <c r="P77" s="172">
        <f t="shared" si="31"/>
        <v>43.113924999999995</v>
      </c>
      <c r="Q77" s="172">
        <f t="shared" si="31"/>
        <v>51.602134</v>
      </c>
      <c r="R77" s="172">
        <f t="shared" si="31"/>
        <v>48.625641000000002</v>
      </c>
      <c r="S77" s="172">
        <f t="shared" si="31"/>
        <v>34.559286999999991</v>
      </c>
      <c r="T77" s="172">
        <f t="shared" si="31"/>
        <v>67.022392999999994</v>
      </c>
      <c r="U77" s="172">
        <f t="shared" si="31"/>
        <v>83.645144000000016</v>
      </c>
      <c r="V77" s="172">
        <f t="shared" si="31"/>
        <v>106.80589499999999</v>
      </c>
      <c r="W77" s="172">
        <f t="shared" si="31"/>
        <v>173.242355</v>
      </c>
      <c r="X77" s="172">
        <f t="shared" si="31"/>
        <v>247.15726799999999</v>
      </c>
      <c r="Y77" s="172">
        <f t="shared" si="31"/>
        <v>310.94265699999994</v>
      </c>
      <c r="Z77" s="174">
        <f t="shared" si="32"/>
        <v>235.148766326143</v>
      </c>
      <c r="AA77" s="174">
        <f t="shared" si="27"/>
        <v>244.68430701895096</v>
      </c>
      <c r="AB77" s="174">
        <f t="shared" si="28"/>
        <v>276.90405383107577</v>
      </c>
      <c r="AC77" s="174">
        <f t="shared" si="29"/>
        <v>274.98769389969777</v>
      </c>
      <c r="AD77" s="174">
        <f t="shared" si="29"/>
        <v>275.11110166301171</v>
      </c>
      <c r="AE77" s="174">
        <f t="shared" si="29"/>
        <v>280.03626915833127</v>
      </c>
      <c r="AF77" s="174">
        <f t="shared" si="29"/>
        <v>293.46627002529749</v>
      </c>
      <c r="AG77" s="174">
        <f t="shared" si="29"/>
        <v>364.57600591539034</v>
      </c>
      <c r="AH77" s="174">
        <f t="shared" si="29"/>
        <v>364.27027443063207</v>
      </c>
      <c r="AI77" s="174">
        <f t="shared" si="29"/>
        <v>364.37102405013621</v>
      </c>
      <c r="AJ77" s="174">
        <f t="shared" si="29"/>
        <v>364.45607246278013</v>
      </c>
      <c r="AK77" s="174">
        <f t="shared" si="29"/>
        <v>373.33941710222297</v>
      </c>
      <c r="AL77" s="174">
        <f t="shared" si="29"/>
        <v>444.42058105853442</v>
      </c>
      <c r="AM77" s="174">
        <f t="shared" si="29"/>
        <v>488.82397814296195</v>
      </c>
      <c r="AN77" s="174">
        <f t="shared" si="29"/>
        <v>488.85418779438851</v>
      </c>
      <c r="AO77" s="174">
        <f t="shared" si="29"/>
        <v>444.42268241993582</v>
      </c>
      <c r="AP77" s="174">
        <f t="shared" si="29"/>
        <v>444.41683462659591</v>
      </c>
      <c r="AQ77" s="174">
        <f t="shared" si="29"/>
        <v>488.85232508589587</v>
      </c>
      <c r="AR77" s="174">
        <f t="shared" si="29"/>
        <v>524.40313387213928</v>
      </c>
      <c r="AS77" s="174">
        <f t="shared" si="30"/>
        <v>524.4089244020015</v>
      </c>
      <c r="AT77" s="174">
        <f t="shared" si="30"/>
        <v>524.40926785343424</v>
      </c>
      <c r="AU77" s="174">
        <f t="shared" si="30"/>
        <v>533.295848051078</v>
      </c>
      <c r="AV77" s="174">
        <f t="shared" si="30"/>
        <v>533.29510258860591</v>
      </c>
      <c r="AW77" s="174">
        <f t="shared" si="30"/>
        <v>533.29540944793109</v>
      </c>
      <c r="AX77" s="174">
        <f t="shared" si="30"/>
        <v>577.73757014194064</v>
      </c>
      <c r="AY77" s="174">
        <f t="shared" si="30"/>
        <v>577.73736143221822</v>
      </c>
    </row>
    <row r="78" spans="1:51" x14ac:dyDescent="0.2">
      <c r="A78" s="19" t="s">
        <v>168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172">
        <f t="shared" si="31"/>
        <v>6.4663659999999998</v>
      </c>
      <c r="M78" s="172">
        <f t="shared" si="31"/>
        <v>9.3639849999999996</v>
      </c>
      <c r="N78" s="172">
        <f t="shared" si="31"/>
        <v>54.823715999999997</v>
      </c>
      <c r="O78" s="172">
        <f t="shared" si="31"/>
        <v>42.103093000000001</v>
      </c>
      <c r="P78" s="172">
        <f t="shared" si="31"/>
        <v>44.652690000000007</v>
      </c>
      <c r="Q78" s="172">
        <f t="shared" si="31"/>
        <v>44.321695999999996</v>
      </c>
      <c r="R78" s="172">
        <f t="shared" si="31"/>
        <v>53.725779000000003</v>
      </c>
      <c r="S78" s="172">
        <f t="shared" si="31"/>
        <v>44.553888999999998</v>
      </c>
      <c r="T78" s="172">
        <f t="shared" si="31"/>
        <v>83.469966000000014</v>
      </c>
      <c r="U78" s="172">
        <f t="shared" si="31"/>
        <v>69.785884999999993</v>
      </c>
      <c r="V78" s="172">
        <f t="shared" si="31"/>
        <v>56.059586999999993</v>
      </c>
      <c r="W78" s="172">
        <f t="shared" si="31"/>
        <v>107.13637599999998</v>
      </c>
      <c r="X78" s="172">
        <f t="shared" si="31"/>
        <v>208.70728199999994</v>
      </c>
      <c r="Y78" s="172">
        <f t="shared" si="31"/>
        <v>356.741377</v>
      </c>
      <c r="Z78" s="174">
        <f t="shared" si="32"/>
        <v>203.67900791674847</v>
      </c>
      <c r="AA78" s="174">
        <f t="shared" si="27"/>
        <v>212.54599032184521</v>
      </c>
      <c r="AB78" s="174">
        <f t="shared" si="28"/>
        <v>248.92837459334527</v>
      </c>
      <c r="AC78" s="174">
        <f t="shared" si="29"/>
        <v>257.37061051151949</v>
      </c>
      <c r="AD78" s="174">
        <f t="shared" si="29"/>
        <v>262.12007689928726</v>
      </c>
      <c r="AE78" s="174">
        <f t="shared" si="29"/>
        <v>253.85229862344545</v>
      </c>
      <c r="AF78" s="174">
        <f t="shared" si="29"/>
        <v>268.08534592981323</v>
      </c>
      <c r="AG78" s="174">
        <f t="shared" si="29"/>
        <v>335.90238075462753</v>
      </c>
      <c r="AH78" s="174">
        <f t="shared" si="29"/>
        <v>337.13766699382933</v>
      </c>
      <c r="AI78" s="174">
        <f t="shared" si="29"/>
        <v>336.56906218164005</v>
      </c>
      <c r="AJ78" s="174">
        <f t="shared" si="29"/>
        <v>334.89822364702707</v>
      </c>
      <c r="AK78" s="174">
        <f t="shared" si="29"/>
        <v>343.80148497102215</v>
      </c>
      <c r="AL78" s="174">
        <f t="shared" si="29"/>
        <v>409.78369382236554</v>
      </c>
      <c r="AM78" s="174">
        <f>AM$84*((SUM(AH78:AL78)/SUM(AH$84:AL$84)))</f>
        <v>450.79282436685412</v>
      </c>
      <c r="AN78" s="174">
        <f t="shared" si="29"/>
        <v>450.53052792310041</v>
      </c>
      <c r="AO78" s="174">
        <f t="shared" si="29"/>
        <v>409.42525817497312</v>
      </c>
      <c r="AP78" s="174">
        <f t="shared" si="29"/>
        <v>409.59003755125303</v>
      </c>
      <c r="AQ78" s="174">
        <f t="shared" si="29"/>
        <v>450.60280308123089</v>
      </c>
      <c r="AR78" s="174">
        <f t="shared" si="29"/>
        <v>483.34168156508406</v>
      </c>
      <c r="AS78" s="174">
        <f t="shared" si="30"/>
        <v>483.29341334365375</v>
      </c>
      <c r="AT78" s="174">
        <f t="shared" si="30"/>
        <v>483.29281475917759</v>
      </c>
      <c r="AU78" s="174">
        <f t="shared" si="30"/>
        <v>491.5150532554041</v>
      </c>
      <c r="AV78" s="174">
        <f t="shared" si="30"/>
        <v>491.51625328860621</v>
      </c>
      <c r="AW78" s="174">
        <f t="shared" si="30"/>
        <v>491.50691236604553</v>
      </c>
      <c r="AX78" s="174">
        <f t="shared" si="30"/>
        <v>532.46003038871697</v>
      </c>
      <c r="AY78" s="174">
        <f t="shared" si="30"/>
        <v>532.4635498808118</v>
      </c>
    </row>
    <row r="79" spans="1:51" x14ac:dyDescent="0.2">
      <c r="A79" s="19" t="s">
        <v>169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172">
        <f t="shared" si="31"/>
        <v>8.4453549999999993</v>
      </c>
      <c r="M79" s="172">
        <f t="shared" si="31"/>
        <v>6.5119220000000002</v>
      </c>
      <c r="N79" s="172">
        <f t="shared" si="31"/>
        <v>34.867399000000006</v>
      </c>
      <c r="O79" s="172">
        <f t="shared" si="31"/>
        <v>40.254731</v>
      </c>
      <c r="P79" s="172">
        <f t="shared" si="31"/>
        <v>38.483426999999999</v>
      </c>
      <c r="Q79" s="172">
        <f t="shared" si="31"/>
        <v>47.670655999999987</v>
      </c>
      <c r="R79" s="172">
        <f t="shared" si="31"/>
        <v>57.399988000000008</v>
      </c>
      <c r="S79" s="172">
        <f t="shared" si="31"/>
        <v>41.326098999999999</v>
      </c>
      <c r="T79" s="172">
        <f t="shared" si="31"/>
        <v>74.343238999999997</v>
      </c>
      <c r="U79" s="172">
        <f t="shared" si="31"/>
        <v>73.571117000000015</v>
      </c>
      <c r="V79" s="172">
        <f t="shared" si="31"/>
        <v>120.615864</v>
      </c>
      <c r="W79" s="172">
        <f t="shared" si="31"/>
        <v>160.61522200000002</v>
      </c>
      <c r="X79" s="172">
        <f t="shared" si="31"/>
        <v>245.55207199999998</v>
      </c>
      <c r="Y79" s="172">
        <f t="shared" si="31"/>
        <v>281.20286400000009</v>
      </c>
      <c r="Z79" s="174">
        <f t="shared" si="32"/>
        <v>224.88454777122786</v>
      </c>
      <c r="AA79" s="174">
        <f t="shared" si="27"/>
        <v>235.46812617622624</v>
      </c>
      <c r="AB79" s="174">
        <f t="shared" si="28"/>
        <v>262.39726887026643</v>
      </c>
      <c r="AC79" s="174">
        <f t="shared" si="29"/>
        <v>261.32399035593113</v>
      </c>
      <c r="AD79" s="174">
        <f t="shared" si="29"/>
        <v>259.25383556465448</v>
      </c>
      <c r="AE79" s="174">
        <f t="shared" si="29"/>
        <v>266.42737901535133</v>
      </c>
      <c r="AF79" s="174">
        <f t="shared" si="29"/>
        <v>278.95216973302752</v>
      </c>
      <c r="AG79" s="174">
        <f t="shared" si="29"/>
        <v>345.79390720703793</v>
      </c>
      <c r="AH79" s="174">
        <f t="shared" si="29"/>
        <v>345.56300033979761</v>
      </c>
      <c r="AI79" s="174">
        <f t="shared" si="29"/>
        <v>345.55268713382884</v>
      </c>
      <c r="AJ79" s="174">
        <f t="shared" si="29"/>
        <v>345.99389269648412</v>
      </c>
      <c r="AK79" s="174">
        <f t="shared" si="29"/>
        <v>354.3042517696822</v>
      </c>
      <c r="AL79" s="174">
        <f t="shared" si="29"/>
        <v>421.65236387058997</v>
      </c>
      <c r="AM79" s="174">
        <f t="shared" si="29"/>
        <v>463.80763148637698</v>
      </c>
      <c r="AN79" s="174">
        <f t="shared" si="29"/>
        <v>463.85194533900835</v>
      </c>
      <c r="AO79" s="174">
        <f t="shared" si="29"/>
        <v>421.7304701979715</v>
      </c>
      <c r="AP79" s="174">
        <f t="shared" si="29"/>
        <v>421.69576640151371</v>
      </c>
      <c r="AQ79" s="174">
        <f t="shared" si="29"/>
        <v>463.84846058173201</v>
      </c>
      <c r="AR79" s="174">
        <f t="shared" si="29"/>
        <v>497.58914025052667</v>
      </c>
      <c r="AS79" s="174">
        <f t="shared" si="30"/>
        <v>497.59937242927282</v>
      </c>
      <c r="AT79" s="174">
        <f t="shared" si="30"/>
        <v>497.60193912747246</v>
      </c>
      <c r="AU79" s="174">
        <f t="shared" si="30"/>
        <v>506.02865506181229</v>
      </c>
      <c r="AV79" s="174">
        <f t="shared" si="30"/>
        <v>506.02758235290742</v>
      </c>
      <c r="AW79" s="174">
        <f t="shared" si="30"/>
        <v>506.02963418626098</v>
      </c>
      <c r="AX79" s="174">
        <f t="shared" si="30"/>
        <v>548.20022451426905</v>
      </c>
      <c r="AY79" s="174">
        <f t="shared" si="30"/>
        <v>548.19974437755559</v>
      </c>
    </row>
    <row r="80" spans="1:51" x14ac:dyDescent="0.2">
      <c r="A80" s="19" t="s">
        <v>170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172">
        <f t="shared" si="31"/>
        <v>5.89907</v>
      </c>
      <c r="M80" s="172">
        <f t="shared" si="31"/>
        <v>12.552852999999999</v>
      </c>
      <c r="N80" s="172">
        <f t="shared" si="31"/>
        <v>54.740367999999989</v>
      </c>
      <c r="O80" s="172">
        <f t="shared" si="31"/>
        <v>5.487426000000001</v>
      </c>
      <c r="P80" s="172">
        <f t="shared" si="31"/>
        <v>48.124359999999996</v>
      </c>
      <c r="Q80" s="172">
        <f t="shared" si="31"/>
        <v>59.195433000000001</v>
      </c>
      <c r="R80" s="172">
        <f t="shared" si="31"/>
        <v>49.221455000000006</v>
      </c>
      <c r="S80" s="172">
        <f t="shared" si="31"/>
        <v>56.11604899999999</v>
      </c>
      <c r="T80" s="172">
        <f t="shared" si="31"/>
        <v>75.016510000000011</v>
      </c>
      <c r="U80" s="172">
        <f t="shared" si="31"/>
        <v>104.19885400000001</v>
      </c>
      <c r="V80" s="172">
        <f t="shared" si="31"/>
        <v>97.642396999999974</v>
      </c>
      <c r="W80" s="172">
        <f t="shared" si="31"/>
        <v>163.68062300000003</v>
      </c>
      <c r="X80" s="172">
        <f t="shared" si="31"/>
        <v>234.39389500000004</v>
      </c>
      <c r="Y80" s="172">
        <f t="shared" si="31"/>
        <v>309.46404800000005</v>
      </c>
      <c r="Z80" s="174">
        <f t="shared" si="32"/>
        <v>231.98209151854758</v>
      </c>
      <c r="AA80" s="174">
        <f t="shared" si="27"/>
        <v>236.44670313414579</v>
      </c>
      <c r="AB80" s="174">
        <f t="shared" si="28"/>
        <v>268.85465299340632</v>
      </c>
      <c r="AC80" s="174">
        <f t="shared" si="29"/>
        <v>267.94051475058359</v>
      </c>
      <c r="AD80" s="174">
        <f t="shared" si="29"/>
        <v>269.37813925582208</v>
      </c>
      <c r="AE80" s="174">
        <f t="shared" si="29"/>
        <v>273.12902178267973</v>
      </c>
      <c r="AF80" s="174">
        <f t="shared" si="29"/>
        <v>285.65603982400683</v>
      </c>
      <c r="AG80" s="174">
        <f t="shared" si="29"/>
        <v>355.32249595470751</v>
      </c>
      <c r="AH80" s="174">
        <f t="shared" si="29"/>
        <v>355.27447566734207</v>
      </c>
      <c r="AI80" s="174">
        <f t="shared" si="29"/>
        <v>355.43192716544723</v>
      </c>
      <c r="AJ80" s="174">
        <f t="shared" si="29"/>
        <v>355.29265267286144</v>
      </c>
      <c r="AK80" s="174">
        <f t="shared" si="29"/>
        <v>363.92415651747888</v>
      </c>
      <c r="AL80" s="174">
        <f t="shared" si="29"/>
        <v>433.31206504316435</v>
      </c>
      <c r="AM80" s="174">
        <f t="shared" si="29"/>
        <v>476.64158250533092</v>
      </c>
      <c r="AN80" s="174">
        <f t="shared" si="29"/>
        <v>476.65122757526439</v>
      </c>
      <c r="AO80" s="174">
        <f t="shared" si="29"/>
        <v>433.2966428629835</v>
      </c>
      <c r="AP80" s="174">
        <f t="shared" si="29"/>
        <v>433.29874494131388</v>
      </c>
      <c r="AQ80" s="174">
        <f t="shared" si="29"/>
        <v>476.63851715785825</v>
      </c>
      <c r="AR80" s="174">
        <f t="shared" si="29"/>
        <v>511.30217429253702</v>
      </c>
      <c r="AS80" s="174">
        <f t="shared" si="30"/>
        <v>511.30130521549245</v>
      </c>
      <c r="AT80" s="174">
        <f t="shared" si="30"/>
        <v>511.29818931773235</v>
      </c>
      <c r="AU80" s="174">
        <f t="shared" si="30"/>
        <v>519.96572998402848</v>
      </c>
      <c r="AV80" s="174">
        <f t="shared" si="30"/>
        <v>519.96696903444831</v>
      </c>
      <c r="AW80" s="174">
        <f t="shared" si="30"/>
        <v>519.96653895843201</v>
      </c>
      <c r="AX80" s="174">
        <f t="shared" si="30"/>
        <v>563.29670339986126</v>
      </c>
      <c r="AY80" s="174">
        <f t="shared" si="30"/>
        <v>563.29644241823235</v>
      </c>
    </row>
    <row r="81" spans="1:51" x14ac:dyDescent="0.2">
      <c r="A81" s="19" t="s">
        <v>171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172">
        <f t="shared" si="31"/>
        <v>6.9180260000000002</v>
      </c>
      <c r="M81" s="172">
        <f t="shared" si="31"/>
        <v>16.571869</v>
      </c>
      <c r="N81" s="172">
        <f t="shared" si="31"/>
        <v>56.305559999999993</v>
      </c>
      <c r="O81" s="172">
        <f t="shared" si="31"/>
        <v>21.881561999999999</v>
      </c>
      <c r="P81" s="172">
        <f t="shared" si="31"/>
        <v>39.393028999999991</v>
      </c>
      <c r="Q81" s="172">
        <f t="shared" si="31"/>
        <v>44.421864000000006</v>
      </c>
      <c r="R81" s="172">
        <f t="shared" si="31"/>
        <v>57.619938000000005</v>
      </c>
      <c r="S81" s="172">
        <f t="shared" si="31"/>
        <v>32.327346000000006</v>
      </c>
      <c r="T81" s="172">
        <f t="shared" si="31"/>
        <v>81.158790999999979</v>
      </c>
      <c r="U81" s="172">
        <f t="shared" si="31"/>
        <v>60.532921999999978</v>
      </c>
      <c r="V81" s="172">
        <f t="shared" si="31"/>
        <v>136.628671</v>
      </c>
      <c r="W81" s="172">
        <f t="shared" si="31"/>
        <v>178.16089299999999</v>
      </c>
      <c r="X81" s="172">
        <f t="shared" si="31"/>
        <v>283.36164199999996</v>
      </c>
      <c r="Y81" s="172">
        <f t="shared" si="31"/>
        <v>312.48718399999996</v>
      </c>
      <c r="Z81" s="174">
        <f t="shared" si="32"/>
        <v>247.74505434242761</v>
      </c>
      <c r="AA81" s="174">
        <f t="shared" si="27"/>
        <v>264.08185789753776</v>
      </c>
      <c r="AB81" s="174">
        <f t="shared" si="28"/>
        <v>293.97343231223431</v>
      </c>
      <c r="AC81" s="174">
        <f t="shared" si="29"/>
        <v>293.14375680898479</v>
      </c>
      <c r="AD81" s="174">
        <f t="shared" si="29"/>
        <v>289.20073076754386</v>
      </c>
      <c r="AE81" s="174">
        <f t="shared" si="29"/>
        <v>297.45960688472752</v>
      </c>
      <c r="AF81" s="174">
        <f t="shared" si="29"/>
        <v>312.16684009305214</v>
      </c>
      <c r="AG81" s="174">
        <f t="shared" si="29"/>
        <v>386.81726375573493</v>
      </c>
      <c r="AH81" s="174">
        <f t="shared" si="29"/>
        <v>386.44964854156285</v>
      </c>
      <c r="AI81" s="174">
        <f t="shared" si="29"/>
        <v>386.23018417885896</v>
      </c>
      <c r="AJ81" s="174">
        <f t="shared" si="29"/>
        <v>386.84834816859404</v>
      </c>
      <c r="AK81" s="174">
        <f t="shared" si="29"/>
        <v>396.23104547709499</v>
      </c>
      <c r="AL81" s="174">
        <f t="shared" si="29"/>
        <v>471.49914808782665</v>
      </c>
      <c r="AM81" s="174">
        <f t="shared" si="29"/>
        <v>518.60097951147236</v>
      </c>
      <c r="AN81" s="174">
        <f t="shared" si="29"/>
        <v>518.63551876991949</v>
      </c>
      <c r="AO81" s="174">
        <f t="shared" si="29"/>
        <v>471.5668806615036</v>
      </c>
      <c r="AP81" s="174">
        <f t="shared" si="29"/>
        <v>471.53443898964628</v>
      </c>
      <c r="AQ81" s="174">
        <f t="shared" si="29"/>
        <v>518.65781973507796</v>
      </c>
      <c r="AR81" s="174">
        <f t="shared" si="29"/>
        <v>556.38016083920604</v>
      </c>
      <c r="AS81" s="174">
        <f t="shared" si="30"/>
        <v>556.3929900398731</v>
      </c>
      <c r="AT81" s="174">
        <f t="shared" si="30"/>
        <v>556.40075137601877</v>
      </c>
      <c r="AU81" s="174">
        <f t="shared" si="30"/>
        <v>565.82258744251544</v>
      </c>
      <c r="AV81" s="174">
        <f t="shared" si="30"/>
        <v>565.81937865055306</v>
      </c>
      <c r="AW81" s="174">
        <f t="shared" si="30"/>
        <v>565.82138754508424</v>
      </c>
      <c r="AX81" s="174">
        <f t="shared" si="30"/>
        <v>612.9755408674929</v>
      </c>
      <c r="AY81" s="174">
        <f t="shared" si="30"/>
        <v>612.97558217864525</v>
      </c>
    </row>
    <row r="82" spans="1:51" x14ac:dyDescent="0.2">
      <c r="A82" s="19" t="s">
        <v>172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172">
        <f t="shared" si="31"/>
        <v>5.2339200000000003</v>
      </c>
      <c r="M82" s="172">
        <f t="shared" si="31"/>
        <v>15.888981999999999</v>
      </c>
      <c r="N82" s="172">
        <f t="shared" si="31"/>
        <v>43.298893</v>
      </c>
      <c r="O82" s="172">
        <f t="shared" si="31"/>
        <v>45.102319000000001</v>
      </c>
      <c r="P82" s="172">
        <f t="shared" si="31"/>
        <v>45.912878999999997</v>
      </c>
      <c r="Q82" s="172">
        <f t="shared" si="31"/>
        <v>60.312193999999998</v>
      </c>
      <c r="R82" s="172">
        <f t="shared" si="31"/>
        <v>32.926321999999992</v>
      </c>
      <c r="S82" s="172">
        <f t="shared" si="31"/>
        <v>44.262500999999993</v>
      </c>
      <c r="T82" s="172">
        <f t="shared" si="31"/>
        <v>81.868545000000012</v>
      </c>
      <c r="U82" s="172">
        <f t="shared" si="31"/>
        <v>95.151927000000029</v>
      </c>
      <c r="V82" s="172">
        <f t="shared" si="31"/>
        <v>130.63046900000001</v>
      </c>
      <c r="W82" s="172">
        <f t="shared" si="31"/>
        <v>168.873166</v>
      </c>
      <c r="X82" s="172">
        <f t="shared" si="31"/>
        <v>193.18105100000002</v>
      </c>
      <c r="Y82" s="172">
        <f t="shared" si="31"/>
        <v>281.01316439999988</v>
      </c>
      <c r="Z82" s="174">
        <f t="shared" si="32"/>
        <v>221.64290960580718</v>
      </c>
      <c r="AA82" s="174">
        <f t="shared" si="27"/>
        <v>226.91228748757888</v>
      </c>
      <c r="AB82" s="174">
        <f t="shared" si="28"/>
        <v>249.57139063597236</v>
      </c>
      <c r="AC82" s="174">
        <f t="shared" si="29"/>
        <v>245.18155586627802</v>
      </c>
      <c r="AD82" s="174">
        <f t="shared" si="29"/>
        <v>250.86210050672474</v>
      </c>
      <c r="AE82" s="174">
        <f t="shared" si="29"/>
        <v>255.89362373622023</v>
      </c>
      <c r="AF82" s="174">
        <f t="shared" si="29"/>
        <v>266.69665540579967</v>
      </c>
      <c r="AG82" s="174">
        <f t="shared" si="29"/>
        <v>330.13598966470346</v>
      </c>
      <c r="AH82" s="174">
        <f t="shared" si="29"/>
        <v>330.1466682529479</v>
      </c>
      <c r="AI82" s="174">
        <f t="shared" si="29"/>
        <v>331.17260022660412</v>
      </c>
      <c r="AJ82" s="174">
        <f t="shared" si="29"/>
        <v>331.07129081993219</v>
      </c>
      <c r="AK82" s="174">
        <f t="shared" si="29"/>
        <v>338.81916032253537</v>
      </c>
      <c r="AL82" s="174">
        <f t="shared" si="29"/>
        <v>403.23924982687447</v>
      </c>
      <c r="AM82" s="174">
        <f t="shared" si="29"/>
        <v>443.69624799855421</v>
      </c>
      <c r="AN82" s="174">
        <f t="shared" si="29"/>
        <v>443.84244631308962</v>
      </c>
      <c r="AO82" s="174">
        <f t="shared" si="29"/>
        <v>403.4297109631658</v>
      </c>
      <c r="AP82" s="174">
        <f t="shared" si="29"/>
        <v>403.37833639369438</v>
      </c>
      <c r="AQ82" s="174">
        <f t="shared" si="29"/>
        <v>443.72011358556085</v>
      </c>
      <c r="AR82" s="174">
        <f t="shared" si="29"/>
        <v>476.02243192448998</v>
      </c>
      <c r="AS82" s="174">
        <f t="shared" si="30"/>
        <v>476.03416100973988</v>
      </c>
      <c r="AT82" s="174">
        <f t="shared" si="30"/>
        <v>476.01648527004534</v>
      </c>
      <c r="AU82" s="174">
        <f t="shared" si="30"/>
        <v>484.07904854968729</v>
      </c>
      <c r="AV82" s="174">
        <f t="shared" si="30"/>
        <v>484.0833370560664</v>
      </c>
      <c r="AW82" s="174">
        <f t="shared" si="30"/>
        <v>484.08797248687449</v>
      </c>
      <c r="AX82" s="174">
        <f t="shared" si="30"/>
        <v>524.42807142351296</v>
      </c>
      <c r="AY82" s="174">
        <f t="shared" si="30"/>
        <v>524.42489954309906</v>
      </c>
    </row>
    <row r="83" spans="1:51" x14ac:dyDescent="0.2">
      <c r="A83" s="19" t="s">
        <v>173</v>
      </c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172">
        <f t="shared" si="31"/>
        <v>6.4808320000000004</v>
      </c>
      <c r="M83" s="172">
        <f t="shared" si="31"/>
        <v>4.2689279999999989</v>
      </c>
      <c r="N83" s="172">
        <f t="shared" si="31"/>
        <v>42.930722999999993</v>
      </c>
      <c r="O83" s="172">
        <f t="shared" si="31"/>
        <v>44.810075999999995</v>
      </c>
      <c r="P83" s="172">
        <f t="shared" si="31"/>
        <v>39.007094000000009</v>
      </c>
      <c r="Q83" s="172">
        <f t="shared" si="31"/>
        <v>38.720161000000012</v>
      </c>
      <c r="R83" s="172">
        <f t="shared" si="31"/>
        <v>62.162446999999986</v>
      </c>
      <c r="S83" s="172">
        <f t="shared" si="31"/>
        <v>70.850301000000016</v>
      </c>
      <c r="T83" s="172">
        <f t="shared" si="31"/>
        <v>104.94890400000001</v>
      </c>
      <c r="U83" s="172">
        <f t="shared" si="31"/>
        <v>105.44967399999999</v>
      </c>
      <c r="V83" s="172">
        <f t="shared" si="31"/>
        <v>154.35211800000002</v>
      </c>
      <c r="W83" s="172">
        <f t="shared" si="31"/>
        <v>183.43803</v>
      </c>
      <c r="X83" s="172">
        <f t="shared" si="31"/>
        <v>300.42571699999991</v>
      </c>
      <c r="Y83" s="172">
        <f t="shared" si="31"/>
        <v>351.25077200000004</v>
      </c>
      <c r="Z83" s="174">
        <f t="shared" ref="Z83:AH83" si="33">Z84-SUM(Z72:Z82)</f>
        <v>258.4334420815303</v>
      </c>
      <c r="AA83" s="174">
        <f t="shared" si="33"/>
        <v>284.48936573105721</v>
      </c>
      <c r="AB83" s="174">
        <f t="shared" si="33"/>
        <v>315.0527469627441</v>
      </c>
      <c r="AC83" s="174">
        <f t="shared" si="33"/>
        <v>315.73169726367132</v>
      </c>
      <c r="AD83" s="174">
        <f t="shared" si="33"/>
        <v>312.46223568655887</v>
      </c>
      <c r="AE83" s="174">
        <f t="shared" si="33"/>
        <v>318.46489022690548</v>
      </c>
      <c r="AF83" s="174">
        <f t="shared" si="33"/>
        <v>335.68836107724292</v>
      </c>
      <c r="AG83" s="174">
        <f t="shared" si="33"/>
        <v>415.83109320572703</v>
      </c>
      <c r="AH83" s="174">
        <f t="shared" si="33"/>
        <v>415.67348881113003</v>
      </c>
      <c r="AI83" s="174">
        <f>AI84-SUM(AI72:AI82)</f>
        <v>415.34041030597291</v>
      </c>
      <c r="AJ83" s="174">
        <f t="shared" ref="AJ83:AY83" si="34">AJ84-SUM(AJ72:AJ82)</f>
        <v>415.68494927309985</v>
      </c>
      <c r="AK83" s="174">
        <f t="shared" si="34"/>
        <v>426.01608483387417</v>
      </c>
      <c r="AL83" s="174">
        <f t="shared" si="34"/>
        <v>506.92864719170029</v>
      </c>
      <c r="AM83" s="174">
        <f t="shared" si="34"/>
        <v>557.58324150171029</v>
      </c>
      <c r="AN83" s="174">
        <f t="shared" si="34"/>
        <v>557.57831144475858</v>
      </c>
      <c r="AO83" s="174">
        <f t="shared" si="34"/>
        <v>506.95292885702474</v>
      </c>
      <c r="AP83" s="174">
        <f t="shared" si="34"/>
        <v>506.95619322005314</v>
      </c>
      <c r="AQ83" s="174">
        <f t="shared" si="34"/>
        <v>557.61524123784056</v>
      </c>
      <c r="AR83" s="174">
        <f t="shared" si="34"/>
        <v>598.1678077714032</v>
      </c>
      <c r="AS83" s="174">
        <f t="shared" si="34"/>
        <v>598.174566800496</v>
      </c>
      <c r="AT83" s="174">
        <f t="shared" si="34"/>
        <v>598.18365397553953</v>
      </c>
      <c r="AU83" s="174">
        <f t="shared" si="34"/>
        <v>608.31860915007201</v>
      </c>
      <c r="AV83" s="174">
        <f t="shared" si="34"/>
        <v>608.31367375383888</v>
      </c>
      <c r="AW83" s="174">
        <f t="shared" si="34"/>
        <v>608.31481039421215</v>
      </c>
      <c r="AX83" s="174">
        <f t="shared" si="34"/>
        <v>659.00954837188146</v>
      </c>
      <c r="AY83" s="174">
        <f t="shared" si="34"/>
        <v>659.01026058210664</v>
      </c>
    </row>
    <row r="84" spans="1:51" x14ac:dyDescent="0.2">
      <c r="A84" s="117" t="s">
        <v>174</v>
      </c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31">
        <f>SUM(L72:L83)</f>
        <v>62.041289999999996</v>
      </c>
      <c r="M84" s="131">
        <f t="shared" ref="M84:Y84" si="35">SUM(M72:M83)</f>
        <v>98.72602400000001</v>
      </c>
      <c r="N84" s="131">
        <f t="shared" si="35"/>
        <v>391.6114</v>
      </c>
      <c r="O84" s="131">
        <f t="shared" si="35"/>
        <v>502.21469599999995</v>
      </c>
      <c r="P84" s="131">
        <f t="shared" si="35"/>
        <v>501.21657399999992</v>
      </c>
      <c r="Q84" s="131">
        <f t="shared" si="35"/>
        <v>562.57147099999997</v>
      </c>
      <c r="R84" s="131">
        <f t="shared" si="35"/>
        <v>626.32781999999997</v>
      </c>
      <c r="S84" s="131">
        <f t="shared" si="35"/>
        <v>574.42308400000002</v>
      </c>
      <c r="T84" s="131">
        <f t="shared" si="35"/>
        <v>920.04668100000004</v>
      </c>
      <c r="U84" s="131">
        <f t="shared" si="35"/>
        <v>975.36050099999989</v>
      </c>
      <c r="V84" s="131">
        <f t="shared" si="35"/>
        <v>1253.3872809999998</v>
      </c>
      <c r="W84" s="131">
        <f t="shared" si="35"/>
        <v>1836.9038649999998</v>
      </c>
      <c r="X84" s="131">
        <f t="shared" si="35"/>
        <v>2793.0508699999996</v>
      </c>
      <c r="Y84" s="131">
        <f t="shared" si="35"/>
        <v>3529.4119243999999</v>
      </c>
      <c r="Z84" s="176">
        <v>2650</v>
      </c>
      <c r="AA84" s="176">
        <v>2750</v>
      </c>
      <c r="AB84" s="176">
        <v>3100</v>
      </c>
      <c r="AC84" s="176">
        <v>3100</v>
      </c>
      <c r="AD84" s="176">
        <v>3100</v>
      </c>
      <c r="AE84" s="176">
        <v>3150</v>
      </c>
      <c r="AF84" s="176">
        <v>3300</v>
      </c>
      <c r="AG84" s="176">
        <v>4100</v>
      </c>
      <c r="AH84" s="176">
        <v>4100</v>
      </c>
      <c r="AI84" s="176">
        <v>4100</v>
      </c>
      <c r="AJ84" s="176">
        <v>4100</v>
      </c>
      <c r="AK84" s="176">
        <v>4200</v>
      </c>
      <c r="AL84" s="176">
        <v>5000</v>
      </c>
      <c r="AM84" s="176">
        <v>5500</v>
      </c>
      <c r="AN84" s="176">
        <v>5500</v>
      </c>
      <c r="AO84" s="176">
        <v>5000</v>
      </c>
      <c r="AP84" s="176">
        <v>5000</v>
      </c>
      <c r="AQ84" s="176">
        <v>5500</v>
      </c>
      <c r="AR84" s="176">
        <v>5900</v>
      </c>
      <c r="AS84" s="176">
        <v>5900</v>
      </c>
      <c r="AT84" s="176">
        <v>5900</v>
      </c>
      <c r="AU84" s="176">
        <v>6000</v>
      </c>
      <c r="AV84" s="176">
        <v>6000</v>
      </c>
      <c r="AW84" s="176">
        <v>6000</v>
      </c>
      <c r="AX84" s="176">
        <v>6500</v>
      </c>
      <c r="AY84" s="176">
        <v>6500</v>
      </c>
    </row>
    <row r="85" spans="1:51" x14ac:dyDescent="0.2">
      <c r="S85" s="177">
        <f t="shared" ref="S85:X85" si="36">S84/R84-1</f>
        <v>-8.2871516069651818E-2</v>
      </c>
      <c r="T85" s="177">
        <f t="shared" si="36"/>
        <v>0.60168820966115621</v>
      </c>
      <c r="U85" s="177">
        <f t="shared" si="36"/>
        <v>6.0120666855598248E-2</v>
      </c>
      <c r="V85" s="177">
        <f t="shared" si="36"/>
        <v>0.28505027599021049</v>
      </c>
      <c r="W85" s="177">
        <f t="shared" si="36"/>
        <v>0.46555170364777299</v>
      </c>
      <c r="X85" s="177">
        <f t="shared" si="36"/>
        <v>0.52052098273526148</v>
      </c>
      <c r="Y85" s="177">
        <f>Y84/X84-1</f>
        <v>0.26364040208118378</v>
      </c>
      <c r="Z85" s="177">
        <f>Z84/Y84-1</f>
        <v>-0.24916670063937063</v>
      </c>
      <c r="AA85" s="177">
        <f>AA84/Z84-1</f>
        <v>3.7735849056603765E-2</v>
      </c>
      <c r="AB85" s="177">
        <f>AB84/AA84-1</f>
        <v>0.1272727272727272</v>
      </c>
      <c r="AC85" s="177">
        <f>AC84/AB84-1</f>
        <v>0</v>
      </c>
      <c r="AD85" s="108"/>
      <c r="AE85" s="108"/>
      <c r="AF85" s="108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</row>
    <row r="86" spans="1:51" x14ac:dyDescent="0.2">
      <c r="X86" s="120"/>
      <c r="Y86" s="120"/>
      <c r="Z86" s="120"/>
      <c r="AA86" s="120"/>
      <c r="AB86" s="120"/>
      <c r="AC86" s="120"/>
      <c r="AD86" s="120"/>
      <c r="AE86" s="120"/>
      <c r="AF86" s="120"/>
      <c r="AG86" s="120"/>
      <c r="AH86" s="120"/>
      <c r="AI86" s="120"/>
      <c r="AJ86" s="120"/>
      <c r="AK86" s="120"/>
      <c r="AL86" s="120"/>
      <c r="AM86" s="120"/>
      <c r="AN86" s="120"/>
      <c r="AO86" s="120"/>
      <c r="AP86" s="120"/>
      <c r="AQ86" s="120"/>
      <c r="AR86" s="120"/>
      <c r="AS86" s="120"/>
      <c r="AT86" s="120"/>
      <c r="AU86" s="120"/>
      <c r="AV86" s="120"/>
      <c r="AW86" s="120"/>
      <c r="AX86" s="120"/>
      <c r="AY86" s="120"/>
    </row>
    <row r="87" spans="1:51" ht="12" thickBot="1" x14ac:dyDescent="0.25">
      <c r="A87" s="121" t="s">
        <v>210</v>
      </c>
    </row>
    <row r="88" spans="1:51" ht="12" thickBot="1" x14ac:dyDescent="0.25">
      <c r="A88" s="122"/>
      <c r="B88" s="122">
        <v>2001</v>
      </c>
      <c r="C88" s="122">
        <v>2002</v>
      </c>
      <c r="D88" s="122">
        <v>2003</v>
      </c>
      <c r="E88" s="122">
        <v>2004</v>
      </c>
      <c r="F88" s="122">
        <v>2005</v>
      </c>
      <c r="G88" s="122">
        <v>2006</v>
      </c>
      <c r="H88" s="122">
        <v>2007</v>
      </c>
      <c r="I88" s="128">
        <f t="shared" ref="I88:AY88" si="37">I2</f>
        <v>2008</v>
      </c>
      <c r="J88" s="128">
        <f t="shared" si="37"/>
        <v>2009</v>
      </c>
      <c r="K88" s="128">
        <f t="shared" si="37"/>
        <v>2010</v>
      </c>
      <c r="L88" s="128">
        <f t="shared" si="37"/>
        <v>2011</v>
      </c>
      <c r="M88" s="171">
        <f t="shared" si="37"/>
        <v>2012</v>
      </c>
      <c r="N88" s="171">
        <f t="shared" si="37"/>
        <v>2013</v>
      </c>
      <c r="O88" s="171">
        <f t="shared" si="37"/>
        <v>2014</v>
      </c>
      <c r="P88" s="171">
        <f t="shared" si="37"/>
        <v>2015</v>
      </c>
      <c r="Q88" s="171">
        <f t="shared" si="37"/>
        <v>2016</v>
      </c>
      <c r="R88" s="171">
        <f t="shared" si="37"/>
        <v>2017</v>
      </c>
      <c r="S88" s="171">
        <f t="shared" si="37"/>
        <v>2018</v>
      </c>
      <c r="T88" s="171">
        <f t="shared" si="37"/>
        <v>2019</v>
      </c>
      <c r="U88" s="171">
        <f t="shared" si="37"/>
        <v>2020</v>
      </c>
      <c r="V88" s="171">
        <f t="shared" si="37"/>
        <v>2021</v>
      </c>
      <c r="W88" s="171">
        <f t="shared" si="37"/>
        <v>2022</v>
      </c>
      <c r="X88" s="171">
        <f t="shared" si="37"/>
        <v>2023</v>
      </c>
      <c r="Y88" s="171">
        <f t="shared" si="37"/>
        <v>2024</v>
      </c>
      <c r="Z88" s="171">
        <f t="shared" si="37"/>
        <v>2025</v>
      </c>
      <c r="AA88" s="171">
        <f t="shared" si="37"/>
        <v>2026</v>
      </c>
      <c r="AB88" s="171">
        <f t="shared" si="37"/>
        <v>2027</v>
      </c>
      <c r="AC88" s="171">
        <f t="shared" si="37"/>
        <v>2028</v>
      </c>
      <c r="AD88" s="171">
        <f t="shared" si="37"/>
        <v>2029</v>
      </c>
      <c r="AE88" s="171">
        <f t="shared" si="37"/>
        <v>2030</v>
      </c>
      <c r="AF88" s="171">
        <f t="shared" si="37"/>
        <v>2031</v>
      </c>
      <c r="AG88" s="171">
        <f t="shared" si="37"/>
        <v>2032</v>
      </c>
      <c r="AH88" s="171">
        <f t="shared" si="37"/>
        <v>2033</v>
      </c>
      <c r="AI88" s="171">
        <f t="shared" si="37"/>
        <v>2034</v>
      </c>
      <c r="AJ88" s="171">
        <f t="shared" si="37"/>
        <v>2035</v>
      </c>
      <c r="AK88" s="171">
        <f t="shared" si="37"/>
        <v>2036</v>
      </c>
      <c r="AL88" s="171">
        <f t="shared" si="37"/>
        <v>2037</v>
      </c>
      <c r="AM88" s="171">
        <f t="shared" si="37"/>
        <v>2038</v>
      </c>
      <c r="AN88" s="171">
        <f t="shared" si="37"/>
        <v>2039</v>
      </c>
      <c r="AO88" s="171">
        <f t="shared" si="37"/>
        <v>2040</v>
      </c>
      <c r="AP88" s="171">
        <f t="shared" si="37"/>
        <v>2041</v>
      </c>
      <c r="AQ88" s="171">
        <f t="shared" si="37"/>
        <v>2042</v>
      </c>
      <c r="AR88" s="171">
        <f t="shared" si="37"/>
        <v>2043</v>
      </c>
      <c r="AS88" s="171">
        <f t="shared" si="37"/>
        <v>2044</v>
      </c>
      <c r="AT88" s="171">
        <f t="shared" si="37"/>
        <v>2045</v>
      </c>
      <c r="AU88" s="171">
        <f t="shared" si="37"/>
        <v>2046</v>
      </c>
      <c r="AV88" s="171">
        <f t="shared" si="37"/>
        <v>2047</v>
      </c>
      <c r="AW88" s="171">
        <f t="shared" si="37"/>
        <v>2048</v>
      </c>
      <c r="AX88" s="171">
        <f t="shared" si="37"/>
        <v>2049</v>
      </c>
      <c r="AY88" s="171">
        <f t="shared" si="37"/>
        <v>2050</v>
      </c>
    </row>
    <row r="89" spans="1:51" x14ac:dyDescent="0.2">
      <c r="A89" s="19" t="s">
        <v>162</v>
      </c>
      <c r="B89" s="136"/>
      <c r="C89" s="136"/>
      <c r="D89" s="136"/>
      <c r="E89" s="136"/>
      <c r="F89" s="136"/>
      <c r="G89" s="136"/>
      <c r="H89" s="136"/>
      <c r="I89" s="136"/>
      <c r="J89" s="136"/>
      <c r="K89" s="136"/>
      <c r="L89" s="129"/>
      <c r="M89" s="172">
        <f>('Monthly Data'!U471)*42/1000</f>
        <v>0.29399999999999998</v>
      </c>
      <c r="N89" s="172">
        <f>('Monthly Data'!U483)*42/1000</f>
        <v>3.3180000000000001</v>
      </c>
      <c r="O89" s="172">
        <f>('Monthly Data'!U495)*42/1000</f>
        <v>28.14</v>
      </c>
      <c r="P89" s="172">
        <f>('Monthly Data'!U507)*42/1000</f>
        <v>16.925999999999998</v>
      </c>
      <c r="Q89" s="172">
        <f>('Monthly Data'!U519)*42/1000</f>
        <v>33.305999999999997</v>
      </c>
      <c r="R89" s="172">
        <f>('Monthly Data'!U531)*42/1000</f>
        <v>42.966000000000001</v>
      </c>
      <c r="S89" s="172">
        <f>('Monthly Data'!U543)*42/1000</f>
        <v>46.83</v>
      </c>
      <c r="T89" s="172">
        <f>('Monthly Data'!U555)*42/1000</f>
        <v>82.53</v>
      </c>
      <c r="U89" s="172">
        <f>('Monthly Data'!U567)*42/1000</f>
        <v>71.988</v>
      </c>
      <c r="V89" s="172">
        <f>('Monthly Data'!U579)*42/1000</f>
        <v>71.944949999999992</v>
      </c>
      <c r="W89" s="172">
        <f>('Monthly Data'!U591)*42/1000</f>
        <v>113.808114</v>
      </c>
      <c r="X89" s="172">
        <f>('Monthly Data'!U603)*42/1000</f>
        <v>154.78512000000001</v>
      </c>
      <c r="Y89" s="172">
        <f>('Monthly Data'!$U615)*42/1000</f>
        <v>267.93248999999997</v>
      </c>
      <c r="Z89" s="172">
        <f>('Monthly Data'!$U627)*42/1000</f>
        <v>289.90789800000005</v>
      </c>
      <c r="AA89" s="174">
        <f>Z100+AA40+AA24-AA72-AA56</f>
        <v>259.10094338764907</v>
      </c>
      <c r="AB89" s="174">
        <f t="shared" ref="AB89:AY89" si="38">AA100+AB40+AB24-AB72-AB56</f>
        <v>292.14386255303071</v>
      </c>
      <c r="AC89" s="174">
        <f t="shared" si="38"/>
        <v>237.87334850841305</v>
      </c>
      <c r="AD89" s="174">
        <f t="shared" si="38"/>
        <v>218.63350014092924</v>
      </c>
      <c r="AE89" s="174">
        <f t="shared" si="38"/>
        <v>193.90935707854092</v>
      </c>
      <c r="AF89" s="174">
        <f t="shared" si="38"/>
        <v>251.71066724867831</v>
      </c>
      <c r="AG89" s="174">
        <f t="shared" si="38"/>
        <v>405.00448878761603</v>
      </c>
      <c r="AH89" s="174">
        <f t="shared" si="38"/>
        <v>383.37628195903721</v>
      </c>
      <c r="AI89" s="174">
        <f t="shared" si="38"/>
        <v>324.41380626041195</v>
      </c>
      <c r="AJ89" s="174">
        <f t="shared" si="38"/>
        <v>163.59359894886677</v>
      </c>
      <c r="AK89" s="174">
        <f t="shared" si="38"/>
        <v>232.77652275634907</v>
      </c>
      <c r="AL89" s="174">
        <f t="shared" si="38"/>
        <v>425.7254713391921</v>
      </c>
      <c r="AM89" s="174">
        <f t="shared" si="38"/>
        <v>436.25354240591884</v>
      </c>
      <c r="AN89" s="174">
        <f t="shared" si="38"/>
        <v>476.41425417655927</v>
      </c>
      <c r="AO89" s="174">
        <f t="shared" si="38"/>
        <v>518.58616383460298</v>
      </c>
      <c r="AP89" s="174">
        <f t="shared" si="38"/>
        <v>397.88610317379511</v>
      </c>
      <c r="AQ89" s="174">
        <f t="shared" si="38"/>
        <v>534.22958071577193</v>
      </c>
      <c r="AR89" s="174">
        <f t="shared" si="38"/>
        <v>489.7254427799586</v>
      </c>
      <c r="AS89" s="174">
        <f t="shared" si="38"/>
        <v>531.97818128924678</v>
      </c>
      <c r="AT89" s="174">
        <f t="shared" si="38"/>
        <v>683.02912966708948</v>
      </c>
      <c r="AU89" s="174">
        <f t="shared" si="38"/>
        <v>772.81128887196337</v>
      </c>
      <c r="AV89" s="174">
        <f t="shared" si="38"/>
        <v>508.39703534445403</v>
      </c>
      <c r="AW89" s="174">
        <f t="shared" si="38"/>
        <v>482.20178806034903</v>
      </c>
      <c r="AX89" s="174">
        <f t="shared" si="38"/>
        <v>642.69834546760592</v>
      </c>
      <c r="AY89" s="174">
        <f t="shared" si="38"/>
        <v>566.07759019250977</v>
      </c>
    </row>
    <row r="90" spans="1:51" x14ac:dyDescent="0.2">
      <c r="A90" s="19" t="s">
        <v>163</v>
      </c>
      <c r="B90" s="136"/>
      <c r="C90" s="136"/>
      <c r="D90" s="136"/>
      <c r="E90" s="136"/>
      <c r="F90" s="136"/>
      <c r="G90" s="136"/>
      <c r="H90" s="136"/>
      <c r="I90" s="136"/>
      <c r="J90" s="136"/>
      <c r="K90" s="136"/>
      <c r="L90" s="129"/>
      <c r="M90" s="172">
        <f>('Monthly Data'!U472)*42/1000</f>
        <v>0.29399999999999998</v>
      </c>
      <c r="N90" s="172">
        <f>('Monthly Data'!U484)*42/1000</f>
        <v>2.4359999999999999</v>
      </c>
      <c r="O90" s="172">
        <f>('Monthly Data'!U496)*42/1000</f>
        <v>26.334</v>
      </c>
      <c r="P90" s="172">
        <f>('Monthly Data'!U508)*42/1000</f>
        <v>16.044</v>
      </c>
      <c r="Q90" s="172">
        <f>('Monthly Data'!U520)*42/1000</f>
        <v>31.71</v>
      </c>
      <c r="R90" s="172">
        <f>('Monthly Data'!U532)*42/1000</f>
        <v>42.503999999999998</v>
      </c>
      <c r="S90" s="172">
        <f>('Monthly Data'!U544)*42/1000</f>
        <v>42.503999999999998</v>
      </c>
      <c r="T90" s="172">
        <f>('Monthly Data'!U556)*42/1000</f>
        <v>88.073999999999998</v>
      </c>
      <c r="U90" s="172">
        <f>('Monthly Data'!U568)*42/1000</f>
        <v>58.295999999999999</v>
      </c>
      <c r="V90" s="172">
        <f>('Monthly Data'!U580)*42/1000</f>
        <v>83.111532000000011</v>
      </c>
      <c r="W90" s="172">
        <f>('Monthly Data'!U592)*42/1000</f>
        <v>115.41784799999999</v>
      </c>
      <c r="X90" s="172">
        <f>('Monthly Data'!U604)*42/1000</f>
        <v>154.50867599999998</v>
      </c>
      <c r="Y90" s="172">
        <f>('Monthly Data'!U616)*42/1000</f>
        <v>264.19764000000004</v>
      </c>
      <c r="Z90" s="174">
        <f>Z89+Z41+Z25-Z73-Z57</f>
        <v>271.76643324874351</v>
      </c>
      <c r="AA90" s="174">
        <f>AA89+AA41+AA25-AA73-AA57</f>
        <v>261.89654278292346</v>
      </c>
      <c r="AB90" s="174">
        <f t="shared" ref="AB90:AY100" si="39">AB89+AB41+AB25-AB73-AB57</f>
        <v>284.05321575831442</v>
      </c>
      <c r="AC90" s="174">
        <f t="shared" si="39"/>
        <v>231.77247404397104</v>
      </c>
      <c r="AD90" s="174">
        <f t="shared" si="39"/>
        <v>206.77522691537689</v>
      </c>
      <c r="AE90" s="174">
        <f t="shared" si="39"/>
        <v>187.55338837716857</v>
      </c>
      <c r="AF90" s="174">
        <f t="shared" si="39"/>
        <v>255.92315676860289</v>
      </c>
      <c r="AG90" s="174">
        <f t="shared" si="39"/>
        <v>392.44294466399373</v>
      </c>
      <c r="AH90" s="174">
        <f t="shared" si="39"/>
        <v>367.95824551429683</v>
      </c>
      <c r="AI90" s="174">
        <f t="shared" si="39"/>
        <v>299.51751272933728</v>
      </c>
      <c r="AJ90" s="174">
        <f t="shared" si="39"/>
        <v>155.69357500551752</v>
      </c>
      <c r="AK90" s="174">
        <f t="shared" si="39"/>
        <v>233.72569377477325</v>
      </c>
      <c r="AL90" s="174">
        <f t="shared" si="39"/>
        <v>409.68323981769231</v>
      </c>
      <c r="AM90" s="174">
        <f t="shared" si="39"/>
        <v>420.56236927848636</v>
      </c>
      <c r="AN90" s="174">
        <f t="shared" si="39"/>
        <v>461.64674031139396</v>
      </c>
      <c r="AO90" s="174">
        <f t="shared" si="39"/>
        <v>491.69016847839202</v>
      </c>
      <c r="AP90" s="174">
        <f t="shared" si="39"/>
        <v>391.37398664009669</v>
      </c>
      <c r="AQ90" s="174">
        <f t="shared" si="39"/>
        <v>511.96511300733721</v>
      </c>
      <c r="AR90" s="174">
        <f t="shared" si="39"/>
        <v>472.00898655682329</v>
      </c>
      <c r="AS90" s="174">
        <f t="shared" si="39"/>
        <v>522.59966750925526</v>
      </c>
      <c r="AT90" s="174">
        <f t="shared" si="39"/>
        <v>670.9422900559033</v>
      </c>
      <c r="AU90" s="174">
        <f t="shared" si="39"/>
        <v>732.5816807575651</v>
      </c>
      <c r="AV90" s="174">
        <f t="shared" si="39"/>
        <v>485.1159184767169</v>
      </c>
      <c r="AW90" s="174">
        <f t="shared" si="39"/>
        <v>474.19989374449864</v>
      </c>
      <c r="AX90" s="174">
        <f t="shared" si="39"/>
        <v>613.81196128679289</v>
      </c>
      <c r="AY90" s="174">
        <f t="shared" si="39"/>
        <v>557.09973999190822</v>
      </c>
    </row>
    <row r="91" spans="1:51" x14ac:dyDescent="0.2">
      <c r="A91" s="19" t="s">
        <v>164</v>
      </c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29"/>
      <c r="M91" s="172">
        <f>('Monthly Data'!U473)*42/1000</f>
        <v>0.29399999999999998</v>
      </c>
      <c r="N91" s="172">
        <f>('Monthly Data'!U485)*42/1000</f>
        <v>4.032</v>
      </c>
      <c r="O91" s="172">
        <f>('Monthly Data'!U497)*42/1000</f>
        <v>25.158000000000001</v>
      </c>
      <c r="P91" s="172">
        <f>('Monthly Data'!U509)*42/1000</f>
        <v>22.344000000000001</v>
      </c>
      <c r="Q91" s="172">
        <f>('Monthly Data'!U521)*42/1000</f>
        <v>27.803999999999998</v>
      </c>
      <c r="R91" s="172">
        <f>('Monthly Data'!U533)*42/1000</f>
        <v>38.64</v>
      </c>
      <c r="S91" s="172">
        <f>('Monthly Data'!U545)*42/1000</f>
        <v>54.81</v>
      </c>
      <c r="T91" s="172">
        <f>('Monthly Data'!U557)*42/1000</f>
        <v>86.058000000000007</v>
      </c>
      <c r="U91" s="172">
        <f>('Monthly Data'!U569)*42/1000</f>
        <v>60.101999999999997</v>
      </c>
      <c r="V91" s="172">
        <f>('Monthly Data'!U581)*42/1000</f>
        <v>82.632900000000006</v>
      </c>
      <c r="W91" s="172">
        <f>('Monthly Data'!U593)*42/1000</f>
        <v>113.62575</v>
      </c>
      <c r="X91" s="172">
        <f>('Monthly Data'!U605)*42/1000</f>
        <v>169.48822799999999</v>
      </c>
      <c r="Y91" s="172">
        <f>('Monthly Data'!U617)*42/1000</f>
        <v>264.25606199999999</v>
      </c>
      <c r="Z91" s="174">
        <f t="shared" ref="Z91:AA100" si="40">Z90+Z42+Z26-Z74-Z58</f>
        <v>307.14616287887952</v>
      </c>
      <c r="AA91" s="174">
        <f t="shared" si="40"/>
        <v>264.64794510279955</v>
      </c>
      <c r="AB91" s="174">
        <f t="shared" si="39"/>
        <v>280.94853188316915</v>
      </c>
      <c r="AC91" s="174">
        <f t="shared" si="39"/>
        <v>234.08493259960559</v>
      </c>
      <c r="AD91" s="174">
        <f t="shared" si="39"/>
        <v>208.10306192977069</v>
      </c>
      <c r="AE91" s="174">
        <f t="shared" si="39"/>
        <v>189.81324290210168</v>
      </c>
      <c r="AF91" s="174">
        <f t="shared" si="39"/>
        <v>269.84390650910234</v>
      </c>
      <c r="AG91" s="174">
        <f t="shared" si="39"/>
        <v>393.03059271425957</v>
      </c>
      <c r="AH91" s="174">
        <f t="shared" si="39"/>
        <v>366.48015805912297</v>
      </c>
      <c r="AI91" s="174">
        <f t="shared" si="39"/>
        <v>288.42134642065776</v>
      </c>
      <c r="AJ91" s="174">
        <f t="shared" si="39"/>
        <v>161.83416727033864</v>
      </c>
      <c r="AK91" s="174">
        <f t="shared" si="39"/>
        <v>250.70331464676735</v>
      </c>
      <c r="AL91" s="174">
        <f t="shared" si="39"/>
        <v>412.09013794461208</v>
      </c>
      <c r="AM91" s="174">
        <f t="shared" si="39"/>
        <v>425.37882689671432</v>
      </c>
      <c r="AN91" s="174">
        <f t="shared" si="39"/>
        <v>467.84993904179066</v>
      </c>
      <c r="AO91" s="174">
        <f t="shared" si="39"/>
        <v>483.61787079402393</v>
      </c>
      <c r="AP91" s="174">
        <f t="shared" si="39"/>
        <v>404.83041619165101</v>
      </c>
      <c r="AQ91" s="174">
        <f t="shared" si="39"/>
        <v>510.6436965445094</v>
      </c>
      <c r="AR91" s="174">
        <f t="shared" si="39"/>
        <v>477.16849945312941</v>
      </c>
      <c r="AS91" s="174">
        <f t="shared" si="39"/>
        <v>536.69271530896287</v>
      </c>
      <c r="AT91" s="174">
        <f t="shared" si="39"/>
        <v>682.16881424239159</v>
      </c>
      <c r="AU91" s="174">
        <f t="shared" si="39"/>
        <v>714.42169274630248</v>
      </c>
      <c r="AV91" s="174">
        <f t="shared" si="39"/>
        <v>484.67520865776117</v>
      </c>
      <c r="AW91" s="174">
        <f t="shared" si="39"/>
        <v>490.12453730031928</v>
      </c>
      <c r="AX91" s="174">
        <f t="shared" si="39"/>
        <v>609.48465015408146</v>
      </c>
      <c r="AY91" s="174">
        <f t="shared" si="39"/>
        <v>573.81913133599448</v>
      </c>
    </row>
    <row r="92" spans="1:51" x14ac:dyDescent="0.2">
      <c r="A92" s="19" t="s">
        <v>165</v>
      </c>
      <c r="B92" s="136"/>
      <c r="C92" s="136"/>
      <c r="D92" s="136"/>
      <c r="E92" s="136"/>
      <c r="F92" s="136"/>
      <c r="G92" s="136"/>
      <c r="H92" s="136"/>
      <c r="I92" s="136"/>
      <c r="J92" s="136"/>
      <c r="K92" s="136"/>
      <c r="L92" s="129"/>
      <c r="M92" s="172">
        <f>('Monthly Data'!U474)*42/1000</f>
        <v>0.42</v>
      </c>
      <c r="N92" s="172">
        <f>('Monthly Data'!U486)*42/1000</f>
        <v>3.1920000000000002</v>
      </c>
      <c r="O92" s="172">
        <f>('Monthly Data'!U498)*42/1000</f>
        <v>15.708</v>
      </c>
      <c r="P92" s="172">
        <f>('Monthly Data'!U510)*42/1000</f>
        <v>19.614000000000001</v>
      </c>
      <c r="Q92" s="172">
        <f>('Monthly Data'!U522)*42/1000</f>
        <v>38.933999999999997</v>
      </c>
      <c r="R92" s="172">
        <f>('Monthly Data'!U534)*42/1000</f>
        <v>38.892000000000003</v>
      </c>
      <c r="S92" s="172">
        <f>('Monthly Data'!U546)*42/1000</f>
        <v>65.477999999999994</v>
      </c>
      <c r="T92" s="172">
        <f>('Monthly Data'!U558)*42/1000</f>
        <v>83.328000000000003</v>
      </c>
      <c r="U92" s="172">
        <f>('Monthly Data'!U570)*42/1000</f>
        <v>65.394000000000005</v>
      </c>
      <c r="V92" s="172">
        <f>('Monthly Data'!U582)*42/1000</f>
        <v>80.703210000000013</v>
      </c>
      <c r="W92" s="172">
        <f>('Monthly Data'!U594)*42/1000</f>
        <v>120.63202199999999</v>
      </c>
      <c r="X92" s="172">
        <f>('Monthly Data'!U606)*42/1000</f>
        <v>173.98756199999997</v>
      </c>
      <c r="Y92" s="172">
        <f>('Monthly Data'!U618)*42/1000</f>
        <v>282.23554799999999</v>
      </c>
      <c r="Z92" s="174">
        <f t="shared" si="40"/>
        <v>309.40781051865252</v>
      </c>
      <c r="AA92" s="174">
        <f t="shared" si="40"/>
        <v>253.20256728663242</v>
      </c>
      <c r="AB92" s="174">
        <f t="shared" si="39"/>
        <v>259.05972837345206</v>
      </c>
      <c r="AC92" s="174">
        <f t="shared" si="39"/>
        <v>212.93785280084427</v>
      </c>
      <c r="AD92" s="174">
        <f t="shared" si="39"/>
        <v>184.31802215757199</v>
      </c>
      <c r="AE92" s="174">
        <f t="shared" si="39"/>
        <v>173.63876129733262</v>
      </c>
      <c r="AF92" s="174">
        <f t="shared" si="39"/>
        <v>261.0935163422285</v>
      </c>
      <c r="AG92" s="174">
        <f t="shared" si="39"/>
        <v>364.37723363308532</v>
      </c>
      <c r="AH92" s="174">
        <f t="shared" si="39"/>
        <v>335.0774598199103</v>
      </c>
      <c r="AI92" s="174">
        <f t="shared" si="39"/>
        <v>247.77962678443041</v>
      </c>
      <c r="AJ92" s="174">
        <f t="shared" si="39"/>
        <v>138.4428966959058</v>
      </c>
      <c r="AK92" s="174">
        <f t="shared" si="39"/>
        <v>235.31852856596794</v>
      </c>
      <c r="AL92" s="174">
        <f t="shared" si="39"/>
        <v>376.17731182360808</v>
      </c>
      <c r="AM92" s="174">
        <f t="shared" si="39"/>
        <v>387.89799893639298</v>
      </c>
      <c r="AN92" s="174">
        <f t="shared" si="39"/>
        <v>431.39055134047987</v>
      </c>
      <c r="AO92" s="174">
        <f t="shared" si="39"/>
        <v>436.79030224701449</v>
      </c>
      <c r="AP92" s="174">
        <f t="shared" si="39"/>
        <v>378.77245520379614</v>
      </c>
      <c r="AQ92" s="174">
        <f t="shared" si="39"/>
        <v>466.52241081388513</v>
      </c>
      <c r="AR92" s="174">
        <f t="shared" si="39"/>
        <v>436.1482292788703</v>
      </c>
      <c r="AS92" s="174">
        <f t="shared" si="39"/>
        <v>504.21989538522263</v>
      </c>
      <c r="AT92" s="174">
        <f t="shared" si="39"/>
        <v>646.92604332446501</v>
      </c>
      <c r="AU92" s="174">
        <f t="shared" si="39"/>
        <v>649.96923103402969</v>
      </c>
      <c r="AV92" s="174">
        <f t="shared" si="39"/>
        <v>437.54709215764564</v>
      </c>
      <c r="AW92" s="174">
        <f t="shared" si="39"/>
        <v>458.65181253410645</v>
      </c>
      <c r="AX92" s="174">
        <f t="shared" si="39"/>
        <v>554.68170262402725</v>
      </c>
      <c r="AY92" s="174">
        <f t="shared" si="39"/>
        <v>539.38708910036939</v>
      </c>
    </row>
    <row r="93" spans="1:51" x14ac:dyDescent="0.2">
      <c r="A93" s="19" t="s">
        <v>166</v>
      </c>
      <c r="B93" s="136"/>
      <c r="C93" s="136"/>
      <c r="D93" s="136"/>
      <c r="E93" s="136"/>
      <c r="F93" s="136"/>
      <c r="G93" s="136"/>
      <c r="H93" s="136"/>
      <c r="I93" s="136"/>
      <c r="J93" s="136"/>
      <c r="K93" s="136"/>
      <c r="L93" s="129"/>
      <c r="M93" s="172">
        <f>('Monthly Data'!U475)*42/1000</f>
        <v>0</v>
      </c>
      <c r="N93" s="172">
        <f>('Monthly Data'!U487)*42/1000</f>
        <v>5.46</v>
      </c>
      <c r="O93" s="172">
        <f>('Monthly Data'!U499)*42/1000</f>
        <v>16.463999999999999</v>
      </c>
      <c r="P93" s="172">
        <f>('Monthly Data'!U511)*42/1000</f>
        <v>30.071999999999999</v>
      </c>
      <c r="Q93" s="172">
        <f>('Monthly Data'!U523)*42/1000</f>
        <v>32.508000000000003</v>
      </c>
      <c r="R93" s="172">
        <f>('Monthly Data'!U535)*42/1000</f>
        <v>36.161999999999999</v>
      </c>
      <c r="S93" s="172">
        <f>('Monthly Data'!U547)*42/1000</f>
        <v>40.823999999999998</v>
      </c>
      <c r="T93" s="172">
        <f>('Monthly Data'!U559)*42/1000</f>
        <v>77.825999999999993</v>
      </c>
      <c r="U93" s="172">
        <f>('Monthly Data'!U571)*42/1000</f>
        <v>73.122</v>
      </c>
      <c r="V93" s="172">
        <f>('Monthly Data'!U583)*42/1000</f>
        <v>73.903704000000005</v>
      </c>
      <c r="W93" s="172">
        <f>('Monthly Data'!U595)*42/1000</f>
        <v>137.48414399999999</v>
      </c>
      <c r="X93" s="172">
        <f>('Monthly Data'!U607)*42/1000</f>
        <v>155.98308599999999</v>
      </c>
      <c r="Y93" s="172">
        <f>('Monthly Data'!U619)*42/1000</f>
        <v>247.25845199999998</v>
      </c>
      <c r="Z93" s="174">
        <f t="shared" si="40"/>
        <v>279.28585119021142</v>
      </c>
      <c r="AA93" s="174">
        <f t="shared" si="40"/>
        <v>232.87440811703175</v>
      </c>
      <c r="AB93" s="174">
        <f t="shared" si="39"/>
        <v>226.37074402039892</v>
      </c>
      <c r="AC93" s="174">
        <f t="shared" si="39"/>
        <v>180.98530960135184</v>
      </c>
      <c r="AD93" s="174">
        <f t="shared" si="39"/>
        <v>160.1882515662198</v>
      </c>
      <c r="AE93" s="174">
        <f t="shared" si="39"/>
        <v>149.03158310009593</v>
      </c>
      <c r="AF93" s="174">
        <f t="shared" si="39"/>
        <v>244.2428226721338</v>
      </c>
      <c r="AG93" s="174">
        <f t="shared" si="39"/>
        <v>324.30691737960439</v>
      </c>
      <c r="AH93" s="174">
        <f t="shared" si="39"/>
        <v>292.66995010108911</v>
      </c>
      <c r="AI93" s="174">
        <f t="shared" si="39"/>
        <v>195.94321666653173</v>
      </c>
      <c r="AJ93" s="174">
        <f t="shared" si="39"/>
        <v>104.55981008728925</v>
      </c>
      <c r="AK93" s="174">
        <f t="shared" si="39"/>
        <v>210.55867702190551</v>
      </c>
      <c r="AL93" s="174">
        <f t="shared" si="39"/>
        <v>327.32347215396595</v>
      </c>
      <c r="AM93" s="174">
        <f t="shared" si="39"/>
        <v>336.59451986304981</v>
      </c>
      <c r="AN93" s="174">
        <f t="shared" si="39"/>
        <v>381.20210263982216</v>
      </c>
      <c r="AO93" s="174">
        <f t="shared" si="39"/>
        <v>375.67548651494053</v>
      </c>
      <c r="AP93" s="174">
        <f t="shared" si="39"/>
        <v>340.91612462048715</v>
      </c>
      <c r="AQ93" s="174">
        <f t="shared" si="39"/>
        <v>407.67391747175526</v>
      </c>
      <c r="AR93" s="174">
        <f t="shared" si="39"/>
        <v>380.08673002977014</v>
      </c>
      <c r="AS93" s="174">
        <f t="shared" si="39"/>
        <v>457.6816996374103</v>
      </c>
      <c r="AT93" s="174">
        <f t="shared" si="39"/>
        <v>597.27380387038875</v>
      </c>
      <c r="AU93" s="174">
        <f t="shared" si="39"/>
        <v>567.53568635293436</v>
      </c>
      <c r="AV93" s="174">
        <f t="shared" si="39"/>
        <v>374.47631619333134</v>
      </c>
      <c r="AW93" s="174">
        <f t="shared" si="39"/>
        <v>413.05869528905038</v>
      </c>
      <c r="AX93" s="174">
        <f t="shared" si="39"/>
        <v>482.16732898488141</v>
      </c>
      <c r="AY93" s="174">
        <f t="shared" si="39"/>
        <v>489.62680312990625</v>
      </c>
    </row>
    <row r="94" spans="1:51" x14ac:dyDescent="0.2">
      <c r="A94" s="19" t="s">
        <v>167</v>
      </c>
      <c r="B94" s="136"/>
      <c r="C94" s="136"/>
      <c r="D94" s="136"/>
      <c r="E94" s="136"/>
      <c r="F94" s="136"/>
      <c r="G94" s="136"/>
      <c r="H94" s="136"/>
      <c r="I94" s="136"/>
      <c r="J94" s="136"/>
      <c r="K94" s="136"/>
      <c r="L94" s="129"/>
      <c r="M94" s="172">
        <f>('Monthly Data'!U476)*42/1000</f>
        <v>0</v>
      </c>
      <c r="N94" s="172">
        <f>('Monthly Data'!U488)*42/1000</f>
        <v>3.234</v>
      </c>
      <c r="O94" s="172">
        <f>('Monthly Data'!U500)*42/1000</f>
        <v>14.532</v>
      </c>
      <c r="P94" s="172">
        <f>('Monthly Data'!U512)*42/1000</f>
        <v>29.148</v>
      </c>
      <c r="Q94" s="172">
        <f>('Monthly Data'!U524)*42/1000</f>
        <v>33.18</v>
      </c>
      <c r="R94" s="172">
        <f>('Monthly Data'!U536)*42/1000</f>
        <v>33.012</v>
      </c>
      <c r="S94" s="172">
        <f>('Monthly Data'!U548)*42/1000</f>
        <v>47.46</v>
      </c>
      <c r="T94" s="172">
        <f>('Monthly Data'!U560)*42/1000</f>
        <v>86.31</v>
      </c>
      <c r="U94" s="172">
        <f>('Monthly Data'!U572)*42/1000</f>
        <v>64.512</v>
      </c>
      <c r="V94" s="172">
        <f>('Monthly Data'!U584)*42/1000</f>
        <v>80.638655999999997</v>
      </c>
      <c r="W94" s="172">
        <f>('Monthly Data'!U596)*42/1000</f>
        <v>115.14858599999999</v>
      </c>
      <c r="X94" s="172">
        <f>('Monthly Data'!U608)*42/1000</f>
        <v>149.72512799999998</v>
      </c>
      <c r="Y94" s="172">
        <f>('Monthly Data'!U620)*42/1000</f>
        <v>275.37652800000001</v>
      </c>
      <c r="Z94" s="174">
        <f t="shared" si="40"/>
        <v>248.2671255674797</v>
      </c>
      <c r="AA94" s="174">
        <f t="shared" si="40"/>
        <v>219.0214284914849</v>
      </c>
      <c r="AB94" s="174">
        <f t="shared" si="39"/>
        <v>201.28183420007804</v>
      </c>
      <c r="AC94" s="174">
        <f t="shared" si="39"/>
        <v>161.90898446111302</v>
      </c>
      <c r="AD94" s="174">
        <f t="shared" si="39"/>
        <v>141.273732606176</v>
      </c>
      <c r="AE94" s="174">
        <f t="shared" si="39"/>
        <v>131.67807617168032</v>
      </c>
      <c r="AF94" s="174">
        <f t="shared" si="39"/>
        <v>235.61914006287782</v>
      </c>
      <c r="AG94" s="174">
        <f t="shared" si="39"/>
        <v>293.61577173702688</v>
      </c>
      <c r="AH94" s="174">
        <f t="shared" si="39"/>
        <v>259.71068898946521</v>
      </c>
      <c r="AI94" s="174">
        <f t="shared" si="39"/>
        <v>152.6039390177971</v>
      </c>
      <c r="AJ94" s="174">
        <f t="shared" si="39"/>
        <v>79.732218332524667</v>
      </c>
      <c r="AK94" s="174">
        <f t="shared" si="39"/>
        <v>193.5653058165245</v>
      </c>
      <c r="AL94" s="174">
        <f t="shared" si="39"/>
        <v>286.9188654356492</v>
      </c>
      <c r="AM94" s="174">
        <f t="shared" si="39"/>
        <v>294.48521047996752</v>
      </c>
      <c r="AN94" s="174">
        <f t="shared" si="39"/>
        <v>340.52364000642484</v>
      </c>
      <c r="AO94" s="174">
        <f t="shared" si="39"/>
        <v>323.8327175274149</v>
      </c>
      <c r="AP94" s="174">
        <f t="shared" si="39"/>
        <v>312.16913997493589</v>
      </c>
      <c r="AQ94" s="174">
        <f t="shared" si="39"/>
        <v>358.69913744960775</v>
      </c>
      <c r="AR94" s="174">
        <f t="shared" si="39"/>
        <v>334.54058729441397</v>
      </c>
      <c r="AS94" s="174">
        <f t="shared" si="39"/>
        <v>421.69895194320077</v>
      </c>
      <c r="AT94" s="174">
        <f t="shared" si="39"/>
        <v>558.19006286078911</v>
      </c>
      <c r="AU94" s="174">
        <f t="shared" si="39"/>
        <v>495.99448098069365</v>
      </c>
      <c r="AV94" s="174">
        <f t="shared" si="39"/>
        <v>322.04072711168237</v>
      </c>
      <c r="AW94" s="174">
        <f t="shared" si="39"/>
        <v>378.16345024168822</v>
      </c>
      <c r="AX94" s="174">
        <f t="shared" si="39"/>
        <v>421.12972337087717</v>
      </c>
      <c r="AY94" s="174">
        <f t="shared" si="39"/>
        <v>451.1970340029502</v>
      </c>
    </row>
    <row r="95" spans="1:51" x14ac:dyDescent="0.2">
      <c r="A95" s="19" t="s">
        <v>168</v>
      </c>
      <c r="B95" s="136"/>
      <c r="C95" s="136"/>
      <c r="D95" s="136"/>
      <c r="E95" s="136"/>
      <c r="F95" s="136"/>
      <c r="G95" s="136"/>
      <c r="H95" s="136"/>
      <c r="I95" s="136"/>
      <c r="J95" s="136"/>
      <c r="K95" s="136"/>
      <c r="L95" s="129"/>
      <c r="M95" s="172">
        <f>('Monthly Data'!U477)*42/1000</f>
        <v>0</v>
      </c>
      <c r="N95" s="172">
        <f>('Monthly Data'!U489)*42/1000</f>
        <v>4.5780000000000003</v>
      </c>
      <c r="O95" s="172">
        <f>('Monthly Data'!U501)*42/1000</f>
        <v>24.99</v>
      </c>
      <c r="P95" s="172">
        <f>('Monthly Data'!U513)*42/1000</f>
        <v>30.324000000000002</v>
      </c>
      <c r="Q95" s="172">
        <f>('Monthly Data'!U525)*42/1000</f>
        <v>39.101999999999997</v>
      </c>
      <c r="R95" s="172">
        <f>('Monthly Data'!U537)*42/1000</f>
        <v>29.736000000000001</v>
      </c>
      <c r="S95" s="172">
        <f>('Monthly Data'!U549)*42/1000</f>
        <v>43.134</v>
      </c>
      <c r="T95" s="172">
        <f>('Monthly Data'!U561)*42/1000</f>
        <v>86.016000000000005</v>
      </c>
      <c r="U95" s="172">
        <f>('Monthly Data'!U573)*42/1000</f>
        <v>63.335999999999999</v>
      </c>
      <c r="V95" s="172">
        <f>('Monthly Data'!U585)*42/1000</f>
        <v>95.888100000000009</v>
      </c>
      <c r="W95" s="172">
        <f>('Monthly Data'!U597)*42/1000</f>
        <v>132.23347200000001</v>
      </c>
      <c r="X95" s="172">
        <f>('Monthly Data'!U609)*42/1000</f>
        <v>170.964528</v>
      </c>
      <c r="Y95" s="172">
        <f>('Monthly Data'!U621)*42/1000</f>
        <v>258.34494000000001</v>
      </c>
      <c r="Z95" s="174">
        <f t="shared" si="40"/>
        <v>239.89099848765011</v>
      </c>
      <c r="AA95" s="174">
        <f t="shared" si="40"/>
        <v>218.44426852442948</v>
      </c>
      <c r="AB95" s="174">
        <f t="shared" si="39"/>
        <v>187.81755596032929</v>
      </c>
      <c r="AC95" s="174">
        <f t="shared" si="39"/>
        <v>145.23123828569044</v>
      </c>
      <c r="AD95" s="174">
        <f t="shared" si="39"/>
        <v>117.44229421437339</v>
      </c>
      <c r="AE95" s="174">
        <f t="shared" si="39"/>
        <v>126.02830597909789</v>
      </c>
      <c r="AF95" s="174">
        <f t="shared" si="39"/>
        <v>236.78802023742409</v>
      </c>
      <c r="AG95" s="174">
        <f t="shared" si="39"/>
        <v>275.88712861767658</v>
      </c>
      <c r="AH95" s="174">
        <f t="shared" si="39"/>
        <v>238.42606695349204</v>
      </c>
      <c r="AI95" s="174">
        <f t="shared" si="39"/>
        <v>121.90755295908168</v>
      </c>
      <c r="AJ95" s="174">
        <f t="shared" si="39"/>
        <v>69.088610930387688</v>
      </c>
      <c r="AK95" s="174">
        <f t="shared" si="39"/>
        <v>194.19946522706215</v>
      </c>
      <c r="AL95" s="174">
        <f t="shared" si="39"/>
        <v>269.06893828967179</v>
      </c>
      <c r="AM95" s="174">
        <f t="shared" si="39"/>
        <v>277.21128755330159</v>
      </c>
      <c r="AN95" s="174">
        <f t="shared" si="39"/>
        <v>324.65744110582989</v>
      </c>
      <c r="AO95" s="174">
        <f t="shared" si="39"/>
        <v>294.70240406514398</v>
      </c>
      <c r="AP95" s="174">
        <f t="shared" si="39"/>
        <v>305.46123558873302</v>
      </c>
      <c r="AQ95" s="174">
        <f t="shared" si="39"/>
        <v>334.56926587955417</v>
      </c>
      <c r="AR95" s="174">
        <f t="shared" si="39"/>
        <v>315.63737560903883</v>
      </c>
      <c r="AS95" s="174">
        <f t="shared" si="39"/>
        <v>412.14525019728245</v>
      </c>
      <c r="AT95" s="174">
        <f t="shared" si="39"/>
        <v>545.62612323003043</v>
      </c>
      <c r="AU95" s="174">
        <f t="shared" si="39"/>
        <v>452.12912434022132</v>
      </c>
      <c r="AV95" s="174">
        <f t="shared" si="39"/>
        <v>296.93882738904585</v>
      </c>
      <c r="AW95" s="174">
        <f t="shared" si="39"/>
        <v>370.13467437776796</v>
      </c>
      <c r="AX95" s="174">
        <f t="shared" si="39"/>
        <v>389.96242298084763</v>
      </c>
      <c r="AY95" s="174">
        <f t="shared" si="39"/>
        <v>442.15519353048717</v>
      </c>
    </row>
    <row r="96" spans="1:51" x14ac:dyDescent="0.2">
      <c r="A96" s="19" t="s">
        <v>169</v>
      </c>
      <c r="B96" s="136"/>
      <c r="C96" s="136"/>
      <c r="D96" s="136"/>
      <c r="E96" s="136"/>
      <c r="F96" s="136"/>
      <c r="G96" s="136"/>
      <c r="H96" s="136"/>
      <c r="I96" s="136"/>
      <c r="J96" s="136"/>
      <c r="K96" s="136"/>
      <c r="L96" s="129"/>
      <c r="M96" s="172">
        <f>('Monthly Data'!U478)*42/1000</f>
        <v>0</v>
      </c>
      <c r="N96" s="172">
        <f>('Monthly Data'!U490)*42/1000</f>
        <v>22.931999999999999</v>
      </c>
      <c r="O96" s="172">
        <f>('Monthly Data'!U502)*42/1000</f>
        <v>15.246</v>
      </c>
      <c r="P96" s="172">
        <f>('Monthly Data'!U514)*42/1000</f>
        <v>36.917999999999999</v>
      </c>
      <c r="Q96" s="172">
        <f>('Monthly Data'!U526)*42/1000</f>
        <v>47.417999999999999</v>
      </c>
      <c r="R96" s="172">
        <f>('Monthly Data'!U538)*42/1000</f>
        <v>28.475999999999999</v>
      </c>
      <c r="S96" s="172">
        <f>('Monthly Data'!U550)*42/1000</f>
        <v>47.628</v>
      </c>
      <c r="T96" s="172">
        <f>('Monthly Data'!U562)*42/1000</f>
        <v>71.694000000000003</v>
      </c>
      <c r="U96" s="172">
        <f>('Monthly Data'!U574)*42/1000</f>
        <v>57.917999999999999</v>
      </c>
      <c r="V96" s="172">
        <f>('Monthly Data'!U586)*42/1000</f>
        <v>85.554797999999991</v>
      </c>
      <c r="W96" s="172">
        <f>('Monthly Data'!U598)*42/1000</f>
        <v>107.26778999999999</v>
      </c>
      <c r="X96" s="172">
        <f>('Monthly Data'!U610)*42/1000</f>
        <v>171.09670200000002</v>
      </c>
      <c r="Y96" s="172">
        <f>('Monthly Data'!U622)*42/1000</f>
        <v>260.609286</v>
      </c>
      <c r="Z96" s="174">
        <f t="shared" si="40"/>
        <v>213.53207836319274</v>
      </c>
      <c r="AA96" s="174">
        <f t="shared" si="40"/>
        <v>198.30556768605965</v>
      </c>
      <c r="AB96" s="174">
        <f t="shared" si="39"/>
        <v>161.18703114933868</v>
      </c>
      <c r="AC96" s="174">
        <f t="shared" si="39"/>
        <v>124.59365490940495</v>
      </c>
      <c r="AD96" s="174">
        <f t="shared" si="39"/>
        <v>101.29255647573814</v>
      </c>
      <c r="AE96" s="174">
        <f t="shared" si="39"/>
        <v>112.14496287076588</v>
      </c>
      <c r="AF96" s="174">
        <f t="shared" si="39"/>
        <v>231.56384889802698</v>
      </c>
      <c r="AG96" s="174">
        <f t="shared" si="39"/>
        <v>253.85328891590117</v>
      </c>
      <c r="AH96" s="174">
        <f t="shared" si="39"/>
        <v>214.69393266958812</v>
      </c>
      <c r="AI96" s="174">
        <f t="shared" si="39"/>
        <v>88.796491408356161</v>
      </c>
      <c r="AJ96" s="174">
        <f t="shared" si="39"/>
        <v>54.317390327916854</v>
      </c>
      <c r="AK96" s="174">
        <f t="shared" si="39"/>
        <v>192.94878905084684</v>
      </c>
      <c r="AL96" s="174">
        <f t="shared" si="39"/>
        <v>249.3411869643891</v>
      </c>
      <c r="AM96" s="174">
        <f t="shared" si="39"/>
        <v>258.10403685617098</v>
      </c>
      <c r="AN96" s="174">
        <f t="shared" si="39"/>
        <v>307.32738327760467</v>
      </c>
      <c r="AO96" s="174">
        <f t="shared" si="39"/>
        <v>264.29791104639736</v>
      </c>
      <c r="AP96" s="174">
        <f t="shared" si="39"/>
        <v>297.99761539632999</v>
      </c>
      <c r="AQ96" s="174">
        <f t="shared" si="39"/>
        <v>309.19555450846553</v>
      </c>
      <c r="AR96" s="174">
        <f t="shared" si="39"/>
        <v>295.58609239837489</v>
      </c>
      <c r="AS96" s="174">
        <f t="shared" si="39"/>
        <v>401.70493040838988</v>
      </c>
      <c r="AT96" s="174">
        <f t="shared" si="39"/>
        <v>532.09201535851116</v>
      </c>
      <c r="AU96" s="174">
        <f t="shared" si="39"/>
        <v>406.71490755127871</v>
      </c>
      <c r="AV96" s="174">
        <f t="shared" si="39"/>
        <v>270.42204932096314</v>
      </c>
      <c r="AW96" s="174">
        <f t="shared" si="39"/>
        <v>361.22047181138549</v>
      </c>
      <c r="AX96" s="174">
        <f t="shared" si="39"/>
        <v>357.2325549920098</v>
      </c>
      <c r="AY96" s="174">
        <f t="shared" si="39"/>
        <v>431.93038017967581</v>
      </c>
    </row>
    <row r="97" spans="1:51" x14ac:dyDescent="0.2">
      <c r="A97" s="19" t="s">
        <v>170</v>
      </c>
      <c r="B97" s="136"/>
      <c r="C97" s="136"/>
      <c r="D97" s="136"/>
      <c r="E97" s="136"/>
      <c r="F97" s="136"/>
      <c r="G97" s="136"/>
      <c r="H97" s="136"/>
      <c r="I97" s="136"/>
      <c r="J97" s="136"/>
      <c r="K97" s="136"/>
      <c r="L97" s="129"/>
      <c r="M97" s="172">
        <f>('Monthly Data'!U479)*42/1000</f>
        <v>0</v>
      </c>
      <c r="N97" s="172">
        <f>('Monthly Data'!U491)*42/1000</f>
        <v>22.553999999999998</v>
      </c>
      <c r="O97" s="172">
        <f>('Monthly Data'!U503)*42/1000</f>
        <v>15.708</v>
      </c>
      <c r="P97" s="172">
        <f>('Monthly Data'!U515)*42/1000</f>
        <v>30.45</v>
      </c>
      <c r="Q97" s="172">
        <f>('Monthly Data'!U527)*42/1000</f>
        <v>37.295999999999999</v>
      </c>
      <c r="R97" s="172">
        <f>('Monthly Data'!U539)*42/1000</f>
        <v>30.702000000000002</v>
      </c>
      <c r="S97" s="172">
        <f>('Monthly Data'!U551)*42/1000</f>
        <v>46.158000000000001</v>
      </c>
      <c r="T97" s="172">
        <f>('Monthly Data'!U563)*42/1000</f>
        <v>65.268000000000001</v>
      </c>
      <c r="U97" s="172">
        <f>('Monthly Data'!U575)*42/1000</f>
        <v>56.951999999999998</v>
      </c>
      <c r="V97" s="172">
        <f>('Monthly Data'!U587)*42/1000</f>
        <v>91.322994000000008</v>
      </c>
      <c r="W97" s="172">
        <f>('Monthly Data'!U599)*42/1000</f>
        <v>113.302392</v>
      </c>
      <c r="X97" s="172">
        <f>('Monthly Data'!U611)*42/1000</f>
        <v>178.245228</v>
      </c>
      <c r="Y97" s="172">
        <f>('Monthly Data'!U623)*42/1000</f>
        <v>251.87878799999996</v>
      </c>
      <c r="Z97" s="174">
        <f t="shared" si="40"/>
        <v>187.40070440306886</v>
      </c>
      <c r="AA97" s="174">
        <f t="shared" si="40"/>
        <v>186.54738724916854</v>
      </c>
      <c r="AB97" s="174">
        <f t="shared" si="39"/>
        <v>135.88411787509213</v>
      </c>
      <c r="AC97" s="174">
        <f t="shared" si="39"/>
        <v>101.56146164737105</v>
      </c>
      <c r="AD97" s="174">
        <f t="shared" si="39"/>
        <v>79.574782167460128</v>
      </c>
      <c r="AE97" s="174">
        <f t="shared" si="39"/>
        <v>97.442523462832781</v>
      </c>
      <c r="AF97" s="174">
        <f t="shared" si="39"/>
        <v>225.67952344119311</v>
      </c>
      <c r="AG97" s="174">
        <f t="shared" si="39"/>
        <v>228.42693902219506</v>
      </c>
      <c r="AH97" s="174">
        <f t="shared" si="39"/>
        <v>186.91045058905837</v>
      </c>
      <c r="AI97" s="174">
        <f t="shared" si="39"/>
        <v>51.346112963973724</v>
      </c>
      <c r="AJ97" s="174">
        <f t="shared" si="39"/>
        <v>36.189957002548375</v>
      </c>
      <c r="AK97" s="174">
        <f t="shared" si="39"/>
        <v>187.37329543458017</v>
      </c>
      <c r="AL97" s="174">
        <f t="shared" si="39"/>
        <v>223.71707998593837</v>
      </c>
      <c r="AM97" s="174">
        <f t="shared" si="39"/>
        <v>232.42101724662837</v>
      </c>
      <c r="AN97" s="174">
        <f t="shared" si="39"/>
        <v>283.33626578213955</v>
      </c>
      <c r="AO97" s="174">
        <f t="shared" si="39"/>
        <v>227.5028650217979</v>
      </c>
      <c r="AP97" s="174">
        <f t="shared" si="39"/>
        <v>284.4943605155928</v>
      </c>
      <c r="AQ97" s="174">
        <f t="shared" si="39"/>
        <v>276.88946173545031</v>
      </c>
      <c r="AR97" s="174">
        <f t="shared" si="39"/>
        <v>268.17946285407379</v>
      </c>
      <c r="AS97" s="174">
        <f t="shared" si="39"/>
        <v>384.04268307037063</v>
      </c>
      <c r="AT97" s="174">
        <f t="shared" si="39"/>
        <v>511.29725194550878</v>
      </c>
      <c r="AU97" s="174">
        <f t="shared" si="39"/>
        <v>353.37362699819437</v>
      </c>
      <c r="AV97" s="174">
        <f t="shared" si="39"/>
        <v>236.37176062505085</v>
      </c>
      <c r="AW97" s="174">
        <f t="shared" si="39"/>
        <v>344.98497672772436</v>
      </c>
      <c r="AX97" s="174">
        <f t="shared" si="39"/>
        <v>316.25900749638492</v>
      </c>
      <c r="AY97" s="174">
        <f t="shared" si="39"/>
        <v>413.84681885548974</v>
      </c>
    </row>
    <row r="98" spans="1:51" x14ac:dyDescent="0.2">
      <c r="A98" s="19" t="s">
        <v>171</v>
      </c>
      <c r="B98" s="136"/>
      <c r="C98" s="136"/>
      <c r="D98" s="136"/>
      <c r="E98" s="136"/>
      <c r="F98" s="136"/>
      <c r="G98" s="136"/>
      <c r="H98" s="136"/>
      <c r="I98" s="136"/>
      <c r="J98" s="136"/>
      <c r="K98" s="136"/>
      <c r="L98" s="129"/>
      <c r="M98" s="172">
        <f>('Monthly Data'!U480)*42/1000</f>
        <v>0</v>
      </c>
      <c r="N98" s="172">
        <f>('Monthly Data'!U492)*42/1000</f>
        <v>20.411999999999999</v>
      </c>
      <c r="O98" s="172">
        <f>('Monthly Data'!U504)*42/1000</f>
        <v>9.3659999999999997</v>
      </c>
      <c r="P98" s="172">
        <f>('Monthly Data'!U516)*42/1000</f>
        <v>34.020000000000003</v>
      </c>
      <c r="Q98" s="172">
        <f>('Monthly Data'!U528)*42/1000</f>
        <v>42.545999999999999</v>
      </c>
      <c r="R98" s="172">
        <f>('Monthly Data'!U540)*42/1000</f>
        <v>30.744</v>
      </c>
      <c r="S98" s="172">
        <f>('Monthly Data'!U552)*42/1000</f>
        <v>52.835999999999999</v>
      </c>
      <c r="T98" s="172">
        <f>('Monthly Data'!U564)*42/1000</f>
        <v>76.481999999999999</v>
      </c>
      <c r="U98" s="172">
        <f>('Monthly Data'!U576)*42/1000</f>
        <v>59.892000000000003</v>
      </c>
      <c r="V98" s="172">
        <f>('Monthly Data'!U588)*42/1000</f>
        <v>79.091334000000003</v>
      </c>
      <c r="W98" s="172">
        <f>('Monthly Data'!U600)*42/1000</f>
        <v>93.870084000000006</v>
      </c>
      <c r="X98" s="172">
        <f>('Monthly Data'!U612)*42/1000</f>
        <v>154.05327</v>
      </c>
      <c r="Y98" s="172">
        <f>('Monthly Data'!U624)*42/1000</f>
        <v>244.36213199999997</v>
      </c>
      <c r="Z98" s="174">
        <f t="shared" si="40"/>
        <v>163.27979703095872</v>
      </c>
      <c r="AA98" s="174">
        <f t="shared" si="40"/>
        <v>170.80312757880839</v>
      </c>
      <c r="AB98" s="174">
        <f t="shared" si="39"/>
        <v>112.23993493519113</v>
      </c>
      <c r="AC98" s="174">
        <f t="shared" si="39"/>
        <v>81.705925517882832</v>
      </c>
      <c r="AD98" s="174">
        <f t="shared" si="39"/>
        <v>60.816493265223386</v>
      </c>
      <c r="AE98" s="174">
        <f t="shared" si="39"/>
        <v>83.172643474370417</v>
      </c>
      <c r="AF98" s="174">
        <f t="shared" si="39"/>
        <v>220.55710093654415</v>
      </c>
      <c r="AG98" s="174">
        <f t="shared" si="39"/>
        <v>203.16687194118134</v>
      </c>
      <c r="AH98" s="174">
        <f t="shared" si="39"/>
        <v>159.09408225231522</v>
      </c>
      <c r="AI98" s="174">
        <f t="shared" si="39"/>
        <v>12.510263573849503</v>
      </c>
      <c r="AJ98" s="174">
        <f t="shared" si="39"/>
        <v>17.816442484248245</v>
      </c>
      <c r="AK98" s="174">
        <f t="shared" si="39"/>
        <v>181.75535107085125</v>
      </c>
      <c r="AL98" s="174">
        <f t="shared" si="39"/>
        <v>196.44894599213421</v>
      </c>
      <c r="AM98" s="174">
        <f t="shared" si="39"/>
        <v>205.1022984200487</v>
      </c>
      <c r="AN98" s="174">
        <f t="shared" si="39"/>
        <v>257.25098777137862</v>
      </c>
      <c r="AO98" s="174">
        <f t="shared" si="39"/>
        <v>186.84711037518136</v>
      </c>
      <c r="AP98" s="174">
        <f t="shared" si="39"/>
        <v>269.47612705054553</v>
      </c>
      <c r="AQ98" s="174">
        <f t="shared" si="39"/>
        <v>241.43150009977631</v>
      </c>
      <c r="AR98" s="174">
        <f t="shared" si="39"/>
        <v>237.99934955497679</v>
      </c>
      <c r="AS98" s="174">
        <f t="shared" si="39"/>
        <v>364.39338142591401</v>
      </c>
      <c r="AT98" s="174">
        <f t="shared" si="39"/>
        <v>488.23286282882418</v>
      </c>
      <c r="AU98" s="174">
        <f t="shared" si="39"/>
        <v>294.683930370513</v>
      </c>
      <c r="AV98" s="174">
        <f t="shared" si="39"/>
        <v>199.00108151890799</v>
      </c>
      <c r="AW98" s="174">
        <f t="shared" si="39"/>
        <v>326.93397868356863</v>
      </c>
      <c r="AX98" s="174">
        <f t="shared" si="39"/>
        <v>271.23792425033844</v>
      </c>
      <c r="AY98" s="174">
        <f t="shared" si="39"/>
        <v>393.93170251992791</v>
      </c>
    </row>
    <row r="99" spans="1:51" x14ac:dyDescent="0.2">
      <c r="A99" s="19" t="s">
        <v>172</v>
      </c>
      <c r="B99" s="136"/>
      <c r="C99" s="136"/>
      <c r="D99" s="136"/>
      <c r="E99" s="136"/>
      <c r="F99" s="136"/>
      <c r="G99" s="136"/>
      <c r="H99" s="136"/>
      <c r="I99" s="136"/>
      <c r="J99" s="136"/>
      <c r="K99" s="136"/>
      <c r="L99" s="129"/>
      <c r="M99" s="172">
        <f>('Monthly Data'!U481)*42/1000</f>
        <v>0</v>
      </c>
      <c r="N99" s="172">
        <f>('Monthly Data'!U493)*42/1000</f>
        <v>27.93</v>
      </c>
      <c r="O99" s="172">
        <f>('Monthly Data'!U505)*42/1000</f>
        <v>9.3239999999999998</v>
      </c>
      <c r="P99" s="172">
        <f>('Monthly Data'!U517)*42/1000</f>
        <v>27.594000000000001</v>
      </c>
      <c r="Q99" s="172">
        <f>('Monthly Data'!U529)*42/1000</f>
        <v>38.387999999999998</v>
      </c>
      <c r="R99" s="172">
        <f>('Monthly Data'!U541)*42/1000</f>
        <v>37.002000000000002</v>
      </c>
      <c r="S99" s="172">
        <f>('Monthly Data'!U553)*42/1000</f>
        <v>60.27</v>
      </c>
      <c r="T99" s="172">
        <f>('Monthly Data'!U565)*42/1000</f>
        <v>74.382000000000005</v>
      </c>
      <c r="U99" s="172">
        <f>('Monthly Data'!U577)*42/1000</f>
        <v>58.253999999999998</v>
      </c>
      <c r="V99" s="172">
        <f>('Monthly Data'!U589)*42/1000</f>
        <v>88.477326000000005</v>
      </c>
      <c r="W99" s="172">
        <f>('Monthly Data'!U601)*42/1000</f>
        <v>129.66567599999999</v>
      </c>
      <c r="X99" s="172">
        <f>('Monthly Data'!U613)*42/1000</f>
        <v>209.69655</v>
      </c>
      <c r="Y99" s="173">
        <f>AVERAGE(Y89:Y98)</f>
        <v>261.64518660000005</v>
      </c>
      <c r="Z99" s="174">
        <f t="shared" si="40"/>
        <v>179.64053887328348</v>
      </c>
      <c r="AA99" s="174">
        <f t="shared" si="40"/>
        <v>235.81580159972333</v>
      </c>
      <c r="AB99" s="174">
        <f t="shared" si="39"/>
        <v>182.82938035021371</v>
      </c>
      <c r="AC99" s="174">
        <f t="shared" si="39"/>
        <v>161.13301915741138</v>
      </c>
      <c r="AD99" s="174">
        <f t="shared" si="39"/>
        <v>131.49497364364768</v>
      </c>
      <c r="AE99" s="174">
        <f t="shared" si="39"/>
        <v>163.42896107306498</v>
      </c>
      <c r="AF99" s="174">
        <f t="shared" si="39"/>
        <v>318.3669147205805</v>
      </c>
      <c r="AG99" s="174">
        <f t="shared" si="39"/>
        <v>304.45292787744211</v>
      </c>
      <c r="AH99" s="174">
        <f t="shared" si="39"/>
        <v>257.04275367558142</v>
      </c>
      <c r="AI99" s="174">
        <f t="shared" si="39"/>
        <v>95.990881625574673</v>
      </c>
      <c r="AJ99" s="174">
        <f t="shared" si="39"/>
        <v>126.80438629366162</v>
      </c>
      <c r="AK99" s="174">
        <f t="shared" si="39"/>
        <v>313.00779864456928</v>
      </c>
      <c r="AL99" s="174">
        <f t="shared" si="39"/>
        <v>328.97223773997791</v>
      </c>
      <c r="AM99" s="174">
        <f t="shared" si="39"/>
        <v>354.06924213321344</v>
      </c>
      <c r="AN99" s="174">
        <f t="shared" si="39"/>
        <v>407.33939278020847</v>
      </c>
      <c r="AO99" s="174">
        <f t="shared" si="39"/>
        <v>302.45179454811836</v>
      </c>
      <c r="AP99" s="174">
        <f t="shared" si="39"/>
        <v>416.23337452931639</v>
      </c>
      <c r="AQ99" s="174">
        <f t="shared" si="39"/>
        <v>380.11684273611189</v>
      </c>
      <c r="AR99" s="174">
        <f t="shared" si="39"/>
        <v>396.36501160300287</v>
      </c>
      <c r="AS99" s="174">
        <f t="shared" si="39"/>
        <v>535.47117619889605</v>
      </c>
      <c r="AT99" s="174">
        <f t="shared" si="39"/>
        <v>655.19828006076659</v>
      </c>
      <c r="AU99" s="174">
        <f t="shared" si="39"/>
        <v>421.76788171789059</v>
      </c>
      <c r="AV99" s="174">
        <f t="shared" si="39"/>
        <v>352.04545851076381</v>
      </c>
      <c r="AW99" s="174">
        <f t="shared" si="39"/>
        <v>503.31285608752336</v>
      </c>
      <c r="AX99" s="174">
        <f t="shared" si="39"/>
        <v>431.66466579570084</v>
      </c>
      <c r="AY99" s="174">
        <f t="shared" si="39"/>
        <v>584.83149293242423</v>
      </c>
    </row>
    <row r="100" spans="1:51" x14ac:dyDescent="0.2">
      <c r="A100" s="19" t="s">
        <v>173</v>
      </c>
      <c r="B100" s="136"/>
      <c r="C100" s="136"/>
      <c r="D100" s="136"/>
      <c r="E100" s="136"/>
      <c r="F100" s="136"/>
      <c r="G100" s="136"/>
      <c r="H100" s="136"/>
      <c r="I100" s="136"/>
      <c r="J100" s="136"/>
      <c r="K100" s="136"/>
      <c r="L100" s="129"/>
      <c r="M100" s="172">
        <f>('Monthly Data'!U482)*42/1000</f>
        <v>3.948</v>
      </c>
      <c r="N100" s="172">
        <f>('Monthly Data'!U494)*42/1000</f>
        <v>29.021999999999998</v>
      </c>
      <c r="O100" s="172">
        <f>('Monthly Data'!U506)*42/1000</f>
        <v>14.7</v>
      </c>
      <c r="P100" s="172">
        <f>('Monthly Data'!U518)*42/1000</f>
        <v>26.628</v>
      </c>
      <c r="Q100" s="172">
        <f>('Monthly Data'!U530)*42/1000</f>
        <v>55.23</v>
      </c>
      <c r="R100" s="172">
        <f>('Monthly Data'!U542)*42/1000</f>
        <v>31.626000000000001</v>
      </c>
      <c r="S100" s="172">
        <f>('Monthly Data'!U554)*42/1000</f>
        <v>72.534000000000006</v>
      </c>
      <c r="T100" s="172">
        <f>('Monthly Data'!U566)*42/1000</f>
        <v>62.622</v>
      </c>
      <c r="U100" s="172">
        <f>('Monthly Data'!U578)*42/1000</f>
        <v>54.054000000000002</v>
      </c>
      <c r="V100" s="172">
        <f>('Monthly Data'!U590)*42/1000</f>
        <v>98.815584000000001</v>
      </c>
      <c r="W100" s="172">
        <f>('Monthly Data'!U602)*42/1000</f>
        <v>143.02927800000001</v>
      </c>
      <c r="X100" s="172">
        <f>('Monthly Data'!U614)*42/1000</f>
        <v>230.06634000000003</v>
      </c>
      <c r="Y100" s="173">
        <f>AVERAGE(Y89:Y99)</f>
        <v>261.64518660000005</v>
      </c>
      <c r="Z100" s="174">
        <f t="shared" si="40"/>
        <v>249.50527445593744</v>
      </c>
      <c r="AA100" s="174">
        <f t="shared" si="40"/>
        <v>291.63029517334741</v>
      </c>
      <c r="AB100" s="174">
        <f t="shared" si="39"/>
        <v>237.81669176755915</v>
      </c>
      <c r="AC100" s="174">
        <f t="shared" si="39"/>
        <v>219.99238485686138</v>
      </c>
      <c r="AD100" s="174">
        <f t="shared" si="39"/>
        <v>192.77397823009886</v>
      </c>
      <c r="AE100" s="174">
        <f t="shared" si="39"/>
        <v>237.78166164310733</v>
      </c>
      <c r="AF100" s="174">
        <f t="shared" si="39"/>
        <v>403.48917690843655</v>
      </c>
      <c r="AG100" s="174">
        <f t="shared" si="39"/>
        <v>384.44827034636592</v>
      </c>
      <c r="AH100" s="174">
        <f t="shared" si="39"/>
        <v>333.51217222374055</v>
      </c>
      <c r="AI100" s="174">
        <f t="shared" si="39"/>
        <v>157.56732065948694</v>
      </c>
      <c r="AJ100" s="174">
        <f t="shared" si="39"/>
        <v>216.84988199104023</v>
      </c>
      <c r="AK100" s="174">
        <f t="shared" si="39"/>
        <v>422.14951810642492</v>
      </c>
      <c r="AL100" s="174">
        <f t="shared" si="39"/>
        <v>430.52290956604975</v>
      </c>
      <c r="AM100" s="174">
        <f t="shared" si="39"/>
        <v>469.53119966962851</v>
      </c>
      <c r="AN100" s="174">
        <f t="shared" si="39"/>
        <v>524.23991361970729</v>
      </c>
      <c r="AO100" s="174">
        <f t="shared" si="39"/>
        <v>385.00292898885414</v>
      </c>
      <c r="AP100" s="174">
        <f t="shared" si="39"/>
        <v>533.90450017787668</v>
      </c>
      <c r="AQ100" s="174">
        <f t="shared" ref="AQ100:AY100" si="41">AQ99+AQ51+AQ35-AQ83-AQ67</f>
        <v>483.713585380501</v>
      </c>
      <c r="AR100" s="174">
        <f t="shared" si="41"/>
        <v>518.29669433478648</v>
      </c>
      <c r="AS100" s="174">
        <f t="shared" si="41"/>
        <v>671.80601069338468</v>
      </c>
      <c r="AT100" s="174">
        <f t="shared" si="41"/>
        <v>786.82535311008633</v>
      </c>
      <c r="AU100" s="174">
        <f t="shared" si="41"/>
        <v>507.12815569683096</v>
      </c>
      <c r="AV100" s="174">
        <f t="shared" si="41"/>
        <v>466.9096754010294</v>
      </c>
      <c r="AW100" s="174">
        <f t="shared" si="41"/>
        <v>644.61861236879497</v>
      </c>
      <c r="AX100" s="174">
        <f t="shared" si="41"/>
        <v>549.89057732023082</v>
      </c>
      <c r="AY100" s="174">
        <f t="shared" si="41"/>
        <v>737.60216583222063</v>
      </c>
    </row>
    <row r="101" spans="1:51" x14ac:dyDescent="0.2">
      <c r="A101" s="178"/>
      <c r="B101" s="178"/>
      <c r="C101" s="178"/>
      <c r="D101" s="178"/>
      <c r="E101" s="178"/>
      <c r="F101" s="178"/>
      <c r="G101" s="178"/>
      <c r="H101" s="178"/>
      <c r="I101" s="178"/>
      <c r="J101" s="178"/>
      <c r="K101" s="178"/>
      <c r="L101" s="178"/>
      <c r="M101" s="178"/>
      <c r="N101" s="178"/>
      <c r="O101" s="178"/>
      <c r="P101" s="178"/>
      <c r="Q101" s="178"/>
      <c r="R101" s="178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  <c r="AE101" s="178"/>
      <c r="AF101" s="178"/>
      <c r="AG101" s="178"/>
      <c r="AH101" s="178"/>
      <c r="AI101" s="178"/>
      <c r="AJ101" s="178"/>
      <c r="AK101" s="178"/>
      <c r="AL101" s="178"/>
      <c r="AM101" s="178"/>
      <c r="AN101" s="178"/>
      <c r="AO101" s="178"/>
      <c r="AP101" s="178"/>
      <c r="AQ101" s="178"/>
      <c r="AR101" s="178"/>
      <c r="AS101" s="178"/>
      <c r="AT101" s="178"/>
      <c r="AU101" s="178"/>
      <c r="AV101" s="178"/>
      <c r="AW101" s="178"/>
      <c r="AX101" s="178"/>
      <c r="AY101" s="178"/>
    </row>
    <row r="102" spans="1:51" ht="12" thickBot="1" x14ac:dyDescent="0.25">
      <c r="A102" s="121" t="s">
        <v>209</v>
      </c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</row>
    <row r="103" spans="1:51" ht="12" thickBot="1" x14ac:dyDescent="0.25">
      <c r="A103" s="122"/>
      <c r="B103" s="122">
        <v>2001</v>
      </c>
      <c r="C103" s="122">
        <v>2002</v>
      </c>
      <c r="D103" s="122">
        <v>2003</v>
      </c>
      <c r="E103" s="122">
        <v>2004</v>
      </c>
      <c r="F103" s="122">
        <v>2005</v>
      </c>
      <c r="G103" s="122">
        <v>2006</v>
      </c>
      <c r="H103" s="122">
        <f t="shared" ref="H103:AY103" si="42">H2</f>
        <v>2007</v>
      </c>
      <c r="I103" s="122">
        <f t="shared" si="42"/>
        <v>2008</v>
      </c>
      <c r="J103" s="122">
        <f t="shared" si="42"/>
        <v>2009</v>
      </c>
      <c r="K103" s="122">
        <f t="shared" si="42"/>
        <v>2010</v>
      </c>
      <c r="L103" s="171">
        <f t="shared" si="42"/>
        <v>2011</v>
      </c>
      <c r="M103" s="171">
        <f t="shared" si="42"/>
        <v>2012</v>
      </c>
      <c r="N103" s="171">
        <f t="shared" si="42"/>
        <v>2013</v>
      </c>
      <c r="O103" s="171">
        <f t="shared" si="42"/>
        <v>2014</v>
      </c>
      <c r="P103" s="171">
        <f t="shared" si="42"/>
        <v>2015</v>
      </c>
      <c r="Q103" s="171">
        <f t="shared" si="42"/>
        <v>2016</v>
      </c>
      <c r="R103" s="171">
        <f t="shared" si="42"/>
        <v>2017</v>
      </c>
      <c r="S103" s="171">
        <f t="shared" si="42"/>
        <v>2018</v>
      </c>
      <c r="T103" s="171">
        <f t="shared" si="42"/>
        <v>2019</v>
      </c>
      <c r="U103" s="171">
        <f t="shared" si="42"/>
        <v>2020</v>
      </c>
      <c r="V103" s="171">
        <f t="shared" si="42"/>
        <v>2021</v>
      </c>
      <c r="W103" s="171">
        <f t="shared" si="42"/>
        <v>2022</v>
      </c>
      <c r="X103" s="171">
        <f t="shared" si="42"/>
        <v>2023</v>
      </c>
      <c r="Y103" s="171">
        <f t="shared" si="42"/>
        <v>2024</v>
      </c>
      <c r="Z103" s="171">
        <f t="shared" si="42"/>
        <v>2025</v>
      </c>
      <c r="AA103" s="171">
        <f t="shared" si="42"/>
        <v>2026</v>
      </c>
      <c r="AB103" s="171">
        <f t="shared" si="42"/>
        <v>2027</v>
      </c>
      <c r="AC103" s="171">
        <f t="shared" si="42"/>
        <v>2028</v>
      </c>
      <c r="AD103" s="171">
        <f t="shared" si="42"/>
        <v>2029</v>
      </c>
      <c r="AE103" s="171">
        <f t="shared" si="42"/>
        <v>2030</v>
      </c>
      <c r="AF103" s="171">
        <f t="shared" si="42"/>
        <v>2031</v>
      </c>
      <c r="AG103" s="171">
        <f t="shared" si="42"/>
        <v>2032</v>
      </c>
      <c r="AH103" s="171">
        <f t="shared" si="42"/>
        <v>2033</v>
      </c>
      <c r="AI103" s="171">
        <f t="shared" si="42"/>
        <v>2034</v>
      </c>
      <c r="AJ103" s="171">
        <f t="shared" si="42"/>
        <v>2035</v>
      </c>
      <c r="AK103" s="171">
        <f t="shared" si="42"/>
        <v>2036</v>
      </c>
      <c r="AL103" s="171">
        <f t="shared" si="42"/>
        <v>2037</v>
      </c>
      <c r="AM103" s="171">
        <f t="shared" si="42"/>
        <v>2038</v>
      </c>
      <c r="AN103" s="171">
        <f t="shared" si="42"/>
        <v>2039</v>
      </c>
      <c r="AO103" s="171">
        <f t="shared" si="42"/>
        <v>2040</v>
      </c>
      <c r="AP103" s="171">
        <f t="shared" si="42"/>
        <v>2041</v>
      </c>
      <c r="AQ103" s="171">
        <f t="shared" si="42"/>
        <v>2042</v>
      </c>
      <c r="AR103" s="171">
        <f t="shared" si="42"/>
        <v>2043</v>
      </c>
      <c r="AS103" s="171">
        <f t="shared" si="42"/>
        <v>2044</v>
      </c>
      <c r="AT103" s="171">
        <f t="shared" si="42"/>
        <v>2045</v>
      </c>
      <c r="AU103" s="171">
        <f t="shared" si="42"/>
        <v>2046</v>
      </c>
      <c r="AV103" s="171">
        <f t="shared" si="42"/>
        <v>2047</v>
      </c>
      <c r="AW103" s="171">
        <f t="shared" si="42"/>
        <v>2048</v>
      </c>
      <c r="AX103" s="171">
        <f t="shared" si="42"/>
        <v>2049</v>
      </c>
      <c r="AY103" s="171">
        <f t="shared" si="42"/>
        <v>2050</v>
      </c>
    </row>
    <row r="104" spans="1:51" x14ac:dyDescent="0.2">
      <c r="A104" s="19" t="s">
        <v>162</v>
      </c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179">
        <f>'Monthly Data'!X459</f>
        <v>4.4279999999999999</v>
      </c>
      <c r="M104" s="179">
        <f>'Monthly Data'!X471</f>
        <v>4.2169999999999996</v>
      </c>
      <c r="N104" s="179">
        <f>'Monthly Data'!X483</f>
        <v>1.909</v>
      </c>
      <c r="O104" s="179">
        <f>'Monthly Data'!X495</f>
        <v>22.425000000000001</v>
      </c>
      <c r="P104" s="179">
        <f>'Monthly Data'!X507</f>
        <v>20.907</v>
      </c>
      <c r="Q104" s="179">
        <f>'Monthly Data'!X519</f>
        <v>15.916</v>
      </c>
      <c r="R104" s="179">
        <f>'Monthly Data'!X531</f>
        <v>42.290999999999997</v>
      </c>
      <c r="S104" s="179">
        <f>'Monthly Data'!X543</f>
        <v>19.728999999999999</v>
      </c>
      <c r="T104" s="179">
        <f>'Monthly Data'!X555</f>
        <v>49.296999999999997</v>
      </c>
      <c r="U104" s="179">
        <f>'Monthly Data'!X567</f>
        <v>57.901000000000003</v>
      </c>
      <c r="V104" s="179">
        <f>'Monthly Data'!X579</f>
        <v>73.936000000000007</v>
      </c>
      <c r="W104" s="179">
        <f>'Monthly Data'!X591</f>
        <v>122.113</v>
      </c>
      <c r="X104" s="179">
        <f>'Monthly Data'!X603</f>
        <v>187.95599999999999</v>
      </c>
      <c r="Y104" s="179">
        <f>'Monthly Data'!$X615</f>
        <v>235.30600000000001</v>
      </c>
      <c r="Z104" s="179">
        <f>'Monthly Data'!$X627</f>
        <v>189.98</v>
      </c>
      <c r="AA104" s="180">
        <f t="shared" ref="AA104:AA114" si="43">AA$116*(SUM(V104:Z104)/SUM(V$116:Z$116))</f>
        <v>185.86695300512156</v>
      </c>
      <c r="AB104" s="180">
        <f t="shared" ref="AB104:AB114" si="44">AB$116*(SUM(W104:AA104)/SUM(W$116:AA$116))</f>
        <v>211.30114936749931</v>
      </c>
      <c r="AC104" s="180">
        <f t="shared" ref="AC104:AF114" si="45">AC$116*(SUM(X104:AB104)/SUM(X$116:AB$116))</f>
        <v>210.25141482851103</v>
      </c>
      <c r="AD104" s="180">
        <f t="shared" si="45"/>
        <v>211.60023398929755</v>
      </c>
      <c r="AE104" s="180">
        <f t="shared" si="45"/>
        <v>216.21423239794908</v>
      </c>
      <c r="AF104" s="180">
        <f>AF$116*(SUM(AA104:AE104)/SUM(AA$116:AE$116))</f>
        <v>224.75474643695051</v>
      </c>
      <c r="AG104" s="180">
        <f t="shared" ref="AG104:AG114" si="46">AG$116*(SUM(AB104:AF104)/SUM(AB$116:AF$116))</f>
        <v>279.61265306557772</v>
      </c>
      <c r="AH104" s="180">
        <f t="shared" ref="AH104:AJ114" si="47">AH$116*(SUM(AC104:AG104)/SUM(AC$116:AG$116))</f>
        <v>279.64038513104299</v>
      </c>
      <c r="AI104" s="180">
        <f t="shared" si="47"/>
        <v>279.91387206678058</v>
      </c>
      <c r="AJ104" s="180">
        <f t="shared" si="47"/>
        <v>279.92304774949514</v>
      </c>
      <c r="AK104" s="180">
        <f t="shared" ref="AK104:AY114" si="48">AK$116*(SUM(AF104:AJ104)/SUM(AF$116:AJ$116))</f>
        <v>286.50496237001818</v>
      </c>
      <c r="AL104" s="180">
        <f t="shared" si="48"/>
        <v>341.16381562692112</v>
      </c>
      <c r="AM104" s="180">
        <f t="shared" si="48"/>
        <v>375.3164398229498</v>
      </c>
      <c r="AN104" s="180">
        <f t="shared" si="48"/>
        <v>375.35029506545442</v>
      </c>
      <c r="AO104" s="180">
        <f t="shared" si="48"/>
        <v>341.20546515120134</v>
      </c>
      <c r="AP104" s="180">
        <f t="shared" si="48"/>
        <v>341.17876548344145</v>
      </c>
      <c r="AQ104" s="180">
        <f t="shared" si="48"/>
        <v>375.31466524326243</v>
      </c>
      <c r="AR104" s="180">
        <f t="shared" si="48"/>
        <v>402.6172536423104</v>
      </c>
      <c r="AS104" s="180">
        <f t="shared" si="48"/>
        <v>402.61829081990516</v>
      </c>
      <c r="AT104" s="180">
        <f t="shared" si="48"/>
        <v>402.612205055191</v>
      </c>
      <c r="AU104" s="180">
        <f t="shared" si="48"/>
        <v>409.4342936689597</v>
      </c>
      <c r="AV104" s="180">
        <f t="shared" si="48"/>
        <v>409.43767981430727</v>
      </c>
      <c r="AW104" s="180">
        <f t="shared" si="48"/>
        <v>409.43832787892393</v>
      </c>
      <c r="AX104" s="180">
        <f t="shared" si="48"/>
        <v>443.55755644437482</v>
      </c>
      <c r="AY104" s="180">
        <f t="shared" si="48"/>
        <v>443.55659238820459</v>
      </c>
    </row>
    <row r="105" spans="1:51" x14ac:dyDescent="0.2">
      <c r="A105" s="19" t="s">
        <v>163</v>
      </c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179">
        <f>'Monthly Data'!X460</f>
        <v>0.96199999999999997</v>
      </c>
      <c r="M105" s="179">
        <f>'Monthly Data'!X472</f>
        <v>3.1890000000000001</v>
      </c>
      <c r="N105" s="179">
        <f>'Monthly Data'!X484</f>
        <v>11.331</v>
      </c>
      <c r="O105" s="179">
        <f>'Monthly Data'!X496</f>
        <v>19.684999999999999</v>
      </c>
      <c r="P105" s="179">
        <f>'Monthly Data'!X508</f>
        <v>22.721</v>
      </c>
      <c r="Q105" s="179">
        <f>'Monthly Data'!X520</f>
        <v>23.440999999999999</v>
      </c>
      <c r="R105" s="179">
        <f>'Monthly Data'!X532</f>
        <v>31.879000000000001</v>
      </c>
      <c r="S105" s="179">
        <f>'Monthly Data'!X544</f>
        <v>40.085000000000001</v>
      </c>
      <c r="T105" s="179">
        <f>'Monthly Data'!X556</f>
        <v>47.398000000000003</v>
      </c>
      <c r="U105" s="179">
        <f>'Monthly Data'!X568</f>
        <v>68.254999999999995</v>
      </c>
      <c r="V105" s="179">
        <f>'Monthly Data'!X580</f>
        <v>73.230999999999995</v>
      </c>
      <c r="W105" s="179">
        <f>'Monthly Data'!X592</f>
        <v>110.04900000000001</v>
      </c>
      <c r="X105" s="179">
        <f>'Monthly Data'!X604</f>
        <v>180.16499999999999</v>
      </c>
      <c r="Y105" s="179">
        <f>'Monthly Data'!X616</f>
        <v>281.911</v>
      </c>
      <c r="Z105" s="180">
        <f t="shared" ref="Z105:Z114" si="49">Z$116*(SUM(U105:Y105)/SUM(U$116:Y$116))</f>
        <v>186.39325429845272</v>
      </c>
      <c r="AA105" s="180">
        <f t="shared" si="43"/>
        <v>191.0248594890285</v>
      </c>
      <c r="AB105" s="180">
        <f t="shared" si="44"/>
        <v>217.79718846558302</v>
      </c>
      <c r="AC105" s="180">
        <f t="shared" si="45"/>
        <v>220.00669991579971</v>
      </c>
      <c r="AD105" s="180">
        <f t="shared" si="45"/>
        <v>224.80135538105915</v>
      </c>
      <c r="AE105" s="180">
        <f t="shared" si="45"/>
        <v>222.86214804641202</v>
      </c>
      <c r="AF105" s="180">
        <f t="shared" si="45"/>
        <v>233.71213350546128</v>
      </c>
      <c r="AG105" s="180">
        <f t="shared" si="46"/>
        <v>291.34197166912327</v>
      </c>
      <c r="AH105" s="180">
        <f t="shared" si="47"/>
        <v>291.95042775660932</v>
      </c>
      <c r="AI105" s="180">
        <f t="shared" si="47"/>
        <v>292.12050417298747</v>
      </c>
      <c r="AJ105" s="180">
        <f t="shared" si="47"/>
        <v>291.26119781959648</v>
      </c>
      <c r="AK105" s="180">
        <f t="shared" si="48"/>
        <v>298.55950186192223</v>
      </c>
      <c r="AL105" s="180">
        <f t="shared" si="48"/>
        <v>355.63922409714536</v>
      </c>
      <c r="AM105" s="180">
        <f t="shared" si="48"/>
        <v>391.27533518118304</v>
      </c>
      <c r="AN105" s="180">
        <f t="shared" si="48"/>
        <v>391.2098994423838</v>
      </c>
      <c r="AO105" s="180">
        <f t="shared" si="48"/>
        <v>355.54427127617907</v>
      </c>
      <c r="AP105" s="180">
        <f t="shared" si="48"/>
        <v>355.60083965452645</v>
      </c>
      <c r="AQ105" s="180">
        <f t="shared" si="48"/>
        <v>391.19163973395371</v>
      </c>
      <c r="AR105" s="180">
        <f t="shared" si="48"/>
        <v>419.63961181888806</v>
      </c>
      <c r="AS105" s="180">
        <f t="shared" si="48"/>
        <v>419.62077863802932</v>
      </c>
      <c r="AT105" s="180">
        <f t="shared" si="48"/>
        <v>419.6125689603407</v>
      </c>
      <c r="AU105" s="180">
        <f t="shared" si="48"/>
        <v>426.73732740547626</v>
      </c>
      <c r="AV105" s="180">
        <f t="shared" si="48"/>
        <v>426.74012189520982</v>
      </c>
      <c r="AW105" s="180">
        <f t="shared" si="48"/>
        <v>426.73745630665536</v>
      </c>
      <c r="AX105" s="180">
        <f t="shared" si="48"/>
        <v>462.29575992742036</v>
      </c>
      <c r="AY105" s="180">
        <f t="shared" si="48"/>
        <v>462.29608632296595</v>
      </c>
    </row>
    <row r="106" spans="1:51" x14ac:dyDescent="0.2">
      <c r="A106" s="19" t="s">
        <v>164</v>
      </c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179">
        <f>'Monthly Data'!X461</f>
        <v>3.1509999999999998</v>
      </c>
      <c r="M106" s="179">
        <f>'Monthly Data'!X473</f>
        <v>5.3540000000000001</v>
      </c>
      <c r="N106" s="179">
        <f>'Monthly Data'!X485</f>
        <v>8.51</v>
      </c>
      <c r="O106" s="179">
        <f>'Monthly Data'!X497</f>
        <v>27.343</v>
      </c>
      <c r="P106" s="179">
        <f>'Monthly Data'!X509</f>
        <v>27.827999999999999</v>
      </c>
      <c r="Q106" s="179">
        <f>'Monthly Data'!X521</f>
        <v>39.177</v>
      </c>
      <c r="R106" s="179">
        <f>'Monthly Data'!X533</f>
        <v>38.872999999999998</v>
      </c>
      <c r="S106" s="179">
        <f>'Monthly Data'!X545</f>
        <v>24.312000000000001</v>
      </c>
      <c r="T106" s="179">
        <f>'Monthly Data'!X557</f>
        <v>57.033999999999999</v>
      </c>
      <c r="U106" s="179">
        <f>'Monthly Data'!X569</f>
        <v>62.405000000000001</v>
      </c>
      <c r="V106" s="179">
        <f>'Monthly Data'!X581</f>
        <v>94.951999999999998</v>
      </c>
      <c r="W106" s="179">
        <f>'Monthly Data'!X593</f>
        <v>134.13499999999999</v>
      </c>
      <c r="X106" s="179">
        <f>'Monthly Data'!X605</f>
        <v>217.25899999999999</v>
      </c>
      <c r="Y106" s="179">
        <f>'Monthly Data'!X617</f>
        <v>295.30500000000001</v>
      </c>
      <c r="Z106" s="180">
        <f t="shared" si="49"/>
        <v>210.01724255679454</v>
      </c>
      <c r="AA106" s="180">
        <f t="shared" si="43"/>
        <v>218.5662221818485</v>
      </c>
      <c r="AB106" s="180">
        <f t="shared" si="44"/>
        <v>246.63808754536888</v>
      </c>
      <c r="AC106" s="180">
        <f t="shared" si="45"/>
        <v>247.16062546698555</v>
      </c>
      <c r="AD106" s="180">
        <f t="shared" si="45"/>
        <v>249.50277445617198</v>
      </c>
      <c r="AE106" s="180">
        <f t="shared" si="45"/>
        <v>251.11820404439334</v>
      </c>
      <c r="AF106" s="180">
        <f t="shared" si="45"/>
        <v>263.34562599952199</v>
      </c>
      <c r="AG106" s="180">
        <f t="shared" si="46"/>
        <v>327.41827313022287</v>
      </c>
      <c r="AH106" s="180">
        <f t="shared" si="47"/>
        <v>327.64397389247227</v>
      </c>
      <c r="AI106" s="180">
        <f t="shared" si="47"/>
        <v>327.77567837991046</v>
      </c>
      <c r="AJ106" s="180">
        <f t="shared" si="47"/>
        <v>327.4099838576393</v>
      </c>
      <c r="AK106" s="180">
        <f t="shared" si="48"/>
        <v>335.48694660360525</v>
      </c>
      <c r="AL106" s="180">
        <f t="shared" si="48"/>
        <v>399.45020773394424</v>
      </c>
      <c r="AM106" s="180">
        <f t="shared" si="48"/>
        <v>439.42871384054172</v>
      </c>
      <c r="AN106" s="180">
        <f t="shared" si="48"/>
        <v>439.4119396194771</v>
      </c>
      <c r="AO106" s="180">
        <f t="shared" si="48"/>
        <v>399.4213563076558</v>
      </c>
      <c r="AP106" s="180">
        <f t="shared" si="48"/>
        <v>399.44427859230638</v>
      </c>
      <c r="AQ106" s="180">
        <f t="shared" si="48"/>
        <v>439.39848955833031</v>
      </c>
      <c r="AR106" s="180">
        <f t="shared" si="48"/>
        <v>471.35540338558616</v>
      </c>
      <c r="AS106" s="180">
        <f t="shared" si="48"/>
        <v>471.34890922058707</v>
      </c>
      <c r="AT106" s="180">
        <f t="shared" si="48"/>
        <v>471.3448270578881</v>
      </c>
      <c r="AU106" s="180">
        <f t="shared" si="48"/>
        <v>479.33870379036136</v>
      </c>
      <c r="AV106" s="180">
        <f t="shared" si="48"/>
        <v>479.33965746837379</v>
      </c>
      <c r="AW106" s="180">
        <f t="shared" si="48"/>
        <v>479.33888907531247</v>
      </c>
      <c r="AX106" s="180">
        <f t="shared" si="48"/>
        <v>519.2825977510538</v>
      </c>
      <c r="AY106" s="180">
        <f t="shared" si="48"/>
        <v>519.28257856675759</v>
      </c>
    </row>
    <row r="107" spans="1:51" x14ac:dyDescent="0.2">
      <c r="A107" s="19" t="s">
        <v>165</v>
      </c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179">
        <f>'Monthly Data'!X462</f>
        <v>1.9670000000000001</v>
      </c>
      <c r="M107" s="179">
        <f>'Monthly Data'!X474</f>
        <v>5.5259999999999998</v>
      </c>
      <c r="N107" s="179">
        <f>'Monthly Data'!X486</f>
        <v>8.73</v>
      </c>
      <c r="O107" s="179">
        <f>'Monthly Data'!X498</f>
        <v>33.5</v>
      </c>
      <c r="P107" s="179">
        <f>'Monthly Data'!X510</f>
        <v>29.635000000000002</v>
      </c>
      <c r="Q107" s="179">
        <f>'Monthly Data'!X522</f>
        <v>27.763000000000002</v>
      </c>
      <c r="R107" s="179">
        <f>'Monthly Data'!X534</f>
        <v>36.152999999999999</v>
      </c>
      <c r="S107" s="179">
        <f>'Monthly Data'!X546</f>
        <v>33.814999999999998</v>
      </c>
      <c r="T107" s="179">
        <f>'Monthly Data'!X558</f>
        <v>58.381</v>
      </c>
      <c r="U107" s="179">
        <f>'Monthly Data'!X570</f>
        <v>61.234999999999999</v>
      </c>
      <c r="V107" s="179">
        <f>'Monthly Data'!X582</f>
        <v>97.576999999999998</v>
      </c>
      <c r="W107" s="179">
        <f>'Monthly Data'!X594</f>
        <v>128.613</v>
      </c>
      <c r="X107" s="179">
        <f>'Monthly Data'!X606</f>
        <v>213.91200000000001</v>
      </c>
      <c r="Y107" s="179">
        <f>'Monthly Data'!X618</f>
        <v>286.39400000000001</v>
      </c>
      <c r="Z107" s="180">
        <f t="shared" si="49"/>
        <v>205.75319691228759</v>
      </c>
      <c r="AA107" s="180">
        <f t="shared" si="43"/>
        <v>214.10631981766562</v>
      </c>
      <c r="AB107" s="180">
        <f t="shared" si="44"/>
        <v>240.55886346832219</v>
      </c>
      <c r="AC107" s="180">
        <f t="shared" si="45"/>
        <v>241.52959534903286</v>
      </c>
      <c r="AD107" s="180">
        <f t="shared" si="45"/>
        <v>243.48997453466779</v>
      </c>
      <c r="AE107" s="180">
        <f t="shared" si="45"/>
        <v>245.45098930328049</v>
      </c>
      <c r="AF107" s="180">
        <f t="shared" si="45"/>
        <v>257.2992072474209</v>
      </c>
      <c r="AG107" s="180">
        <f t="shared" si="46"/>
        <v>319.7553893715027</v>
      </c>
      <c r="AH107" s="180">
        <f t="shared" si="47"/>
        <v>320.0509336599527</v>
      </c>
      <c r="AI107" s="180">
        <f t="shared" si="47"/>
        <v>320.15721835937927</v>
      </c>
      <c r="AJ107" s="180">
        <f t="shared" si="47"/>
        <v>319.84673736321599</v>
      </c>
      <c r="AK107" s="180">
        <f t="shared" si="48"/>
        <v>327.70862138102456</v>
      </c>
      <c r="AL107" s="180">
        <f t="shared" si="48"/>
        <v>390.1744903240475</v>
      </c>
      <c r="AM107" s="180">
        <f t="shared" si="48"/>
        <v>429.23995376660048</v>
      </c>
      <c r="AN107" s="180">
        <f t="shared" si="48"/>
        <v>429.22264701172367</v>
      </c>
      <c r="AO107" s="180">
        <f t="shared" si="48"/>
        <v>390.16305552399416</v>
      </c>
      <c r="AP107" s="180">
        <f t="shared" si="48"/>
        <v>390.18031111257739</v>
      </c>
      <c r="AQ107" s="180">
        <f t="shared" si="48"/>
        <v>429.20740452169946</v>
      </c>
      <c r="AR107" s="180">
        <f t="shared" si="48"/>
        <v>460.42561865758148</v>
      </c>
      <c r="AS107" s="180">
        <f t="shared" si="48"/>
        <v>460.41911960158728</v>
      </c>
      <c r="AT107" s="180">
        <f t="shared" si="48"/>
        <v>460.41514672391554</v>
      </c>
      <c r="AU107" s="180">
        <f t="shared" si="48"/>
        <v>468.22289374837476</v>
      </c>
      <c r="AV107" s="180">
        <f t="shared" si="48"/>
        <v>468.22401025749826</v>
      </c>
      <c r="AW107" s="180">
        <f t="shared" si="48"/>
        <v>468.22359373514291</v>
      </c>
      <c r="AX107" s="180">
        <f t="shared" si="48"/>
        <v>507.24097202793212</v>
      </c>
      <c r="AY107" s="180">
        <f t="shared" si="48"/>
        <v>507.24088839485569</v>
      </c>
    </row>
    <row r="108" spans="1:51" x14ac:dyDescent="0.2">
      <c r="A108" s="19" t="s">
        <v>166</v>
      </c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179">
        <f>'Monthly Data'!X463</f>
        <v>7.5259999999999998</v>
      </c>
      <c r="M108" s="179">
        <f>'Monthly Data'!X475</f>
        <v>6.4960000000000004</v>
      </c>
      <c r="N108" s="179">
        <f>'Monthly Data'!X487</f>
        <v>6.2359999999999998</v>
      </c>
      <c r="O108" s="179">
        <f>'Monthly Data'!X499</f>
        <v>32.640999999999998</v>
      </c>
      <c r="P108" s="179">
        <f>'Monthly Data'!X511</f>
        <v>27.920999999999999</v>
      </c>
      <c r="Q108" s="179">
        <f>'Monthly Data'!X523</f>
        <v>39.908999999999999</v>
      </c>
      <c r="R108" s="179">
        <f>'Monthly Data'!X535</f>
        <v>47.198999999999998</v>
      </c>
      <c r="S108" s="179">
        <f>'Monthly Data'!X547</f>
        <v>60.442</v>
      </c>
      <c r="T108" s="179">
        <f>'Monthly Data'!X559</f>
        <v>73.016999999999996</v>
      </c>
      <c r="U108" s="179">
        <f>'Monthly Data'!X571</f>
        <v>59.902999999999999</v>
      </c>
      <c r="V108" s="179">
        <f>'Monthly Data'!X583</f>
        <v>109.43</v>
      </c>
      <c r="W108" s="179">
        <f>'Monthly Data'!X595</f>
        <v>136.75800000000001</v>
      </c>
      <c r="X108" s="179">
        <f>'Monthly Data'!X607</f>
        <v>290.755</v>
      </c>
      <c r="Y108" s="179">
        <f>'Monthly Data'!X619</f>
        <v>290.67899999999997</v>
      </c>
      <c r="Z108" s="180">
        <f t="shared" si="49"/>
        <v>231.81911856912834</v>
      </c>
      <c r="AA108" s="180">
        <f t="shared" si="43"/>
        <v>243.31803096387031</v>
      </c>
      <c r="AB108" s="180">
        <f t="shared" si="44"/>
        <v>273.71451586397569</v>
      </c>
      <c r="AC108" s="180">
        <f t="shared" si="45"/>
        <v>276.81279375476282</v>
      </c>
      <c r="AD108" s="180">
        <f t="shared" si="45"/>
        <v>269.71733889995306</v>
      </c>
      <c r="AE108" s="180">
        <f t="shared" si="45"/>
        <v>277.58181386821929</v>
      </c>
      <c r="AF108" s="180">
        <f t="shared" si="45"/>
        <v>291.16952816168271</v>
      </c>
      <c r="AG108" s="180">
        <f t="shared" si="46"/>
        <v>361.57990865074487</v>
      </c>
      <c r="AH108" s="180">
        <f t="shared" si="47"/>
        <v>361.50039830895435</v>
      </c>
      <c r="AI108" s="180">
        <f t="shared" si="47"/>
        <v>360.69582255477047</v>
      </c>
      <c r="AJ108" s="180">
        <f t="shared" si="47"/>
        <v>361.35267377770265</v>
      </c>
      <c r="AK108" s="180">
        <f t="shared" si="48"/>
        <v>370.17527878711638</v>
      </c>
      <c r="AL108" s="180">
        <f t="shared" si="48"/>
        <v>440.60778691244883</v>
      </c>
      <c r="AM108" s="180">
        <f t="shared" si="48"/>
        <v>484.59654799420753</v>
      </c>
      <c r="AN108" s="180">
        <f t="shared" si="48"/>
        <v>484.53513559582325</v>
      </c>
      <c r="AO108" s="180">
        <f t="shared" si="48"/>
        <v>440.59000474635769</v>
      </c>
      <c r="AP108" s="180">
        <f t="shared" si="48"/>
        <v>440.57634008649876</v>
      </c>
      <c r="AQ108" s="180">
        <f t="shared" si="48"/>
        <v>484.61469170555182</v>
      </c>
      <c r="AR108" s="180">
        <f t="shared" si="48"/>
        <v>519.84849240595429</v>
      </c>
      <c r="AS108" s="180">
        <f t="shared" si="48"/>
        <v>519.85024240844211</v>
      </c>
      <c r="AT108" s="180">
        <f t="shared" si="48"/>
        <v>519.86559161104572</v>
      </c>
      <c r="AU108" s="180">
        <f t="shared" si="48"/>
        <v>528.67135281223261</v>
      </c>
      <c r="AV108" s="180">
        <f t="shared" si="48"/>
        <v>528.667884440389</v>
      </c>
      <c r="AW108" s="180">
        <f t="shared" si="48"/>
        <v>528.66738660162912</v>
      </c>
      <c r="AX108" s="180">
        <f t="shared" si="48"/>
        <v>572.72469718722505</v>
      </c>
      <c r="AY108" s="180">
        <f t="shared" si="48"/>
        <v>572.72631356057207</v>
      </c>
    </row>
    <row r="109" spans="1:51" x14ac:dyDescent="0.2">
      <c r="A109" s="19" t="s">
        <v>167</v>
      </c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179">
        <f>'Monthly Data'!X464</f>
        <v>4.5640000000000001</v>
      </c>
      <c r="M109" s="179">
        <f>'Monthly Data'!X476</f>
        <v>6.0289999999999999</v>
      </c>
      <c r="N109" s="179">
        <f>'Monthly Data'!X488</f>
        <v>31.448</v>
      </c>
      <c r="O109" s="179">
        <f>'Monthly Data'!X500</f>
        <v>17.597000000000001</v>
      </c>
      <c r="P109" s="179">
        <f>'Monthly Data'!X512</f>
        <v>29.876000000000001</v>
      </c>
      <c r="Q109" s="179">
        <f>'Monthly Data'!X524</f>
        <v>46.509</v>
      </c>
      <c r="R109" s="179">
        <f>'Monthly Data'!X536</f>
        <v>40.301000000000002</v>
      </c>
      <c r="S109" s="179">
        <f>'Monthly Data'!X548</f>
        <v>22.673999999999999</v>
      </c>
      <c r="T109" s="179">
        <f>'Monthly Data'!X560</f>
        <v>56.476999999999997</v>
      </c>
      <c r="U109" s="179">
        <f>'Monthly Data'!X572</f>
        <v>87.647999999999996</v>
      </c>
      <c r="V109" s="179">
        <f>'Monthly Data'!X584</f>
        <v>100.874</v>
      </c>
      <c r="W109" s="179">
        <f>'Monthly Data'!X596</f>
        <v>168.66499999999999</v>
      </c>
      <c r="X109" s="179">
        <f>'Monthly Data'!X608</f>
        <v>267.93700000000001</v>
      </c>
      <c r="Y109" s="179">
        <f>'Monthly Data'!X620</f>
        <v>327.83699999999999</v>
      </c>
      <c r="Z109" s="180">
        <f t="shared" si="49"/>
        <v>248.91082397764018</v>
      </c>
      <c r="AA109" s="180">
        <f t="shared" si="43"/>
        <v>255.89977786536471</v>
      </c>
      <c r="AB109" s="180">
        <f t="shared" si="44"/>
        <v>291.12842874487683</v>
      </c>
      <c r="AC109" s="180">
        <f t="shared" si="45"/>
        <v>289.59492094277169</v>
      </c>
      <c r="AD109" s="180">
        <f t="shared" si="45"/>
        <v>289.59816624986132</v>
      </c>
      <c r="AE109" s="180">
        <f t="shared" si="45"/>
        <v>294.6711680958245</v>
      </c>
      <c r="AF109" s="180">
        <f t="shared" si="45"/>
        <v>308.48323185958594</v>
      </c>
      <c r="AG109" s="180">
        <f t="shared" si="46"/>
        <v>383.57150826418871</v>
      </c>
      <c r="AH109" s="180">
        <f t="shared" si="47"/>
        <v>383.29957499642677</v>
      </c>
      <c r="AI109" s="180">
        <f t="shared" si="47"/>
        <v>383.3496880456417</v>
      </c>
      <c r="AJ109" s="180">
        <f t="shared" si="47"/>
        <v>383.40470411588473</v>
      </c>
      <c r="AK109" s="180">
        <f t="shared" si="48"/>
        <v>392.73383607021611</v>
      </c>
      <c r="AL109" s="180">
        <f t="shared" si="48"/>
        <v>467.56293968261122</v>
      </c>
      <c r="AM109" s="180">
        <f t="shared" si="48"/>
        <v>514.27577144229281</v>
      </c>
      <c r="AN109" s="180">
        <f t="shared" si="48"/>
        <v>514.29249635203303</v>
      </c>
      <c r="AO109" s="180">
        <f t="shared" si="48"/>
        <v>467.54521556852626</v>
      </c>
      <c r="AP109" s="180">
        <f t="shared" si="48"/>
        <v>467.54171807850781</v>
      </c>
      <c r="AQ109" s="180">
        <f t="shared" si="48"/>
        <v>514.29614523776308</v>
      </c>
      <c r="AR109" s="180">
        <f t="shared" si="48"/>
        <v>551.69482812855949</v>
      </c>
      <c r="AS109" s="180">
        <f t="shared" si="48"/>
        <v>551.69834125857972</v>
      </c>
      <c r="AT109" s="180">
        <f t="shared" si="48"/>
        <v>551.69889614668216</v>
      </c>
      <c r="AU109" s="180">
        <f t="shared" si="48"/>
        <v>561.0489210319347</v>
      </c>
      <c r="AV109" s="180">
        <f t="shared" si="48"/>
        <v>561.04872571305179</v>
      </c>
      <c r="AW109" s="180">
        <f t="shared" si="48"/>
        <v>561.04842672299151</v>
      </c>
      <c r="AX109" s="180">
        <f t="shared" si="48"/>
        <v>607.80307116362621</v>
      </c>
      <c r="AY109" s="180">
        <f t="shared" si="48"/>
        <v>607.80303503483094</v>
      </c>
    </row>
    <row r="110" spans="1:51" x14ac:dyDescent="0.2">
      <c r="A110" s="19" t="s">
        <v>168</v>
      </c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179">
        <f>'Monthly Data'!X465</f>
        <v>6.4660000000000002</v>
      </c>
      <c r="M110" s="179">
        <f>'Monthly Data'!X477</f>
        <v>6.2789999999999999</v>
      </c>
      <c r="N110" s="179">
        <f>'Monthly Data'!X489</f>
        <v>29.698</v>
      </c>
      <c r="O110" s="179">
        <f>'Monthly Data'!X501</f>
        <v>28.866</v>
      </c>
      <c r="P110" s="179">
        <f>'Monthly Data'!X513</f>
        <v>36.814999999999998</v>
      </c>
      <c r="Q110" s="179">
        <f>'Monthly Data'!X525</f>
        <v>31.196000000000002</v>
      </c>
      <c r="R110" s="179">
        <f>'Monthly Data'!X537</f>
        <v>39.56</v>
      </c>
      <c r="S110" s="179">
        <f>'Monthly Data'!X549</f>
        <v>26.556000000000001</v>
      </c>
      <c r="T110" s="179">
        <f>'Monthly Data'!X561</f>
        <v>69.507999999999996</v>
      </c>
      <c r="U110" s="179">
        <f>'Monthly Data'!X573</f>
        <v>61.216000000000001</v>
      </c>
      <c r="V110" s="179">
        <f>'Monthly Data'!X585</f>
        <v>87.155000000000001</v>
      </c>
      <c r="W110" s="179">
        <f>'Monthly Data'!X597</f>
        <v>137.42400000000001</v>
      </c>
      <c r="X110" s="179">
        <f>'Monthly Data'!X609</f>
        <v>220.54400000000001</v>
      </c>
      <c r="Y110" s="179">
        <f>'Monthly Data'!X621</f>
        <v>371.101</v>
      </c>
      <c r="Z110" s="180">
        <f t="shared" si="49"/>
        <v>229.18494397036253</v>
      </c>
      <c r="AA110" s="180">
        <f t="shared" si="43"/>
        <v>240.09531189655277</v>
      </c>
      <c r="AB110" s="180">
        <f t="shared" si="44"/>
        <v>274.86598021504045</v>
      </c>
      <c r="AC110" s="180">
        <f t="shared" si="45"/>
        <v>277.95842167676949</v>
      </c>
      <c r="AD110" s="180">
        <f t="shared" si="45"/>
        <v>285.4663195524916</v>
      </c>
      <c r="AE110" s="180">
        <f t="shared" si="45"/>
        <v>280.19378085240351</v>
      </c>
      <c r="AF110" s="180">
        <f t="shared" si="45"/>
        <v>294.95482808143095</v>
      </c>
      <c r="AG110" s="180">
        <f t="shared" si="46"/>
        <v>367.94293679684796</v>
      </c>
      <c r="AH110" s="180">
        <f t="shared" si="47"/>
        <v>368.75921053944876</v>
      </c>
      <c r="AI110" s="180">
        <f t="shared" si="47"/>
        <v>368.95774709142285</v>
      </c>
      <c r="AJ110" s="180">
        <f t="shared" si="47"/>
        <v>367.53679273505986</v>
      </c>
      <c r="AK110" s="180">
        <f t="shared" si="48"/>
        <v>376.9663128947048</v>
      </c>
      <c r="AL110" s="180">
        <f t="shared" si="48"/>
        <v>449.06868933434089</v>
      </c>
      <c r="AM110" s="180">
        <f t="shared" si="48"/>
        <v>494.05061112894765</v>
      </c>
      <c r="AN110" s="180">
        <f t="shared" si="48"/>
        <v>493.93846473862959</v>
      </c>
      <c r="AO110" s="180">
        <f t="shared" si="48"/>
        <v>448.88083761968772</v>
      </c>
      <c r="AP110" s="180">
        <f t="shared" si="48"/>
        <v>448.989070578633</v>
      </c>
      <c r="AQ110" s="180">
        <f t="shared" si="48"/>
        <v>493.9270078346658</v>
      </c>
      <c r="AR110" s="180">
        <f t="shared" si="48"/>
        <v>529.83914536654061</v>
      </c>
      <c r="AS110" s="180">
        <f t="shared" si="48"/>
        <v>529.81002617900083</v>
      </c>
      <c r="AT110" s="180">
        <f t="shared" si="48"/>
        <v>529.79970390891265</v>
      </c>
      <c r="AU110" s="180">
        <f t="shared" si="48"/>
        <v>538.80105401441574</v>
      </c>
      <c r="AV110" s="180">
        <f t="shared" si="48"/>
        <v>538.80348026784975</v>
      </c>
      <c r="AW110" s="180">
        <f t="shared" si="48"/>
        <v>538.79866863368068</v>
      </c>
      <c r="AX110" s="180">
        <f t="shared" si="48"/>
        <v>583.69409612500317</v>
      </c>
      <c r="AY110" s="180">
        <f t="shared" si="48"/>
        <v>583.69508286756923</v>
      </c>
    </row>
    <row r="111" spans="1:51" x14ac:dyDescent="0.2">
      <c r="A111" s="19" t="s">
        <v>169</v>
      </c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179">
        <f>'Monthly Data'!X466</f>
        <v>8.4450000000000003</v>
      </c>
      <c r="M111" s="179">
        <f>'Monthly Data'!X478</f>
        <v>5.4809999999999999</v>
      </c>
      <c r="N111" s="179">
        <f>'Monthly Data'!X490</f>
        <v>33.274000000000001</v>
      </c>
      <c r="O111" s="179">
        <f>'Monthly Data'!X502</f>
        <v>19.263000000000002</v>
      </c>
      <c r="P111" s="179">
        <f>'Monthly Data'!X514</f>
        <v>32.026000000000003</v>
      </c>
      <c r="Q111" s="179">
        <f>'Monthly Data'!X526</f>
        <v>39.793999999999997</v>
      </c>
      <c r="R111" s="179">
        <f>'Monthly Data'!X538</f>
        <v>41.514000000000003</v>
      </c>
      <c r="S111" s="179">
        <f>'Monthly Data'!X550</f>
        <v>29.338999999999999</v>
      </c>
      <c r="T111" s="179">
        <f>'Monthly Data'!X562</f>
        <v>62.688000000000002</v>
      </c>
      <c r="U111" s="179">
        <f>'Monthly Data'!X574</f>
        <v>67.641000000000005</v>
      </c>
      <c r="V111" s="179">
        <f>'Monthly Data'!X586</f>
        <v>111.011</v>
      </c>
      <c r="W111" s="179">
        <f>'Monthly Data'!X598</f>
        <v>161.57599999999999</v>
      </c>
      <c r="X111" s="179">
        <f>'Monthly Data'!X610</f>
        <v>285.59300000000002</v>
      </c>
      <c r="Y111" s="179">
        <f>'Monthly Data'!X622</f>
        <v>333.82499999999999</v>
      </c>
      <c r="Z111" s="180">
        <f t="shared" si="49"/>
        <v>250.65692781430351</v>
      </c>
      <c r="AA111" s="180">
        <f t="shared" si="43"/>
        <v>262.43105488359907</v>
      </c>
      <c r="AB111" s="180">
        <f t="shared" si="44"/>
        <v>296.82424461102579</v>
      </c>
      <c r="AC111" s="180">
        <f t="shared" si="45"/>
        <v>297.42250383600538</v>
      </c>
      <c r="AD111" s="180">
        <f t="shared" si="45"/>
        <v>295.29205688055646</v>
      </c>
      <c r="AE111" s="180">
        <f t="shared" si="45"/>
        <v>300.56288314831926</v>
      </c>
      <c r="AF111" s="180">
        <f t="shared" si="45"/>
        <v>315.35250349252431</v>
      </c>
      <c r="AG111" s="180">
        <f t="shared" si="46"/>
        <v>391.89601187749622</v>
      </c>
      <c r="AH111" s="180">
        <f t="shared" si="47"/>
        <v>391.77053330525933</v>
      </c>
      <c r="AI111" s="180">
        <f t="shared" si="47"/>
        <v>391.49201992603042</v>
      </c>
      <c r="AJ111" s="180">
        <f t="shared" si="47"/>
        <v>391.64817078258568</v>
      </c>
      <c r="AK111" s="180">
        <f t="shared" si="48"/>
        <v>401.27252819352105</v>
      </c>
      <c r="AL111" s="180">
        <f t="shared" si="48"/>
        <v>477.68914176817799</v>
      </c>
      <c r="AM111" s="180">
        <f t="shared" si="48"/>
        <v>525.40921706351924</v>
      </c>
      <c r="AN111" s="180">
        <f t="shared" si="48"/>
        <v>525.38475666096451</v>
      </c>
      <c r="AO111" s="180">
        <f t="shared" si="48"/>
        <v>477.65510585777116</v>
      </c>
      <c r="AP111" s="180">
        <f t="shared" si="48"/>
        <v>477.66086300475274</v>
      </c>
      <c r="AQ111" s="180">
        <f t="shared" si="48"/>
        <v>525.41903707513529</v>
      </c>
      <c r="AR111" s="180">
        <f t="shared" si="48"/>
        <v>563.6234332077978</v>
      </c>
      <c r="AS111" s="180">
        <f t="shared" si="48"/>
        <v>563.62397231441946</v>
      </c>
      <c r="AT111" s="180">
        <f t="shared" si="48"/>
        <v>563.62989844737263</v>
      </c>
      <c r="AU111" s="180">
        <f t="shared" si="48"/>
        <v>573.18238384031451</v>
      </c>
      <c r="AV111" s="180">
        <f t="shared" si="48"/>
        <v>573.1805599078848</v>
      </c>
      <c r="AW111" s="180">
        <f t="shared" si="48"/>
        <v>573.17984802379578</v>
      </c>
      <c r="AX111" s="180">
        <f t="shared" si="48"/>
        <v>620.94558075401414</v>
      </c>
      <c r="AY111" s="180">
        <f t="shared" si="48"/>
        <v>620.94634083312451</v>
      </c>
    </row>
    <row r="112" spans="1:51" x14ac:dyDescent="0.2">
      <c r="A112" s="19" t="s">
        <v>170</v>
      </c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179">
        <f>'Monthly Data'!X467</f>
        <v>5.899</v>
      </c>
      <c r="M112" s="179">
        <f>'Monthly Data'!X479</f>
        <v>6.0910000000000002</v>
      </c>
      <c r="N112" s="179">
        <f>'Monthly Data'!X491</f>
        <v>43.765000000000001</v>
      </c>
      <c r="O112" s="179">
        <f>'Monthly Data'!X503</f>
        <v>16.701000000000001</v>
      </c>
      <c r="P112" s="179">
        <f>'Monthly Data'!X515</f>
        <v>33.417999999999999</v>
      </c>
      <c r="Q112" s="179">
        <f>'Monthly Data'!X527</f>
        <v>46.598999999999997</v>
      </c>
      <c r="R112" s="179">
        <f>'Monthly Data'!X539</f>
        <v>37.128999999999998</v>
      </c>
      <c r="S112" s="179">
        <f>'Monthly Data'!X551</f>
        <v>47.326000000000001</v>
      </c>
      <c r="T112" s="179">
        <f>'Monthly Data'!X563</f>
        <v>60.768000000000001</v>
      </c>
      <c r="U112" s="179">
        <f>'Monthly Data'!X575</f>
        <v>70.793000000000006</v>
      </c>
      <c r="V112" s="179">
        <f>'Monthly Data'!X587</f>
        <v>82.402000000000001</v>
      </c>
      <c r="W112" s="179">
        <f>'Monthly Data'!X599</f>
        <v>144.88499999999999</v>
      </c>
      <c r="X112" s="179">
        <f>'Monthly Data'!X611</f>
        <v>260.04899999999998</v>
      </c>
      <c r="Y112" s="179">
        <f>'Monthly Data'!X623</f>
        <v>319.327</v>
      </c>
      <c r="Z112" s="180">
        <f t="shared" si="49"/>
        <v>229.18912312689</v>
      </c>
      <c r="AA112" s="180">
        <f t="shared" si="43"/>
        <v>237.90043122866933</v>
      </c>
      <c r="AB112" s="180">
        <f t="shared" si="44"/>
        <v>273.26068447864878</v>
      </c>
      <c r="AC112" s="180">
        <f t="shared" si="45"/>
        <v>274.61553308863716</v>
      </c>
      <c r="AD112" s="180">
        <f t="shared" si="45"/>
        <v>273.39513350746824</v>
      </c>
      <c r="AE112" s="180">
        <f t="shared" si="45"/>
        <v>276.07733687792427</v>
      </c>
      <c r="AF112" s="180">
        <f t="shared" si="45"/>
        <v>289.88961140121364</v>
      </c>
      <c r="AG112" s="180">
        <f t="shared" si="46"/>
        <v>361.12235094291793</v>
      </c>
      <c r="AH112" s="180">
        <f t="shared" si="47"/>
        <v>361.06924536444529</v>
      </c>
      <c r="AI112" s="180">
        <f t="shared" si="47"/>
        <v>360.69690592593111</v>
      </c>
      <c r="AJ112" s="180">
        <f t="shared" si="47"/>
        <v>360.54972517871863</v>
      </c>
      <c r="AK112" s="180">
        <f t="shared" si="48"/>
        <v>369.54197578759153</v>
      </c>
      <c r="AL112" s="180">
        <f t="shared" si="48"/>
        <v>440.04373864068083</v>
      </c>
      <c r="AM112" s="180">
        <f t="shared" si="48"/>
        <v>483.97482557839646</v>
      </c>
      <c r="AN112" s="180">
        <f t="shared" si="48"/>
        <v>483.90565245031667</v>
      </c>
      <c r="AO112" s="180">
        <f t="shared" si="48"/>
        <v>439.92097070693495</v>
      </c>
      <c r="AP112" s="180">
        <f t="shared" si="48"/>
        <v>439.9577704690318</v>
      </c>
      <c r="AQ112" s="180">
        <f t="shared" si="48"/>
        <v>483.95831800574928</v>
      </c>
      <c r="AR112" s="180">
        <f t="shared" si="48"/>
        <v>519.13711205817106</v>
      </c>
      <c r="AS112" s="180">
        <f t="shared" si="48"/>
        <v>519.12977545621561</v>
      </c>
      <c r="AT112" s="180">
        <f t="shared" si="48"/>
        <v>519.13601778413943</v>
      </c>
      <c r="AU112" s="180">
        <f t="shared" si="48"/>
        <v>527.94021144112924</v>
      </c>
      <c r="AV112" s="180">
        <f t="shared" si="48"/>
        <v>527.93865097508308</v>
      </c>
      <c r="AW112" s="180">
        <f t="shared" si="48"/>
        <v>527.93571064944206</v>
      </c>
      <c r="AX112" s="180">
        <f t="shared" si="48"/>
        <v>571.93028124124373</v>
      </c>
      <c r="AY112" s="180">
        <f t="shared" si="48"/>
        <v>571.93176541420212</v>
      </c>
    </row>
    <row r="113" spans="1:51" x14ac:dyDescent="0.2">
      <c r="A113" s="19" t="s">
        <v>171</v>
      </c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179">
        <f>'Monthly Data'!X468</f>
        <v>5.7839999999999998</v>
      </c>
      <c r="M113" s="179">
        <f>'Monthly Data'!X480</f>
        <v>8.6419999999999995</v>
      </c>
      <c r="N113" s="179">
        <f>'Monthly Data'!X492</f>
        <v>40.688000000000002</v>
      </c>
      <c r="O113" s="179">
        <f>'Monthly Data'!X504</f>
        <v>30.934000000000001</v>
      </c>
      <c r="P113" s="179">
        <f>'Monthly Data'!X516</f>
        <v>35.002000000000002</v>
      </c>
      <c r="Q113" s="179">
        <f>'Monthly Data'!X528</f>
        <v>38.658000000000001</v>
      </c>
      <c r="R113" s="179">
        <f>'Monthly Data'!X540</f>
        <v>41.558999999999997</v>
      </c>
      <c r="S113" s="179">
        <f>'Monthly Data'!X552</f>
        <v>46.649000000000001</v>
      </c>
      <c r="T113" s="179">
        <f>'Monthly Data'!X564</f>
        <v>66.587000000000003</v>
      </c>
      <c r="U113" s="179">
        <f>'Monthly Data'!X576</f>
        <v>48.204000000000001</v>
      </c>
      <c r="V113" s="179">
        <f>'Monthly Data'!X588</f>
        <v>130.77600000000001</v>
      </c>
      <c r="W113" s="179">
        <f>'Monthly Data'!X600</f>
        <v>167.71100000000001</v>
      </c>
      <c r="X113" s="179">
        <f>'Monthly Data'!X612</f>
        <v>248.7</v>
      </c>
      <c r="Y113" s="179">
        <f>'Monthly Data'!X624</f>
        <v>321.25900000000001</v>
      </c>
      <c r="Z113" s="180">
        <f t="shared" si="49"/>
        <v>239.42648943566829</v>
      </c>
      <c r="AA113" s="180">
        <f t="shared" si="43"/>
        <v>254.44108970642989</v>
      </c>
      <c r="AB113" s="180">
        <f t="shared" si="44"/>
        <v>282.47840285732553</v>
      </c>
      <c r="AC113" s="180">
        <f t="shared" si="45"/>
        <v>280.14617687547985</v>
      </c>
      <c r="AD113" s="180">
        <f t="shared" si="45"/>
        <v>282.29970958911412</v>
      </c>
      <c r="AE113" s="180">
        <f t="shared" si="45"/>
        <v>286.88397181371801</v>
      </c>
      <c r="AF113" s="180">
        <f t="shared" si="45"/>
        <v>300.96203011702778</v>
      </c>
      <c r="AG113" s="180">
        <f t="shared" si="46"/>
        <v>372.97512343720172</v>
      </c>
      <c r="AH113" s="180">
        <f t="shared" si="47"/>
        <v>372.85938797095031</v>
      </c>
      <c r="AI113" s="180">
        <f t="shared" si="47"/>
        <v>373.26867121154095</v>
      </c>
      <c r="AJ113" s="180">
        <f t="shared" si="47"/>
        <v>373.25288835502943</v>
      </c>
      <c r="AK113" s="180">
        <f t="shared" si="48"/>
        <v>382.33177789773362</v>
      </c>
      <c r="AL113" s="180">
        <f t="shared" si="48"/>
        <v>455.02132254185835</v>
      </c>
      <c r="AM113" s="180">
        <f t="shared" si="48"/>
        <v>500.55987273833125</v>
      </c>
      <c r="AN113" s="180">
        <f t="shared" si="48"/>
        <v>500.62838122684337</v>
      </c>
      <c r="AO113" s="180">
        <f t="shared" si="48"/>
        <v>455.10169604111019</v>
      </c>
      <c r="AP113" s="180">
        <f t="shared" si="48"/>
        <v>455.08790683449934</v>
      </c>
      <c r="AQ113" s="180">
        <f t="shared" si="48"/>
        <v>500.58444179248204</v>
      </c>
      <c r="AR113" s="180">
        <f t="shared" si="48"/>
        <v>537.00292686551961</v>
      </c>
      <c r="AS113" s="180">
        <f t="shared" si="48"/>
        <v>537.0108394530364</v>
      </c>
      <c r="AT113" s="180">
        <f t="shared" si="48"/>
        <v>537.00542435242573</v>
      </c>
      <c r="AU113" s="180">
        <f t="shared" si="48"/>
        <v>546.10458282935394</v>
      </c>
      <c r="AV113" s="180">
        <f t="shared" si="48"/>
        <v>546.10442779989398</v>
      </c>
      <c r="AW113" s="180">
        <f t="shared" si="48"/>
        <v>546.10670733337963</v>
      </c>
      <c r="AX113" s="180">
        <f t="shared" si="48"/>
        <v>591.6160362916977</v>
      </c>
      <c r="AY113" s="180">
        <f t="shared" si="48"/>
        <v>591.61485726789078</v>
      </c>
    </row>
    <row r="114" spans="1:51" x14ac:dyDescent="0.2">
      <c r="A114" s="19" t="s">
        <v>172</v>
      </c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179">
        <f>'Monthly Data'!X469</f>
        <v>5.9059999999999997</v>
      </c>
      <c r="M114" s="179">
        <f>'Monthly Data'!X481</f>
        <v>7.9749999999999996</v>
      </c>
      <c r="N114" s="179">
        <f>'Monthly Data'!X493</f>
        <v>38.737000000000002</v>
      </c>
      <c r="O114" s="179">
        <f>'Monthly Data'!X505</f>
        <v>16.504999999999999</v>
      </c>
      <c r="P114" s="179">
        <f>'Monthly Data'!X517</f>
        <v>38.905999999999999</v>
      </c>
      <c r="Q114" s="179">
        <f>'Monthly Data'!X529</f>
        <v>52.981000000000002</v>
      </c>
      <c r="R114" s="179">
        <f>'Monthly Data'!X541</f>
        <v>31.408999999999999</v>
      </c>
      <c r="S114" s="179">
        <f>'Monthly Data'!X553</f>
        <v>47.338999999999999</v>
      </c>
      <c r="T114" s="179">
        <f>'Monthly Data'!X565</f>
        <v>65.447000000000003</v>
      </c>
      <c r="U114" s="179">
        <f>'Monthly Data'!X577</f>
        <v>77.781999999999996</v>
      </c>
      <c r="V114" s="179">
        <f>'Monthly Data'!X589</f>
        <v>122.69</v>
      </c>
      <c r="W114" s="179">
        <f>'Monthly Data'!X601</f>
        <v>138.803</v>
      </c>
      <c r="X114" s="179">
        <f>'Monthly Data'!X613</f>
        <v>202.33099999999999</v>
      </c>
      <c r="Y114" s="179">
        <f>'Monthly Data'!X625</f>
        <v>321.072</v>
      </c>
      <c r="Z114" s="180">
        <f t="shared" si="49"/>
        <v>225.32914967913973</v>
      </c>
      <c r="AA114" s="180">
        <f t="shared" si="43"/>
        <v>232.01477641541118</v>
      </c>
      <c r="AB114" s="180">
        <f t="shared" si="44"/>
        <v>256.79173774179731</v>
      </c>
      <c r="AC114" s="180">
        <f t="shared" si="45"/>
        <v>257.51351294449194</v>
      </c>
      <c r="AD114" s="180">
        <f t="shared" si="45"/>
        <v>264.87715900957141</v>
      </c>
      <c r="AE114" s="180">
        <f t="shared" si="45"/>
        <v>264.96992909794523</v>
      </c>
      <c r="AF114" s="180">
        <f t="shared" si="45"/>
        <v>277.06259738094838</v>
      </c>
      <c r="AG114" s="180">
        <f t="shared" si="46"/>
        <v>343.93531671850735</v>
      </c>
      <c r="AH114" s="180">
        <f t="shared" si="47"/>
        <v>344.73253206692544</v>
      </c>
      <c r="AI114" s="180">
        <f t="shared" si="47"/>
        <v>345.45734594495684</v>
      </c>
      <c r="AJ114" s="180">
        <f t="shared" si="47"/>
        <v>344.65315503776327</v>
      </c>
      <c r="AK114" s="180">
        <f t="shared" si="48"/>
        <v>353.0219278185902</v>
      </c>
      <c r="AL114" s="180">
        <f t="shared" si="48"/>
        <v>420.33987320066592</v>
      </c>
      <c r="AM114" s="180">
        <f t="shared" si="48"/>
        <v>462.56402731995166</v>
      </c>
      <c r="AN114" s="180">
        <f t="shared" si="48"/>
        <v>462.58514459696966</v>
      </c>
      <c r="AO114" s="180">
        <f t="shared" si="48"/>
        <v>420.40414155842399</v>
      </c>
      <c r="AP114" s="180">
        <f t="shared" si="48"/>
        <v>420.41966557432568</v>
      </c>
      <c r="AQ114" s="180">
        <f t="shared" si="48"/>
        <v>462.48925720680205</v>
      </c>
      <c r="AR114" s="180">
        <f t="shared" si="48"/>
        <v>496.1481959967241</v>
      </c>
      <c r="AS114" s="180">
        <f t="shared" si="48"/>
        <v>496.13657208573022</v>
      </c>
      <c r="AT114" s="180">
        <f t="shared" si="48"/>
        <v>496.1182128677595</v>
      </c>
      <c r="AU114" s="180">
        <f t="shared" si="48"/>
        <v>504.53444760241319</v>
      </c>
      <c r="AV114" s="180">
        <f t="shared" si="48"/>
        <v>504.53972995056751</v>
      </c>
      <c r="AW114" s="180">
        <f t="shared" si="48"/>
        <v>504.54084010165548</v>
      </c>
      <c r="AX114" s="180">
        <f t="shared" si="48"/>
        <v>546.58233949506109</v>
      </c>
      <c r="AY114" s="180">
        <f t="shared" si="48"/>
        <v>546.58063174715357</v>
      </c>
    </row>
    <row r="115" spans="1:51" x14ac:dyDescent="0.2">
      <c r="A115" s="19" t="s">
        <v>173</v>
      </c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179">
        <f>'Monthly Data'!X470</f>
        <v>6.649</v>
      </c>
      <c r="M115" s="179">
        <f>'Monthly Data'!X482</f>
        <v>8.8770000000000007</v>
      </c>
      <c r="N115" s="179">
        <f>'Monthly Data'!X494</f>
        <v>40.567</v>
      </c>
      <c r="O115" s="179">
        <f>'Monthly Data'!X506</f>
        <v>28.669</v>
      </c>
      <c r="P115" s="179">
        <f>'Monthly Data'!X518</f>
        <v>34.573</v>
      </c>
      <c r="Q115" s="179">
        <f>'Monthly Data'!X530</f>
        <v>33.709000000000003</v>
      </c>
      <c r="R115" s="179">
        <f>'Monthly Data'!X542</f>
        <v>43.457999999999998</v>
      </c>
      <c r="S115" s="179">
        <f>'Monthly Data'!X554</f>
        <v>39.518000000000001</v>
      </c>
      <c r="T115" s="179">
        <f>'Monthly Data'!X566</f>
        <v>93.325999999999993</v>
      </c>
      <c r="U115" s="179">
        <f>'Monthly Data'!X578</f>
        <v>98.715999999999994</v>
      </c>
      <c r="V115" s="179">
        <f>'Monthly Data'!X590</f>
        <v>124.604</v>
      </c>
      <c r="W115" s="179">
        <f>'Monthly Data'!X602</f>
        <v>166.77699999999999</v>
      </c>
      <c r="X115" s="179">
        <f>'Monthly Data'!X614</f>
        <v>293.12900000000002</v>
      </c>
      <c r="Y115" s="181">
        <f>'Monthly Data'!X626</f>
        <v>282.32799999999997</v>
      </c>
      <c r="Z115" s="180">
        <f t="shared" ref="Z115:AH115" si="50">Z116-SUM(Z104:Z114)</f>
        <v>203.33972965933208</v>
      </c>
      <c r="AA115" s="180">
        <f t="shared" si="50"/>
        <v>214.33517254643857</v>
      </c>
      <c r="AB115" s="180">
        <f t="shared" si="50"/>
        <v>234.64071664053654</v>
      </c>
      <c r="AC115" s="180">
        <f t="shared" si="50"/>
        <v>226.98780132075217</v>
      </c>
      <c r="AD115" s="180">
        <f t="shared" si="50"/>
        <v>209.95977794978671</v>
      </c>
      <c r="AE115" s="180">
        <f t="shared" si="50"/>
        <v>233.41354245361072</v>
      </c>
      <c r="AF115" s="180">
        <f t="shared" si="50"/>
        <v>243.01395631623154</v>
      </c>
      <c r="AG115" s="180">
        <f t="shared" si="50"/>
        <v>298.84855607566851</v>
      </c>
      <c r="AH115" s="180">
        <f t="shared" si="50"/>
        <v>296.72339700751081</v>
      </c>
      <c r="AI115" s="180">
        <f>AI116-SUM(AI104:AI114)</f>
        <v>296.11452632064811</v>
      </c>
      <c r="AJ115" s="180">
        <f t="shared" ref="AJ115:AY115" si="51">AJ116-SUM(AJ104:AJ114)</f>
        <v>299.1609232273081</v>
      </c>
      <c r="AK115" s="180">
        <f t="shared" si="51"/>
        <v>305.69633033395667</v>
      </c>
      <c r="AL115" s="180">
        <f t="shared" si="51"/>
        <v>363.23877013715719</v>
      </c>
      <c r="AM115" s="180">
        <f t="shared" si="51"/>
        <v>399.30868412307882</v>
      </c>
      <c r="AN115" s="180">
        <f t="shared" si="51"/>
        <v>399.53518723938214</v>
      </c>
      <c r="AO115" s="180">
        <f t="shared" si="51"/>
        <v>363.5678796421571</v>
      </c>
      <c r="AP115" s="180">
        <f t="shared" si="51"/>
        <v>363.36247053089937</v>
      </c>
      <c r="AQ115" s="180">
        <f t="shared" si="51"/>
        <v>399.59890208460456</v>
      </c>
      <c r="AR115" s="180">
        <f t="shared" si="51"/>
        <v>428.66797846636655</v>
      </c>
      <c r="AS115" s="180">
        <f t="shared" si="51"/>
        <v>428.73313256446545</v>
      </c>
      <c r="AT115" s="180">
        <f t="shared" si="51"/>
        <v>428.76150708432669</v>
      </c>
      <c r="AU115" s="180">
        <f t="shared" si="51"/>
        <v>435.98382781503551</v>
      </c>
      <c r="AV115" s="180">
        <f t="shared" si="51"/>
        <v>435.97507150988986</v>
      </c>
      <c r="AW115" s="180">
        <f t="shared" si="51"/>
        <v>435.98414493739074</v>
      </c>
      <c r="AX115" s="180">
        <f t="shared" si="51"/>
        <v>472.32701159134922</v>
      </c>
      <c r="AY115" s="180">
        <f t="shared" si="51"/>
        <v>472.32582760187233</v>
      </c>
    </row>
    <row r="116" spans="1:51" x14ac:dyDescent="0.2">
      <c r="A116" s="117" t="s">
        <v>174</v>
      </c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31">
        <f>SUM(L104:L115)</f>
        <v>61.747</v>
      </c>
      <c r="M116" s="131">
        <f t="shared" ref="M116:X116" si="52">SUM(M104:M115)</f>
        <v>74.155999999999992</v>
      </c>
      <c r="N116" s="131">
        <f t="shared" si="52"/>
        <v>294.89299999999997</v>
      </c>
      <c r="O116" s="131">
        <f t="shared" si="52"/>
        <v>294.12900000000002</v>
      </c>
      <c r="P116" s="131">
        <f t="shared" si="52"/>
        <v>369.62799999999999</v>
      </c>
      <c r="Q116" s="131">
        <f t="shared" si="52"/>
        <v>435.65199999999999</v>
      </c>
      <c r="R116" s="131">
        <f t="shared" si="52"/>
        <v>471.32499999999993</v>
      </c>
      <c r="S116" s="131">
        <f t="shared" si="52"/>
        <v>437.78399999999999</v>
      </c>
      <c r="T116" s="131">
        <f t="shared" si="52"/>
        <v>759.92799999999988</v>
      </c>
      <c r="U116" s="131">
        <f t="shared" si="52"/>
        <v>821.69899999999996</v>
      </c>
      <c r="V116" s="131">
        <f t="shared" si="52"/>
        <v>1208.6380000000001</v>
      </c>
      <c r="W116" s="131">
        <f t="shared" si="52"/>
        <v>1717.509</v>
      </c>
      <c r="X116" s="131">
        <f t="shared" si="52"/>
        <v>2868.33</v>
      </c>
      <c r="Y116" s="131">
        <f>Y8</f>
        <v>3529.4119243999999</v>
      </c>
      <c r="Z116" s="176">
        <f t="shared" ref="Z116:AY116" si="53">Z8</f>
        <v>2650</v>
      </c>
      <c r="AA116" s="176">
        <f t="shared" si="53"/>
        <v>2750</v>
      </c>
      <c r="AB116" s="176">
        <f t="shared" si="53"/>
        <v>3100.0000000000005</v>
      </c>
      <c r="AC116" s="176">
        <f t="shared" si="53"/>
        <v>3100</v>
      </c>
      <c r="AD116" s="176">
        <f t="shared" si="53"/>
        <v>3099.9999999999995</v>
      </c>
      <c r="AE116" s="176">
        <f t="shared" si="53"/>
        <v>3149.9999999999991</v>
      </c>
      <c r="AF116" s="176">
        <f t="shared" si="53"/>
        <v>3299.9999999999995</v>
      </c>
      <c r="AG116" s="176">
        <f t="shared" si="53"/>
        <v>4099.9999999999991</v>
      </c>
      <c r="AH116" s="176">
        <f t="shared" si="53"/>
        <v>4099.9999999999982</v>
      </c>
      <c r="AI116" s="176">
        <f t="shared" si="53"/>
        <v>4100</v>
      </c>
      <c r="AJ116" s="176">
        <f t="shared" si="53"/>
        <v>4099.9999999999991</v>
      </c>
      <c r="AK116" s="176">
        <f t="shared" si="53"/>
        <v>4200</v>
      </c>
      <c r="AL116" s="176">
        <f t="shared" si="53"/>
        <v>5000</v>
      </c>
      <c r="AM116" s="176">
        <f t="shared" si="53"/>
        <v>5500</v>
      </c>
      <c r="AN116" s="176">
        <f t="shared" si="53"/>
        <v>5500</v>
      </c>
      <c r="AO116" s="176">
        <f t="shared" si="53"/>
        <v>4999.9999999999991</v>
      </c>
      <c r="AP116" s="176">
        <f t="shared" si="53"/>
        <v>5000</v>
      </c>
      <c r="AQ116" s="176">
        <f t="shared" si="53"/>
        <v>5499.9999999999991</v>
      </c>
      <c r="AR116" s="176">
        <f t="shared" si="53"/>
        <v>5900</v>
      </c>
      <c r="AS116" s="176">
        <f t="shared" si="53"/>
        <v>5899.9999999999982</v>
      </c>
      <c r="AT116" s="176">
        <f t="shared" si="53"/>
        <v>5900</v>
      </c>
      <c r="AU116" s="176">
        <f t="shared" si="53"/>
        <v>6000.0000000000009</v>
      </c>
      <c r="AV116" s="176">
        <f t="shared" si="53"/>
        <v>5999.9999999999991</v>
      </c>
      <c r="AW116" s="176">
        <f t="shared" si="53"/>
        <v>6000</v>
      </c>
      <c r="AX116" s="176">
        <f t="shared" si="53"/>
        <v>6500.0000000000018</v>
      </c>
      <c r="AY116" s="176">
        <f t="shared" si="53"/>
        <v>6500</v>
      </c>
    </row>
    <row r="118" spans="1:51" ht="12" thickBot="1" x14ac:dyDescent="0.25">
      <c r="A118" s="121" t="s">
        <v>211</v>
      </c>
    </row>
    <row r="119" spans="1:51" ht="12" thickBot="1" x14ac:dyDescent="0.25">
      <c r="A119" s="122"/>
      <c r="B119" s="128">
        <f t="shared" ref="B119:T119" si="54">B2</f>
        <v>2001</v>
      </c>
      <c r="C119" s="128">
        <f t="shared" si="54"/>
        <v>2002</v>
      </c>
      <c r="D119" s="128">
        <f t="shared" si="54"/>
        <v>2003</v>
      </c>
      <c r="E119" s="128">
        <f t="shared" si="54"/>
        <v>2004</v>
      </c>
      <c r="F119" s="128">
        <f t="shared" si="54"/>
        <v>2005</v>
      </c>
      <c r="G119" s="128">
        <f t="shared" si="54"/>
        <v>2006</v>
      </c>
      <c r="H119" s="128">
        <f t="shared" si="54"/>
        <v>2007</v>
      </c>
      <c r="I119" s="128">
        <f t="shared" si="54"/>
        <v>2008</v>
      </c>
      <c r="J119" s="128">
        <f t="shared" si="54"/>
        <v>2009</v>
      </c>
      <c r="K119" s="128">
        <f t="shared" si="54"/>
        <v>2010</v>
      </c>
      <c r="L119" s="128">
        <f t="shared" si="54"/>
        <v>2011</v>
      </c>
      <c r="M119" s="171">
        <f t="shared" si="54"/>
        <v>2012</v>
      </c>
      <c r="N119" s="171">
        <f t="shared" si="54"/>
        <v>2013</v>
      </c>
      <c r="O119" s="171">
        <f t="shared" si="54"/>
        <v>2014</v>
      </c>
      <c r="P119" s="171">
        <f t="shared" si="54"/>
        <v>2015</v>
      </c>
      <c r="Q119" s="171">
        <f t="shared" si="54"/>
        <v>2016</v>
      </c>
      <c r="R119" s="171">
        <f t="shared" si="54"/>
        <v>2017</v>
      </c>
      <c r="S119" s="171">
        <f t="shared" si="54"/>
        <v>2018</v>
      </c>
      <c r="T119" s="171">
        <f t="shared" si="54"/>
        <v>2019</v>
      </c>
      <c r="U119" s="171">
        <f>U2</f>
        <v>2020</v>
      </c>
      <c r="V119" s="171">
        <f t="shared" ref="V119:AY119" si="55">V2</f>
        <v>2021</v>
      </c>
      <c r="W119" s="171">
        <f t="shared" si="55"/>
        <v>2022</v>
      </c>
      <c r="X119" s="171">
        <f t="shared" si="55"/>
        <v>2023</v>
      </c>
      <c r="Y119" s="171">
        <f t="shared" si="55"/>
        <v>2024</v>
      </c>
      <c r="Z119" s="171">
        <f t="shared" si="55"/>
        <v>2025</v>
      </c>
      <c r="AA119" s="171">
        <f t="shared" si="55"/>
        <v>2026</v>
      </c>
      <c r="AB119" s="171">
        <f t="shared" si="55"/>
        <v>2027</v>
      </c>
      <c r="AC119" s="171">
        <f t="shared" si="55"/>
        <v>2028</v>
      </c>
      <c r="AD119" s="171">
        <f t="shared" si="55"/>
        <v>2029</v>
      </c>
      <c r="AE119" s="171">
        <f t="shared" si="55"/>
        <v>2030</v>
      </c>
      <c r="AF119" s="171">
        <f t="shared" si="55"/>
        <v>2031</v>
      </c>
      <c r="AG119" s="171">
        <f t="shared" si="55"/>
        <v>2032</v>
      </c>
      <c r="AH119" s="171">
        <f t="shared" si="55"/>
        <v>2033</v>
      </c>
      <c r="AI119" s="171">
        <f t="shared" si="55"/>
        <v>2034</v>
      </c>
      <c r="AJ119" s="171">
        <f t="shared" si="55"/>
        <v>2035</v>
      </c>
      <c r="AK119" s="171">
        <f t="shared" si="55"/>
        <v>2036</v>
      </c>
      <c r="AL119" s="171">
        <f t="shared" si="55"/>
        <v>2037</v>
      </c>
      <c r="AM119" s="171">
        <f t="shared" si="55"/>
        <v>2038</v>
      </c>
      <c r="AN119" s="171">
        <f t="shared" si="55"/>
        <v>2039</v>
      </c>
      <c r="AO119" s="171">
        <f t="shared" si="55"/>
        <v>2040</v>
      </c>
      <c r="AP119" s="171">
        <f t="shared" si="55"/>
        <v>2041</v>
      </c>
      <c r="AQ119" s="171">
        <f t="shared" si="55"/>
        <v>2042</v>
      </c>
      <c r="AR119" s="171">
        <f t="shared" si="55"/>
        <v>2043</v>
      </c>
      <c r="AS119" s="171">
        <f t="shared" si="55"/>
        <v>2044</v>
      </c>
      <c r="AT119" s="171">
        <f t="shared" si="55"/>
        <v>2045</v>
      </c>
      <c r="AU119" s="171">
        <f t="shared" si="55"/>
        <v>2046</v>
      </c>
      <c r="AV119" s="171">
        <f t="shared" si="55"/>
        <v>2047</v>
      </c>
      <c r="AW119" s="171">
        <f t="shared" si="55"/>
        <v>2048</v>
      </c>
      <c r="AX119" s="171">
        <f t="shared" si="55"/>
        <v>2049</v>
      </c>
      <c r="AY119" s="171">
        <f t="shared" si="55"/>
        <v>2050</v>
      </c>
    </row>
    <row r="120" spans="1:51" x14ac:dyDescent="0.2">
      <c r="A120" s="19" t="s">
        <v>162</v>
      </c>
      <c r="M120" s="182"/>
      <c r="N120" s="182"/>
      <c r="O120" s="182"/>
      <c r="P120" s="182"/>
      <c r="Q120" s="182"/>
      <c r="R120" s="182"/>
      <c r="S120" s="182"/>
      <c r="T120" s="182"/>
      <c r="U120" s="73">
        <f>[5]Forecasts!$C2</f>
        <v>1.8632</v>
      </c>
      <c r="V120" s="73">
        <f>[5]Forecasts!$C14</f>
        <v>1.5874999999999999</v>
      </c>
      <c r="W120" s="73">
        <f>[5]Forecasts!$C26</f>
        <v>2.6183000000000001</v>
      </c>
      <c r="X120" s="73">
        <f>[5]Forecasts!$C38</f>
        <v>2.9518</v>
      </c>
      <c r="Y120" s="73">
        <f>[5]Forecasts!$C50</f>
        <v>2.5011000000000001</v>
      </c>
      <c r="Z120" s="73">
        <f>[5]Forecasts!$C62</f>
        <v>2.76</v>
      </c>
      <c r="AA120" s="72">
        <f>[5]Forecasts!$C74</f>
        <v>2.6727888000000002</v>
      </c>
      <c r="AB120" s="72">
        <f>[5]Forecasts!$C86</f>
        <v>2.906097307747133</v>
      </c>
      <c r="AC120" s="72">
        <f>[5]Forecasts!$C98</f>
        <v>3.0853146052547751</v>
      </c>
      <c r="AD120" s="72">
        <f>[5]Forecasts!$C110</f>
        <v>3.8135664248411278</v>
      </c>
      <c r="AE120" s="72">
        <f>[5]Forecasts!$C122</f>
        <v>3.9949003755493111</v>
      </c>
      <c r="AF120" s="72">
        <f>[5]Forecasts!$C134</f>
        <v>4.0297838415276761</v>
      </c>
      <c r="AG120" s="72">
        <f>[5]Forecasts!$C146</f>
        <v>4.6125434598018415</v>
      </c>
      <c r="AH120" s="72">
        <f>[5]Forecasts!$C158</f>
        <v>4.1496174488125552</v>
      </c>
      <c r="AI120" s="72">
        <f>[5]Forecasts!$C158</f>
        <v>4.1496174488125552</v>
      </c>
      <c r="AJ120" s="72">
        <f>[5]Forecasts!$C158</f>
        <v>4.1496174488125552</v>
      </c>
      <c r="AK120" s="72">
        <f>[5]Forecasts!$C158</f>
        <v>4.1496174488125552</v>
      </c>
      <c r="AL120" s="72">
        <f>[5]Forecasts!$C158</f>
        <v>4.1496174488125552</v>
      </c>
      <c r="AM120" s="72">
        <f>[5]Forecasts!$C158</f>
        <v>4.1496174488125552</v>
      </c>
      <c r="AN120" s="72">
        <f>[5]Forecasts!$C158</f>
        <v>4.1496174488125552</v>
      </c>
      <c r="AO120" s="72">
        <f>[5]Forecasts!$C158</f>
        <v>4.1496174488125552</v>
      </c>
      <c r="AP120" s="72">
        <f>[5]Forecasts!$C158</f>
        <v>4.1496174488125552</v>
      </c>
      <c r="AQ120" s="72">
        <f>[5]Forecasts!$C158</f>
        <v>4.1496174488125552</v>
      </c>
      <c r="AR120" s="72">
        <f>[5]Forecasts!$C158</f>
        <v>4.1496174488125552</v>
      </c>
      <c r="AS120" s="72">
        <f>[5]Forecasts!$C158</f>
        <v>4.1496174488125552</v>
      </c>
      <c r="AT120" s="72">
        <f>[5]Forecasts!$C158</f>
        <v>4.1496174488125552</v>
      </c>
      <c r="AU120" s="72">
        <f>[5]Forecasts!$C158</f>
        <v>4.1496174488125552</v>
      </c>
      <c r="AV120" s="72">
        <f>[5]Forecasts!$C158</f>
        <v>4.1496174488125552</v>
      </c>
      <c r="AW120" s="72">
        <f>[5]Forecasts!$C158</f>
        <v>4.1496174488125552</v>
      </c>
      <c r="AX120" s="72">
        <f>[5]Forecasts!$C158</f>
        <v>4.1496174488125552</v>
      </c>
      <c r="AY120" s="72">
        <f>[5]Forecasts!$C158</f>
        <v>4.1496174488125552</v>
      </c>
    </row>
    <row r="121" spans="1:51" x14ac:dyDescent="0.2">
      <c r="A121" s="19" t="s">
        <v>163</v>
      </c>
      <c r="M121" s="182"/>
      <c r="N121" s="182"/>
      <c r="O121" s="182"/>
      <c r="P121" s="182"/>
      <c r="Q121" s="182"/>
      <c r="R121" s="182"/>
      <c r="S121" s="182"/>
      <c r="T121" s="182"/>
      <c r="U121" s="73">
        <f>[5]Forecasts!$C3</f>
        <v>1.6326000000000001</v>
      </c>
      <c r="V121" s="73">
        <f>[5]Forecasts!$C15</f>
        <v>1.7950999999999999</v>
      </c>
      <c r="W121" s="73">
        <f>[5]Forecasts!$C27</f>
        <v>2.8553999999999999</v>
      </c>
      <c r="X121" s="73">
        <f>[5]Forecasts!$C39</f>
        <v>2.8294000000000001</v>
      </c>
      <c r="Y121" s="73">
        <f>[5]Forecasts!$C51</f>
        <v>2.5948000000000002</v>
      </c>
      <c r="Z121" s="72">
        <f>[5]Forecasts!$C63</f>
        <v>2.7</v>
      </c>
      <c r="AA121" s="72">
        <f>[5]Forecasts!$C75</f>
        <v>2.6968438992000001</v>
      </c>
      <c r="AB121" s="72">
        <f>[5]Forecasts!$C87</f>
        <v>2.9264399889013628</v>
      </c>
      <c r="AC121" s="72">
        <f>[5]Forecasts!$C99</f>
        <v>3.1038264928863035</v>
      </c>
      <c r="AD121" s="72">
        <f>[5]Forecasts!$C111</f>
        <v>3.8669563547889036</v>
      </c>
      <c r="AE121" s="72">
        <f>[5]Forecasts!$C123</f>
        <v>4.0548238811825508</v>
      </c>
      <c r="AF121" s="72">
        <f>[5]Forecasts!$C135</f>
        <v>4.0539625445768426</v>
      </c>
      <c r="AG121" s="72">
        <f>[5]Forecasts!$C147</f>
        <v>4.6771190682390671</v>
      </c>
      <c r="AH121" s="72">
        <f>[5]Forecasts!$C159</f>
        <v>3.7118617105447438</v>
      </c>
      <c r="AI121" s="72">
        <f>[5]Forecasts!$C159</f>
        <v>3.7118617105447438</v>
      </c>
      <c r="AJ121" s="72">
        <f>[5]Forecasts!$C159</f>
        <v>3.7118617105447438</v>
      </c>
      <c r="AK121" s="72">
        <f>[5]Forecasts!$C159</f>
        <v>3.7118617105447438</v>
      </c>
      <c r="AL121" s="72">
        <f>[5]Forecasts!$C159</f>
        <v>3.7118617105447438</v>
      </c>
      <c r="AM121" s="72">
        <f>[5]Forecasts!$C159</f>
        <v>3.7118617105447438</v>
      </c>
      <c r="AN121" s="72">
        <f>[5]Forecasts!$C159</f>
        <v>3.7118617105447438</v>
      </c>
      <c r="AO121" s="72">
        <f>[5]Forecasts!$C159</f>
        <v>3.7118617105447438</v>
      </c>
      <c r="AP121" s="72">
        <f>[5]Forecasts!$C159</f>
        <v>3.7118617105447438</v>
      </c>
      <c r="AQ121" s="72">
        <f>[5]Forecasts!$C159</f>
        <v>3.7118617105447438</v>
      </c>
      <c r="AR121" s="72">
        <f>[5]Forecasts!$C159</f>
        <v>3.7118617105447438</v>
      </c>
      <c r="AS121" s="72">
        <f>[5]Forecasts!$C159</f>
        <v>3.7118617105447438</v>
      </c>
      <c r="AT121" s="72">
        <f>[5]Forecasts!$C159</f>
        <v>3.7118617105447438</v>
      </c>
      <c r="AU121" s="72">
        <f>[5]Forecasts!$C159</f>
        <v>3.7118617105447438</v>
      </c>
      <c r="AV121" s="72">
        <f>[5]Forecasts!$C159</f>
        <v>3.7118617105447438</v>
      </c>
      <c r="AW121" s="72">
        <f>[5]Forecasts!$C159</f>
        <v>3.7118617105447438</v>
      </c>
      <c r="AX121" s="72">
        <f>[5]Forecasts!$C159</f>
        <v>3.7118617105447438</v>
      </c>
      <c r="AY121" s="72">
        <f>[5]Forecasts!$C159</f>
        <v>3.7118617105447438</v>
      </c>
    </row>
    <row r="122" spans="1:51" x14ac:dyDescent="0.2">
      <c r="A122" s="19" t="s">
        <v>164</v>
      </c>
      <c r="M122" s="182"/>
      <c r="N122" s="182"/>
      <c r="O122" s="182"/>
      <c r="P122" s="182"/>
      <c r="Q122" s="182"/>
      <c r="R122" s="182"/>
      <c r="S122" s="182"/>
      <c r="T122" s="182"/>
      <c r="U122" s="73">
        <f>[5]Forecasts!$C4</f>
        <v>1.1818</v>
      </c>
      <c r="V122" s="73">
        <f>[5]Forecasts!$C16</f>
        <v>1.8698999999999999</v>
      </c>
      <c r="W122" s="73">
        <f>[5]Forecasts!$C28</f>
        <v>3.6623000000000001</v>
      </c>
      <c r="X122" s="73">
        <f>[5]Forecasts!$C40</f>
        <v>2.6103000000000001</v>
      </c>
      <c r="Y122" s="73">
        <f>[5]Forecasts!$C52</f>
        <v>2.6656</v>
      </c>
      <c r="Z122" s="72">
        <f>[5]Forecasts!$C64</f>
        <v>2.4500000000000002</v>
      </c>
      <c r="AA122" s="72">
        <f>[5]Forecasts!$C76</f>
        <v>2.7238123381920003</v>
      </c>
      <c r="AB122" s="72">
        <f>[5]Forecasts!$C88</f>
        <v>2.943998628834771</v>
      </c>
      <c r="AC122" s="72">
        <f>[5]Forecasts!$C100</f>
        <v>2.9193456253507351</v>
      </c>
      <c r="AD122" s="72">
        <f>[5]Forecasts!$C112</f>
        <v>3.7094928746915814</v>
      </c>
      <c r="AE122" s="72">
        <f>[5]Forecasts!$C124</f>
        <v>4.1034817677567412</v>
      </c>
      <c r="AF122" s="72">
        <f>[5]Forecasts!$C136</f>
        <v>4.074232357299727</v>
      </c>
      <c r="AG122" s="72">
        <f>[5]Forecasts!$C148</f>
        <v>4.7285673779896973</v>
      </c>
      <c r="AH122" s="72">
        <f>[5]Forecasts!$C160</f>
        <v>3.7564040510712808</v>
      </c>
      <c r="AI122" s="72">
        <f>[5]Forecasts!$C160</f>
        <v>3.7564040510712808</v>
      </c>
      <c r="AJ122" s="72">
        <f>[5]Forecasts!$C160</f>
        <v>3.7564040510712808</v>
      </c>
      <c r="AK122" s="72">
        <f>[5]Forecasts!$C160</f>
        <v>3.7564040510712808</v>
      </c>
      <c r="AL122" s="72">
        <f>[5]Forecasts!$C160</f>
        <v>3.7564040510712808</v>
      </c>
      <c r="AM122" s="72">
        <f>[5]Forecasts!$C160</f>
        <v>3.7564040510712808</v>
      </c>
      <c r="AN122" s="72">
        <f>[5]Forecasts!$C160</f>
        <v>3.7564040510712808</v>
      </c>
      <c r="AO122" s="72">
        <f>[5]Forecasts!$C160</f>
        <v>3.7564040510712808</v>
      </c>
      <c r="AP122" s="72">
        <f>[5]Forecasts!$C160</f>
        <v>3.7564040510712808</v>
      </c>
      <c r="AQ122" s="72">
        <f>[5]Forecasts!$C160</f>
        <v>3.7564040510712808</v>
      </c>
      <c r="AR122" s="72">
        <f>[5]Forecasts!$C160</f>
        <v>3.7564040510712808</v>
      </c>
      <c r="AS122" s="72">
        <f>[5]Forecasts!$C160</f>
        <v>3.7564040510712808</v>
      </c>
      <c r="AT122" s="72">
        <f>[5]Forecasts!$C160</f>
        <v>3.7564040510712808</v>
      </c>
      <c r="AU122" s="72">
        <f>[5]Forecasts!$C160</f>
        <v>3.7564040510712808</v>
      </c>
      <c r="AV122" s="72">
        <f>[5]Forecasts!$C160</f>
        <v>3.7564040510712808</v>
      </c>
      <c r="AW122" s="72">
        <f>[5]Forecasts!$C160</f>
        <v>3.7564040510712808</v>
      </c>
      <c r="AX122" s="72">
        <f>[5]Forecasts!$C160</f>
        <v>3.7564040510712808</v>
      </c>
      <c r="AY122" s="72">
        <f>[5]Forecasts!$C160</f>
        <v>3.7564040510712808</v>
      </c>
    </row>
    <row r="123" spans="1:51" x14ac:dyDescent="0.2">
      <c r="A123" s="19" t="s">
        <v>165</v>
      </c>
      <c r="M123" s="182"/>
      <c r="N123" s="182"/>
      <c r="O123" s="182"/>
      <c r="P123" s="182"/>
      <c r="Q123" s="182"/>
      <c r="R123" s="182"/>
      <c r="S123" s="182"/>
      <c r="T123" s="182"/>
      <c r="U123" s="73">
        <f>[5]Forecasts!$C5</f>
        <v>0.87690000000000001</v>
      </c>
      <c r="V123" s="73">
        <f>[5]Forecasts!$C17</f>
        <v>1.8716999999999999</v>
      </c>
      <c r="W123" s="73">
        <f>[5]Forecasts!$C29</f>
        <v>3.8795000000000002</v>
      </c>
      <c r="X123" s="73">
        <f>[5]Forecasts!$C41</f>
        <v>2.3999000000000001</v>
      </c>
      <c r="Y123" s="73">
        <f>[5]Forecasts!$C53</f>
        <v>2.6368</v>
      </c>
      <c r="Z123" s="72">
        <f>[5]Forecasts!$C65</f>
        <v>2.5731999999999999</v>
      </c>
      <c r="AA123" s="72">
        <f>[5]Forecasts!$C77</f>
        <v>2.7483266492357283</v>
      </c>
      <c r="AB123" s="72">
        <f>[5]Forecasts!$C89</f>
        <v>2.958718621978945</v>
      </c>
      <c r="AC123" s="72">
        <f>[5]Forecasts!$C101</f>
        <v>2.9310230078521382</v>
      </c>
      <c r="AD123" s="72">
        <f>[5]Forecasts!$C113</f>
        <v>3.5391688176891138</v>
      </c>
      <c r="AE123" s="72">
        <f>[5]Forecasts!$C125</f>
        <v>4.1404131036665524</v>
      </c>
      <c r="AF123" s="72">
        <f>[5]Forecasts!$C137</f>
        <v>4.090529286728926</v>
      </c>
      <c r="AG123" s="72">
        <f>[5]Forecasts!$C149</f>
        <v>4.7663959170136145</v>
      </c>
      <c r="AH123" s="72">
        <f>[5]Forecasts!$C161</f>
        <v>3.7902116875309222</v>
      </c>
      <c r="AI123" s="72">
        <f>[5]Forecasts!$C161</f>
        <v>3.7902116875309222</v>
      </c>
      <c r="AJ123" s="72">
        <f>[5]Forecasts!$C161</f>
        <v>3.7902116875309222</v>
      </c>
      <c r="AK123" s="72">
        <f>[5]Forecasts!$C161</f>
        <v>3.7902116875309222</v>
      </c>
      <c r="AL123" s="72">
        <f>[5]Forecasts!$C161</f>
        <v>3.7902116875309222</v>
      </c>
      <c r="AM123" s="72">
        <f>[5]Forecasts!$C161</f>
        <v>3.7902116875309222</v>
      </c>
      <c r="AN123" s="72">
        <f>[5]Forecasts!$C161</f>
        <v>3.7902116875309222</v>
      </c>
      <c r="AO123" s="72">
        <f>[5]Forecasts!$C161</f>
        <v>3.7902116875309222</v>
      </c>
      <c r="AP123" s="72">
        <f>[5]Forecasts!$C161</f>
        <v>3.7902116875309222</v>
      </c>
      <c r="AQ123" s="72">
        <f>[5]Forecasts!$C161</f>
        <v>3.7902116875309222</v>
      </c>
      <c r="AR123" s="72">
        <f>[5]Forecasts!$C161</f>
        <v>3.7902116875309222</v>
      </c>
      <c r="AS123" s="72">
        <f>[5]Forecasts!$C161</f>
        <v>3.7902116875309222</v>
      </c>
      <c r="AT123" s="72">
        <f>[5]Forecasts!$C161</f>
        <v>3.7902116875309222</v>
      </c>
      <c r="AU123" s="72">
        <f>[5]Forecasts!$C161</f>
        <v>3.7902116875309222</v>
      </c>
      <c r="AV123" s="72">
        <f>[5]Forecasts!$C161</f>
        <v>3.7902116875309222</v>
      </c>
      <c r="AW123" s="72">
        <f>[5]Forecasts!$C161</f>
        <v>3.7902116875309222</v>
      </c>
      <c r="AX123" s="72">
        <f>[5]Forecasts!$C161</f>
        <v>3.7902116875309222</v>
      </c>
      <c r="AY123" s="72">
        <f>[5]Forecasts!$C161</f>
        <v>3.7902116875309222</v>
      </c>
    </row>
    <row r="124" spans="1:51" x14ac:dyDescent="0.2">
      <c r="A124" s="19" t="s">
        <v>166</v>
      </c>
      <c r="M124" s="182"/>
      <c r="N124" s="182"/>
      <c r="O124" s="182"/>
      <c r="P124" s="182"/>
      <c r="Q124" s="182"/>
      <c r="R124" s="182"/>
      <c r="S124" s="182"/>
      <c r="T124" s="182"/>
      <c r="U124" s="73">
        <f>[5]Forecasts!$C6</f>
        <v>0.92020000000000002</v>
      </c>
      <c r="V124" s="73">
        <f>[5]Forecasts!$C18</f>
        <v>2.0308999999999999</v>
      </c>
      <c r="W124" s="73">
        <f>[5]Forecasts!$C30</f>
        <v>3.9176000000000002</v>
      </c>
      <c r="X124" s="73">
        <f>[5]Forecasts!$C42</f>
        <v>2.1654</v>
      </c>
      <c r="Y124" s="73">
        <f>[5]Forecasts!$C54</f>
        <v>2.4277000000000002</v>
      </c>
      <c r="Z124" s="72">
        <f>[5]Forecasts!$C66</f>
        <v>2.5461999999999998</v>
      </c>
      <c r="AA124" s="72">
        <f>[5]Forecasts!$C78</f>
        <v>2.7703132624296143</v>
      </c>
      <c r="AB124" s="72">
        <f>[5]Forecasts!$C90</f>
        <v>2.9705534964668607</v>
      </c>
      <c r="AC124" s="72">
        <f>[5]Forecasts!$C102</f>
        <v>2.9486091458992512</v>
      </c>
      <c r="AD124" s="72">
        <f>[5]Forecasts!$C114</f>
        <v>3.5568646617775594</v>
      </c>
      <c r="AE124" s="72">
        <f>[5]Forecasts!$C126</f>
        <v>4.1652555822885518</v>
      </c>
      <c r="AF124" s="72">
        <f>[5]Forecasts!$C138</f>
        <v>4.1150724624492998</v>
      </c>
      <c r="AG124" s="72">
        <f>[5]Forecasts!$C150</f>
        <v>4.2902278965986822</v>
      </c>
      <c r="AH124" s="72">
        <f>[5]Forecasts!$C162</f>
        <v>3.3129529576561079</v>
      </c>
      <c r="AI124" s="72">
        <f>[5]Forecasts!$C162</f>
        <v>3.3129529576561079</v>
      </c>
      <c r="AJ124" s="72">
        <f>[5]Forecasts!$C162</f>
        <v>3.3129529576561079</v>
      </c>
      <c r="AK124" s="72">
        <f>[5]Forecasts!$C162</f>
        <v>3.3129529576561079</v>
      </c>
      <c r="AL124" s="72">
        <f>[5]Forecasts!$C162</f>
        <v>3.3129529576561079</v>
      </c>
      <c r="AM124" s="72">
        <f>[5]Forecasts!$C162</f>
        <v>3.3129529576561079</v>
      </c>
      <c r="AN124" s="72">
        <f>[5]Forecasts!$C162</f>
        <v>3.3129529576561079</v>
      </c>
      <c r="AO124" s="72">
        <f>[5]Forecasts!$C162</f>
        <v>3.3129529576561079</v>
      </c>
      <c r="AP124" s="72">
        <f>[5]Forecasts!$C162</f>
        <v>3.3129529576561079</v>
      </c>
      <c r="AQ124" s="72">
        <f>[5]Forecasts!$C162</f>
        <v>3.3129529576561079</v>
      </c>
      <c r="AR124" s="72">
        <f>[5]Forecasts!$C162</f>
        <v>3.3129529576561079</v>
      </c>
      <c r="AS124" s="72">
        <f>[5]Forecasts!$C162</f>
        <v>3.3129529576561079</v>
      </c>
      <c r="AT124" s="72">
        <f>[5]Forecasts!$C162</f>
        <v>3.3129529576561079</v>
      </c>
      <c r="AU124" s="72">
        <f>[5]Forecasts!$C162</f>
        <v>3.3129529576561079</v>
      </c>
      <c r="AV124" s="72">
        <f>[5]Forecasts!$C162</f>
        <v>3.3129529576561079</v>
      </c>
      <c r="AW124" s="72">
        <f>[5]Forecasts!$C162</f>
        <v>3.3129529576561079</v>
      </c>
      <c r="AX124" s="72">
        <f>[5]Forecasts!$C162</f>
        <v>3.3129529576561079</v>
      </c>
      <c r="AY124" s="72">
        <f>[5]Forecasts!$C162</f>
        <v>3.3129529576561079</v>
      </c>
    </row>
    <row r="125" spans="1:51" x14ac:dyDescent="0.2">
      <c r="A125" s="19" t="s">
        <v>167</v>
      </c>
      <c r="M125" s="182"/>
      <c r="N125" s="182"/>
      <c r="O125" s="182"/>
      <c r="P125" s="182"/>
      <c r="Q125" s="182"/>
      <c r="R125" s="182"/>
      <c r="S125" s="182"/>
      <c r="T125" s="182"/>
      <c r="U125" s="73">
        <f>[5]Forecasts!$C7</f>
        <v>1.1539999999999999</v>
      </c>
      <c r="V125" s="73">
        <f>[5]Forecasts!$C19</f>
        <v>2.1303999999999998</v>
      </c>
      <c r="W125" s="73">
        <f>[5]Forecasts!$C31</f>
        <v>4.3010999999999999</v>
      </c>
      <c r="X125" s="73">
        <f>[5]Forecasts!$C43</f>
        <v>2.2235999999999998</v>
      </c>
      <c r="Y125" s="73">
        <f>[5]Forecasts!$C55</f>
        <v>2.4277000000000002</v>
      </c>
      <c r="Z125" s="72">
        <f>[5]Forecasts!$C67</f>
        <v>2.6409000000000002</v>
      </c>
      <c r="AA125" s="72">
        <f>[5]Forecasts!$C79</f>
        <v>2.7897054552666214</v>
      </c>
      <c r="AB125" s="72">
        <f>[5]Forecasts!$C91</f>
        <v>2.9824357104527284</v>
      </c>
      <c r="AC125" s="72">
        <f>[5]Forecasts!$C103</f>
        <v>2.972198019066445</v>
      </c>
      <c r="AD125" s="72">
        <f>[5]Forecasts!$C115</f>
        <v>3.5639783911011147</v>
      </c>
      <c r="AE125" s="72">
        <f>[5]Forecasts!$C127</f>
        <v>3.9777513490354171</v>
      </c>
      <c r="AF125" s="72">
        <f>[5]Forecasts!$C139</f>
        <v>4.1479930421488946</v>
      </c>
      <c r="AG125" s="72">
        <f>[5]Forecasts!$C151</f>
        <v>3.7644865292190905</v>
      </c>
      <c r="AH125" s="72">
        <f>[5]Forecasts!$C163</f>
        <v>3.3427695342750128</v>
      </c>
      <c r="AI125" s="72">
        <f>[5]Forecasts!$C163</f>
        <v>3.3427695342750128</v>
      </c>
      <c r="AJ125" s="72">
        <f>[5]Forecasts!$C163</f>
        <v>3.3427695342750128</v>
      </c>
      <c r="AK125" s="72">
        <f>[5]Forecasts!$C163</f>
        <v>3.3427695342750128</v>
      </c>
      <c r="AL125" s="72">
        <f>[5]Forecasts!$C163</f>
        <v>3.3427695342750128</v>
      </c>
      <c r="AM125" s="72">
        <f>[5]Forecasts!$C163</f>
        <v>3.3427695342750128</v>
      </c>
      <c r="AN125" s="72">
        <f>[5]Forecasts!$C163</f>
        <v>3.3427695342750128</v>
      </c>
      <c r="AO125" s="72">
        <f>[5]Forecasts!$C163</f>
        <v>3.3427695342750128</v>
      </c>
      <c r="AP125" s="72">
        <f>[5]Forecasts!$C163</f>
        <v>3.3427695342750128</v>
      </c>
      <c r="AQ125" s="72">
        <f>[5]Forecasts!$C163</f>
        <v>3.3427695342750128</v>
      </c>
      <c r="AR125" s="72">
        <f>[5]Forecasts!$C163</f>
        <v>3.3427695342750128</v>
      </c>
      <c r="AS125" s="72">
        <f>[5]Forecasts!$C163</f>
        <v>3.3427695342750128</v>
      </c>
      <c r="AT125" s="72">
        <f>[5]Forecasts!$C163</f>
        <v>3.3427695342750128</v>
      </c>
      <c r="AU125" s="72">
        <f>[5]Forecasts!$C163</f>
        <v>3.3427695342750128</v>
      </c>
      <c r="AV125" s="72">
        <f>[5]Forecasts!$C163</f>
        <v>3.3427695342750128</v>
      </c>
      <c r="AW125" s="72">
        <f>[5]Forecasts!$C163</f>
        <v>3.3427695342750128</v>
      </c>
      <c r="AX125" s="72">
        <f>[5]Forecasts!$C163</f>
        <v>3.3427695342750128</v>
      </c>
      <c r="AY125" s="72">
        <f>[5]Forecasts!$C163</f>
        <v>3.3427695342750128</v>
      </c>
    </row>
    <row r="126" spans="1:51" x14ac:dyDescent="0.2">
      <c r="A126" s="19" t="s">
        <v>168</v>
      </c>
      <c r="M126" s="182"/>
      <c r="N126" s="182"/>
      <c r="O126" s="182"/>
      <c r="P126" s="182"/>
      <c r="Q126" s="182"/>
      <c r="R126" s="182"/>
      <c r="S126" s="182"/>
      <c r="T126" s="182"/>
      <c r="U126" s="73">
        <f>[5]Forecasts!$C8</f>
        <v>1.2476</v>
      </c>
      <c r="V126" s="73">
        <f>[5]Forecasts!$C20</f>
        <v>2.1139999999999999</v>
      </c>
      <c r="W126" s="73">
        <f>[5]Forecasts!$C32</f>
        <v>3.6501999999999999</v>
      </c>
      <c r="X126" s="73">
        <f>[5]Forecasts!$C44</f>
        <v>2.5154999999999998</v>
      </c>
      <c r="Y126" s="73">
        <f>[5]Forecasts!$C56</f>
        <v>2.3199999999999998</v>
      </c>
      <c r="Z126" s="72">
        <f>[5]Forecasts!$C68</f>
        <v>2.6913</v>
      </c>
      <c r="AA126" s="72">
        <f>[5]Forecasts!$C80</f>
        <v>2.8064436879982213</v>
      </c>
      <c r="AB126" s="72">
        <f>[5]Forecasts!$C92</f>
        <v>2.9943654532945394</v>
      </c>
      <c r="AC126" s="72">
        <f>[5]Forecasts!$C104</f>
        <v>3.0019199992571095</v>
      </c>
      <c r="AD126" s="72">
        <f>[5]Forecasts!$C116</f>
        <v>3.6104144127100133</v>
      </c>
      <c r="AE126" s="72">
        <f>[5]Forecasts!$C128</f>
        <v>3.9777513490354171</v>
      </c>
      <c r="AF126" s="72">
        <f>[5]Forecasts!$C140</f>
        <v>4.1894729725703836</v>
      </c>
      <c r="AG126" s="72">
        <f>[5]Forecasts!$C152</f>
        <v>3.7607220426898715</v>
      </c>
      <c r="AH126" s="72">
        <f>[5]Forecasts!$C164</f>
        <v>3.3628261514806628</v>
      </c>
      <c r="AI126" s="72">
        <f>[5]Forecasts!$C164</f>
        <v>3.3628261514806628</v>
      </c>
      <c r="AJ126" s="72">
        <f>[5]Forecasts!$C164</f>
        <v>3.3628261514806628</v>
      </c>
      <c r="AK126" s="72">
        <f>[5]Forecasts!$C164</f>
        <v>3.3628261514806628</v>
      </c>
      <c r="AL126" s="72">
        <f>[5]Forecasts!$C164</f>
        <v>3.3628261514806628</v>
      </c>
      <c r="AM126" s="72">
        <f>[5]Forecasts!$C164</f>
        <v>3.3628261514806628</v>
      </c>
      <c r="AN126" s="72">
        <f>[5]Forecasts!$C164</f>
        <v>3.3628261514806628</v>
      </c>
      <c r="AO126" s="72">
        <f>[5]Forecasts!$C164</f>
        <v>3.3628261514806628</v>
      </c>
      <c r="AP126" s="72">
        <f>[5]Forecasts!$C164</f>
        <v>3.3628261514806628</v>
      </c>
      <c r="AQ126" s="72">
        <f>[5]Forecasts!$C164</f>
        <v>3.3628261514806628</v>
      </c>
      <c r="AR126" s="72">
        <f>[5]Forecasts!$C164</f>
        <v>3.3628261514806628</v>
      </c>
      <c r="AS126" s="72">
        <f>[5]Forecasts!$C164</f>
        <v>3.3628261514806628</v>
      </c>
      <c r="AT126" s="72">
        <f>[5]Forecasts!$C164</f>
        <v>3.3628261514806628</v>
      </c>
      <c r="AU126" s="72">
        <f>[5]Forecasts!$C164</f>
        <v>3.3628261514806628</v>
      </c>
      <c r="AV126" s="72">
        <f>[5]Forecasts!$C164</f>
        <v>3.3628261514806628</v>
      </c>
      <c r="AW126" s="72">
        <f>[5]Forecasts!$C164</f>
        <v>3.3628261514806628</v>
      </c>
      <c r="AX126" s="72">
        <f>[5]Forecasts!$C164</f>
        <v>3.3628261514806628</v>
      </c>
      <c r="AY126" s="72">
        <f>[5]Forecasts!$C164</f>
        <v>3.3628261514806628</v>
      </c>
    </row>
    <row r="127" spans="1:51" x14ac:dyDescent="0.2">
      <c r="A127" s="19" t="s">
        <v>169</v>
      </c>
      <c r="M127" s="182"/>
      <c r="N127" s="182"/>
      <c r="O127" s="182"/>
      <c r="P127" s="182"/>
      <c r="Q127" s="182"/>
      <c r="R127" s="182"/>
      <c r="S127" s="182"/>
      <c r="T127" s="182"/>
      <c r="U127" s="73">
        <f>[5]Forecasts!$C9</f>
        <v>1.2482</v>
      </c>
      <c r="V127" s="73">
        <f>[5]Forecasts!$C21</f>
        <v>2.0815000000000001</v>
      </c>
      <c r="W127" s="73">
        <f>[5]Forecasts!$C33</f>
        <v>3.6059999999999999</v>
      </c>
      <c r="X127" s="73">
        <f>[5]Forecasts!$C45</f>
        <v>3.1316000000000002</v>
      </c>
      <c r="Y127" s="73">
        <f>[5]Forecasts!$C57</f>
        <v>2.11</v>
      </c>
      <c r="Z127" s="72">
        <f>[5]Forecasts!$C69</f>
        <v>2.7498</v>
      </c>
      <c r="AA127" s="72">
        <f>[5]Forecasts!$C81</f>
        <v>2.8204759064382126</v>
      </c>
      <c r="AB127" s="72">
        <f>[5]Forecasts!$C93</f>
        <v>3.0063429151077177</v>
      </c>
      <c r="AC127" s="72">
        <f>[5]Forecasts!$C105</f>
        <v>3.0379430392481948</v>
      </c>
      <c r="AD127" s="72">
        <f>[5]Forecasts!$C117</f>
        <v>3.7959727550591733</v>
      </c>
      <c r="AE127" s="72">
        <f>[5]Forecasts!$C129</f>
        <v>3.9658180949883106</v>
      </c>
      <c r="AF127" s="72">
        <f>[5]Forecasts!$C141</f>
        <v>4.239746648241228</v>
      </c>
      <c r="AG127" s="72">
        <f>[5]Forecasts!$C153</f>
        <v>3.7456791545191122</v>
      </c>
      <c r="AH127" s="72">
        <f>[5]Forecasts!$C165</f>
        <v>3.3527376730262208</v>
      </c>
      <c r="AI127" s="72">
        <f>[5]Forecasts!$C165</f>
        <v>3.3527376730262208</v>
      </c>
      <c r="AJ127" s="72">
        <f>[5]Forecasts!$C165</f>
        <v>3.3527376730262208</v>
      </c>
      <c r="AK127" s="72">
        <f>[5]Forecasts!$C165</f>
        <v>3.3527376730262208</v>
      </c>
      <c r="AL127" s="72">
        <f>[5]Forecasts!$C165</f>
        <v>3.3527376730262208</v>
      </c>
      <c r="AM127" s="72">
        <f>[5]Forecasts!$C165</f>
        <v>3.3527376730262208</v>
      </c>
      <c r="AN127" s="72">
        <f>[5]Forecasts!$C165</f>
        <v>3.3527376730262208</v>
      </c>
      <c r="AO127" s="72">
        <f>[5]Forecasts!$C165</f>
        <v>3.3527376730262208</v>
      </c>
      <c r="AP127" s="72">
        <f>[5]Forecasts!$C165</f>
        <v>3.3527376730262208</v>
      </c>
      <c r="AQ127" s="72">
        <f>[5]Forecasts!$C165</f>
        <v>3.3527376730262208</v>
      </c>
      <c r="AR127" s="72">
        <f>[5]Forecasts!$C165</f>
        <v>3.3527376730262208</v>
      </c>
      <c r="AS127" s="72">
        <f>[5]Forecasts!$C165</f>
        <v>3.3527376730262208</v>
      </c>
      <c r="AT127" s="72">
        <f>[5]Forecasts!$C165</f>
        <v>3.3527376730262208</v>
      </c>
      <c r="AU127" s="72">
        <f>[5]Forecasts!$C165</f>
        <v>3.3527376730262208</v>
      </c>
      <c r="AV127" s="72">
        <f>[5]Forecasts!$C165</f>
        <v>3.3527376730262208</v>
      </c>
      <c r="AW127" s="72">
        <f>[5]Forecasts!$C165</f>
        <v>3.3527376730262208</v>
      </c>
      <c r="AX127" s="72">
        <f>[5]Forecasts!$C165</f>
        <v>3.3527376730262208</v>
      </c>
      <c r="AY127" s="72">
        <f>[5]Forecasts!$C165</f>
        <v>3.3527376730262208</v>
      </c>
    </row>
    <row r="128" spans="1:51" x14ac:dyDescent="0.2">
      <c r="A128" s="19" t="s">
        <v>170</v>
      </c>
      <c r="M128" s="182"/>
      <c r="N128" s="182"/>
      <c r="O128" s="182"/>
      <c r="P128" s="182"/>
      <c r="Q128" s="182"/>
      <c r="R128" s="182"/>
      <c r="S128" s="182"/>
      <c r="T128" s="182"/>
      <c r="U128" s="73">
        <f>[5]Forecasts!$C10</f>
        <v>1.1354</v>
      </c>
      <c r="V128" s="73">
        <f>[5]Forecasts!$C22</f>
        <v>2.2090999999999998</v>
      </c>
      <c r="W128" s="73">
        <f>[5]Forecasts!$C34</f>
        <v>3.4216000000000002</v>
      </c>
      <c r="X128" s="73">
        <f>[5]Forecasts!$C46</f>
        <v>3.7347999999999999</v>
      </c>
      <c r="Y128" s="73">
        <f>[5]Forecasts!$C58</f>
        <v>2.02</v>
      </c>
      <c r="Z128" s="72">
        <f>[5]Forecasts!$C70</f>
        <v>2.6375000000000002</v>
      </c>
      <c r="AA128" s="72">
        <f>[5]Forecasts!$C82</f>
        <v>2.8317578100639653</v>
      </c>
      <c r="AB128" s="72">
        <f>[5]Forecasts!$C94</f>
        <v>3.0183682867681485</v>
      </c>
      <c r="AC128" s="72">
        <f>[5]Forecasts!$C106</f>
        <v>3.0804742417976696</v>
      </c>
      <c r="AD128" s="72">
        <f>[5]Forecasts!$C118</f>
        <v>3.7694009457737589</v>
      </c>
      <c r="AE128" s="72">
        <f>[5]Forecasts!$C130</f>
        <v>3.9420231864183806</v>
      </c>
      <c r="AF128" s="72">
        <f>[5]Forecasts!$C142</f>
        <v>4.2991031013166054</v>
      </c>
      <c r="AG128" s="72">
        <f>[5]Forecasts!$C154</f>
        <v>3.7194594004374784</v>
      </c>
      <c r="AH128" s="72">
        <f>[5]Forecasts!$C166</f>
        <v>3.3326212469880634</v>
      </c>
      <c r="AI128" s="72">
        <f>[5]Forecasts!$C166</f>
        <v>3.3326212469880634</v>
      </c>
      <c r="AJ128" s="72">
        <f>[5]Forecasts!$C166</f>
        <v>3.3326212469880634</v>
      </c>
      <c r="AK128" s="72">
        <f>[5]Forecasts!$C166</f>
        <v>3.3326212469880634</v>
      </c>
      <c r="AL128" s="72">
        <f>[5]Forecasts!$C166</f>
        <v>3.3326212469880634</v>
      </c>
      <c r="AM128" s="72">
        <f>[5]Forecasts!$C166</f>
        <v>3.3326212469880634</v>
      </c>
      <c r="AN128" s="72">
        <f>[5]Forecasts!$C166</f>
        <v>3.3326212469880634</v>
      </c>
      <c r="AO128" s="72">
        <f>[5]Forecasts!$C166</f>
        <v>3.3326212469880634</v>
      </c>
      <c r="AP128" s="72">
        <f>[5]Forecasts!$C166</f>
        <v>3.3326212469880634</v>
      </c>
      <c r="AQ128" s="72">
        <f>[5]Forecasts!$C166</f>
        <v>3.3326212469880634</v>
      </c>
      <c r="AR128" s="72">
        <f>[5]Forecasts!$C166</f>
        <v>3.3326212469880634</v>
      </c>
      <c r="AS128" s="72">
        <f>[5]Forecasts!$C166</f>
        <v>3.3326212469880634</v>
      </c>
      <c r="AT128" s="72">
        <f>[5]Forecasts!$C166</f>
        <v>3.3326212469880634</v>
      </c>
      <c r="AU128" s="72">
        <f>[5]Forecasts!$C166</f>
        <v>3.3326212469880634</v>
      </c>
      <c r="AV128" s="72">
        <f>[5]Forecasts!$C166</f>
        <v>3.3326212469880634</v>
      </c>
      <c r="AW128" s="72">
        <f>[5]Forecasts!$C166</f>
        <v>3.3326212469880634</v>
      </c>
      <c r="AX128" s="72">
        <f>[5]Forecasts!$C166</f>
        <v>3.3326212469880634</v>
      </c>
      <c r="AY128" s="72">
        <f>[5]Forecasts!$C166</f>
        <v>3.3326212469880634</v>
      </c>
    </row>
    <row r="129" spans="1:51" x14ac:dyDescent="0.2">
      <c r="A129" s="19" t="s">
        <v>171</v>
      </c>
      <c r="M129" s="182"/>
      <c r="N129" s="182"/>
      <c r="O129" s="182"/>
      <c r="P129" s="182"/>
      <c r="Q129" s="182"/>
      <c r="R129" s="182"/>
      <c r="S129" s="182"/>
      <c r="T129" s="182"/>
      <c r="U129" s="73">
        <f>[5]Forecasts!$C11</f>
        <v>1.1605000000000001</v>
      </c>
      <c r="V129" s="73">
        <f>[5]Forecasts!$C23</f>
        <v>2.5255999999999998</v>
      </c>
      <c r="W129" s="73">
        <f>[5]Forecasts!$C35</f>
        <v>3.9615785714285709</v>
      </c>
      <c r="X129" s="73">
        <f>[5]Forecasts!$C47</f>
        <v>3.2168000000000001</v>
      </c>
      <c r="Y129" s="73">
        <f>[5]Forecasts!$C59</f>
        <v>2.17</v>
      </c>
      <c r="Z129" s="72">
        <f>[5]Forecasts!$C71</f>
        <v>2.7104999999999997</v>
      </c>
      <c r="AA129" s="72">
        <f>[5]Forecasts!$C83</f>
        <v>2.8459165991142852</v>
      </c>
      <c r="AB129" s="72">
        <f>[5]Forecasts!$C95</f>
        <v>3.0304417599152211</v>
      </c>
      <c r="AC129" s="72">
        <f>[5]Forecasts!$C107</f>
        <v>3.1297618296664322</v>
      </c>
      <c r="AD129" s="72">
        <f>[5]Forecasts!$C119</f>
        <v>3.7317069363160216</v>
      </c>
      <c r="AE129" s="72">
        <f>[5]Forecasts!$C131</f>
        <v>3.9065449777406154</v>
      </c>
      <c r="AF129" s="72">
        <f>[5]Forecasts!$C143</f>
        <v>4.3678887509376709</v>
      </c>
      <c r="AG129" s="72">
        <f>[5]Forecasts!$C155</f>
        <v>3.6822648064331034</v>
      </c>
      <c r="AH129" s="72">
        <f>[5]Forecasts!$C167</f>
        <v>3.3026276557651708</v>
      </c>
      <c r="AI129" s="72">
        <f>[5]Forecasts!$C167</f>
        <v>3.3026276557651708</v>
      </c>
      <c r="AJ129" s="72">
        <f>[5]Forecasts!$C167</f>
        <v>3.3026276557651708</v>
      </c>
      <c r="AK129" s="72">
        <f>[5]Forecasts!$C167</f>
        <v>3.3026276557651708</v>
      </c>
      <c r="AL129" s="72">
        <f>[5]Forecasts!$C167</f>
        <v>3.3026276557651708</v>
      </c>
      <c r="AM129" s="72">
        <f>[5]Forecasts!$C167</f>
        <v>3.3026276557651708</v>
      </c>
      <c r="AN129" s="72">
        <f>[5]Forecasts!$C167</f>
        <v>3.3026276557651708</v>
      </c>
      <c r="AO129" s="72">
        <f>[5]Forecasts!$C167</f>
        <v>3.3026276557651708</v>
      </c>
      <c r="AP129" s="72">
        <f>[5]Forecasts!$C167</f>
        <v>3.3026276557651708</v>
      </c>
      <c r="AQ129" s="72">
        <f>[5]Forecasts!$C167</f>
        <v>3.3026276557651708</v>
      </c>
      <c r="AR129" s="72">
        <f>[5]Forecasts!$C167</f>
        <v>3.3026276557651708</v>
      </c>
      <c r="AS129" s="72">
        <f>[5]Forecasts!$C167</f>
        <v>3.3026276557651708</v>
      </c>
      <c r="AT129" s="72">
        <f>[5]Forecasts!$C167</f>
        <v>3.3026276557651708</v>
      </c>
      <c r="AU129" s="72">
        <f>[5]Forecasts!$C167</f>
        <v>3.3026276557651708</v>
      </c>
      <c r="AV129" s="72">
        <f>[5]Forecasts!$C167</f>
        <v>3.3026276557651708</v>
      </c>
      <c r="AW129" s="72">
        <f>[5]Forecasts!$C167</f>
        <v>3.3026276557651708</v>
      </c>
      <c r="AX129" s="72">
        <f>[5]Forecasts!$C167</f>
        <v>3.3026276557651708</v>
      </c>
      <c r="AY129" s="72">
        <f>[5]Forecasts!$C167</f>
        <v>3.3026276557651708</v>
      </c>
    </row>
    <row r="130" spans="1:51" x14ac:dyDescent="0.2">
      <c r="A130" s="19" t="s">
        <v>172</v>
      </c>
      <c r="M130" s="182"/>
      <c r="N130" s="182"/>
      <c r="O130" s="182"/>
      <c r="P130" s="182"/>
      <c r="Q130" s="182"/>
      <c r="R130" s="182"/>
      <c r="S130" s="182"/>
      <c r="T130" s="182"/>
      <c r="U130" s="73">
        <f>[5]Forecasts!$C12</f>
        <v>1.2509999999999999</v>
      </c>
      <c r="V130" s="73">
        <f>[5]Forecasts!$C24</f>
        <v>2.3986000000000001</v>
      </c>
      <c r="W130" s="73">
        <f>[5]Forecasts!$C36</f>
        <v>3.5769000000000002</v>
      </c>
      <c r="X130" s="73">
        <f>[5]Forecasts!$C48</f>
        <v>2.944</v>
      </c>
      <c r="Y130" s="73">
        <f>[5]Forecasts!$C60</f>
        <v>2.29</v>
      </c>
      <c r="Z130" s="72">
        <f>[5]Forecasts!$C72</f>
        <v>2.7595000000000001</v>
      </c>
      <c r="AA130" s="72">
        <f>[5]Forecasts!$C84</f>
        <v>2.862992098708971</v>
      </c>
      <c r="AB130" s="72">
        <f>[5]Forecasts!$C96</f>
        <v>3.045593968714797</v>
      </c>
      <c r="AC130" s="72">
        <f>[5]Forecasts!$C108</f>
        <v>3.1860975426004279</v>
      </c>
      <c r="AD130" s="72">
        <f>[5]Forecasts!$C120</f>
        <v>3.6831947461439132</v>
      </c>
      <c r="AE130" s="72">
        <f>[5]Forecasts!$C132</f>
        <v>3.8596664380077281</v>
      </c>
      <c r="AF130" s="72">
        <f>[5]Forecasts!$C144</f>
        <v>4.446510748454549</v>
      </c>
      <c r="AG130" s="72">
        <f>[5]Forecasts!$C156</f>
        <v>3.6343953639494733</v>
      </c>
      <c r="AH130" s="72">
        <f>[5]Forecasts!$C168</f>
        <v>3.2629961238959888</v>
      </c>
      <c r="AI130" s="72">
        <f>[5]Forecasts!$C168</f>
        <v>3.2629961238959888</v>
      </c>
      <c r="AJ130" s="72">
        <f>[5]Forecasts!$C168</f>
        <v>3.2629961238959888</v>
      </c>
      <c r="AK130" s="72">
        <f>[5]Forecasts!$C168</f>
        <v>3.2629961238959888</v>
      </c>
      <c r="AL130" s="72">
        <f>[5]Forecasts!$C168</f>
        <v>3.2629961238959888</v>
      </c>
      <c r="AM130" s="72">
        <f>[5]Forecasts!$C168</f>
        <v>3.2629961238959888</v>
      </c>
      <c r="AN130" s="72">
        <f>[5]Forecasts!$C168</f>
        <v>3.2629961238959888</v>
      </c>
      <c r="AO130" s="72">
        <f>[5]Forecasts!$C168</f>
        <v>3.2629961238959888</v>
      </c>
      <c r="AP130" s="72">
        <f>[5]Forecasts!$C168</f>
        <v>3.2629961238959888</v>
      </c>
      <c r="AQ130" s="72">
        <f>[5]Forecasts!$C168</f>
        <v>3.2629961238959888</v>
      </c>
      <c r="AR130" s="72">
        <f>[5]Forecasts!$C168</f>
        <v>3.2629961238959888</v>
      </c>
      <c r="AS130" s="72">
        <f>[5]Forecasts!$C168</f>
        <v>3.2629961238959888</v>
      </c>
      <c r="AT130" s="72">
        <f>[5]Forecasts!$C168</f>
        <v>3.2629961238959888</v>
      </c>
      <c r="AU130" s="72">
        <f>[5]Forecasts!$C168</f>
        <v>3.2629961238959888</v>
      </c>
      <c r="AV130" s="72">
        <f>[5]Forecasts!$C168</f>
        <v>3.2629961238959888</v>
      </c>
      <c r="AW130" s="72">
        <f>[5]Forecasts!$C168</f>
        <v>3.2629961238959888</v>
      </c>
      <c r="AX130" s="72">
        <f>[5]Forecasts!$C168</f>
        <v>3.2629961238959888</v>
      </c>
      <c r="AY130" s="72">
        <f>[5]Forecasts!$C168</f>
        <v>3.2629961238959888</v>
      </c>
    </row>
    <row r="131" spans="1:51" x14ac:dyDescent="0.2">
      <c r="A131" s="19" t="s">
        <v>173</v>
      </c>
      <c r="M131" s="182"/>
      <c r="N131" s="182"/>
      <c r="O131" s="182"/>
      <c r="P131" s="182"/>
      <c r="Q131" s="182"/>
      <c r="R131" s="182"/>
      <c r="S131" s="182"/>
      <c r="T131" s="182"/>
      <c r="U131" s="73">
        <f>[5]Forecasts!$C13</f>
        <v>1.4568000000000001</v>
      </c>
      <c r="V131" s="73">
        <f>[5]Forecasts!$C25</f>
        <v>2.2559</v>
      </c>
      <c r="W131" s="73">
        <f>[5]Forecasts!$C37</f>
        <v>2.9495</v>
      </c>
      <c r="X131" s="73">
        <f>[5]Forecasts!$C49</f>
        <v>2.5878999999999999</v>
      </c>
      <c r="Y131" s="73">
        <f>[5]Forecasts!$C61</f>
        <v>2.5099999999999998</v>
      </c>
      <c r="Z131" s="72">
        <f>[5]Forecasts!$C73</f>
        <v>2.7111000000000001</v>
      </c>
      <c r="AA131" s="72">
        <f>[5]Forecasts!$C85</f>
        <v>2.8830330433999336</v>
      </c>
      <c r="AB131" s="72">
        <f>[5]Forecasts!$C97</f>
        <v>3.0638675325270857</v>
      </c>
      <c r="AC131" s="72">
        <f>[5]Forecasts!$C109</f>
        <v>3.7498194934524363</v>
      </c>
      <c r="AD131" s="72">
        <f>[5]Forecasts!$C121</f>
        <v>3.9242636302056102</v>
      </c>
      <c r="AE131" s="72">
        <f>[5]Forecasts!$C133</f>
        <v>4.0017714414376124</v>
      </c>
      <c r="AF131" s="72">
        <f>[5]Forecasts!$C145</f>
        <v>4.5354409634236399</v>
      </c>
      <c r="AG131" s="72">
        <f>[5]Forecasts!$C157</f>
        <v>4.0762450381262818</v>
      </c>
      <c r="AH131" s="72">
        <f>[5]Forecasts!$C169</f>
        <v>3.214051182037549</v>
      </c>
      <c r="AI131" s="72">
        <f>[5]Forecasts!$C169</f>
        <v>3.214051182037549</v>
      </c>
      <c r="AJ131" s="72">
        <f>[5]Forecasts!$C169</f>
        <v>3.214051182037549</v>
      </c>
      <c r="AK131" s="72">
        <f>[5]Forecasts!$C169</f>
        <v>3.214051182037549</v>
      </c>
      <c r="AL131" s="72">
        <f>[5]Forecasts!$C169</f>
        <v>3.214051182037549</v>
      </c>
      <c r="AM131" s="72">
        <f>[5]Forecasts!$C169</f>
        <v>3.214051182037549</v>
      </c>
      <c r="AN131" s="72">
        <f>[5]Forecasts!$C169</f>
        <v>3.214051182037549</v>
      </c>
      <c r="AO131" s="72">
        <f>[5]Forecasts!$C169</f>
        <v>3.214051182037549</v>
      </c>
      <c r="AP131" s="72">
        <f>[5]Forecasts!$C169</f>
        <v>3.214051182037549</v>
      </c>
      <c r="AQ131" s="72">
        <f>[5]Forecasts!$C169</f>
        <v>3.214051182037549</v>
      </c>
      <c r="AR131" s="72">
        <f>[5]Forecasts!$C169</f>
        <v>3.214051182037549</v>
      </c>
      <c r="AS131" s="72">
        <f>[5]Forecasts!$C169</f>
        <v>3.214051182037549</v>
      </c>
      <c r="AT131" s="72">
        <f>[5]Forecasts!$C169</f>
        <v>3.214051182037549</v>
      </c>
      <c r="AU131" s="72">
        <f>[5]Forecasts!$C169</f>
        <v>3.214051182037549</v>
      </c>
      <c r="AV131" s="72">
        <f>[5]Forecasts!$C169</f>
        <v>3.214051182037549</v>
      </c>
      <c r="AW131" s="72">
        <f>[5]Forecasts!$C169</f>
        <v>3.214051182037549</v>
      </c>
      <c r="AX131" s="72">
        <f>[5]Forecasts!$C169</f>
        <v>3.214051182037549</v>
      </c>
      <c r="AY131" s="72">
        <f>[5]Forecasts!$C169</f>
        <v>3.214051182037549</v>
      </c>
    </row>
    <row r="132" spans="1:51" x14ac:dyDescent="0.2">
      <c r="A132" s="117" t="s">
        <v>181</v>
      </c>
      <c r="M132" s="182"/>
      <c r="N132" s="182"/>
      <c r="O132" s="182"/>
      <c r="P132" s="182"/>
      <c r="Q132" s="182"/>
      <c r="R132" s="182"/>
      <c r="S132" s="182"/>
      <c r="T132" s="182"/>
      <c r="U132" s="73">
        <f>AVERAGE(U120:U131)</f>
        <v>1.2606833333333334</v>
      </c>
      <c r="V132" s="73">
        <f>AVERAGE(V120:V131)</f>
        <v>2.0725166666666666</v>
      </c>
      <c r="W132" s="73">
        <f>AVERAGE(W120:W131)</f>
        <v>3.5333315476190479</v>
      </c>
      <c r="X132" s="73">
        <f>AVERAGE(X120:X131)</f>
        <v>2.7759166666666668</v>
      </c>
      <c r="Y132" s="73">
        <f>AVERAGE(Y120:Y131)</f>
        <v>2.3894749999999996</v>
      </c>
      <c r="Z132" s="72">
        <f t="shared" ref="Z132:AY132" si="56">AVERAGE(Z120:Z131)</f>
        <v>2.6608333333333332</v>
      </c>
      <c r="AA132" s="72">
        <f t="shared" si="56"/>
        <v>2.7877007958372961</v>
      </c>
      <c r="AB132" s="72">
        <f t="shared" si="56"/>
        <v>2.9872686392257752</v>
      </c>
      <c r="AC132" s="72">
        <f t="shared" si="56"/>
        <v>3.09552775352766</v>
      </c>
      <c r="AD132" s="72">
        <f t="shared" si="56"/>
        <v>3.713748412591491</v>
      </c>
      <c r="AE132" s="72">
        <f t="shared" si="56"/>
        <v>4.0075167955922657</v>
      </c>
      <c r="AF132" s="72">
        <f t="shared" si="56"/>
        <v>4.2158113933062866</v>
      </c>
      <c r="AG132" s="72">
        <f t="shared" si="56"/>
        <v>4.1215088379181095</v>
      </c>
      <c r="AH132" s="72">
        <f t="shared" si="56"/>
        <v>3.4909731185903561</v>
      </c>
      <c r="AI132" s="72">
        <f t="shared" si="56"/>
        <v>3.4909731185903561</v>
      </c>
      <c r="AJ132" s="72">
        <f t="shared" si="56"/>
        <v>3.4909731185903561</v>
      </c>
      <c r="AK132" s="72">
        <f t="shared" si="56"/>
        <v>3.4909731185903561</v>
      </c>
      <c r="AL132" s="72">
        <f t="shared" si="56"/>
        <v>3.4909731185903561</v>
      </c>
      <c r="AM132" s="72">
        <f t="shared" si="56"/>
        <v>3.4909731185903561</v>
      </c>
      <c r="AN132" s="72">
        <f t="shared" si="56"/>
        <v>3.4909731185903561</v>
      </c>
      <c r="AO132" s="72">
        <f t="shared" si="56"/>
        <v>3.4909731185903561</v>
      </c>
      <c r="AP132" s="72">
        <f t="shared" si="56"/>
        <v>3.4909731185903561</v>
      </c>
      <c r="AQ132" s="72">
        <f t="shared" si="56"/>
        <v>3.4909731185903561</v>
      </c>
      <c r="AR132" s="72">
        <f t="shared" si="56"/>
        <v>3.4909731185903561</v>
      </c>
      <c r="AS132" s="72">
        <f t="shared" si="56"/>
        <v>3.4909731185903561</v>
      </c>
      <c r="AT132" s="72">
        <f t="shared" si="56"/>
        <v>3.4909731185903561</v>
      </c>
      <c r="AU132" s="72">
        <f t="shared" si="56"/>
        <v>3.4909731185903561</v>
      </c>
      <c r="AV132" s="72">
        <f t="shared" si="56"/>
        <v>3.4909731185903561</v>
      </c>
      <c r="AW132" s="72">
        <f t="shared" si="56"/>
        <v>3.4909731185903561</v>
      </c>
      <c r="AX132" s="72">
        <f t="shared" si="56"/>
        <v>3.4909731185903561</v>
      </c>
      <c r="AY132" s="72">
        <f t="shared" si="56"/>
        <v>3.4909731185903561</v>
      </c>
    </row>
    <row r="133" spans="1:51" x14ac:dyDescent="0.2">
      <c r="A133" s="114"/>
      <c r="B133" s="114"/>
      <c r="C133" s="114"/>
      <c r="D133" s="114"/>
      <c r="E133" s="114"/>
      <c r="F133" s="114"/>
      <c r="G133" s="114"/>
      <c r="H133" s="114"/>
      <c r="I133" s="114"/>
      <c r="J133" s="114"/>
      <c r="K133" s="114"/>
      <c r="L133" s="114"/>
      <c r="M133" s="114"/>
      <c r="N133" s="114"/>
      <c r="O133" s="114"/>
      <c r="P133" s="114"/>
      <c r="Q133" s="114"/>
      <c r="R133" s="114"/>
      <c r="S133" s="114"/>
      <c r="T133" s="114"/>
      <c r="U133" s="114"/>
      <c r="V133" s="114"/>
      <c r="W133" s="114"/>
      <c r="X133" s="114"/>
      <c r="Y133" s="114"/>
      <c r="Z133" s="114"/>
      <c r="AA133" s="114"/>
      <c r="AB133" s="114"/>
      <c r="AC133" s="114"/>
      <c r="AD133" s="114"/>
      <c r="AE133" s="114"/>
      <c r="AF133" s="114"/>
      <c r="AG133" s="114"/>
      <c r="AH133" s="114"/>
      <c r="AI133" s="114"/>
      <c r="AJ133" s="114"/>
      <c r="AK133" s="114"/>
      <c r="AL133" s="114"/>
      <c r="AM133" s="114"/>
      <c r="AN133" s="114"/>
      <c r="AO133" s="114"/>
      <c r="AP133" s="114"/>
      <c r="AQ133" s="114"/>
      <c r="AR133" s="114"/>
      <c r="AS133" s="114"/>
      <c r="AT133" s="114"/>
      <c r="AU133" s="114"/>
      <c r="AV133" s="114"/>
      <c r="AW133" s="114"/>
      <c r="AX133" s="114"/>
      <c r="AY133" s="114"/>
    </row>
    <row r="134" spans="1:51" ht="12" thickBot="1" x14ac:dyDescent="0.25">
      <c r="A134" s="121" t="s">
        <v>212</v>
      </c>
      <c r="X134" s="183"/>
    </row>
    <row r="135" spans="1:51" ht="12" thickBot="1" x14ac:dyDescent="0.25">
      <c r="A135" s="122"/>
      <c r="B135" s="128">
        <f>B2</f>
        <v>2001</v>
      </c>
      <c r="C135" s="128">
        <f t="shared" ref="C135:AY135" si="57">C2</f>
        <v>2002</v>
      </c>
      <c r="D135" s="128">
        <f t="shared" si="57"/>
        <v>2003</v>
      </c>
      <c r="E135" s="128">
        <f t="shared" si="57"/>
        <v>2004</v>
      </c>
      <c r="F135" s="128">
        <f t="shared" si="57"/>
        <v>2005</v>
      </c>
      <c r="G135" s="128">
        <f t="shared" si="57"/>
        <v>2006</v>
      </c>
      <c r="H135" s="128">
        <f t="shared" si="57"/>
        <v>2007</v>
      </c>
      <c r="I135" s="128">
        <f t="shared" si="57"/>
        <v>2008</v>
      </c>
      <c r="J135" s="128">
        <f t="shared" si="57"/>
        <v>2009</v>
      </c>
      <c r="K135" s="128">
        <f t="shared" si="57"/>
        <v>2010</v>
      </c>
      <c r="L135" s="171">
        <f t="shared" si="57"/>
        <v>2011</v>
      </c>
      <c r="M135" s="171">
        <f t="shared" si="57"/>
        <v>2012</v>
      </c>
      <c r="N135" s="171">
        <f t="shared" si="57"/>
        <v>2013</v>
      </c>
      <c r="O135" s="171">
        <f t="shared" si="57"/>
        <v>2014</v>
      </c>
      <c r="P135" s="171">
        <f t="shared" si="57"/>
        <v>2015</v>
      </c>
      <c r="Q135" s="171">
        <f t="shared" si="57"/>
        <v>2016</v>
      </c>
      <c r="R135" s="171">
        <f t="shared" si="57"/>
        <v>2017</v>
      </c>
      <c r="S135" s="171">
        <f t="shared" si="57"/>
        <v>2018</v>
      </c>
      <c r="T135" s="171">
        <f t="shared" si="57"/>
        <v>2019</v>
      </c>
      <c r="U135" s="171">
        <f t="shared" si="57"/>
        <v>2020</v>
      </c>
      <c r="V135" s="171">
        <f t="shared" si="57"/>
        <v>2021</v>
      </c>
      <c r="W135" s="171">
        <f t="shared" si="57"/>
        <v>2022</v>
      </c>
      <c r="X135" s="171">
        <f t="shared" si="57"/>
        <v>2023</v>
      </c>
      <c r="Y135" s="171">
        <f t="shared" si="57"/>
        <v>2024</v>
      </c>
      <c r="Z135" s="171">
        <f t="shared" si="57"/>
        <v>2025</v>
      </c>
      <c r="AA135" s="171">
        <f t="shared" si="57"/>
        <v>2026</v>
      </c>
      <c r="AB135" s="171">
        <f t="shared" si="57"/>
        <v>2027</v>
      </c>
      <c r="AC135" s="171">
        <f t="shared" si="57"/>
        <v>2028</v>
      </c>
      <c r="AD135" s="171">
        <f t="shared" si="57"/>
        <v>2029</v>
      </c>
      <c r="AE135" s="171">
        <f t="shared" si="57"/>
        <v>2030</v>
      </c>
      <c r="AF135" s="171">
        <f t="shared" si="57"/>
        <v>2031</v>
      </c>
      <c r="AG135" s="171">
        <f t="shared" si="57"/>
        <v>2032</v>
      </c>
      <c r="AH135" s="171">
        <f t="shared" si="57"/>
        <v>2033</v>
      </c>
      <c r="AI135" s="171">
        <f t="shared" si="57"/>
        <v>2034</v>
      </c>
      <c r="AJ135" s="171">
        <f t="shared" si="57"/>
        <v>2035</v>
      </c>
      <c r="AK135" s="171">
        <f t="shared" si="57"/>
        <v>2036</v>
      </c>
      <c r="AL135" s="171">
        <f t="shared" si="57"/>
        <v>2037</v>
      </c>
      <c r="AM135" s="171">
        <f t="shared" si="57"/>
        <v>2038</v>
      </c>
      <c r="AN135" s="171">
        <f t="shared" si="57"/>
        <v>2039</v>
      </c>
      <c r="AO135" s="171">
        <f t="shared" si="57"/>
        <v>2040</v>
      </c>
      <c r="AP135" s="171">
        <f t="shared" si="57"/>
        <v>2041</v>
      </c>
      <c r="AQ135" s="171">
        <f t="shared" si="57"/>
        <v>2042</v>
      </c>
      <c r="AR135" s="171">
        <f t="shared" si="57"/>
        <v>2043</v>
      </c>
      <c r="AS135" s="171">
        <f t="shared" si="57"/>
        <v>2044</v>
      </c>
      <c r="AT135" s="171">
        <f t="shared" si="57"/>
        <v>2045</v>
      </c>
      <c r="AU135" s="171">
        <f t="shared" si="57"/>
        <v>2046</v>
      </c>
      <c r="AV135" s="171">
        <f t="shared" si="57"/>
        <v>2047</v>
      </c>
      <c r="AW135" s="171">
        <f t="shared" si="57"/>
        <v>2048</v>
      </c>
      <c r="AX135" s="171">
        <f t="shared" si="57"/>
        <v>2049</v>
      </c>
      <c r="AY135" s="171">
        <f t="shared" si="57"/>
        <v>2050</v>
      </c>
    </row>
    <row r="136" spans="1:51" x14ac:dyDescent="0.2">
      <c r="A136" s="19" t="s">
        <v>162</v>
      </c>
      <c r="L136" s="172"/>
      <c r="M136" s="172">
        <f>'[1]Renewable Diesel'!$AX25</f>
        <v>160</v>
      </c>
      <c r="N136" s="172">
        <f>'[1]Renewable Diesel'!$AX37</f>
        <v>160</v>
      </c>
      <c r="O136" s="172">
        <f>'[1]Renewable Diesel'!$AX49</f>
        <v>160</v>
      </c>
      <c r="P136" s="172">
        <f>'[1]Renewable Diesel'!$AX61</f>
        <v>255</v>
      </c>
      <c r="Q136" s="172">
        <f>'[1]Renewable Diesel'!$AX73</f>
        <v>266</v>
      </c>
      <c r="R136" s="172">
        <f>'[1]Renewable Diesel'!$AX85</f>
        <v>408</v>
      </c>
      <c r="S136" s="172">
        <f>'[1]Renewable Diesel'!$AX97</f>
        <v>408</v>
      </c>
      <c r="T136" s="172">
        <f>'[1]Renewable Diesel'!$AX109</f>
        <v>558</v>
      </c>
      <c r="U136" s="172">
        <f>'[1]Renewable Diesel'!$AX121</f>
        <v>558</v>
      </c>
      <c r="V136" s="172">
        <f>'[1]Renewable Diesel'!$AX133</f>
        <v>791</v>
      </c>
      <c r="W136" s="172">
        <f>'[1]Renewable Diesel'!$AX145</f>
        <v>1750</v>
      </c>
      <c r="X136" s="172">
        <f>'[1]Renewable Diesel'!$AX157</f>
        <v>2999</v>
      </c>
      <c r="Y136" s="172">
        <f>'[1]Renewable Diesel'!$AX169</f>
        <v>3857</v>
      </c>
      <c r="Z136" s="172">
        <f>'[1]Renewable Diesel'!$AX181</f>
        <v>4589.5</v>
      </c>
      <c r="AA136" s="172">
        <f>'[1]Renewable Diesel'!$AX193</f>
        <v>4925.6000000000004</v>
      </c>
      <c r="AB136" s="172">
        <f>'[1]Renewable Diesel'!$AX205</f>
        <v>5170.1000000000004</v>
      </c>
      <c r="AC136" s="172">
        <f>'[1]Renewable Diesel'!$AX217</f>
        <v>5331.8500000000022</v>
      </c>
      <c r="AD136" s="172">
        <f>'[1]Renewable Diesel'!$AX229</f>
        <v>5389.3500000000013</v>
      </c>
      <c r="AE136" s="172">
        <f>'[1]Renewable Diesel'!$AX241</f>
        <v>5389.3500000000013</v>
      </c>
      <c r="AF136" s="172">
        <f>'[1]Renewable Diesel'!$AX253</f>
        <v>5389.3500000000013</v>
      </c>
      <c r="AG136" s="172">
        <f>'[1]Renewable Diesel'!$AX265</f>
        <v>5446.8500000000013</v>
      </c>
      <c r="AH136" s="172">
        <f>'[1]Renewable Diesel'!$AX277</f>
        <v>5446.8500000000013</v>
      </c>
      <c r="AI136" s="172">
        <f>'[1]Renewable Diesel'!$AX277</f>
        <v>5446.8500000000013</v>
      </c>
      <c r="AJ136" s="172">
        <f>'[1]Renewable Diesel'!$AX277</f>
        <v>5446.8500000000013</v>
      </c>
      <c r="AK136" s="172">
        <f>'[1]Renewable Diesel'!$AX277</f>
        <v>5446.8500000000013</v>
      </c>
      <c r="AL136" s="172">
        <f>'[1]Renewable Diesel'!$AX277</f>
        <v>5446.8500000000013</v>
      </c>
      <c r="AM136" s="172">
        <f>'[1]Renewable Diesel'!$AX277</f>
        <v>5446.8500000000013</v>
      </c>
      <c r="AN136" s="172">
        <f>'[1]Renewable Diesel'!$AX277</f>
        <v>5446.8500000000013</v>
      </c>
      <c r="AO136" s="172">
        <f>'[1]Renewable Diesel'!$AX277</f>
        <v>5446.8500000000013</v>
      </c>
      <c r="AP136" s="172">
        <f>'[1]Renewable Diesel'!$AX277</f>
        <v>5446.8500000000013</v>
      </c>
      <c r="AQ136" s="172">
        <f>'[1]Renewable Diesel'!$AX277</f>
        <v>5446.8500000000013</v>
      </c>
      <c r="AR136" s="172">
        <f>'[1]Renewable Diesel'!$AX277</f>
        <v>5446.8500000000013</v>
      </c>
      <c r="AS136" s="172">
        <f>'[1]Renewable Diesel'!$AX277</f>
        <v>5446.8500000000013</v>
      </c>
      <c r="AT136" s="172">
        <f>'[1]Renewable Diesel'!$AX277</f>
        <v>5446.8500000000013</v>
      </c>
      <c r="AU136" s="172">
        <f>'[1]Renewable Diesel'!$AX277</f>
        <v>5446.8500000000013</v>
      </c>
      <c r="AV136" s="172">
        <f>'[1]Renewable Diesel'!$AX277</f>
        <v>5446.8500000000013</v>
      </c>
      <c r="AW136" s="172">
        <f>'[1]Renewable Diesel'!$AX277</f>
        <v>5446.8500000000013</v>
      </c>
      <c r="AX136" s="172">
        <f>'[1]Renewable Diesel'!$AX277</f>
        <v>5446.8500000000013</v>
      </c>
      <c r="AY136" s="172">
        <f>'[1]Renewable Diesel'!$AX277</f>
        <v>5446.8500000000013</v>
      </c>
    </row>
    <row r="137" spans="1:51" x14ac:dyDescent="0.2">
      <c r="A137" s="19" t="s">
        <v>163</v>
      </c>
      <c r="L137" s="172"/>
      <c r="M137" s="172">
        <f>'[1]Renewable Diesel'!$AX26</f>
        <v>160</v>
      </c>
      <c r="N137" s="172">
        <f>'[1]Renewable Diesel'!$AX38</f>
        <v>160</v>
      </c>
      <c r="O137" s="172">
        <f>'[1]Renewable Diesel'!$AX50</f>
        <v>160</v>
      </c>
      <c r="P137" s="172">
        <f>'[1]Renewable Diesel'!$AX62</f>
        <v>255</v>
      </c>
      <c r="Q137" s="172">
        <f>'[1]Renewable Diesel'!$AX74</f>
        <v>277</v>
      </c>
      <c r="R137" s="172">
        <f>'[1]Renewable Diesel'!$AX86</f>
        <v>408</v>
      </c>
      <c r="S137" s="172">
        <f>'[1]Renewable Diesel'!$AX98</f>
        <v>408</v>
      </c>
      <c r="T137" s="172">
        <f>'[1]Renewable Diesel'!$AX110</f>
        <v>558</v>
      </c>
      <c r="U137" s="172">
        <f>'[1]Renewable Diesel'!$AX122</f>
        <v>558</v>
      </c>
      <c r="V137" s="172">
        <f>'[1]Renewable Diesel'!$AX134</f>
        <v>791</v>
      </c>
      <c r="W137" s="172">
        <f>'[1]Renewable Diesel'!$AX146</f>
        <v>1750</v>
      </c>
      <c r="X137" s="172">
        <f>'[1]Renewable Diesel'!$AX158</f>
        <v>3278</v>
      </c>
      <c r="Y137" s="172">
        <f>'[1]Renewable Diesel'!$AX170</f>
        <v>3857</v>
      </c>
      <c r="Z137" s="172">
        <f>'[1]Renewable Diesel'!$AX182</f>
        <v>4620.75</v>
      </c>
      <c r="AA137" s="172">
        <f>'[1]Renewable Diesel'!$AX194</f>
        <v>4974.3500000000004</v>
      </c>
      <c r="AB137" s="172">
        <f>'[1]Renewable Diesel'!$AX206</f>
        <v>5173.1000000000004</v>
      </c>
      <c r="AC137" s="172">
        <f>'[1]Renewable Diesel'!$AX218</f>
        <v>5350.6000000000013</v>
      </c>
      <c r="AD137" s="172">
        <f>'[1]Renewable Diesel'!$AX230</f>
        <v>5389.3500000000013</v>
      </c>
      <c r="AE137" s="172">
        <f>'[1]Renewable Diesel'!$AX242</f>
        <v>5389.3500000000013</v>
      </c>
      <c r="AF137" s="172">
        <f>'[1]Renewable Diesel'!$AX254</f>
        <v>5408.1000000000013</v>
      </c>
      <c r="AG137" s="172">
        <f>'[1]Renewable Diesel'!$AX266</f>
        <v>5446.8500000000013</v>
      </c>
      <c r="AH137" s="172">
        <f>'[1]Renewable Diesel'!$AX278</f>
        <v>5446.8500000000013</v>
      </c>
      <c r="AI137" s="172">
        <f>'[1]Renewable Diesel'!$AX278</f>
        <v>5446.8500000000013</v>
      </c>
      <c r="AJ137" s="172">
        <f>'[1]Renewable Diesel'!$AX278</f>
        <v>5446.8500000000013</v>
      </c>
      <c r="AK137" s="172">
        <f>'[1]Renewable Diesel'!$AX278</f>
        <v>5446.8500000000013</v>
      </c>
      <c r="AL137" s="172">
        <f>'[1]Renewable Diesel'!$AX278</f>
        <v>5446.8500000000013</v>
      </c>
      <c r="AM137" s="172">
        <f>'[1]Renewable Diesel'!$AX278</f>
        <v>5446.8500000000013</v>
      </c>
      <c r="AN137" s="172">
        <f>'[1]Renewable Diesel'!$AX278</f>
        <v>5446.8500000000013</v>
      </c>
      <c r="AO137" s="172">
        <f>'[1]Renewable Diesel'!$AX278</f>
        <v>5446.8500000000013</v>
      </c>
      <c r="AP137" s="172">
        <f>'[1]Renewable Diesel'!$AX278</f>
        <v>5446.8500000000013</v>
      </c>
      <c r="AQ137" s="172">
        <f>'[1]Renewable Diesel'!$AX278</f>
        <v>5446.8500000000013</v>
      </c>
      <c r="AR137" s="172">
        <f>'[1]Renewable Diesel'!$AX278</f>
        <v>5446.8500000000013</v>
      </c>
      <c r="AS137" s="172">
        <f>'[1]Renewable Diesel'!$AX278</f>
        <v>5446.8500000000013</v>
      </c>
      <c r="AT137" s="172">
        <f>'[1]Renewable Diesel'!$AX278</f>
        <v>5446.8500000000013</v>
      </c>
      <c r="AU137" s="172">
        <f>'[1]Renewable Diesel'!$AX278</f>
        <v>5446.8500000000013</v>
      </c>
      <c r="AV137" s="172">
        <f>'[1]Renewable Diesel'!$AX278</f>
        <v>5446.8500000000013</v>
      </c>
      <c r="AW137" s="172">
        <f>'[1]Renewable Diesel'!$AX278</f>
        <v>5446.8500000000013</v>
      </c>
      <c r="AX137" s="172">
        <f>'[1]Renewable Diesel'!$AX278</f>
        <v>5446.8500000000013</v>
      </c>
      <c r="AY137" s="172">
        <f>'[1]Renewable Diesel'!$AX278</f>
        <v>5446.8500000000013</v>
      </c>
    </row>
    <row r="138" spans="1:51" x14ac:dyDescent="0.2">
      <c r="A138" s="19" t="s">
        <v>164</v>
      </c>
      <c r="L138" s="172"/>
      <c r="M138" s="172">
        <f>'[1]Renewable Diesel'!$AX27</f>
        <v>160</v>
      </c>
      <c r="N138" s="172">
        <f>'[1]Renewable Diesel'!$AX39</f>
        <v>160</v>
      </c>
      <c r="O138" s="172">
        <f>'[1]Renewable Diesel'!$AX51</f>
        <v>160</v>
      </c>
      <c r="P138" s="172">
        <f>'[1]Renewable Diesel'!$AX63</f>
        <v>255</v>
      </c>
      <c r="Q138" s="172">
        <f>'[1]Renewable Diesel'!$AX75</f>
        <v>308</v>
      </c>
      <c r="R138" s="172">
        <f>'[1]Renewable Diesel'!$AX87</f>
        <v>408</v>
      </c>
      <c r="S138" s="172">
        <f>'[1]Renewable Diesel'!$AX99</f>
        <v>408</v>
      </c>
      <c r="T138" s="172">
        <f>'[1]Renewable Diesel'!$AX111</f>
        <v>558</v>
      </c>
      <c r="U138" s="172">
        <f>'[1]Renewable Diesel'!$AX123</f>
        <v>558</v>
      </c>
      <c r="V138" s="172">
        <f>'[1]Renewable Diesel'!$AX135</f>
        <v>791</v>
      </c>
      <c r="W138" s="172">
        <f>'[1]Renewable Diesel'!$AX147</f>
        <v>1750</v>
      </c>
      <c r="X138" s="172">
        <f>'[1]Renewable Diesel'!$AX159</f>
        <v>3278</v>
      </c>
      <c r="Y138" s="172">
        <f>'[1]Renewable Diesel'!$AX171</f>
        <v>3857</v>
      </c>
      <c r="Z138" s="172">
        <f>'[1]Renewable Diesel'!$AX183</f>
        <v>4652</v>
      </c>
      <c r="AA138" s="172">
        <f>'[1]Renewable Diesel'!$AX195</f>
        <v>5065.6000000000004</v>
      </c>
      <c r="AB138" s="172">
        <f>'[1]Renewable Diesel'!$AX207</f>
        <v>5182.8500000000004</v>
      </c>
      <c r="AC138" s="172">
        <f>'[1]Renewable Diesel'!$AX219</f>
        <v>5389.3500000000013</v>
      </c>
      <c r="AD138" s="172">
        <f>'[1]Renewable Diesel'!$AX231</f>
        <v>5389.3500000000013</v>
      </c>
      <c r="AE138" s="172">
        <f>'[1]Renewable Diesel'!$AX243</f>
        <v>5389.3500000000013</v>
      </c>
      <c r="AF138" s="172">
        <f>'[1]Renewable Diesel'!$AX255</f>
        <v>5446.8500000000013</v>
      </c>
      <c r="AG138" s="172">
        <f>'[1]Renewable Diesel'!$AX267</f>
        <v>5446.8500000000013</v>
      </c>
      <c r="AH138" s="172">
        <f>'[1]Renewable Diesel'!$AX279</f>
        <v>5446.8500000000013</v>
      </c>
      <c r="AI138" s="172">
        <f>'[1]Renewable Diesel'!$AX279</f>
        <v>5446.8500000000013</v>
      </c>
      <c r="AJ138" s="172">
        <f>'[1]Renewable Diesel'!$AX279</f>
        <v>5446.8500000000013</v>
      </c>
      <c r="AK138" s="172">
        <f>'[1]Renewable Diesel'!$AX279</f>
        <v>5446.8500000000013</v>
      </c>
      <c r="AL138" s="172">
        <f>'[1]Renewable Diesel'!$AX279</f>
        <v>5446.8500000000013</v>
      </c>
      <c r="AM138" s="172">
        <f>'[1]Renewable Diesel'!$AX279</f>
        <v>5446.8500000000013</v>
      </c>
      <c r="AN138" s="172">
        <f>'[1]Renewable Diesel'!$AX279</f>
        <v>5446.8500000000013</v>
      </c>
      <c r="AO138" s="172">
        <f>'[1]Renewable Diesel'!$AX279</f>
        <v>5446.8500000000013</v>
      </c>
      <c r="AP138" s="172">
        <f>'[1]Renewable Diesel'!$AX279</f>
        <v>5446.8500000000013</v>
      </c>
      <c r="AQ138" s="172">
        <f>'[1]Renewable Diesel'!$AX279</f>
        <v>5446.8500000000013</v>
      </c>
      <c r="AR138" s="172">
        <f>'[1]Renewable Diesel'!$AX279</f>
        <v>5446.8500000000013</v>
      </c>
      <c r="AS138" s="172">
        <f>'[1]Renewable Diesel'!$AX279</f>
        <v>5446.8500000000013</v>
      </c>
      <c r="AT138" s="172">
        <f>'[1]Renewable Diesel'!$AX279</f>
        <v>5446.8500000000013</v>
      </c>
      <c r="AU138" s="172">
        <f>'[1]Renewable Diesel'!$AX279</f>
        <v>5446.8500000000013</v>
      </c>
      <c r="AV138" s="172">
        <f>'[1]Renewable Diesel'!$AX279</f>
        <v>5446.8500000000013</v>
      </c>
      <c r="AW138" s="172">
        <f>'[1]Renewable Diesel'!$AX279</f>
        <v>5446.8500000000013</v>
      </c>
      <c r="AX138" s="172">
        <f>'[1]Renewable Diesel'!$AX279</f>
        <v>5446.8500000000013</v>
      </c>
      <c r="AY138" s="172">
        <f>'[1]Renewable Diesel'!$AX279</f>
        <v>5446.8500000000013</v>
      </c>
    </row>
    <row r="139" spans="1:51" x14ac:dyDescent="0.2">
      <c r="A139" s="19" t="s">
        <v>165</v>
      </c>
      <c r="L139" s="172"/>
      <c r="M139" s="172">
        <f>'[1]Renewable Diesel'!$AX28</f>
        <v>160</v>
      </c>
      <c r="N139" s="172">
        <f>'[1]Renewable Diesel'!$AX40</f>
        <v>160</v>
      </c>
      <c r="O139" s="172">
        <f>'[1]Renewable Diesel'!$AX52</f>
        <v>160</v>
      </c>
      <c r="P139" s="172">
        <f>'[1]Renewable Diesel'!$AX64</f>
        <v>255</v>
      </c>
      <c r="Q139" s="172">
        <f>'[1]Renewable Diesel'!$AX76</f>
        <v>333</v>
      </c>
      <c r="R139" s="172">
        <f>'[1]Renewable Diesel'!$AX88</f>
        <v>408</v>
      </c>
      <c r="S139" s="172">
        <f>'[1]Renewable Diesel'!$AX100</f>
        <v>408</v>
      </c>
      <c r="T139" s="172">
        <f>'[1]Renewable Diesel'!$AX112</f>
        <v>558</v>
      </c>
      <c r="U139" s="172">
        <f>'[1]Renewable Diesel'!$AX124</f>
        <v>558</v>
      </c>
      <c r="V139" s="172">
        <f>'[1]Renewable Diesel'!$AX136</f>
        <v>971</v>
      </c>
      <c r="W139" s="172">
        <f>'[1]Renewable Diesel'!$AX148</f>
        <v>1922</v>
      </c>
      <c r="X139" s="172">
        <f>'[1]Renewable Diesel'!$AX160</f>
        <v>3278</v>
      </c>
      <c r="Y139" s="172">
        <f>'[1]Renewable Diesel'!$AX172</f>
        <v>4129</v>
      </c>
      <c r="Z139" s="172">
        <f>'[1]Renewable Diesel'!$AX184</f>
        <v>4652.8000000000011</v>
      </c>
      <c r="AA139" s="172">
        <f>'[1]Renewable Diesel'!$AX196</f>
        <v>5088.1000000000004</v>
      </c>
      <c r="AB139" s="172">
        <f>'[1]Renewable Diesel'!$AX208</f>
        <v>5182.8500000000004</v>
      </c>
      <c r="AC139" s="172">
        <f>'[1]Renewable Diesel'!$AX220</f>
        <v>5389.3500000000013</v>
      </c>
      <c r="AD139" s="172">
        <f>'[1]Renewable Diesel'!$AX232</f>
        <v>5389.3500000000013</v>
      </c>
      <c r="AE139" s="172">
        <f>'[1]Renewable Diesel'!$AX244</f>
        <v>5389.3500000000013</v>
      </c>
      <c r="AF139" s="172">
        <f>'[1]Renewable Diesel'!$AX256</f>
        <v>5446.8500000000013</v>
      </c>
      <c r="AG139" s="172">
        <f>'[1]Renewable Diesel'!$AX268</f>
        <v>5446.8500000000013</v>
      </c>
      <c r="AH139" s="172">
        <f>'[1]Renewable Diesel'!$AX280</f>
        <v>5446.8500000000013</v>
      </c>
      <c r="AI139" s="172">
        <f>'[1]Renewable Diesel'!$AX280</f>
        <v>5446.8500000000013</v>
      </c>
      <c r="AJ139" s="172">
        <f>'[1]Renewable Diesel'!$AX280</f>
        <v>5446.8500000000013</v>
      </c>
      <c r="AK139" s="172">
        <f>'[1]Renewable Diesel'!$AX280</f>
        <v>5446.8500000000013</v>
      </c>
      <c r="AL139" s="172">
        <f>'[1]Renewable Diesel'!$AX280</f>
        <v>5446.8500000000013</v>
      </c>
      <c r="AM139" s="172">
        <f>'[1]Renewable Diesel'!$AX280</f>
        <v>5446.8500000000013</v>
      </c>
      <c r="AN139" s="172">
        <f>'[1]Renewable Diesel'!$AX280</f>
        <v>5446.8500000000013</v>
      </c>
      <c r="AO139" s="172">
        <f>'[1]Renewable Diesel'!$AX280</f>
        <v>5446.8500000000013</v>
      </c>
      <c r="AP139" s="172">
        <f>'[1]Renewable Diesel'!$AX280</f>
        <v>5446.8500000000013</v>
      </c>
      <c r="AQ139" s="172">
        <f>'[1]Renewable Diesel'!$AX280</f>
        <v>5446.8500000000013</v>
      </c>
      <c r="AR139" s="172">
        <f>'[1]Renewable Diesel'!$AX280</f>
        <v>5446.8500000000013</v>
      </c>
      <c r="AS139" s="172">
        <f>'[1]Renewable Diesel'!$AX280</f>
        <v>5446.8500000000013</v>
      </c>
      <c r="AT139" s="172">
        <f>'[1]Renewable Diesel'!$AX280</f>
        <v>5446.8500000000013</v>
      </c>
      <c r="AU139" s="172">
        <f>'[1]Renewable Diesel'!$AX280</f>
        <v>5446.8500000000013</v>
      </c>
      <c r="AV139" s="172">
        <f>'[1]Renewable Diesel'!$AX280</f>
        <v>5446.8500000000013</v>
      </c>
      <c r="AW139" s="172">
        <f>'[1]Renewable Diesel'!$AX280</f>
        <v>5446.8500000000013</v>
      </c>
      <c r="AX139" s="172">
        <f>'[1]Renewable Diesel'!$AX280</f>
        <v>5446.8500000000013</v>
      </c>
      <c r="AY139" s="172">
        <f>'[1]Renewable Diesel'!$AX280</f>
        <v>5446.8500000000013</v>
      </c>
    </row>
    <row r="140" spans="1:51" x14ac:dyDescent="0.2">
      <c r="A140" s="19" t="s">
        <v>166</v>
      </c>
      <c r="L140" s="172"/>
      <c r="M140" s="172">
        <f>'[1]Renewable Diesel'!$AX29</f>
        <v>160</v>
      </c>
      <c r="N140" s="172">
        <f>'[1]Renewable Diesel'!$AX41</f>
        <v>160</v>
      </c>
      <c r="O140" s="172">
        <f>'[1]Renewable Diesel'!$AX53</f>
        <v>160</v>
      </c>
      <c r="P140" s="172">
        <f>'[1]Renewable Diesel'!$AX65</f>
        <v>255</v>
      </c>
      <c r="Q140" s="172">
        <f>'[1]Renewable Diesel'!$AX77</f>
        <v>358</v>
      </c>
      <c r="R140" s="172">
        <f>'[1]Renewable Diesel'!$AX89</f>
        <v>408</v>
      </c>
      <c r="S140" s="172">
        <f>'[1]Renewable Diesel'!$AX101</f>
        <v>418</v>
      </c>
      <c r="T140" s="172">
        <f>'[1]Renewable Diesel'!$AX113</f>
        <v>558</v>
      </c>
      <c r="U140" s="172">
        <f>'[1]Renewable Diesel'!$AX125</f>
        <v>558</v>
      </c>
      <c r="V140" s="172">
        <f>'[1]Renewable Diesel'!$AX137</f>
        <v>971</v>
      </c>
      <c r="W140" s="172">
        <f>'[1]Renewable Diesel'!$AX149</f>
        <v>1947</v>
      </c>
      <c r="X140" s="172">
        <f>'[1]Renewable Diesel'!$AX161</f>
        <v>3278</v>
      </c>
      <c r="Y140" s="172">
        <f>'[1]Renewable Diesel'!$AX173</f>
        <v>4575</v>
      </c>
      <c r="Z140" s="172">
        <f>'[1]Renewable Diesel'!$AX185</f>
        <v>4681.1000000000004</v>
      </c>
      <c r="AA140" s="172">
        <f>'[1]Renewable Diesel'!$AX197</f>
        <v>5133.1000000000004</v>
      </c>
      <c r="AB140" s="172">
        <f>'[1]Renewable Diesel'!$AX209</f>
        <v>5182.8500000000004</v>
      </c>
      <c r="AC140" s="172">
        <f>'[1]Renewable Diesel'!$AX221</f>
        <v>5389.3500000000013</v>
      </c>
      <c r="AD140" s="172">
        <f>'[1]Renewable Diesel'!$AX233</f>
        <v>5389.3500000000013</v>
      </c>
      <c r="AE140" s="172">
        <f>'[1]Renewable Diesel'!$AX245</f>
        <v>5389.3500000000013</v>
      </c>
      <c r="AF140" s="172">
        <f>'[1]Renewable Diesel'!$AX257</f>
        <v>5446.8500000000013</v>
      </c>
      <c r="AG140" s="172">
        <f>'[1]Renewable Diesel'!$AX269</f>
        <v>5446.8500000000013</v>
      </c>
      <c r="AH140" s="172">
        <f>'[1]Renewable Diesel'!$AX281</f>
        <v>5446.8500000000013</v>
      </c>
      <c r="AI140" s="172">
        <f>'[1]Renewable Diesel'!$AX281</f>
        <v>5446.8500000000013</v>
      </c>
      <c r="AJ140" s="172">
        <f>'[1]Renewable Diesel'!$AX281</f>
        <v>5446.8500000000013</v>
      </c>
      <c r="AK140" s="172">
        <f>'[1]Renewable Diesel'!$AX281</f>
        <v>5446.8500000000013</v>
      </c>
      <c r="AL140" s="172">
        <f>'[1]Renewable Diesel'!$AX281</f>
        <v>5446.8500000000013</v>
      </c>
      <c r="AM140" s="172">
        <f>'[1]Renewable Diesel'!$AX281</f>
        <v>5446.8500000000013</v>
      </c>
      <c r="AN140" s="172">
        <f>'[1]Renewable Diesel'!$AX281</f>
        <v>5446.8500000000013</v>
      </c>
      <c r="AO140" s="172">
        <f>'[1]Renewable Diesel'!$AX281</f>
        <v>5446.8500000000013</v>
      </c>
      <c r="AP140" s="172">
        <f>'[1]Renewable Diesel'!$AX281</f>
        <v>5446.8500000000013</v>
      </c>
      <c r="AQ140" s="172">
        <f>'[1]Renewable Diesel'!$AX281</f>
        <v>5446.8500000000013</v>
      </c>
      <c r="AR140" s="172">
        <f>'[1]Renewable Diesel'!$AX281</f>
        <v>5446.8500000000013</v>
      </c>
      <c r="AS140" s="172">
        <f>'[1]Renewable Diesel'!$AX281</f>
        <v>5446.8500000000013</v>
      </c>
      <c r="AT140" s="172">
        <f>'[1]Renewable Diesel'!$AX281</f>
        <v>5446.8500000000013</v>
      </c>
      <c r="AU140" s="172">
        <f>'[1]Renewable Diesel'!$AX281</f>
        <v>5446.8500000000013</v>
      </c>
      <c r="AV140" s="172">
        <f>'[1]Renewable Diesel'!$AX281</f>
        <v>5446.8500000000013</v>
      </c>
      <c r="AW140" s="172">
        <f>'[1]Renewable Diesel'!$AX281</f>
        <v>5446.8500000000013</v>
      </c>
      <c r="AX140" s="172">
        <f>'[1]Renewable Diesel'!$AX281</f>
        <v>5446.8500000000013</v>
      </c>
      <c r="AY140" s="172">
        <f>'[1]Renewable Diesel'!$AX281</f>
        <v>5446.8500000000013</v>
      </c>
    </row>
    <row r="141" spans="1:51" x14ac:dyDescent="0.2">
      <c r="A141" s="19" t="s">
        <v>167</v>
      </c>
      <c r="L141" s="172"/>
      <c r="M141" s="172">
        <f>'[1]Renewable Diesel'!$AX30</f>
        <v>160</v>
      </c>
      <c r="N141" s="172">
        <f>'[1]Renewable Diesel'!$AX42</f>
        <v>160</v>
      </c>
      <c r="O141" s="172">
        <f>'[1]Renewable Diesel'!$AX54</f>
        <v>160</v>
      </c>
      <c r="P141" s="172">
        <f>'[1]Renewable Diesel'!$AX66</f>
        <v>255</v>
      </c>
      <c r="Q141" s="172">
        <f>'[1]Renewable Diesel'!$AX78</f>
        <v>408</v>
      </c>
      <c r="R141" s="172">
        <f>'[1]Renewable Diesel'!$AX90</f>
        <v>408</v>
      </c>
      <c r="S141" s="172">
        <f>'[1]Renewable Diesel'!$AX102</f>
        <v>428</v>
      </c>
      <c r="T141" s="172">
        <f>'[1]Renewable Diesel'!$AX114</f>
        <v>558</v>
      </c>
      <c r="U141" s="172">
        <f>'[1]Renewable Diesel'!$AX126</f>
        <v>558</v>
      </c>
      <c r="V141" s="172">
        <f>'[1]Renewable Diesel'!$AX138</f>
        <v>911</v>
      </c>
      <c r="W141" s="172">
        <f>'[1]Renewable Diesel'!$AX150</f>
        <v>1947</v>
      </c>
      <c r="X141" s="172">
        <f>'[1]Renewable Diesel'!$AX162</f>
        <v>3700</v>
      </c>
      <c r="Y141" s="172">
        <f>'[1]Renewable Diesel'!$AX174</f>
        <v>4897</v>
      </c>
      <c r="Z141" s="172">
        <f>'[1]Renewable Diesel'!$AX186</f>
        <v>4782.6000000000004</v>
      </c>
      <c r="AA141" s="172">
        <f>'[1]Renewable Diesel'!$AX198</f>
        <v>5138.1000000000004</v>
      </c>
      <c r="AB141" s="172">
        <f>'[1]Renewable Diesel'!$AX210</f>
        <v>5190.3500000000004</v>
      </c>
      <c r="AC141" s="172">
        <f>'[1]Renewable Diesel'!$AX222</f>
        <v>5389.3500000000013</v>
      </c>
      <c r="AD141" s="172">
        <f>'[1]Renewable Diesel'!$AX234</f>
        <v>5389.3500000000013</v>
      </c>
      <c r="AE141" s="172">
        <f>'[1]Renewable Diesel'!$AX246</f>
        <v>5389.3500000000013</v>
      </c>
      <c r="AF141" s="172">
        <f>'[1]Renewable Diesel'!$AX258</f>
        <v>5446.8500000000013</v>
      </c>
      <c r="AG141" s="172">
        <f>'[1]Renewable Diesel'!$AX270</f>
        <v>5446.8500000000013</v>
      </c>
      <c r="AH141" s="172">
        <f>'[1]Renewable Diesel'!$AX282</f>
        <v>5446.8500000000013</v>
      </c>
      <c r="AI141" s="172">
        <f>'[1]Renewable Diesel'!$AX282</f>
        <v>5446.8500000000013</v>
      </c>
      <c r="AJ141" s="172">
        <f>'[1]Renewable Diesel'!$AX282</f>
        <v>5446.8500000000013</v>
      </c>
      <c r="AK141" s="172">
        <f>'[1]Renewable Diesel'!$AX282</f>
        <v>5446.8500000000013</v>
      </c>
      <c r="AL141" s="172">
        <f>'[1]Renewable Diesel'!$AX282</f>
        <v>5446.8500000000013</v>
      </c>
      <c r="AM141" s="172">
        <f>'[1]Renewable Diesel'!$AX282</f>
        <v>5446.8500000000013</v>
      </c>
      <c r="AN141" s="172">
        <f>'[1]Renewable Diesel'!$AX282</f>
        <v>5446.8500000000013</v>
      </c>
      <c r="AO141" s="172">
        <f>'[1]Renewable Diesel'!$AX282</f>
        <v>5446.8500000000013</v>
      </c>
      <c r="AP141" s="172">
        <f>'[1]Renewable Diesel'!$AX282</f>
        <v>5446.8500000000013</v>
      </c>
      <c r="AQ141" s="172">
        <f>'[1]Renewable Diesel'!$AX282</f>
        <v>5446.8500000000013</v>
      </c>
      <c r="AR141" s="172">
        <f>'[1]Renewable Diesel'!$AX282</f>
        <v>5446.8500000000013</v>
      </c>
      <c r="AS141" s="172">
        <f>'[1]Renewable Diesel'!$AX282</f>
        <v>5446.8500000000013</v>
      </c>
      <c r="AT141" s="172">
        <f>'[1]Renewable Diesel'!$AX282</f>
        <v>5446.8500000000013</v>
      </c>
      <c r="AU141" s="172">
        <f>'[1]Renewable Diesel'!$AX282</f>
        <v>5446.8500000000013</v>
      </c>
      <c r="AV141" s="172">
        <f>'[1]Renewable Diesel'!$AX282</f>
        <v>5446.8500000000013</v>
      </c>
      <c r="AW141" s="172">
        <f>'[1]Renewable Diesel'!$AX282</f>
        <v>5446.8500000000013</v>
      </c>
      <c r="AX141" s="172">
        <f>'[1]Renewable Diesel'!$AX282</f>
        <v>5446.8500000000013</v>
      </c>
      <c r="AY141" s="172">
        <f>'[1]Renewable Diesel'!$AX282</f>
        <v>5446.8500000000013</v>
      </c>
    </row>
    <row r="142" spans="1:51" x14ac:dyDescent="0.2">
      <c r="A142" s="19" t="s">
        <v>168</v>
      </c>
      <c r="L142" s="172"/>
      <c r="M142" s="172">
        <f>'[1]Renewable Diesel'!$AX31</f>
        <v>160</v>
      </c>
      <c r="N142" s="172">
        <f>'[1]Renewable Diesel'!$AX43</f>
        <v>160</v>
      </c>
      <c r="O142" s="172">
        <f>'[1]Renewable Diesel'!$AX55</f>
        <v>160</v>
      </c>
      <c r="P142" s="172">
        <f>'[1]Renewable Diesel'!$AX67</f>
        <v>255</v>
      </c>
      <c r="Q142" s="172">
        <f>'[1]Renewable Diesel'!$AX79</f>
        <v>408</v>
      </c>
      <c r="R142" s="172">
        <f>'[1]Renewable Diesel'!$AX91</f>
        <v>408</v>
      </c>
      <c r="S142" s="172">
        <f>'[1]Renewable Diesel'!$AX103</f>
        <v>268</v>
      </c>
      <c r="T142" s="172">
        <f>'[1]Renewable Diesel'!$AX115</f>
        <v>558</v>
      </c>
      <c r="U142" s="172">
        <f>'[1]Renewable Diesel'!$AX127</f>
        <v>618</v>
      </c>
      <c r="V142" s="172">
        <f>'[1]Renewable Diesel'!$AX139</f>
        <v>911</v>
      </c>
      <c r="W142" s="172">
        <f>'[1]Renewable Diesel'!$AX151</f>
        <v>2174</v>
      </c>
      <c r="X142" s="172">
        <f>'[1]Renewable Diesel'!$AX163</f>
        <v>3704</v>
      </c>
      <c r="Y142" s="172">
        <f>'[1]Renewable Diesel'!$AX175</f>
        <v>4598</v>
      </c>
      <c r="Z142" s="172">
        <f>'[1]Renewable Diesel'!$AX187</f>
        <v>4826.6000000000004</v>
      </c>
      <c r="AA142" s="172">
        <f>'[1]Renewable Diesel'!$AX199</f>
        <v>5148.1000000000004</v>
      </c>
      <c r="AB142" s="172">
        <f>'[1]Renewable Diesel'!$AX211</f>
        <v>5195.3500000000004</v>
      </c>
      <c r="AC142" s="172">
        <f>'[1]Renewable Diesel'!$AX223</f>
        <v>5389.3500000000013</v>
      </c>
      <c r="AD142" s="172">
        <f>'[1]Renewable Diesel'!$AX235</f>
        <v>5389.3500000000013</v>
      </c>
      <c r="AE142" s="172">
        <f>'[1]Renewable Diesel'!$AX247</f>
        <v>5389.3500000000013</v>
      </c>
      <c r="AF142" s="172">
        <f>'[1]Renewable Diesel'!$AX259</f>
        <v>5446.8500000000013</v>
      </c>
      <c r="AG142" s="172">
        <f>'[1]Renewable Diesel'!$AX271</f>
        <v>5446.8500000000013</v>
      </c>
      <c r="AH142" s="172">
        <f>'[1]Renewable Diesel'!$AX283</f>
        <v>5446.8500000000013</v>
      </c>
      <c r="AI142" s="172">
        <f>'[1]Renewable Diesel'!$AX283</f>
        <v>5446.8500000000013</v>
      </c>
      <c r="AJ142" s="172">
        <f>'[1]Renewable Diesel'!$AX283</f>
        <v>5446.8500000000013</v>
      </c>
      <c r="AK142" s="172">
        <f>'[1]Renewable Diesel'!$AX283</f>
        <v>5446.8500000000013</v>
      </c>
      <c r="AL142" s="172">
        <f>'[1]Renewable Diesel'!$AX283</f>
        <v>5446.8500000000013</v>
      </c>
      <c r="AM142" s="172">
        <f>'[1]Renewable Diesel'!$AX283</f>
        <v>5446.8500000000013</v>
      </c>
      <c r="AN142" s="172">
        <f>'[1]Renewable Diesel'!$AX283</f>
        <v>5446.8500000000013</v>
      </c>
      <c r="AO142" s="172">
        <f>'[1]Renewable Diesel'!$AX283</f>
        <v>5446.8500000000013</v>
      </c>
      <c r="AP142" s="172">
        <f>'[1]Renewable Diesel'!$AX283</f>
        <v>5446.8500000000013</v>
      </c>
      <c r="AQ142" s="172">
        <f>'[1]Renewable Diesel'!$AX283</f>
        <v>5446.8500000000013</v>
      </c>
      <c r="AR142" s="172">
        <f>'[1]Renewable Diesel'!$AX283</f>
        <v>5446.8500000000013</v>
      </c>
      <c r="AS142" s="172">
        <f>'[1]Renewable Diesel'!$AX283</f>
        <v>5446.8500000000013</v>
      </c>
      <c r="AT142" s="172">
        <f>'[1]Renewable Diesel'!$AX283</f>
        <v>5446.8500000000013</v>
      </c>
      <c r="AU142" s="172">
        <f>'[1]Renewable Diesel'!$AX283</f>
        <v>5446.8500000000013</v>
      </c>
      <c r="AV142" s="172">
        <f>'[1]Renewable Diesel'!$AX283</f>
        <v>5446.8500000000013</v>
      </c>
      <c r="AW142" s="172">
        <f>'[1]Renewable Diesel'!$AX283</f>
        <v>5446.8500000000013</v>
      </c>
      <c r="AX142" s="172">
        <f>'[1]Renewable Diesel'!$AX283</f>
        <v>5446.8500000000013</v>
      </c>
      <c r="AY142" s="172">
        <f>'[1]Renewable Diesel'!$AX283</f>
        <v>5446.8500000000013</v>
      </c>
    </row>
    <row r="143" spans="1:51" x14ac:dyDescent="0.2">
      <c r="A143" s="19" t="s">
        <v>169</v>
      </c>
      <c r="L143" s="172"/>
      <c r="M143" s="172">
        <f>'[1]Renewable Diesel'!$AX32</f>
        <v>160</v>
      </c>
      <c r="N143" s="172">
        <f>'[1]Renewable Diesel'!$AX44</f>
        <v>160</v>
      </c>
      <c r="O143" s="172">
        <f>'[1]Renewable Diesel'!$AX56</f>
        <v>160</v>
      </c>
      <c r="P143" s="172">
        <f>'[1]Renewable Diesel'!$AX68</f>
        <v>255</v>
      </c>
      <c r="Q143" s="172">
        <f>'[1]Renewable Diesel'!$AX80</f>
        <v>408</v>
      </c>
      <c r="R143" s="172">
        <f>'[1]Renewable Diesel'!$AX92</f>
        <v>408</v>
      </c>
      <c r="S143" s="172">
        <f>'[1]Renewable Diesel'!$AX104</f>
        <v>456.75</v>
      </c>
      <c r="T143" s="172">
        <f>'[1]Renewable Diesel'!$AX116</f>
        <v>558</v>
      </c>
      <c r="U143" s="172">
        <f>'[1]Renewable Diesel'!$AX128</f>
        <v>678</v>
      </c>
      <c r="V143" s="172">
        <f>'[1]Renewable Diesel'!$AX140</f>
        <v>911</v>
      </c>
      <c r="W143" s="172">
        <f>'[1]Renewable Diesel'!$AX152</f>
        <v>2219</v>
      </c>
      <c r="X143" s="172">
        <f>'[1]Renewable Diesel'!$AX164</f>
        <v>3704</v>
      </c>
      <c r="Y143" s="172">
        <f>'[1]Renewable Diesel'!$AX176</f>
        <v>4598</v>
      </c>
      <c r="Z143" s="172">
        <f>'[1]Renewable Diesel'!$AX188</f>
        <v>4865.6000000000004</v>
      </c>
      <c r="AA143" s="172">
        <f>'[1]Renewable Diesel'!$AX200</f>
        <v>5155.6000000000004</v>
      </c>
      <c r="AB143" s="172">
        <f>'[1]Renewable Diesel'!$AX212</f>
        <v>5197.3500000000004</v>
      </c>
      <c r="AC143" s="172">
        <f>'[1]Renewable Diesel'!$AX224</f>
        <v>5389.3500000000013</v>
      </c>
      <c r="AD143" s="172">
        <f>'[1]Renewable Diesel'!$AX236</f>
        <v>5389.3500000000013</v>
      </c>
      <c r="AE143" s="172">
        <f>'[1]Renewable Diesel'!$AX248</f>
        <v>5389.3500000000013</v>
      </c>
      <c r="AF143" s="172">
        <f>'[1]Renewable Diesel'!$AX260</f>
        <v>5446.8500000000013</v>
      </c>
      <c r="AG143" s="172">
        <f>'[1]Renewable Diesel'!$AX272</f>
        <v>5446.8500000000013</v>
      </c>
      <c r="AH143" s="172">
        <f>'[1]Renewable Diesel'!$AX284</f>
        <v>5446.8500000000013</v>
      </c>
      <c r="AI143" s="172">
        <f>'[1]Renewable Diesel'!$AX284</f>
        <v>5446.8500000000013</v>
      </c>
      <c r="AJ143" s="172">
        <f>'[1]Renewable Diesel'!$AX284</f>
        <v>5446.8500000000013</v>
      </c>
      <c r="AK143" s="172">
        <f>'[1]Renewable Diesel'!$AX284</f>
        <v>5446.8500000000013</v>
      </c>
      <c r="AL143" s="172">
        <f>'[1]Renewable Diesel'!$AX284</f>
        <v>5446.8500000000013</v>
      </c>
      <c r="AM143" s="172">
        <f>'[1]Renewable Diesel'!$AX284</f>
        <v>5446.8500000000013</v>
      </c>
      <c r="AN143" s="172">
        <f>'[1]Renewable Diesel'!$AX284</f>
        <v>5446.8500000000013</v>
      </c>
      <c r="AO143" s="172">
        <f>'[1]Renewable Diesel'!$AX284</f>
        <v>5446.8500000000013</v>
      </c>
      <c r="AP143" s="172">
        <f>'[1]Renewable Diesel'!$AX284</f>
        <v>5446.8500000000013</v>
      </c>
      <c r="AQ143" s="172">
        <f>'[1]Renewable Diesel'!$AX284</f>
        <v>5446.8500000000013</v>
      </c>
      <c r="AR143" s="172">
        <f>'[1]Renewable Diesel'!$AX284</f>
        <v>5446.8500000000013</v>
      </c>
      <c r="AS143" s="172">
        <f>'[1]Renewable Diesel'!$AX284</f>
        <v>5446.8500000000013</v>
      </c>
      <c r="AT143" s="172">
        <f>'[1]Renewable Diesel'!$AX284</f>
        <v>5446.8500000000013</v>
      </c>
      <c r="AU143" s="172">
        <f>'[1]Renewable Diesel'!$AX284</f>
        <v>5446.8500000000013</v>
      </c>
      <c r="AV143" s="172">
        <f>'[1]Renewable Diesel'!$AX284</f>
        <v>5446.8500000000013</v>
      </c>
      <c r="AW143" s="172">
        <f>'[1]Renewable Diesel'!$AX284</f>
        <v>5446.8500000000013</v>
      </c>
      <c r="AX143" s="172">
        <f>'[1]Renewable Diesel'!$AX284</f>
        <v>5446.8500000000013</v>
      </c>
      <c r="AY143" s="172">
        <f>'[1]Renewable Diesel'!$AX284</f>
        <v>5446.8500000000013</v>
      </c>
    </row>
    <row r="144" spans="1:51" x14ac:dyDescent="0.2">
      <c r="A144" s="19" t="s">
        <v>170</v>
      </c>
      <c r="L144" s="172">
        <f>'[1]Renewable Diesel'!$AX21</f>
        <v>40</v>
      </c>
      <c r="M144" s="172">
        <f>'[1]Renewable Diesel'!$AX33</f>
        <v>160</v>
      </c>
      <c r="N144" s="172">
        <f>'[1]Renewable Diesel'!$AX45</f>
        <v>160</v>
      </c>
      <c r="O144" s="172">
        <f>'[1]Renewable Diesel'!$AX57</f>
        <v>160</v>
      </c>
      <c r="P144" s="172">
        <f>'[1]Renewable Diesel'!$AX69</f>
        <v>255</v>
      </c>
      <c r="Q144" s="172">
        <f>'[1]Renewable Diesel'!$AX81</f>
        <v>408</v>
      </c>
      <c r="R144" s="172">
        <f>'[1]Renewable Diesel'!$AX93</f>
        <v>408</v>
      </c>
      <c r="S144" s="172">
        <f>'[1]Renewable Diesel'!$AX105</f>
        <v>485.5</v>
      </c>
      <c r="T144" s="172">
        <f>'[1]Renewable Diesel'!$AX117</f>
        <v>558</v>
      </c>
      <c r="U144" s="172">
        <f>'[1]Renewable Diesel'!$AX129</f>
        <v>738</v>
      </c>
      <c r="V144" s="172">
        <f>'[1]Renewable Diesel'!$AX141</f>
        <v>911</v>
      </c>
      <c r="W144" s="172">
        <f>'[1]Renewable Diesel'!$AX153</f>
        <v>2219</v>
      </c>
      <c r="X144" s="172">
        <f>'[1]Renewable Diesel'!$AX165</f>
        <v>3704</v>
      </c>
      <c r="Y144" s="172">
        <f>'[1]Renewable Diesel'!$AX177</f>
        <v>4580</v>
      </c>
      <c r="Z144" s="172">
        <f>'[1]Renewable Diesel'!$AX189</f>
        <v>4865.6000000000004</v>
      </c>
      <c r="AA144" s="172">
        <f>'[1]Renewable Diesel'!$AX201</f>
        <v>5168.1000000000004</v>
      </c>
      <c r="AB144" s="172">
        <f>'[1]Renewable Diesel'!$AX213</f>
        <v>5206.8500000000004</v>
      </c>
      <c r="AC144" s="172">
        <f>'[1]Renewable Diesel'!$AX225</f>
        <v>5389.3500000000013</v>
      </c>
      <c r="AD144" s="172">
        <f>'[1]Renewable Diesel'!$AX237</f>
        <v>5389.3500000000013</v>
      </c>
      <c r="AE144" s="172">
        <f>'[1]Renewable Diesel'!$AX249</f>
        <v>5389.3500000000013</v>
      </c>
      <c r="AF144" s="172">
        <f>'[1]Renewable Diesel'!$AX261</f>
        <v>5446.8500000000013</v>
      </c>
      <c r="AG144" s="172">
        <f>'[1]Renewable Diesel'!$AX273</f>
        <v>5446.8500000000013</v>
      </c>
      <c r="AH144" s="172">
        <f>'[1]Renewable Diesel'!$AX285</f>
        <v>5446.8500000000013</v>
      </c>
      <c r="AI144" s="172">
        <f>'[1]Renewable Diesel'!$AX285</f>
        <v>5446.8500000000013</v>
      </c>
      <c r="AJ144" s="172">
        <f>'[1]Renewable Diesel'!$AX285</f>
        <v>5446.8500000000013</v>
      </c>
      <c r="AK144" s="172">
        <f>'[1]Renewable Diesel'!$AX285</f>
        <v>5446.8500000000013</v>
      </c>
      <c r="AL144" s="172">
        <f>'[1]Renewable Diesel'!$AX285</f>
        <v>5446.8500000000013</v>
      </c>
      <c r="AM144" s="172">
        <f>'[1]Renewable Diesel'!$AX285</f>
        <v>5446.8500000000013</v>
      </c>
      <c r="AN144" s="172">
        <f>'[1]Renewable Diesel'!$AX285</f>
        <v>5446.8500000000013</v>
      </c>
      <c r="AO144" s="172">
        <f>'[1]Renewable Diesel'!$AX285</f>
        <v>5446.8500000000013</v>
      </c>
      <c r="AP144" s="172">
        <f>'[1]Renewable Diesel'!$AX285</f>
        <v>5446.8500000000013</v>
      </c>
      <c r="AQ144" s="172">
        <f>'[1]Renewable Diesel'!$AX285</f>
        <v>5446.8500000000013</v>
      </c>
      <c r="AR144" s="172">
        <f>'[1]Renewable Diesel'!$AX285</f>
        <v>5446.8500000000013</v>
      </c>
      <c r="AS144" s="172">
        <f>'[1]Renewable Diesel'!$AX285</f>
        <v>5446.8500000000013</v>
      </c>
      <c r="AT144" s="172">
        <f>'[1]Renewable Diesel'!$AX285</f>
        <v>5446.8500000000013</v>
      </c>
      <c r="AU144" s="172">
        <f>'[1]Renewable Diesel'!$AX285</f>
        <v>5446.8500000000013</v>
      </c>
      <c r="AV144" s="172">
        <f>'[1]Renewable Diesel'!$AX285</f>
        <v>5446.8500000000013</v>
      </c>
      <c r="AW144" s="172">
        <f>'[1]Renewable Diesel'!$AX285</f>
        <v>5446.8500000000013</v>
      </c>
      <c r="AX144" s="172">
        <f>'[1]Renewable Diesel'!$AX285</f>
        <v>5446.8500000000013</v>
      </c>
      <c r="AY144" s="172">
        <f>'[1]Renewable Diesel'!$AX285</f>
        <v>5446.8500000000013</v>
      </c>
    </row>
    <row r="145" spans="1:51" x14ac:dyDescent="0.2">
      <c r="A145" s="19" t="s">
        <v>171</v>
      </c>
      <c r="L145" s="172">
        <f>'[1]Renewable Diesel'!$AX22</f>
        <v>40</v>
      </c>
      <c r="M145" s="172">
        <f>'[1]Renewable Diesel'!$AX34</f>
        <v>160</v>
      </c>
      <c r="N145" s="172">
        <f>'[1]Renewable Diesel'!$AX46</f>
        <v>160</v>
      </c>
      <c r="O145" s="172">
        <f>'[1]Renewable Diesel'!$AX58</f>
        <v>160</v>
      </c>
      <c r="P145" s="172">
        <f>'[1]Renewable Diesel'!$AX70</f>
        <v>255</v>
      </c>
      <c r="Q145" s="172">
        <f>'[1]Renewable Diesel'!$AX82</f>
        <v>408</v>
      </c>
      <c r="R145" s="172">
        <f>'[1]Renewable Diesel'!$AX94</f>
        <v>408</v>
      </c>
      <c r="S145" s="172">
        <f>'[1]Renewable Diesel'!$AX106</f>
        <v>514.29999999999995</v>
      </c>
      <c r="T145" s="172">
        <f>'[1]Renewable Diesel'!$AX118</f>
        <v>558</v>
      </c>
      <c r="U145" s="172">
        <f>'[1]Renewable Diesel'!$AX130</f>
        <v>738</v>
      </c>
      <c r="V145" s="172">
        <f>'[1]Renewable Diesel'!$AX142</f>
        <v>1014</v>
      </c>
      <c r="W145" s="172">
        <f>'[1]Renewable Diesel'!$AX154</f>
        <v>2219</v>
      </c>
      <c r="X145" s="172">
        <f>'[1]Renewable Diesel'!$AX166</f>
        <v>3857</v>
      </c>
      <c r="Y145" s="172">
        <f>'[1]Renewable Diesel'!$AX178</f>
        <v>4235.9999999999991</v>
      </c>
      <c r="Z145" s="172">
        <f>'[1]Renewable Diesel'!$AX190</f>
        <v>4865.6000000000004</v>
      </c>
      <c r="AA145" s="172">
        <f>'[1]Renewable Diesel'!$AX202</f>
        <v>5168.1000000000004</v>
      </c>
      <c r="AB145" s="172">
        <f>'[1]Renewable Diesel'!$AX214</f>
        <v>5206.8500000000004</v>
      </c>
      <c r="AC145" s="172">
        <f>'[1]Renewable Diesel'!$AX226</f>
        <v>5389.3500000000013</v>
      </c>
      <c r="AD145" s="172">
        <f>'[1]Renewable Diesel'!$AX238</f>
        <v>5389.3500000000013</v>
      </c>
      <c r="AE145" s="172">
        <f>'[1]Renewable Diesel'!$AX250</f>
        <v>5389.3500000000013</v>
      </c>
      <c r="AF145" s="172">
        <f>'[1]Renewable Diesel'!$AX262</f>
        <v>5446.8500000000013</v>
      </c>
      <c r="AG145" s="172">
        <f>'[1]Renewable Diesel'!$AX274</f>
        <v>5446.8500000000013</v>
      </c>
      <c r="AH145" s="172">
        <f>'[1]Renewable Diesel'!$AX286</f>
        <v>5446.8500000000013</v>
      </c>
      <c r="AI145" s="172">
        <f>'[1]Renewable Diesel'!$AX286</f>
        <v>5446.8500000000013</v>
      </c>
      <c r="AJ145" s="172">
        <f>'[1]Renewable Diesel'!$AX286</f>
        <v>5446.8500000000013</v>
      </c>
      <c r="AK145" s="172">
        <f>'[1]Renewable Diesel'!$AX286</f>
        <v>5446.8500000000013</v>
      </c>
      <c r="AL145" s="172">
        <f>'[1]Renewable Diesel'!$AX286</f>
        <v>5446.8500000000013</v>
      </c>
      <c r="AM145" s="172">
        <f>'[1]Renewable Diesel'!$AX286</f>
        <v>5446.8500000000013</v>
      </c>
      <c r="AN145" s="172">
        <f>'[1]Renewable Diesel'!$AX286</f>
        <v>5446.8500000000013</v>
      </c>
      <c r="AO145" s="172">
        <f>'[1]Renewable Diesel'!$AX286</f>
        <v>5446.8500000000013</v>
      </c>
      <c r="AP145" s="172">
        <f>'[1]Renewable Diesel'!$AX286</f>
        <v>5446.8500000000013</v>
      </c>
      <c r="AQ145" s="172">
        <f>'[1]Renewable Diesel'!$AX286</f>
        <v>5446.8500000000013</v>
      </c>
      <c r="AR145" s="172">
        <f>'[1]Renewable Diesel'!$AX286</f>
        <v>5446.8500000000013</v>
      </c>
      <c r="AS145" s="172">
        <f>'[1]Renewable Diesel'!$AX286</f>
        <v>5446.8500000000013</v>
      </c>
      <c r="AT145" s="172">
        <f>'[1]Renewable Diesel'!$AX286</f>
        <v>5446.8500000000013</v>
      </c>
      <c r="AU145" s="172">
        <f>'[1]Renewable Diesel'!$AX286</f>
        <v>5446.8500000000013</v>
      </c>
      <c r="AV145" s="172">
        <f>'[1]Renewable Diesel'!$AX286</f>
        <v>5446.8500000000013</v>
      </c>
      <c r="AW145" s="172">
        <f>'[1]Renewable Diesel'!$AX286</f>
        <v>5446.8500000000013</v>
      </c>
      <c r="AX145" s="172">
        <f>'[1]Renewable Diesel'!$AX286</f>
        <v>5446.8500000000013</v>
      </c>
      <c r="AY145" s="172">
        <f>'[1]Renewable Diesel'!$AX286</f>
        <v>5446.8500000000013</v>
      </c>
    </row>
    <row r="146" spans="1:51" x14ac:dyDescent="0.2">
      <c r="A146" s="19" t="s">
        <v>172</v>
      </c>
      <c r="L146" s="172">
        <f>'[1]Renewable Diesel'!$AX23</f>
        <v>120</v>
      </c>
      <c r="M146" s="172">
        <f>'[1]Renewable Diesel'!$AX35</f>
        <v>160</v>
      </c>
      <c r="N146" s="172">
        <f>'[1]Renewable Diesel'!$AX47</f>
        <v>160</v>
      </c>
      <c r="O146" s="172">
        <f>'[1]Renewable Diesel'!$AX59</f>
        <v>185</v>
      </c>
      <c r="P146" s="172">
        <f>'[1]Renewable Diesel'!$AX71</f>
        <v>255</v>
      </c>
      <c r="Q146" s="172">
        <f>'[1]Renewable Diesel'!$AX83</f>
        <v>408</v>
      </c>
      <c r="R146" s="172">
        <f>'[1]Renewable Diesel'!$AX95</f>
        <v>408</v>
      </c>
      <c r="S146" s="172">
        <f>'[1]Renewable Diesel'!$AX107</f>
        <v>558</v>
      </c>
      <c r="T146" s="172">
        <f>'[1]Renewable Diesel'!$AX119</f>
        <v>558</v>
      </c>
      <c r="U146" s="172">
        <f>'[1]Renewable Diesel'!$AX131</f>
        <v>738</v>
      </c>
      <c r="V146" s="172">
        <f>'[1]Renewable Diesel'!$AX143</f>
        <v>1017</v>
      </c>
      <c r="W146" s="172">
        <f>'[1]Renewable Diesel'!$AX155</f>
        <v>2755</v>
      </c>
      <c r="X146" s="172">
        <f>'[1]Renewable Diesel'!$AX167</f>
        <v>3897</v>
      </c>
      <c r="Y146" s="172">
        <f>'[1]Renewable Diesel'!$AX179</f>
        <v>4256</v>
      </c>
      <c r="Z146" s="172">
        <f>'[1]Renewable Diesel'!$AX191</f>
        <v>4865.6000000000004</v>
      </c>
      <c r="AA146" s="172">
        <f>'[1]Renewable Diesel'!$AX203</f>
        <v>5168.1000000000004</v>
      </c>
      <c r="AB146" s="172">
        <f>'[1]Renewable Diesel'!$AX215</f>
        <v>5206.8500000000004</v>
      </c>
      <c r="AC146" s="172">
        <f>'[1]Renewable Diesel'!$AX227</f>
        <v>5389.3500000000013</v>
      </c>
      <c r="AD146" s="172">
        <f>'[1]Renewable Diesel'!$AX239</f>
        <v>5389.3500000000013</v>
      </c>
      <c r="AE146" s="172">
        <f>'[1]Renewable Diesel'!$AX251</f>
        <v>5389.3500000000013</v>
      </c>
      <c r="AF146" s="172">
        <f>'[1]Renewable Diesel'!$AX263</f>
        <v>5446.8500000000013</v>
      </c>
      <c r="AG146" s="172">
        <f>'[1]Renewable Diesel'!$AX275</f>
        <v>5446.8500000000013</v>
      </c>
      <c r="AH146" s="172">
        <f>'[1]Renewable Diesel'!$AX287</f>
        <v>5446.8500000000013</v>
      </c>
      <c r="AI146" s="172">
        <f>'[1]Renewable Diesel'!$AX287</f>
        <v>5446.8500000000013</v>
      </c>
      <c r="AJ146" s="172">
        <f>'[1]Renewable Diesel'!$AX287</f>
        <v>5446.8500000000013</v>
      </c>
      <c r="AK146" s="172">
        <f>'[1]Renewable Diesel'!$AX287</f>
        <v>5446.8500000000013</v>
      </c>
      <c r="AL146" s="172">
        <f>'[1]Renewable Diesel'!$AX287</f>
        <v>5446.8500000000013</v>
      </c>
      <c r="AM146" s="172">
        <f>'[1]Renewable Diesel'!$AX287</f>
        <v>5446.8500000000013</v>
      </c>
      <c r="AN146" s="172">
        <f>'[1]Renewable Diesel'!$AX287</f>
        <v>5446.8500000000013</v>
      </c>
      <c r="AO146" s="172">
        <f>'[1]Renewable Diesel'!$AX287</f>
        <v>5446.8500000000013</v>
      </c>
      <c r="AP146" s="172">
        <f>'[1]Renewable Diesel'!$AX287</f>
        <v>5446.8500000000013</v>
      </c>
      <c r="AQ146" s="172">
        <f>'[1]Renewable Diesel'!$AX287</f>
        <v>5446.8500000000013</v>
      </c>
      <c r="AR146" s="172">
        <f>'[1]Renewable Diesel'!$AX287</f>
        <v>5446.8500000000013</v>
      </c>
      <c r="AS146" s="172">
        <f>'[1]Renewable Diesel'!$AX287</f>
        <v>5446.8500000000013</v>
      </c>
      <c r="AT146" s="172">
        <f>'[1]Renewable Diesel'!$AX287</f>
        <v>5446.8500000000013</v>
      </c>
      <c r="AU146" s="172">
        <f>'[1]Renewable Diesel'!$AX287</f>
        <v>5446.8500000000013</v>
      </c>
      <c r="AV146" s="172">
        <f>'[1]Renewable Diesel'!$AX287</f>
        <v>5446.8500000000013</v>
      </c>
      <c r="AW146" s="172">
        <f>'[1]Renewable Diesel'!$AX287</f>
        <v>5446.8500000000013</v>
      </c>
      <c r="AX146" s="172">
        <f>'[1]Renewable Diesel'!$AX287</f>
        <v>5446.8500000000013</v>
      </c>
      <c r="AY146" s="172">
        <f>'[1]Renewable Diesel'!$AX287</f>
        <v>5446.8500000000013</v>
      </c>
    </row>
    <row r="147" spans="1:51" x14ac:dyDescent="0.2">
      <c r="A147" s="19" t="s">
        <v>173</v>
      </c>
      <c r="L147" s="172">
        <f>'[1]Renewable Diesel'!$AX24</f>
        <v>120</v>
      </c>
      <c r="M147" s="172">
        <f>'[1]Renewable Diesel'!$AX36</f>
        <v>160</v>
      </c>
      <c r="N147" s="172">
        <f>'[1]Renewable Diesel'!$AX48</f>
        <v>160</v>
      </c>
      <c r="O147" s="172">
        <f>'[1]Renewable Diesel'!$AX60</f>
        <v>210</v>
      </c>
      <c r="P147" s="172">
        <f>'[1]Renewable Diesel'!$AX72</f>
        <v>255</v>
      </c>
      <c r="Q147" s="172">
        <f>'[1]Renewable Diesel'!$AX84</f>
        <v>408</v>
      </c>
      <c r="R147" s="172">
        <f>'[1]Renewable Diesel'!$AX96</f>
        <v>408</v>
      </c>
      <c r="S147" s="172">
        <f>'[1]Renewable Diesel'!$AX108</f>
        <v>558</v>
      </c>
      <c r="T147" s="172">
        <f>'[1]Renewable Diesel'!$AX120</f>
        <v>558</v>
      </c>
      <c r="U147" s="172">
        <f>'[1]Renewable Diesel'!$AX132</f>
        <v>738</v>
      </c>
      <c r="V147" s="172">
        <f>'[1]Renewable Diesel'!$AX144</f>
        <v>1106</v>
      </c>
      <c r="W147" s="172">
        <f>'[1]Renewable Diesel'!$AX156</f>
        <v>2939</v>
      </c>
      <c r="X147" s="172">
        <f>'[1]Renewable Diesel'!$AX168</f>
        <v>3857</v>
      </c>
      <c r="Y147" s="172">
        <f>'[1]Renewable Diesel'!$AX180</f>
        <v>4282</v>
      </c>
      <c r="Z147" s="172">
        <f>'[1]Renewable Diesel'!$AX192</f>
        <v>4865.6000000000004</v>
      </c>
      <c r="AA147" s="172">
        <f>'[1]Renewable Diesel'!$AX204</f>
        <v>5168.1000000000004</v>
      </c>
      <c r="AB147" s="172">
        <f>'[1]Renewable Diesel'!$AX216</f>
        <v>5206.8500000000004</v>
      </c>
      <c r="AC147" s="172">
        <f>'[1]Renewable Diesel'!$AX228</f>
        <v>5389.3500000000013</v>
      </c>
      <c r="AD147" s="172">
        <f>'[1]Renewable Diesel'!$AX240</f>
        <v>5389.3500000000013</v>
      </c>
      <c r="AE147" s="172">
        <f>'[1]Renewable Diesel'!$AX252</f>
        <v>5389.3500000000013</v>
      </c>
      <c r="AF147" s="172">
        <f>'[1]Renewable Diesel'!$AX264</f>
        <v>5446.8500000000013</v>
      </c>
      <c r="AG147" s="172">
        <f>'[1]Renewable Diesel'!$AX276</f>
        <v>5446.8500000000013</v>
      </c>
      <c r="AH147" s="172">
        <f>'[1]Renewable Diesel'!$AX288</f>
        <v>5446.8500000000013</v>
      </c>
      <c r="AI147" s="172">
        <f>'[1]Renewable Diesel'!$AX288</f>
        <v>5446.8500000000013</v>
      </c>
      <c r="AJ147" s="172">
        <f>'[1]Renewable Diesel'!$AX288</f>
        <v>5446.8500000000013</v>
      </c>
      <c r="AK147" s="172">
        <f>'[1]Renewable Diesel'!$AX288</f>
        <v>5446.8500000000013</v>
      </c>
      <c r="AL147" s="172">
        <f>'[1]Renewable Diesel'!$AX288</f>
        <v>5446.8500000000013</v>
      </c>
      <c r="AM147" s="172">
        <f>'[1]Renewable Diesel'!$AX288</f>
        <v>5446.8500000000013</v>
      </c>
      <c r="AN147" s="172">
        <f>'[1]Renewable Diesel'!$AX288</f>
        <v>5446.8500000000013</v>
      </c>
      <c r="AO147" s="172">
        <f>'[1]Renewable Diesel'!$AX288</f>
        <v>5446.8500000000013</v>
      </c>
      <c r="AP147" s="172">
        <f>'[1]Renewable Diesel'!$AX288</f>
        <v>5446.8500000000013</v>
      </c>
      <c r="AQ147" s="172">
        <f>'[1]Renewable Diesel'!$AX288</f>
        <v>5446.8500000000013</v>
      </c>
      <c r="AR147" s="172">
        <f>'[1]Renewable Diesel'!$AX288</f>
        <v>5446.8500000000013</v>
      </c>
      <c r="AS147" s="172">
        <f>'[1]Renewable Diesel'!$AX288</f>
        <v>5446.8500000000013</v>
      </c>
      <c r="AT147" s="172">
        <f>'[1]Renewable Diesel'!$AX288</f>
        <v>5446.8500000000013</v>
      </c>
      <c r="AU147" s="172">
        <f>'[1]Renewable Diesel'!$AX288</f>
        <v>5446.8500000000013</v>
      </c>
      <c r="AV147" s="172">
        <f>'[1]Renewable Diesel'!$AX288</f>
        <v>5446.8500000000013</v>
      </c>
      <c r="AW147" s="172">
        <f>'[1]Renewable Diesel'!$AX288</f>
        <v>5446.8500000000013</v>
      </c>
      <c r="AX147" s="172">
        <f>'[1]Renewable Diesel'!$AX288</f>
        <v>5446.8500000000013</v>
      </c>
      <c r="AY147" s="172">
        <f>'[1]Renewable Diesel'!$AX288</f>
        <v>5446.8500000000013</v>
      </c>
    </row>
    <row r="148" spans="1:51" x14ac:dyDescent="0.2">
      <c r="A148" s="19" t="s">
        <v>181</v>
      </c>
      <c r="L148" s="172"/>
      <c r="M148" s="172">
        <f>AVERAGE(M136:M147)</f>
        <v>160</v>
      </c>
      <c r="N148" s="172">
        <f t="shared" ref="N148:AY148" si="58">AVERAGE(N136:N147)</f>
        <v>160</v>
      </c>
      <c r="O148" s="172">
        <f t="shared" si="58"/>
        <v>166.25</v>
      </c>
      <c r="P148" s="172">
        <f t="shared" si="58"/>
        <v>255</v>
      </c>
      <c r="Q148" s="172">
        <f t="shared" si="58"/>
        <v>366.5</v>
      </c>
      <c r="R148" s="172">
        <f t="shared" si="58"/>
        <v>408</v>
      </c>
      <c r="S148" s="172">
        <f t="shared" si="58"/>
        <v>443.21250000000003</v>
      </c>
      <c r="T148" s="172">
        <f t="shared" si="58"/>
        <v>558</v>
      </c>
      <c r="U148" s="172">
        <f t="shared" si="58"/>
        <v>633</v>
      </c>
      <c r="V148" s="172">
        <f t="shared" si="58"/>
        <v>924.66666666666663</v>
      </c>
      <c r="W148" s="172">
        <f t="shared" si="58"/>
        <v>2132.5833333333335</v>
      </c>
      <c r="X148" s="172">
        <f t="shared" si="58"/>
        <v>3544.5</v>
      </c>
      <c r="Y148" s="172">
        <f t="shared" si="58"/>
        <v>4310.166666666667</v>
      </c>
      <c r="Z148" s="172">
        <f t="shared" si="58"/>
        <v>4761.1124999999993</v>
      </c>
      <c r="AA148" s="172">
        <f t="shared" si="58"/>
        <v>5108.4124999999995</v>
      </c>
      <c r="AB148" s="172">
        <f t="shared" si="58"/>
        <v>5191.8499999999995</v>
      </c>
      <c r="AC148" s="172">
        <f t="shared" si="58"/>
        <v>5381.3291666666673</v>
      </c>
      <c r="AD148" s="172">
        <f t="shared" si="58"/>
        <v>5389.35</v>
      </c>
      <c r="AE148" s="172">
        <f t="shared" si="58"/>
        <v>5389.35</v>
      </c>
      <c r="AF148" s="172">
        <f t="shared" si="58"/>
        <v>5438.8291666666673</v>
      </c>
      <c r="AG148" s="172">
        <f t="shared" si="58"/>
        <v>5446.85</v>
      </c>
      <c r="AH148" s="172">
        <f t="shared" si="58"/>
        <v>5446.85</v>
      </c>
      <c r="AI148" s="172">
        <f t="shared" si="58"/>
        <v>5446.85</v>
      </c>
      <c r="AJ148" s="172">
        <f t="shared" si="58"/>
        <v>5446.85</v>
      </c>
      <c r="AK148" s="172">
        <f t="shared" si="58"/>
        <v>5446.85</v>
      </c>
      <c r="AL148" s="172">
        <f t="shared" si="58"/>
        <v>5446.85</v>
      </c>
      <c r="AM148" s="172">
        <f t="shared" si="58"/>
        <v>5446.85</v>
      </c>
      <c r="AN148" s="172">
        <f t="shared" si="58"/>
        <v>5446.85</v>
      </c>
      <c r="AO148" s="172">
        <f t="shared" si="58"/>
        <v>5446.85</v>
      </c>
      <c r="AP148" s="172">
        <f t="shared" si="58"/>
        <v>5446.85</v>
      </c>
      <c r="AQ148" s="172">
        <f t="shared" si="58"/>
        <v>5446.85</v>
      </c>
      <c r="AR148" s="172">
        <f t="shared" si="58"/>
        <v>5446.85</v>
      </c>
      <c r="AS148" s="172">
        <f t="shared" si="58"/>
        <v>5446.85</v>
      </c>
      <c r="AT148" s="172">
        <f t="shared" si="58"/>
        <v>5446.85</v>
      </c>
      <c r="AU148" s="172">
        <f t="shared" si="58"/>
        <v>5446.85</v>
      </c>
      <c r="AV148" s="172">
        <f t="shared" si="58"/>
        <v>5446.85</v>
      </c>
      <c r="AW148" s="172">
        <f t="shared" si="58"/>
        <v>5446.85</v>
      </c>
      <c r="AX148" s="172">
        <f t="shared" si="58"/>
        <v>5446.85</v>
      </c>
      <c r="AY148" s="172">
        <f t="shared" si="58"/>
        <v>5446.85</v>
      </c>
    </row>
    <row r="149" spans="1:51" x14ac:dyDescent="0.2">
      <c r="A149" s="114"/>
      <c r="B149" s="114"/>
      <c r="C149" s="114"/>
      <c r="D149" s="114"/>
      <c r="E149" s="114"/>
      <c r="F149" s="114"/>
      <c r="G149" s="114"/>
      <c r="H149" s="114"/>
      <c r="I149" s="114"/>
      <c r="J149" s="114"/>
      <c r="K149" s="114"/>
      <c r="L149" s="114"/>
      <c r="M149" s="114"/>
      <c r="N149" s="112">
        <f t="shared" ref="N149:W150" si="59">N148-M148</f>
        <v>0</v>
      </c>
      <c r="O149" s="112">
        <f t="shared" si="59"/>
        <v>6.25</v>
      </c>
      <c r="P149" s="112">
        <f t="shared" si="59"/>
        <v>88.75</v>
      </c>
      <c r="Q149" s="112">
        <f t="shared" si="59"/>
        <v>111.5</v>
      </c>
      <c r="R149" s="112">
        <f t="shared" si="59"/>
        <v>41.5</v>
      </c>
      <c r="S149" s="112">
        <f t="shared" si="59"/>
        <v>35.212500000000034</v>
      </c>
      <c r="T149" s="112">
        <f t="shared" si="59"/>
        <v>114.78749999999997</v>
      </c>
      <c r="U149" s="112">
        <f t="shared" si="59"/>
        <v>75</v>
      </c>
      <c r="V149" s="112">
        <f t="shared" si="59"/>
        <v>291.66666666666663</v>
      </c>
      <c r="W149" s="112">
        <f t="shared" si="59"/>
        <v>1207.916666666667</v>
      </c>
      <c r="X149" s="112">
        <f>X148-W148</f>
        <v>1411.9166666666665</v>
      </c>
      <c r="Y149" s="114"/>
      <c r="Z149" s="114"/>
      <c r="AA149" s="114"/>
      <c r="AB149" s="114"/>
      <c r="AC149" s="114"/>
      <c r="AD149" s="114"/>
      <c r="AE149" s="114"/>
      <c r="AF149" s="114"/>
      <c r="AG149" s="114"/>
      <c r="AH149" s="114"/>
      <c r="AI149" s="114"/>
      <c r="AJ149" s="114"/>
      <c r="AK149" s="114"/>
      <c r="AL149" s="114"/>
      <c r="AM149" s="114"/>
      <c r="AN149" s="114"/>
      <c r="AO149" s="114"/>
      <c r="AP149" s="114"/>
      <c r="AQ149" s="114"/>
      <c r="AR149" s="114"/>
      <c r="AS149" s="114"/>
      <c r="AT149" s="114"/>
      <c r="AU149" s="114"/>
      <c r="AV149" s="114"/>
      <c r="AW149" s="114"/>
      <c r="AX149" s="114"/>
      <c r="AY149" s="114"/>
    </row>
    <row r="150" spans="1:51" ht="12" thickBot="1" x14ac:dyDescent="0.25">
      <c r="A150" s="121" t="s">
        <v>213</v>
      </c>
      <c r="R150" s="108">
        <f t="shared" si="59"/>
        <v>-70</v>
      </c>
      <c r="S150" s="108">
        <f t="shared" si="59"/>
        <v>-6.2874999999999659</v>
      </c>
      <c r="T150" s="108">
        <f t="shared" si="59"/>
        <v>79.574999999999932</v>
      </c>
      <c r="U150" s="108">
        <f t="shared" si="59"/>
        <v>-39.787499999999966</v>
      </c>
      <c r="V150" s="108">
        <f t="shared" si="59"/>
        <v>216.66666666666663</v>
      </c>
      <c r="W150" s="108">
        <f t="shared" si="59"/>
        <v>916.25000000000034</v>
      </c>
      <c r="X150" s="108">
        <f>X149-W149</f>
        <v>203.99999999999955</v>
      </c>
    </row>
    <row r="151" spans="1:51" ht="12" thickBot="1" x14ac:dyDescent="0.25">
      <c r="A151" s="122"/>
      <c r="B151" s="128">
        <f>B2</f>
        <v>2001</v>
      </c>
      <c r="C151" s="128">
        <f t="shared" ref="C151:AY151" si="60">C2</f>
        <v>2002</v>
      </c>
      <c r="D151" s="128">
        <f t="shared" si="60"/>
        <v>2003</v>
      </c>
      <c r="E151" s="128">
        <f t="shared" si="60"/>
        <v>2004</v>
      </c>
      <c r="F151" s="128">
        <f t="shared" si="60"/>
        <v>2005</v>
      </c>
      <c r="G151" s="128">
        <f t="shared" si="60"/>
        <v>2006</v>
      </c>
      <c r="H151" s="128">
        <f t="shared" si="60"/>
        <v>2007</v>
      </c>
      <c r="I151" s="128">
        <f t="shared" si="60"/>
        <v>2008</v>
      </c>
      <c r="J151" s="128">
        <f t="shared" si="60"/>
        <v>2009</v>
      </c>
      <c r="K151" s="128">
        <f t="shared" si="60"/>
        <v>2010</v>
      </c>
      <c r="L151" s="171">
        <f t="shared" si="60"/>
        <v>2011</v>
      </c>
      <c r="M151" s="171">
        <f t="shared" si="60"/>
        <v>2012</v>
      </c>
      <c r="N151" s="171">
        <f t="shared" si="60"/>
        <v>2013</v>
      </c>
      <c r="O151" s="171">
        <f t="shared" si="60"/>
        <v>2014</v>
      </c>
      <c r="P151" s="171">
        <f t="shared" si="60"/>
        <v>2015</v>
      </c>
      <c r="Q151" s="171">
        <f t="shared" si="60"/>
        <v>2016</v>
      </c>
      <c r="R151" s="171">
        <f t="shared" si="60"/>
        <v>2017</v>
      </c>
      <c r="S151" s="171">
        <f t="shared" si="60"/>
        <v>2018</v>
      </c>
      <c r="T151" s="171">
        <f t="shared" si="60"/>
        <v>2019</v>
      </c>
      <c r="U151" s="171">
        <f t="shared" si="60"/>
        <v>2020</v>
      </c>
      <c r="V151" s="171">
        <f t="shared" si="60"/>
        <v>2021</v>
      </c>
      <c r="W151" s="171">
        <f t="shared" si="60"/>
        <v>2022</v>
      </c>
      <c r="X151" s="171">
        <f t="shared" si="60"/>
        <v>2023</v>
      </c>
      <c r="Y151" s="171">
        <f t="shared" si="60"/>
        <v>2024</v>
      </c>
      <c r="Z151" s="171">
        <f t="shared" si="60"/>
        <v>2025</v>
      </c>
      <c r="AA151" s="171">
        <f t="shared" si="60"/>
        <v>2026</v>
      </c>
      <c r="AB151" s="171">
        <f t="shared" si="60"/>
        <v>2027</v>
      </c>
      <c r="AC151" s="171">
        <f t="shared" si="60"/>
        <v>2028</v>
      </c>
      <c r="AD151" s="171">
        <f t="shared" si="60"/>
        <v>2029</v>
      </c>
      <c r="AE151" s="171">
        <f t="shared" si="60"/>
        <v>2030</v>
      </c>
      <c r="AF151" s="171">
        <f t="shared" si="60"/>
        <v>2031</v>
      </c>
      <c r="AG151" s="171">
        <f t="shared" si="60"/>
        <v>2032</v>
      </c>
      <c r="AH151" s="171">
        <f t="shared" si="60"/>
        <v>2033</v>
      </c>
      <c r="AI151" s="171">
        <f t="shared" si="60"/>
        <v>2034</v>
      </c>
      <c r="AJ151" s="171">
        <f t="shared" si="60"/>
        <v>2035</v>
      </c>
      <c r="AK151" s="171">
        <f t="shared" si="60"/>
        <v>2036</v>
      </c>
      <c r="AL151" s="171">
        <f t="shared" si="60"/>
        <v>2037</v>
      </c>
      <c r="AM151" s="171">
        <f t="shared" si="60"/>
        <v>2038</v>
      </c>
      <c r="AN151" s="171">
        <f t="shared" si="60"/>
        <v>2039</v>
      </c>
      <c r="AO151" s="171">
        <f t="shared" si="60"/>
        <v>2040</v>
      </c>
      <c r="AP151" s="171">
        <f t="shared" si="60"/>
        <v>2041</v>
      </c>
      <c r="AQ151" s="171">
        <f t="shared" si="60"/>
        <v>2042</v>
      </c>
      <c r="AR151" s="171">
        <f t="shared" si="60"/>
        <v>2043</v>
      </c>
      <c r="AS151" s="171">
        <f t="shared" si="60"/>
        <v>2044</v>
      </c>
      <c r="AT151" s="171">
        <f t="shared" si="60"/>
        <v>2045</v>
      </c>
      <c r="AU151" s="171">
        <f t="shared" si="60"/>
        <v>2046</v>
      </c>
      <c r="AV151" s="171">
        <f t="shared" si="60"/>
        <v>2047</v>
      </c>
      <c r="AW151" s="171">
        <f t="shared" si="60"/>
        <v>2048</v>
      </c>
      <c r="AX151" s="171">
        <f t="shared" si="60"/>
        <v>2049</v>
      </c>
      <c r="AY151" s="171">
        <f t="shared" si="60"/>
        <v>2050</v>
      </c>
    </row>
    <row r="152" spans="1:51" x14ac:dyDescent="0.2">
      <c r="A152" s="19" t="s">
        <v>162</v>
      </c>
      <c r="L152" s="182"/>
      <c r="M152" s="184" t="e">
        <f>(M24/(#REF!-#REF!)*365)/M136</f>
        <v>#REF!</v>
      </c>
      <c r="N152" s="184" t="e">
        <f>(N24/(#REF!-#REF!)*365)/N136</f>
        <v>#REF!</v>
      </c>
      <c r="O152" s="184" t="e">
        <f>(O24/(#REF!-#REF!)*365)/O136</f>
        <v>#REF!</v>
      </c>
      <c r="P152" s="184" t="e">
        <f>(P24/(#REF!-#REF!)*365)/P136</f>
        <v>#REF!</v>
      </c>
      <c r="Q152" s="184" t="e">
        <f>(Q24/(#REF!-#REF!)*365)/Q136</f>
        <v>#REF!</v>
      </c>
      <c r="R152" s="184" t="e">
        <f>(R24/(#REF!-#REF!)*365)/R136</f>
        <v>#REF!</v>
      </c>
      <c r="S152" s="184">
        <f>Capacity!$I86</f>
        <v>0.39481064199873495</v>
      </c>
      <c r="T152" s="184">
        <f>Capacity!$I98</f>
        <v>0.76990143369175634</v>
      </c>
      <c r="U152" s="184">
        <f>Capacity!$I110</f>
        <v>0.88321222106601915</v>
      </c>
      <c r="V152" s="184">
        <f>Capacity!$I122</f>
        <v>0.88485074018188492</v>
      </c>
      <c r="W152" s="184">
        <f>Capacity!$I134</f>
        <v>0.74387336405529958</v>
      </c>
      <c r="X152" s="184">
        <f>Capacity!$I146</f>
        <v>0.65941765534748142</v>
      </c>
      <c r="Y152" s="184">
        <f>Capacity!$I158</f>
        <v>0.71623623749027732</v>
      </c>
      <c r="Z152" s="184">
        <f>Capacity!$I170</f>
        <v>0.55764775398964672</v>
      </c>
      <c r="AA152" s="185">
        <f>Capacity!$I182</f>
        <v>0.41426018884117516</v>
      </c>
      <c r="AB152" s="185">
        <f>Capacity!$I194</f>
        <v>0.43344529078455446</v>
      </c>
      <c r="AC152" s="185">
        <f>Capacity!$I206</f>
        <v>0.4290961680519283</v>
      </c>
      <c r="AD152" s="185">
        <f>Capacity!$I218</f>
        <v>0.42889315376487303</v>
      </c>
      <c r="AE152" s="185">
        <f>Capacity!$I230</f>
        <v>0.44941253953719101</v>
      </c>
      <c r="AF152" s="185">
        <f>Capacity!$I242</f>
        <v>0.48671580916251195</v>
      </c>
      <c r="AG152" s="185">
        <f>Capacity!$I254</f>
        <v>0.57080366255678994</v>
      </c>
      <c r="AH152" s="185">
        <f>Capacity!$I266</f>
        <v>0.56827715725496009</v>
      </c>
      <c r="AI152" s="185">
        <f>Capacity!$I278</f>
        <v>0.55290112166401728</v>
      </c>
      <c r="AJ152" s="185">
        <f>Capacity!$I290</f>
        <v>0.58569631167919367</v>
      </c>
      <c r="AK152" s="185">
        <f>Capacity!$I290</f>
        <v>0.58569631167919367</v>
      </c>
      <c r="AL152" s="185">
        <f>Capacity!$I290</f>
        <v>0.58569631167919367</v>
      </c>
      <c r="AM152" s="185">
        <f>Capacity!$I290</f>
        <v>0.58569631167919367</v>
      </c>
      <c r="AN152" s="185">
        <f>Capacity!$I290</f>
        <v>0.58569631167919367</v>
      </c>
      <c r="AO152" s="185">
        <f>Capacity!$I290</f>
        <v>0.58569631167919367</v>
      </c>
      <c r="AP152" s="185">
        <f>Capacity!$I290</f>
        <v>0.58569631167919367</v>
      </c>
      <c r="AQ152" s="185">
        <f>Capacity!$I290</f>
        <v>0.58569631167919367</v>
      </c>
      <c r="AR152" s="185">
        <f>Capacity!$I290</f>
        <v>0.58569631167919367</v>
      </c>
      <c r="AS152" s="185">
        <f>Capacity!$I290</f>
        <v>0.58569631167919367</v>
      </c>
      <c r="AT152" s="185">
        <f>Capacity!$I290</f>
        <v>0.58569631167919367</v>
      </c>
      <c r="AU152" s="185">
        <f>Capacity!$I290</f>
        <v>0.58569631167919367</v>
      </c>
      <c r="AV152" s="185">
        <f>Capacity!$I290</f>
        <v>0.58569631167919367</v>
      </c>
      <c r="AW152" s="185">
        <f>Capacity!$I290</f>
        <v>0.58569631167919367</v>
      </c>
      <c r="AX152" s="185">
        <f>Capacity!$I290</f>
        <v>0.58569631167919367</v>
      </c>
      <c r="AY152" s="185">
        <f>Capacity!$I290</f>
        <v>0.58569631167919367</v>
      </c>
    </row>
    <row r="153" spans="1:51" x14ac:dyDescent="0.2">
      <c r="A153" s="19" t="s">
        <v>163</v>
      </c>
      <c r="L153" s="182"/>
      <c r="M153" s="184" t="e">
        <f>(M25/(#REF!-#REF!)*365)/M137</f>
        <v>#REF!</v>
      </c>
      <c r="N153" s="184" t="e">
        <f>(N25/(#REF!-#REF!)*365)/N137</f>
        <v>#REF!</v>
      </c>
      <c r="O153" s="184" t="e">
        <f>(O25/(#REF!-#REF!)*365)/O137</f>
        <v>#REF!</v>
      </c>
      <c r="P153" s="184" t="e">
        <f>(P25/(#REF!-#REF!)*365)/P137</f>
        <v>#REF!</v>
      </c>
      <c r="Q153" s="184" t="e">
        <f>(Q25/(#REF!-#REF!)*365)/Q137</f>
        <v>#REF!</v>
      </c>
      <c r="R153" s="184" t="e">
        <f>(R25/(#REF!-#REF!)*365)/R137</f>
        <v>#REF!</v>
      </c>
      <c r="S153" s="184">
        <f>Capacity!$I87</f>
        <v>0.62348395003162549</v>
      </c>
      <c r="T153" s="184">
        <f>Capacity!$I99</f>
        <v>0.84769973407330335</v>
      </c>
      <c r="U153" s="184">
        <f>Capacity!$I111</f>
        <v>0.78707740779280844</v>
      </c>
      <c r="V153" s="184">
        <f>Capacity!$I123</f>
        <v>0.79302393866481791</v>
      </c>
      <c r="W153" s="184">
        <f>Capacity!$I135</f>
        <v>0.64980092165898606</v>
      </c>
      <c r="X153" s="184">
        <f>Capacity!$I147</f>
        <v>0.56717633686945224</v>
      </c>
      <c r="Y153" s="184">
        <f>Capacity!$I159</f>
        <v>0.71581115685766128</v>
      </c>
      <c r="Z153" s="185">
        <f>Capacity!$I171</f>
        <v>0.47421095988816225</v>
      </c>
      <c r="AA153" s="185">
        <f>Capacity!$I183</f>
        <v>0.44717218963739191</v>
      </c>
      <c r="AB153" s="185">
        <f>Capacity!$I195</f>
        <v>0.47361582306192301</v>
      </c>
      <c r="AC153" s="185">
        <f>Capacity!$I207</f>
        <v>0.46638238892151845</v>
      </c>
      <c r="AD153" s="185">
        <f>Capacity!$I219</f>
        <v>0.46757359649256336</v>
      </c>
      <c r="AE153" s="185">
        <f>Capacity!$I231</f>
        <v>0.48992012755562458</v>
      </c>
      <c r="AF153" s="185">
        <f>Capacity!$I243</f>
        <v>0.52891818874581686</v>
      </c>
      <c r="AG153" s="185">
        <f>Capacity!$I255</f>
        <v>0.62295946008544822</v>
      </c>
      <c r="AH153" s="185">
        <f>Capacity!$I267</f>
        <v>0.61983294247021326</v>
      </c>
      <c r="AI153" s="185">
        <f>Capacity!$I279</f>
        <v>0.60258089867105447</v>
      </c>
      <c r="AJ153" s="185">
        <f>Capacity!$I291</f>
        <v>0.63833649068816867</v>
      </c>
      <c r="AK153" s="185">
        <f>Capacity!$I291</f>
        <v>0.63833649068816867</v>
      </c>
      <c r="AL153" s="185">
        <f>Capacity!$I291</f>
        <v>0.63833649068816867</v>
      </c>
      <c r="AM153" s="185">
        <f>Capacity!$I291</f>
        <v>0.63833649068816867</v>
      </c>
      <c r="AN153" s="185">
        <f>Capacity!$I291</f>
        <v>0.63833649068816867</v>
      </c>
      <c r="AO153" s="185">
        <f>Capacity!$I291</f>
        <v>0.63833649068816867</v>
      </c>
      <c r="AP153" s="185">
        <f>Capacity!$I291</f>
        <v>0.63833649068816867</v>
      </c>
      <c r="AQ153" s="185">
        <f>Capacity!$I291</f>
        <v>0.63833649068816867</v>
      </c>
      <c r="AR153" s="185">
        <f>Capacity!$I291</f>
        <v>0.63833649068816867</v>
      </c>
      <c r="AS153" s="185">
        <f>Capacity!$I291</f>
        <v>0.63833649068816867</v>
      </c>
      <c r="AT153" s="185">
        <f>Capacity!$I291</f>
        <v>0.63833649068816867</v>
      </c>
      <c r="AU153" s="185">
        <f>Capacity!$I291</f>
        <v>0.63833649068816867</v>
      </c>
      <c r="AV153" s="185">
        <f>Capacity!$I291</f>
        <v>0.63833649068816867</v>
      </c>
      <c r="AW153" s="185">
        <f>Capacity!$I291</f>
        <v>0.63833649068816867</v>
      </c>
      <c r="AX153" s="185">
        <f>Capacity!$I291</f>
        <v>0.63833649068816867</v>
      </c>
      <c r="AY153" s="185">
        <f>Capacity!$I291</f>
        <v>0.63833649068816867</v>
      </c>
    </row>
    <row r="154" spans="1:51" x14ac:dyDescent="0.2">
      <c r="A154" s="19" t="s">
        <v>164</v>
      </c>
      <c r="L154" s="182"/>
      <c r="M154" s="184" t="e">
        <f>(M26/(#REF!-#REF!)*365)/M138</f>
        <v>#REF!</v>
      </c>
      <c r="N154" s="184" t="e">
        <f>(N26/(#REF!-#REF!)*365)/N138</f>
        <v>#REF!</v>
      </c>
      <c r="O154" s="184" t="e">
        <f>(O26/(#REF!-#REF!)*365)/O138</f>
        <v>#REF!</v>
      </c>
      <c r="P154" s="184" t="e">
        <f>(P26/(#REF!-#REF!)*365)/P138</f>
        <v>#REF!</v>
      </c>
      <c r="Q154" s="184" t="e">
        <f>(Q26/(#REF!-#REF!)*365)/Q138</f>
        <v>#REF!</v>
      </c>
      <c r="R154" s="184" t="e">
        <f>(R26/(#REF!-#REF!)*365)/R138</f>
        <v>#REF!</v>
      </c>
      <c r="S154" s="184">
        <f>Capacity!$I88</f>
        <v>0.8009296218487395</v>
      </c>
      <c r="T154" s="184">
        <f>Capacity!$I100</f>
        <v>0.83493983614951361</v>
      </c>
      <c r="U154" s="184">
        <f>Capacity!$I112</f>
        <v>1.0201368804844888</v>
      </c>
      <c r="V154" s="184">
        <f>Capacity!$I124</f>
        <v>0.93881862922160009</v>
      </c>
      <c r="W154" s="184">
        <f>Capacity!$I136</f>
        <v>0.81218459183673464</v>
      </c>
      <c r="X154" s="184">
        <f>Capacity!$I148</f>
        <v>0.78793297306720134</v>
      </c>
      <c r="Y154" s="184">
        <f>Capacity!$I160</f>
        <v>0.66965196681358563</v>
      </c>
      <c r="Z154" s="185">
        <f>Capacity!$I172</f>
        <v>0.64281453123080701</v>
      </c>
      <c r="AA154" s="185">
        <f>Capacity!$I184</f>
        <v>0.51746949167921297</v>
      </c>
      <c r="AB154" s="185">
        <f>Capacity!$I196</f>
        <v>0.5591948740763889</v>
      </c>
      <c r="AC154" s="185">
        <f>Capacity!$I208</f>
        <v>0.5307509805109446</v>
      </c>
      <c r="AD154" s="185">
        <f>Capacity!$I220</f>
        <v>0.55288317755413885</v>
      </c>
      <c r="AE154" s="185">
        <f>Capacity!$I232</f>
        <v>0.58006839341963357</v>
      </c>
      <c r="AF154" s="185">
        <f>Capacity!$I244</f>
        <v>0.62162602150011537</v>
      </c>
      <c r="AG154" s="185">
        <f>Capacity!$I256</f>
        <v>0.71177074594622414</v>
      </c>
      <c r="AH154" s="185">
        <f>Capacity!$I268</f>
        <v>0.73383780506160112</v>
      </c>
      <c r="AI154" s="185">
        <f>Capacity!$I280</f>
        <v>0.71384885406463627</v>
      </c>
      <c r="AJ154" s="185">
        <f>Capacity!$I292</f>
        <v>0.75637203154594235</v>
      </c>
      <c r="AK154" s="185">
        <f>Capacity!$I292</f>
        <v>0.75637203154594235</v>
      </c>
      <c r="AL154" s="185">
        <f>Capacity!$I292</f>
        <v>0.75637203154594235</v>
      </c>
      <c r="AM154" s="185">
        <f>Capacity!$I292</f>
        <v>0.75637203154594235</v>
      </c>
      <c r="AN154" s="185">
        <f>Capacity!$I292</f>
        <v>0.75637203154594235</v>
      </c>
      <c r="AO154" s="185">
        <f>Capacity!$I292</f>
        <v>0.75637203154594235</v>
      </c>
      <c r="AP154" s="185">
        <f>Capacity!$I292</f>
        <v>0.75637203154594235</v>
      </c>
      <c r="AQ154" s="185">
        <f>Capacity!$I292</f>
        <v>0.75637203154594235</v>
      </c>
      <c r="AR154" s="185">
        <f>Capacity!$I292</f>
        <v>0.75637203154594235</v>
      </c>
      <c r="AS154" s="185">
        <f>Capacity!$I292</f>
        <v>0.75637203154594235</v>
      </c>
      <c r="AT154" s="185">
        <f>Capacity!$I292</f>
        <v>0.75637203154594235</v>
      </c>
      <c r="AU154" s="185">
        <f>Capacity!$I292</f>
        <v>0.75637203154594235</v>
      </c>
      <c r="AV154" s="185">
        <f>Capacity!$I292</f>
        <v>0.75637203154594235</v>
      </c>
      <c r="AW154" s="185">
        <f>Capacity!$I292</f>
        <v>0.75637203154594235</v>
      </c>
      <c r="AX154" s="185">
        <f>Capacity!$I292</f>
        <v>0.75637203154594235</v>
      </c>
      <c r="AY154" s="185">
        <f>Capacity!$I292</f>
        <v>0.75637203154594235</v>
      </c>
    </row>
    <row r="155" spans="1:51" x14ac:dyDescent="0.2">
      <c r="A155" s="19" t="s">
        <v>165</v>
      </c>
      <c r="L155" s="182"/>
      <c r="M155" s="184" t="e">
        <f>(M27/(#REF!-#REF!)*365)/M139</f>
        <v>#REF!</v>
      </c>
      <c r="N155" s="184" t="e">
        <f>(N27/(#REF!-#REF!)*365)/N139</f>
        <v>#REF!</v>
      </c>
      <c r="O155" s="184" t="e">
        <f>(O27/(#REF!-#REF!)*365)/O139</f>
        <v>#REF!</v>
      </c>
      <c r="P155" s="184" t="e">
        <f>(P27/(#REF!-#REF!)*365)/P139</f>
        <v>#REF!</v>
      </c>
      <c r="Q155" s="184" t="e">
        <f>(Q27/(#REF!-#REF!)*365)/Q139</f>
        <v>#REF!</v>
      </c>
      <c r="R155" s="184" t="e">
        <f>(R27/(#REF!-#REF!)*365)/R139</f>
        <v>#REF!</v>
      </c>
      <c r="S155" s="184">
        <f>Capacity!$I89</f>
        <v>0.74313053447185329</v>
      </c>
      <c r="T155" s="184">
        <f>Capacity!$I101</f>
        <v>0.81357989362932148</v>
      </c>
      <c r="U155" s="184">
        <f>Capacity!$I113</f>
        <v>0.81531015146259678</v>
      </c>
      <c r="V155" s="184">
        <f>Capacity!$I125</f>
        <v>0.64389438889073447</v>
      </c>
      <c r="W155" s="184">
        <f>Capacity!$I137</f>
        <v>0.72994486589909702</v>
      </c>
      <c r="X155" s="184">
        <f>Capacity!$I149</f>
        <v>0.72718037158771087</v>
      </c>
      <c r="Y155" s="184">
        <f>Capacity!$I161</f>
        <v>0.82302549866795827</v>
      </c>
      <c r="Z155" s="185">
        <f>Capacity!$I173</f>
        <v>0.5094812496933121</v>
      </c>
      <c r="AA155" s="185">
        <f>Capacity!$I185</f>
        <v>0.44741102998959548</v>
      </c>
      <c r="AB155" s="185">
        <f>Capacity!$I197</f>
        <v>0.48478654200001647</v>
      </c>
      <c r="AC155" s="185">
        <f>Capacity!$I209</f>
        <v>0.47489469552931007</v>
      </c>
      <c r="AD155" s="185">
        <f>Capacity!$I221</f>
        <v>0.47835500850656537</v>
      </c>
      <c r="AE155" s="185">
        <f>Capacity!$I233</f>
        <v>0.50130967092192646</v>
      </c>
      <c r="AF155" s="185">
        <f>Capacity!$I245</f>
        <v>0.53787615368974917</v>
      </c>
      <c r="AG155" s="185">
        <f>Capacity!$I257</f>
        <v>0.63806630061116043</v>
      </c>
      <c r="AH155" s="185">
        <f>Capacity!$I269</f>
        <v>0.63475437021116132</v>
      </c>
      <c r="AI155" s="185">
        <f>Capacity!$I281</f>
        <v>0.61698140864783624</v>
      </c>
      <c r="AJ155" s="185">
        <f>Capacity!$I293</f>
        <v>0.65367814315539696</v>
      </c>
      <c r="AK155" s="185">
        <f>Capacity!$I293</f>
        <v>0.65367814315539696</v>
      </c>
      <c r="AL155" s="185">
        <f>Capacity!$I293</f>
        <v>0.65367814315539696</v>
      </c>
      <c r="AM155" s="185">
        <f>Capacity!$I293</f>
        <v>0.65367814315539696</v>
      </c>
      <c r="AN155" s="185">
        <f>Capacity!$I293</f>
        <v>0.65367814315539696</v>
      </c>
      <c r="AO155" s="185">
        <f>Capacity!$I293</f>
        <v>0.65367814315539696</v>
      </c>
      <c r="AP155" s="185">
        <f>Capacity!$I293</f>
        <v>0.65367814315539696</v>
      </c>
      <c r="AQ155" s="185">
        <f>Capacity!$I293</f>
        <v>0.65367814315539696</v>
      </c>
      <c r="AR155" s="185">
        <f>Capacity!$I293</f>
        <v>0.65367814315539696</v>
      </c>
      <c r="AS155" s="185">
        <f>Capacity!$I293</f>
        <v>0.65367814315539696</v>
      </c>
      <c r="AT155" s="185">
        <f>Capacity!$I293</f>
        <v>0.65367814315539696</v>
      </c>
      <c r="AU155" s="185">
        <f>Capacity!$I293</f>
        <v>0.65367814315539696</v>
      </c>
      <c r="AV155" s="185">
        <f>Capacity!$I293</f>
        <v>0.65367814315539696</v>
      </c>
      <c r="AW155" s="185">
        <f>Capacity!$I293</f>
        <v>0.65367814315539696</v>
      </c>
      <c r="AX155" s="185">
        <f>Capacity!$I293</f>
        <v>0.65367814315539696</v>
      </c>
      <c r="AY155" s="185">
        <f>Capacity!$I293</f>
        <v>0.65367814315539696</v>
      </c>
    </row>
    <row r="156" spans="1:51" x14ac:dyDescent="0.2">
      <c r="A156" s="19" t="s">
        <v>166</v>
      </c>
      <c r="L156" s="182"/>
      <c r="M156" s="184" t="e">
        <f>(M28/(#REF!-#REF!)*365)/M140</f>
        <v>#REF!</v>
      </c>
      <c r="N156" s="184" t="e">
        <f>(N28/(#REF!-#REF!)*365)/N140</f>
        <v>#REF!</v>
      </c>
      <c r="O156" s="184" t="e">
        <f>(O28/(#REF!-#REF!)*365)/O140</f>
        <v>#REF!</v>
      </c>
      <c r="P156" s="184" t="e">
        <f>(P28/(#REF!-#REF!)*365)/P140</f>
        <v>#REF!</v>
      </c>
      <c r="Q156" s="184" t="e">
        <f>(Q28/(#REF!-#REF!)*365)/Q140</f>
        <v>#REF!</v>
      </c>
      <c r="R156" s="184" t="e">
        <f>(R28/(#REF!-#REF!)*365)/R140</f>
        <v>#REF!</v>
      </c>
      <c r="S156" s="184">
        <f>Capacity!$I90</f>
        <v>0.62603030303030294</v>
      </c>
      <c r="T156" s="184">
        <f>Capacity!$I102</f>
        <v>0.8805134408602151</v>
      </c>
      <c r="U156" s="184">
        <f>Capacity!$I114</f>
        <v>1.0121663679808841</v>
      </c>
      <c r="V156" s="184">
        <f>Capacity!$I126</f>
        <v>0.82811019567456245</v>
      </c>
      <c r="W156" s="184">
        <f>Capacity!$I138</f>
        <v>0.78956480054785128</v>
      </c>
      <c r="X156" s="184">
        <f>Capacity!$I150</f>
        <v>0.83478996339231248</v>
      </c>
      <c r="Y156" s="184">
        <f>Capacity!$I162</f>
        <v>0.57810553442622947</v>
      </c>
      <c r="Z156" s="185">
        <f>Capacity!$I174</f>
        <v>0.51549849892226896</v>
      </c>
      <c r="AA156" s="185">
        <f>Capacity!$I186</f>
        <v>0.51220759240629843</v>
      </c>
      <c r="AB156" s="185">
        <f>Capacity!$I198</f>
        <v>0.56070445517060263</v>
      </c>
      <c r="AC156" s="185">
        <f>Capacity!$I210</f>
        <v>0.54790943688729132</v>
      </c>
      <c r="AD156" s="185">
        <f>Capacity!$I222</f>
        <v>0.55083954911230892</v>
      </c>
      <c r="AE156" s="185">
        <f>Capacity!$I234</f>
        <v>0.57872389289178283</v>
      </c>
      <c r="AF156" s="185">
        <f>Capacity!$I246</f>
        <v>0.6208276955487777</v>
      </c>
      <c r="AG156" s="185">
        <f>Capacity!$I258</f>
        <v>0.73639718895670481</v>
      </c>
      <c r="AH156" s="185">
        <f>Capacity!$I270</f>
        <v>0.73229410949399243</v>
      </c>
      <c r="AI156" s="185">
        <f>Capacity!$I282</f>
        <v>0.71175053075407002</v>
      </c>
      <c r="AJ156" s="185">
        <f>Capacity!$I294</f>
        <v>0.75431831533319849</v>
      </c>
      <c r="AK156" s="185">
        <f>Capacity!$I294</f>
        <v>0.75431831533319849</v>
      </c>
      <c r="AL156" s="185">
        <f>Capacity!$I294</f>
        <v>0.75431831533319849</v>
      </c>
      <c r="AM156" s="185">
        <f>Capacity!$I294</f>
        <v>0.75431831533319849</v>
      </c>
      <c r="AN156" s="185">
        <f>Capacity!$I294</f>
        <v>0.75431831533319849</v>
      </c>
      <c r="AO156" s="185">
        <f>Capacity!$I294</f>
        <v>0.75431831533319849</v>
      </c>
      <c r="AP156" s="185">
        <f>Capacity!$I294</f>
        <v>0.75431831533319849</v>
      </c>
      <c r="AQ156" s="185">
        <f>Capacity!$I294</f>
        <v>0.75431831533319849</v>
      </c>
      <c r="AR156" s="185">
        <f>Capacity!$I294</f>
        <v>0.75431831533319849</v>
      </c>
      <c r="AS156" s="185">
        <f>Capacity!$I294</f>
        <v>0.75431831533319849</v>
      </c>
      <c r="AT156" s="185">
        <f>Capacity!$I294</f>
        <v>0.75431831533319849</v>
      </c>
      <c r="AU156" s="185">
        <f>Capacity!$I294</f>
        <v>0.75431831533319849</v>
      </c>
      <c r="AV156" s="185">
        <f>Capacity!$I294</f>
        <v>0.75431831533319849</v>
      </c>
      <c r="AW156" s="185">
        <f>Capacity!$I294</f>
        <v>0.75431831533319849</v>
      </c>
      <c r="AX156" s="185">
        <f>Capacity!$I294</f>
        <v>0.75431831533319849</v>
      </c>
      <c r="AY156" s="185">
        <f>Capacity!$I294</f>
        <v>0.75431831533319849</v>
      </c>
    </row>
    <row r="157" spans="1:51" x14ac:dyDescent="0.2">
      <c r="A157" s="19" t="s">
        <v>167</v>
      </c>
      <c r="L157" s="182"/>
      <c r="M157" s="184" t="e">
        <f>(M29/(#REF!-#REF!)*365)/M141</f>
        <v>#REF!</v>
      </c>
      <c r="N157" s="184" t="e">
        <f>(N29/(#REF!-#REF!)*365)/N141</f>
        <v>#REF!</v>
      </c>
      <c r="O157" s="184" t="e">
        <f>(O29/(#REF!-#REF!)*365)/O141</f>
        <v>#REF!</v>
      </c>
      <c r="P157" s="184" t="e">
        <f>(P29/(#REF!-#REF!)*365)/P141</f>
        <v>#REF!</v>
      </c>
      <c r="Q157" s="184" t="e">
        <f>(Q29/(#REF!-#REF!)*365)/Q141</f>
        <v>#REF!</v>
      </c>
      <c r="R157" s="184" t="e">
        <f>(R29/(#REF!-#REF!)*365)/R141</f>
        <v>#REF!</v>
      </c>
      <c r="S157" s="184">
        <f>Capacity!$I91</f>
        <v>0.34068133855893878</v>
      </c>
      <c r="T157" s="184">
        <f>Capacity!$I103</f>
        <v>0.83898514279107406</v>
      </c>
      <c r="U157" s="184">
        <f>Capacity!$I115</f>
        <v>1.1227263267429759</v>
      </c>
      <c r="V157" s="184">
        <f>Capacity!$I127</f>
        <v>0.79802149357317376</v>
      </c>
      <c r="W157" s="184">
        <f>Capacity!$I139</f>
        <v>0.74877097933959602</v>
      </c>
      <c r="X157" s="184">
        <f>Capacity!$I151</f>
        <v>0.73354816913687881</v>
      </c>
      <c r="Y157" s="184">
        <f>Capacity!$I163</f>
        <v>0.69248004247498474</v>
      </c>
      <c r="Z157" s="185">
        <f>Capacity!$I175</f>
        <v>0.4815324388694483</v>
      </c>
      <c r="AA157" s="185">
        <f>Capacity!$I187</f>
        <v>0.4943390579571702</v>
      </c>
      <c r="AB157" s="185">
        <f>Capacity!$I199</f>
        <v>0.54072799428937157</v>
      </c>
      <c r="AC157" s="185">
        <f>Capacity!$I211</f>
        <v>0.53221116354448206</v>
      </c>
      <c r="AD157" s="185">
        <f>Capacity!$I223</f>
        <v>0.53519076423857703</v>
      </c>
      <c r="AE157" s="185">
        <f>Capacity!$I235</f>
        <v>0.56083477486590794</v>
      </c>
      <c r="AF157" s="185">
        <f>Capacity!$I247</f>
        <v>0.60167955098260084</v>
      </c>
      <c r="AG157" s="185">
        <f>Capacity!$I259</f>
        <v>0.71359488025856876</v>
      </c>
      <c r="AH157" s="185">
        <f>Capacity!$I271</f>
        <v>0.7102254434938684</v>
      </c>
      <c r="AI157" s="185">
        <f>Capacity!$I283</f>
        <v>0.69063486818761122</v>
      </c>
      <c r="AJ157" s="185">
        <f>Capacity!$I295</f>
        <v>0.73172803865369074</v>
      </c>
      <c r="AK157" s="185">
        <f>Capacity!$I295</f>
        <v>0.73172803865369074</v>
      </c>
      <c r="AL157" s="185">
        <f>Capacity!$I295</f>
        <v>0.73172803865369074</v>
      </c>
      <c r="AM157" s="185">
        <f>Capacity!$I295</f>
        <v>0.73172803865369074</v>
      </c>
      <c r="AN157" s="185">
        <f>Capacity!$I295</f>
        <v>0.73172803865369074</v>
      </c>
      <c r="AO157" s="185">
        <f>Capacity!$I295</f>
        <v>0.73172803865369074</v>
      </c>
      <c r="AP157" s="185">
        <f>Capacity!$I295</f>
        <v>0.73172803865369074</v>
      </c>
      <c r="AQ157" s="185">
        <f>Capacity!$I295</f>
        <v>0.73172803865369074</v>
      </c>
      <c r="AR157" s="185">
        <f>Capacity!$I295</f>
        <v>0.73172803865369074</v>
      </c>
      <c r="AS157" s="185">
        <f>Capacity!$I295</f>
        <v>0.73172803865369074</v>
      </c>
      <c r="AT157" s="185">
        <f>Capacity!$I295</f>
        <v>0.73172803865369074</v>
      </c>
      <c r="AU157" s="185">
        <f>Capacity!$I295</f>
        <v>0.73172803865369074</v>
      </c>
      <c r="AV157" s="185">
        <f>Capacity!$I295</f>
        <v>0.73172803865369074</v>
      </c>
      <c r="AW157" s="185">
        <f>Capacity!$I295</f>
        <v>0.73172803865369074</v>
      </c>
      <c r="AX157" s="185">
        <f>Capacity!$I295</f>
        <v>0.73172803865369074</v>
      </c>
      <c r="AY157" s="185">
        <f>Capacity!$I295</f>
        <v>0.73172803865369074</v>
      </c>
    </row>
    <row r="158" spans="1:51" x14ac:dyDescent="0.2">
      <c r="A158" s="19" t="s">
        <v>168</v>
      </c>
      <c r="L158" s="182"/>
      <c r="M158" s="184" t="e">
        <f>(M30/(#REF!-#REF!)*365)/M142</f>
        <v>#REF!</v>
      </c>
      <c r="N158" s="184" t="e">
        <f>(N30/(#REF!-#REF!)*365)/N142</f>
        <v>#REF!</v>
      </c>
      <c r="O158" s="184" t="e">
        <f>(O30/(#REF!-#REF!)*365)/O142</f>
        <v>#REF!</v>
      </c>
      <c r="P158" s="184" t="e">
        <f>(P30/(#REF!-#REF!)*365)/P142</f>
        <v>#REF!</v>
      </c>
      <c r="Q158" s="184" t="e">
        <f>(Q30/(#REF!-#REF!)*365)/Q142</f>
        <v>#REF!</v>
      </c>
      <c r="R158" s="184" t="e">
        <f>(R30/(#REF!-#REF!)*365)/R142</f>
        <v>#REF!</v>
      </c>
      <c r="S158" s="184">
        <f>Capacity!$I92</f>
        <v>0.47913059701492539</v>
      </c>
      <c r="T158" s="184">
        <f>Capacity!$I104</f>
        <v>1.0091356033452807</v>
      </c>
      <c r="U158" s="184">
        <f>Capacity!$I116</f>
        <v>0.91907551240560947</v>
      </c>
      <c r="V158" s="184">
        <f>Capacity!$I128</f>
        <v>1.0596886205634835</v>
      </c>
      <c r="W158" s="184">
        <f>Capacity!$I140</f>
        <v>0.72531577736890529</v>
      </c>
      <c r="X158" s="184">
        <f>Capacity!$I152</f>
        <v>0.70162315514758822</v>
      </c>
      <c r="Y158" s="184">
        <f>Capacity!$I164</f>
        <v>0.76333933623314487</v>
      </c>
      <c r="Z158" s="185">
        <f>Capacity!$I176</f>
        <v>0.48417414659788399</v>
      </c>
      <c r="AA158" s="185">
        <f>Capacity!$I188</f>
        <v>0.49752697846043525</v>
      </c>
      <c r="AB158" s="185">
        <f>Capacity!$I200</f>
        <v>0.54349860389454707</v>
      </c>
      <c r="AC158" s="185">
        <f>Capacity!$I212</f>
        <v>0.53452541008225907</v>
      </c>
      <c r="AD158" s="185">
        <f>Capacity!$I224</f>
        <v>0.53945449352694452</v>
      </c>
      <c r="AE158" s="185">
        <f>Capacity!$I236</f>
        <v>0.56445967237419747</v>
      </c>
      <c r="AF158" s="185">
        <f>Capacity!$I248</f>
        <v>0.60554820374011531</v>
      </c>
      <c r="AG158" s="185">
        <f>Capacity!$I260</f>
        <v>0.71822352556868685</v>
      </c>
      <c r="AH158" s="185">
        <f>Capacity!$I272</f>
        <v>0.71477154137260657</v>
      </c>
      <c r="AI158" s="185">
        <f>Capacity!$I284</f>
        <v>0.69502499151445685</v>
      </c>
      <c r="AJ158" s="185">
        <f>Capacity!$I296</f>
        <v>0.73620453579170619</v>
      </c>
      <c r="AK158" s="185">
        <f>Capacity!$I296</f>
        <v>0.73620453579170619</v>
      </c>
      <c r="AL158" s="185">
        <f>Capacity!$I296</f>
        <v>0.73620453579170619</v>
      </c>
      <c r="AM158" s="185">
        <f>Capacity!$I296</f>
        <v>0.73620453579170619</v>
      </c>
      <c r="AN158" s="185">
        <f>Capacity!$I296</f>
        <v>0.73620453579170619</v>
      </c>
      <c r="AO158" s="185">
        <f>Capacity!$I296</f>
        <v>0.73620453579170619</v>
      </c>
      <c r="AP158" s="185">
        <f>Capacity!$I296</f>
        <v>0.73620453579170619</v>
      </c>
      <c r="AQ158" s="185">
        <f>Capacity!$I296</f>
        <v>0.73620453579170619</v>
      </c>
      <c r="AR158" s="185">
        <f>Capacity!$I296</f>
        <v>0.73620453579170619</v>
      </c>
      <c r="AS158" s="185">
        <f>Capacity!$I296</f>
        <v>0.73620453579170619</v>
      </c>
      <c r="AT158" s="185">
        <f>Capacity!$I296</f>
        <v>0.73620453579170619</v>
      </c>
      <c r="AU158" s="185">
        <f>Capacity!$I296</f>
        <v>0.73620453579170619</v>
      </c>
      <c r="AV158" s="185">
        <f>Capacity!$I296</f>
        <v>0.73620453579170619</v>
      </c>
      <c r="AW158" s="185">
        <f>Capacity!$I296</f>
        <v>0.73620453579170619</v>
      </c>
      <c r="AX158" s="185">
        <f>Capacity!$I296</f>
        <v>0.73620453579170619</v>
      </c>
      <c r="AY158" s="185">
        <f>Capacity!$I296</f>
        <v>0.73620453579170619</v>
      </c>
    </row>
    <row r="159" spans="1:51" x14ac:dyDescent="0.2">
      <c r="A159" s="19" t="s">
        <v>169</v>
      </c>
      <c r="L159" s="182"/>
      <c r="M159" s="184" t="e">
        <f>(M31/(#REF!-#REF!)*365)/M143</f>
        <v>#REF!</v>
      </c>
      <c r="N159" s="184" t="e">
        <f>(N31/(#REF!-#REF!)*365)/N143</f>
        <v>#REF!</v>
      </c>
      <c r="O159" s="184" t="e">
        <f>(O31/(#REF!-#REF!)*365)/O143</f>
        <v>#REF!</v>
      </c>
      <c r="P159" s="184" t="e">
        <f>(P31/(#REF!-#REF!)*365)/P143</f>
        <v>#REF!</v>
      </c>
      <c r="Q159" s="184" t="e">
        <f>(Q31/(#REF!-#REF!)*365)/Q143</f>
        <v>#REF!</v>
      </c>
      <c r="R159" s="184" t="e">
        <f>(R31/(#REF!-#REF!)*365)/R143</f>
        <v>#REF!</v>
      </c>
      <c r="S159" s="184">
        <f>Capacity!$I93</f>
        <v>0.41309567950279846</v>
      </c>
      <c r="T159" s="184">
        <f>Capacity!$I105</f>
        <v>0.63681928546652788</v>
      </c>
      <c r="U159" s="184">
        <f>Capacity!$I117</f>
        <v>0.76329075078504138</v>
      </c>
      <c r="V159" s="184">
        <f>Capacity!$I129</f>
        <v>0.97714174427251155</v>
      </c>
      <c r="W159" s="184">
        <f>Capacity!$I141</f>
        <v>0.63104159095204171</v>
      </c>
      <c r="X159" s="184">
        <f>Capacity!$I153</f>
        <v>0.76543701665157104</v>
      </c>
      <c r="Y159" s="184">
        <f>Capacity!$I165</f>
        <v>0.6798356842105262</v>
      </c>
      <c r="Z159" s="185">
        <f>Capacity!$I177</f>
        <v>0.47613371702097251</v>
      </c>
      <c r="AA159" s="185">
        <f>Capacity!$I189</f>
        <v>0.49384527967735481</v>
      </c>
      <c r="AB159" s="185">
        <f>Capacity!$I201</f>
        <v>0.54061339245247475</v>
      </c>
      <c r="AC159" s="185">
        <f>Capacity!$I213</f>
        <v>0.53225460720975781</v>
      </c>
      <c r="AD159" s="185">
        <f>Capacity!$I225</f>
        <v>0.53711464944130083</v>
      </c>
      <c r="AE159" s="185">
        <f>Capacity!$I237</f>
        <v>0.56237203045150175</v>
      </c>
      <c r="AF159" s="185">
        <f>Capacity!$I249</f>
        <v>0.60305556390894499</v>
      </c>
      <c r="AG159" s="185">
        <f>Capacity!$I261</f>
        <v>0.71478841972242002</v>
      </c>
      <c r="AH159" s="185">
        <f>Capacity!$I273</f>
        <v>0.71164025010001342</v>
      </c>
      <c r="AI159" s="185">
        <f>Capacity!$I285</f>
        <v>0.69267693269960728</v>
      </c>
      <c r="AJ159" s="185">
        <f>Capacity!$I297</f>
        <v>0.73376847228693776</v>
      </c>
      <c r="AK159" s="185">
        <f>Capacity!$I297</f>
        <v>0.73376847228693776</v>
      </c>
      <c r="AL159" s="185">
        <f>Capacity!$I297</f>
        <v>0.73376847228693776</v>
      </c>
      <c r="AM159" s="185">
        <f>Capacity!$I297</f>
        <v>0.73376847228693776</v>
      </c>
      <c r="AN159" s="185">
        <f>Capacity!$I297</f>
        <v>0.73376847228693776</v>
      </c>
      <c r="AO159" s="185">
        <f>Capacity!$I297</f>
        <v>0.73376847228693776</v>
      </c>
      <c r="AP159" s="185">
        <f>Capacity!$I297</f>
        <v>0.73376847228693776</v>
      </c>
      <c r="AQ159" s="185">
        <f>Capacity!$I297</f>
        <v>0.73376847228693776</v>
      </c>
      <c r="AR159" s="185">
        <f>Capacity!$I297</f>
        <v>0.73376847228693776</v>
      </c>
      <c r="AS159" s="185">
        <f>Capacity!$I297</f>
        <v>0.73376847228693776</v>
      </c>
      <c r="AT159" s="185">
        <f>Capacity!$I297</f>
        <v>0.73376847228693776</v>
      </c>
      <c r="AU159" s="185">
        <f>Capacity!$I297</f>
        <v>0.73376847228693776</v>
      </c>
      <c r="AV159" s="185">
        <f>Capacity!$I297</f>
        <v>0.73376847228693776</v>
      </c>
      <c r="AW159" s="185">
        <f>Capacity!$I297</f>
        <v>0.73376847228693776</v>
      </c>
      <c r="AX159" s="185">
        <f>Capacity!$I297</f>
        <v>0.73376847228693776</v>
      </c>
      <c r="AY159" s="185">
        <f>Capacity!$I297</f>
        <v>0.73376847228693776</v>
      </c>
    </row>
    <row r="160" spans="1:51" x14ac:dyDescent="0.2">
      <c r="A160" s="19" t="s">
        <v>170</v>
      </c>
      <c r="L160" s="184" t="e">
        <f>(L32/(#REF!-#REF!)*365)/L144</f>
        <v>#REF!</v>
      </c>
      <c r="M160" s="184" t="e">
        <f>(M32/(#REF!-#REF!)*365)/M144</f>
        <v>#REF!</v>
      </c>
      <c r="N160" s="184" t="e">
        <f>(N32/(#REF!-#REF!)*365)/N144</f>
        <v>#REF!</v>
      </c>
      <c r="O160" s="184" t="e">
        <f>(O32/(#REF!-#REF!)*365)/O144</f>
        <v>#REF!</v>
      </c>
      <c r="P160" s="184" t="e">
        <f>(P32/(#REF!-#REF!)*365)/P144</f>
        <v>#REF!</v>
      </c>
      <c r="Q160" s="184" t="e">
        <f>(Q32/(#REF!-#REF!)*365)/Q144</f>
        <v>#REF!</v>
      </c>
      <c r="R160" s="184" t="e">
        <f>(R32/(#REF!-#REF!)*365)/R144</f>
        <v>#REF!</v>
      </c>
      <c r="S160" s="184">
        <f>Capacity!$I94</f>
        <v>0.78206836982160055</v>
      </c>
      <c r="T160" s="184">
        <f>Capacity!$I106</f>
        <v>0.85862989941033641</v>
      </c>
      <c r="U160" s="184">
        <f>Capacity!$I118</f>
        <v>0.76760403007255884</v>
      </c>
      <c r="V160" s="184">
        <f>Capacity!$I130</f>
        <v>0.79432509472044199</v>
      </c>
      <c r="W160" s="184">
        <f>Capacity!$I142</f>
        <v>0.73304569044469314</v>
      </c>
      <c r="X160" s="184">
        <f>Capacity!$I154</f>
        <v>0.79593421235978534</v>
      </c>
      <c r="Y160" s="184">
        <f>Capacity!$I166</f>
        <v>0.67579372139737981</v>
      </c>
      <c r="Z160" s="185">
        <f>Capacity!$I178</f>
        <v>0.48293043542025704</v>
      </c>
      <c r="AA160" s="185">
        <f>Capacity!$I190</f>
        <v>0.49945651135118335</v>
      </c>
      <c r="AB160" s="185">
        <f>Capacity!$I202</f>
        <v>0.5475864502617761</v>
      </c>
      <c r="AC160" s="185">
        <f>Capacity!$I214</f>
        <v>0.53881656253269206</v>
      </c>
      <c r="AD160" s="185">
        <f>Capacity!$I226</f>
        <v>0.54337865809026198</v>
      </c>
      <c r="AE160" s="185">
        <f>Capacity!$I238</f>
        <v>0.56949046255561986</v>
      </c>
      <c r="AF160" s="185">
        <f>Capacity!$I250</f>
        <v>0.6107954872649165</v>
      </c>
      <c r="AG160" s="185">
        <f>Capacity!$I262</f>
        <v>0.72410482515336549</v>
      </c>
      <c r="AH160" s="185">
        <f>Capacity!$I274</f>
        <v>0.72060176358489136</v>
      </c>
      <c r="AI160" s="185">
        <f>Capacity!$I286</f>
        <v>0.70115137876745004</v>
      </c>
      <c r="AJ160" s="185">
        <f>Capacity!$I298</f>
        <v>0.74284459108687317</v>
      </c>
      <c r="AK160" s="185">
        <f>Capacity!$I298</f>
        <v>0.74284459108687317</v>
      </c>
      <c r="AL160" s="185">
        <f>Capacity!$I298</f>
        <v>0.74284459108687317</v>
      </c>
      <c r="AM160" s="185">
        <f>Capacity!$I298</f>
        <v>0.74284459108687317</v>
      </c>
      <c r="AN160" s="185">
        <f>Capacity!$I298</f>
        <v>0.74284459108687317</v>
      </c>
      <c r="AO160" s="185">
        <f>Capacity!$I298</f>
        <v>0.74284459108687317</v>
      </c>
      <c r="AP160" s="185">
        <f>Capacity!$I298</f>
        <v>0.74284459108687317</v>
      </c>
      <c r="AQ160" s="185">
        <f>Capacity!$I298</f>
        <v>0.74284459108687317</v>
      </c>
      <c r="AR160" s="185">
        <f>Capacity!$I298</f>
        <v>0.74284459108687317</v>
      </c>
      <c r="AS160" s="185">
        <f>Capacity!$I298</f>
        <v>0.74284459108687317</v>
      </c>
      <c r="AT160" s="185">
        <f>Capacity!$I298</f>
        <v>0.74284459108687317</v>
      </c>
      <c r="AU160" s="185">
        <f>Capacity!$I298</f>
        <v>0.74284459108687317</v>
      </c>
      <c r="AV160" s="185">
        <f>Capacity!$I298</f>
        <v>0.74284459108687317</v>
      </c>
      <c r="AW160" s="185">
        <f>Capacity!$I298</f>
        <v>0.74284459108687317</v>
      </c>
      <c r="AX160" s="185">
        <f>Capacity!$I298</f>
        <v>0.74284459108687317</v>
      </c>
      <c r="AY160" s="185">
        <f>Capacity!$I298</f>
        <v>0.74284459108687317</v>
      </c>
    </row>
    <row r="161" spans="1:51" x14ac:dyDescent="0.2">
      <c r="A161" s="19" t="s">
        <v>171</v>
      </c>
      <c r="L161" s="184" t="e">
        <f>(L33/(#REF!-#REF!)*365)/L145</f>
        <v>#REF!</v>
      </c>
      <c r="M161" s="184" t="e">
        <f>(M33/(#REF!-#REF!)*365)/M145</f>
        <v>#REF!</v>
      </c>
      <c r="N161" s="184" t="e">
        <f>(N33/(#REF!-#REF!)*365)/N145</f>
        <v>#REF!</v>
      </c>
      <c r="O161" s="184" t="e">
        <f>(O33/(#REF!-#REF!)*365)/O145</f>
        <v>#REF!</v>
      </c>
      <c r="P161" s="184" t="e">
        <f>(P33/(#REF!-#REF!)*365)/P145</f>
        <v>#REF!</v>
      </c>
      <c r="Q161" s="184" t="e">
        <f>(Q33/(#REF!-#REF!)*365)/Q145</f>
        <v>#REF!</v>
      </c>
      <c r="R161" s="184" t="e">
        <f>(R33/(#REF!-#REF!)*365)/R145</f>
        <v>#REF!</v>
      </c>
      <c r="S161" s="184">
        <f>Capacity!$I95</f>
        <v>0.92273154449413453</v>
      </c>
      <c r="T161" s="184">
        <f>Capacity!$I107</f>
        <v>1.0590014934289127</v>
      </c>
      <c r="U161" s="184">
        <f>Capacity!$I119</f>
        <v>0.41594173441734417</v>
      </c>
      <c r="V161" s="184">
        <f>Capacity!$I131</f>
        <v>1.0217480276134123</v>
      </c>
      <c r="W161" s="184">
        <f>Capacity!$I143</f>
        <v>0.70914834009313499</v>
      </c>
      <c r="X161" s="184">
        <f>Capacity!$I155</f>
        <v>0.67492351568576625</v>
      </c>
      <c r="Y161" s="184">
        <f>Capacity!$I167</f>
        <v>0.82027561756373957</v>
      </c>
      <c r="Z161" s="185">
        <f>Capacity!$I179</f>
        <v>0.54173759309530456</v>
      </c>
      <c r="AA161" s="185">
        <f>Capacity!$I191</f>
        <v>0.56166936608237572</v>
      </c>
      <c r="AB161" s="185">
        <f>Capacity!$I203</f>
        <v>0.61485551171893071</v>
      </c>
      <c r="AC161" s="185">
        <f>Capacity!$I215</f>
        <v>0.6057514122422647</v>
      </c>
      <c r="AD161" s="185">
        <f>Capacity!$I227</f>
        <v>0.6100060039855163</v>
      </c>
      <c r="AE161" s="185">
        <f>Capacity!$I239</f>
        <v>0.63934976118891274</v>
      </c>
      <c r="AF161" s="185">
        <f>Capacity!$I251</f>
        <v>0.68588466785174018</v>
      </c>
      <c r="AG161" s="185">
        <f>Capacity!$I263</f>
        <v>0.81354154119360134</v>
      </c>
      <c r="AH161" s="185">
        <f>Capacity!$I275</f>
        <v>0.80945299681319349</v>
      </c>
      <c r="AI161" s="185">
        <f>Capacity!$I287</f>
        <v>0.78686812615681401</v>
      </c>
      <c r="AJ161" s="185">
        <f>Capacity!$I299</f>
        <v>0.83367337994787605</v>
      </c>
      <c r="AK161" s="185">
        <f>Capacity!$I299</f>
        <v>0.83367337994787605</v>
      </c>
      <c r="AL161" s="185">
        <f>Capacity!$I299</f>
        <v>0.83367337994787605</v>
      </c>
      <c r="AM161" s="185">
        <f>Capacity!$I299</f>
        <v>0.83367337994787605</v>
      </c>
      <c r="AN161" s="185">
        <f>Capacity!$I299</f>
        <v>0.83367337994787605</v>
      </c>
      <c r="AO161" s="185">
        <f>Capacity!$I299</f>
        <v>0.83367337994787605</v>
      </c>
      <c r="AP161" s="185">
        <f>Capacity!$I299</f>
        <v>0.83367337994787605</v>
      </c>
      <c r="AQ161" s="185">
        <f>Capacity!$I299</f>
        <v>0.83367337994787605</v>
      </c>
      <c r="AR161" s="185">
        <f>Capacity!$I299</f>
        <v>0.83367337994787605</v>
      </c>
      <c r="AS161" s="185">
        <f>Capacity!$I299</f>
        <v>0.83367337994787605</v>
      </c>
      <c r="AT161" s="185">
        <f>Capacity!$I299</f>
        <v>0.83367337994787605</v>
      </c>
      <c r="AU161" s="185">
        <f>Capacity!$I299</f>
        <v>0.83367337994787605</v>
      </c>
      <c r="AV161" s="185">
        <f>Capacity!$I299</f>
        <v>0.83367337994787605</v>
      </c>
      <c r="AW161" s="185">
        <f>Capacity!$I299</f>
        <v>0.83367337994787605</v>
      </c>
      <c r="AX161" s="185">
        <f>Capacity!$I299</f>
        <v>0.83367337994787605</v>
      </c>
      <c r="AY161" s="185">
        <f>Capacity!$I299</f>
        <v>0.83367337994787605</v>
      </c>
    </row>
    <row r="162" spans="1:51" x14ac:dyDescent="0.2">
      <c r="A162" s="19" t="s">
        <v>172</v>
      </c>
      <c r="L162" s="184" t="e">
        <f>(L34/(#REF!-#REF!)*365)/L146</f>
        <v>#REF!</v>
      </c>
      <c r="M162" s="184" t="e">
        <f>(M34/(#REF!-#REF!)*365)/M146</f>
        <v>#REF!</v>
      </c>
      <c r="N162" s="184" t="e">
        <f>(N34/(#REF!-#REF!)*365)/N146</f>
        <v>#REF!</v>
      </c>
      <c r="O162" s="184" t="e">
        <f>(O34/(#REF!-#REF!)*365)/O146</f>
        <v>#REF!</v>
      </c>
      <c r="P162" s="184" t="e">
        <f>(P34/(#REF!-#REF!)*365)/P146</f>
        <v>#REF!</v>
      </c>
      <c r="Q162" s="184" t="e">
        <f>(Q34/(#REF!-#REF!)*365)/Q146</f>
        <v>#REF!</v>
      </c>
      <c r="R162" s="184" t="e">
        <f>(R34/(#REF!-#REF!)*365)/R146</f>
        <v>#REF!</v>
      </c>
      <c r="S162" s="184">
        <f>Capacity!$I96</f>
        <v>0.8508859405711644</v>
      </c>
      <c r="T162" s="184">
        <f>Capacity!$I108</f>
        <v>0.89443779627702624</v>
      </c>
      <c r="U162" s="184">
        <f>Capacity!$I120</f>
        <v>0.78261692455634235</v>
      </c>
      <c r="V162" s="184">
        <f>Capacity!$I132</f>
        <v>1.0963313984838392</v>
      </c>
      <c r="W162" s="184">
        <f>Capacity!$I144</f>
        <v>0.62198085592178443</v>
      </c>
      <c r="X162" s="184">
        <f>Capacity!$I156</f>
        <v>0.68366460552782538</v>
      </c>
      <c r="Y162" s="184">
        <f>Capacity!$I168</f>
        <v>0.73643634586466156</v>
      </c>
      <c r="Z162" s="185">
        <f>Capacity!$I180</f>
        <v>0.56620700436132809</v>
      </c>
      <c r="AA162" s="185">
        <f>Capacity!$I192</f>
        <v>0.65614776466883074</v>
      </c>
      <c r="AB162" s="185">
        <f>Capacity!$I204</f>
        <v>0.72007987180888633</v>
      </c>
      <c r="AC162" s="185">
        <f>Capacity!$I216</f>
        <v>0.70807875440346557</v>
      </c>
      <c r="AD162" s="185">
        <f>Capacity!$I228</f>
        <v>0.71421818174449492</v>
      </c>
      <c r="AE162" s="185">
        <f>Capacity!$I240</f>
        <v>0.74745190545785145</v>
      </c>
      <c r="AF162" s="185">
        <f>Capacity!$I252</f>
        <v>0.80210744819186808</v>
      </c>
      <c r="AG162" s="185">
        <f>Capacity!$I264</f>
        <v>0.95191233245764695</v>
      </c>
      <c r="AH162" s="185">
        <f>Capacity!$I276</f>
        <v>0.94685158263541347</v>
      </c>
      <c r="AI162" s="185">
        <f>Capacity!$I288</f>
        <v>0.92020004231020236</v>
      </c>
      <c r="AJ162" s="185">
        <f>Capacity!$I300</f>
        <v>0.97477148299376115</v>
      </c>
      <c r="AK162" s="185">
        <f>Capacity!$I300</f>
        <v>0.97477148299376115</v>
      </c>
      <c r="AL162" s="185">
        <f>Capacity!$I300</f>
        <v>0.97477148299376115</v>
      </c>
      <c r="AM162" s="185">
        <f>Capacity!$I300</f>
        <v>0.97477148299376115</v>
      </c>
      <c r="AN162" s="185">
        <f>Capacity!$I300</f>
        <v>0.97477148299376115</v>
      </c>
      <c r="AO162" s="185">
        <f>Capacity!$I300</f>
        <v>0.97477148299376115</v>
      </c>
      <c r="AP162" s="185">
        <f>Capacity!$I300</f>
        <v>0.97477148299376115</v>
      </c>
      <c r="AQ162" s="185">
        <f>Capacity!$I300</f>
        <v>0.97477148299376115</v>
      </c>
      <c r="AR162" s="185">
        <f>Capacity!$I300</f>
        <v>0.97477148299376115</v>
      </c>
      <c r="AS162" s="185">
        <f>Capacity!$I300</f>
        <v>0.97477148299376115</v>
      </c>
      <c r="AT162" s="185">
        <f>Capacity!$I300</f>
        <v>0.97477148299376115</v>
      </c>
      <c r="AU162" s="185">
        <f>Capacity!$I300</f>
        <v>0.97477148299376115</v>
      </c>
      <c r="AV162" s="185">
        <f>Capacity!$I300</f>
        <v>0.97477148299376115</v>
      </c>
      <c r="AW162" s="185">
        <f>Capacity!$I300</f>
        <v>0.97477148299376115</v>
      </c>
      <c r="AX162" s="185">
        <f>Capacity!$I300</f>
        <v>0.97477148299376115</v>
      </c>
      <c r="AY162" s="185">
        <f>Capacity!$I300</f>
        <v>0.97477148299376115</v>
      </c>
    </row>
    <row r="163" spans="1:51" x14ac:dyDescent="0.2">
      <c r="A163" s="19" t="s">
        <v>173</v>
      </c>
      <c r="L163" s="184" t="e">
        <f>(L35/(#REF!-#REF!)*365)/L147</f>
        <v>#REF!</v>
      </c>
      <c r="M163" s="184" t="e">
        <f>(M35/(#REF!-#REF!)*365)/M147</f>
        <v>#REF!</v>
      </c>
      <c r="N163" s="184" t="e">
        <f>(N35/(#REF!-#REF!)*365)/N147</f>
        <v>#REF!</v>
      </c>
      <c r="O163" s="184" t="e">
        <f>(O35/(#REF!-#REF!)*365)/O147</f>
        <v>#REF!</v>
      </c>
      <c r="P163" s="184" t="e">
        <f>(P35/(#REF!-#REF!)*365)/P147</f>
        <v>#REF!</v>
      </c>
      <c r="Q163" s="184" t="e">
        <f>(Q35/(#REF!-#REF!)*365)/Q147</f>
        <v>#REF!</v>
      </c>
      <c r="R163" s="184" t="e">
        <f>(R35/(#REF!-#REF!)*365)/R147</f>
        <v>#REF!</v>
      </c>
      <c r="S163" s="184">
        <f>Capacity!$I97</f>
        <v>1.0319862604540022</v>
      </c>
      <c r="T163" s="184">
        <f>Capacity!$I109</f>
        <v>1.1511672640382318</v>
      </c>
      <c r="U163" s="184">
        <f>Capacity!$I121</f>
        <v>0.95302258355916902</v>
      </c>
      <c r="V163" s="184">
        <f>Capacity!$I133</f>
        <v>1.2566648583484028</v>
      </c>
      <c r="W163" s="184">
        <f>Capacity!$I145</f>
        <v>0.62923897017126007</v>
      </c>
      <c r="X163" s="184">
        <f>Capacity!$I157</f>
        <v>0.84841275602800104</v>
      </c>
      <c r="Y163" s="184">
        <f>Capacity!$I169</f>
        <v>0.88027535450723959</v>
      </c>
      <c r="Z163" s="185">
        <f>Capacity!$I181</f>
        <v>0.71009714455578443</v>
      </c>
      <c r="AA163" s="185">
        <f>Capacity!$I193</f>
        <v>0.77214524671431084</v>
      </c>
      <c r="AB163" s="185">
        <f>Capacity!$I205</f>
        <v>0.84215481296821715</v>
      </c>
      <c r="AC163" s="185">
        <f>Capacity!$I217</f>
        <v>0.82762700270305023</v>
      </c>
      <c r="AD163" s="185">
        <f>Capacity!$I229</f>
        <v>0.83496578056069237</v>
      </c>
      <c r="AE163" s="185">
        <f>Capacity!$I241</f>
        <v>0.87434421879925617</v>
      </c>
      <c r="AF163" s="185">
        <f>Capacity!$I253</f>
        <v>0.9389363672353751</v>
      </c>
      <c r="AG163" s="185">
        <f>Capacity!$I265</f>
        <v>1.1134480066534738</v>
      </c>
      <c r="AH163" s="185">
        <f>Capacity!$I277</f>
        <v>1.1074821956839944</v>
      </c>
      <c r="AI163" s="185">
        <f>Capacity!$I289</f>
        <v>1.0762507329965803</v>
      </c>
      <c r="AJ163" s="185">
        <f>Capacity!$I301</f>
        <v>1.1401813838080672</v>
      </c>
      <c r="AK163" s="185">
        <f>Capacity!$I301</f>
        <v>1.1401813838080672</v>
      </c>
      <c r="AL163" s="185">
        <f>Capacity!$I301</f>
        <v>1.1401813838080672</v>
      </c>
      <c r="AM163" s="185">
        <f>Capacity!$I301</f>
        <v>1.1401813838080672</v>
      </c>
      <c r="AN163" s="185">
        <f>Capacity!$I301</f>
        <v>1.1401813838080672</v>
      </c>
      <c r="AO163" s="185">
        <f>Capacity!$I301</f>
        <v>1.1401813838080672</v>
      </c>
      <c r="AP163" s="185">
        <f>Capacity!$I301</f>
        <v>1.1401813838080672</v>
      </c>
      <c r="AQ163" s="185">
        <f>Capacity!$I301</f>
        <v>1.1401813838080672</v>
      </c>
      <c r="AR163" s="185">
        <f>Capacity!$I301</f>
        <v>1.1401813838080672</v>
      </c>
      <c r="AS163" s="185">
        <f>Capacity!$I301</f>
        <v>1.1401813838080672</v>
      </c>
      <c r="AT163" s="185">
        <f>Capacity!$I301</f>
        <v>1.1401813838080672</v>
      </c>
      <c r="AU163" s="185">
        <f>Capacity!$I301</f>
        <v>1.1401813838080672</v>
      </c>
      <c r="AV163" s="185">
        <f>Capacity!$I301</f>
        <v>1.1401813838080672</v>
      </c>
      <c r="AW163" s="185">
        <f>Capacity!$I301</f>
        <v>1.1401813838080672</v>
      </c>
      <c r="AX163" s="185">
        <f>Capacity!$I301</f>
        <v>1.1401813838080672</v>
      </c>
      <c r="AY163" s="185">
        <f>Capacity!$I301</f>
        <v>1.1401813838080672</v>
      </c>
    </row>
    <row r="164" spans="1:51" x14ac:dyDescent="0.2">
      <c r="A164" s="19" t="s">
        <v>181</v>
      </c>
      <c r="L164" s="19"/>
      <c r="M164" s="186" t="e">
        <f t="shared" ref="M164:AG164" si="61">AVERAGE(M152:M163)</f>
        <v>#REF!</v>
      </c>
      <c r="N164" s="186" t="e">
        <f t="shared" si="61"/>
        <v>#REF!</v>
      </c>
      <c r="O164" s="186" t="e">
        <f t="shared" si="61"/>
        <v>#REF!</v>
      </c>
      <c r="P164" s="186" t="e">
        <f t="shared" si="61"/>
        <v>#REF!</v>
      </c>
      <c r="Q164" s="186" t="e">
        <f t="shared" si="61"/>
        <v>#REF!</v>
      </c>
      <c r="R164" s="186" t="e">
        <f t="shared" si="61"/>
        <v>#REF!</v>
      </c>
      <c r="S164" s="186">
        <f t="shared" si="61"/>
        <v>0.66741373181656838</v>
      </c>
      <c r="T164" s="186">
        <f t="shared" si="61"/>
        <v>0.88290090193012505</v>
      </c>
      <c r="U164" s="186">
        <f t="shared" si="61"/>
        <v>0.85351507427715323</v>
      </c>
      <c r="V164" s="186">
        <f t="shared" si="61"/>
        <v>0.92438492751740542</v>
      </c>
      <c r="W164" s="186">
        <f t="shared" si="61"/>
        <v>0.71032589569078208</v>
      </c>
      <c r="X164" s="186">
        <f t="shared" si="61"/>
        <v>0.73167006090013131</v>
      </c>
      <c r="Y164" s="187">
        <f t="shared" si="61"/>
        <v>0.72927220804228232</v>
      </c>
      <c r="Z164" s="187">
        <f t="shared" si="61"/>
        <v>0.53687212280376462</v>
      </c>
      <c r="AA164" s="187">
        <f t="shared" si="61"/>
        <v>0.52613755812211116</v>
      </c>
      <c r="AB164" s="187">
        <f t="shared" si="61"/>
        <v>0.57177196854064072</v>
      </c>
      <c r="AC164" s="187">
        <f t="shared" si="61"/>
        <v>0.56069154855158032</v>
      </c>
      <c r="AD164" s="187">
        <f t="shared" si="61"/>
        <v>0.56607275141818636</v>
      </c>
      <c r="AE164" s="187">
        <f t="shared" si="61"/>
        <v>0.59314478750161714</v>
      </c>
      <c r="AF164" s="187">
        <f t="shared" si="61"/>
        <v>0.63699759648521093</v>
      </c>
      <c r="AG164" s="187">
        <f t="shared" si="61"/>
        <v>0.7524675740970076</v>
      </c>
      <c r="AH164" s="187">
        <f>AVERAGE(AH152:AH163)</f>
        <v>0.75083517984799253</v>
      </c>
      <c r="AI164" s="187">
        <f>AVERAGE(AI152:AI163)</f>
        <v>0.73007249053619472</v>
      </c>
      <c r="AJ164" s="187">
        <f>AVERAGE(AJ152:AJ163)</f>
        <v>0.77346443141423438</v>
      </c>
      <c r="AK164" s="187">
        <f t="shared" ref="AK164:AY164" si="62">AVERAGE(AK152:AK163)</f>
        <v>0.77346443141423438</v>
      </c>
      <c r="AL164" s="187">
        <f t="shared" si="62"/>
        <v>0.77346443141423438</v>
      </c>
      <c r="AM164" s="187">
        <f t="shared" si="62"/>
        <v>0.77346443141423438</v>
      </c>
      <c r="AN164" s="187">
        <f t="shared" si="62"/>
        <v>0.77346443141423438</v>
      </c>
      <c r="AO164" s="187">
        <f t="shared" si="62"/>
        <v>0.77346443141423438</v>
      </c>
      <c r="AP164" s="187">
        <f t="shared" si="62"/>
        <v>0.77346443141423438</v>
      </c>
      <c r="AQ164" s="187">
        <f t="shared" si="62"/>
        <v>0.77346443141423438</v>
      </c>
      <c r="AR164" s="187">
        <f t="shared" si="62"/>
        <v>0.77346443141423438</v>
      </c>
      <c r="AS164" s="187">
        <f t="shared" si="62"/>
        <v>0.77346443141423438</v>
      </c>
      <c r="AT164" s="187">
        <f t="shared" si="62"/>
        <v>0.77346443141423438</v>
      </c>
      <c r="AU164" s="187">
        <f t="shared" si="62"/>
        <v>0.77346443141423438</v>
      </c>
      <c r="AV164" s="187">
        <f t="shared" si="62"/>
        <v>0.77346443141423438</v>
      </c>
      <c r="AW164" s="187">
        <f t="shared" si="62"/>
        <v>0.77346443141423438</v>
      </c>
      <c r="AX164" s="187">
        <f t="shared" si="62"/>
        <v>0.77346443141423438</v>
      </c>
      <c r="AY164" s="187">
        <f t="shared" si="62"/>
        <v>0.77346443141423438</v>
      </c>
    </row>
    <row r="165" spans="1:51" ht="12" thickBot="1" x14ac:dyDescent="0.25">
      <c r="A165" s="114"/>
      <c r="B165" s="114"/>
      <c r="C165" s="114"/>
      <c r="D165" s="114"/>
      <c r="E165" s="114"/>
      <c r="F165" s="114"/>
      <c r="G165" s="114"/>
      <c r="H165" s="114"/>
      <c r="I165" s="114"/>
      <c r="J165" s="114"/>
      <c r="K165" s="114"/>
      <c r="L165" s="114"/>
      <c r="M165" s="114"/>
      <c r="N165" s="114"/>
      <c r="O165" s="114"/>
      <c r="P165" s="114"/>
      <c r="Q165" s="114"/>
      <c r="R165" s="114"/>
      <c r="S165" s="114"/>
      <c r="T165" s="114"/>
      <c r="U165" s="114"/>
      <c r="V165" s="114"/>
      <c r="W165" s="114"/>
      <c r="X165" s="114"/>
      <c r="Y165" s="114"/>
      <c r="Z165" s="114"/>
      <c r="AA165" s="114"/>
      <c r="AB165" s="114"/>
      <c r="AC165" s="114"/>
      <c r="AD165" s="114"/>
      <c r="AE165" s="114"/>
      <c r="AF165" s="114"/>
      <c r="AG165" s="114"/>
      <c r="AH165" s="114"/>
      <c r="AI165" s="114"/>
      <c r="AJ165" s="114"/>
      <c r="AK165" s="114"/>
      <c r="AL165" s="114"/>
      <c r="AM165" s="114"/>
      <c r="AN165" s="114"/>
      <c r="AO165" s="114"/>
      <c r="AP165" s="114"/>
      <c r="AQ165" s="114"/>
      <c r="AR165" s="114"/>
      <c r="AS165" s="114"/>
      <c r="AT165" s="114"/>
      <c r="AU165" s="114"/>
      <c r="AV165" s="114"/>
      <c r="AW165" s="114"/>
      <c r="AX165" s="114"/>
      <c r="AY165" s="114"/>
    </row>
    <row r="166" spans="1:51" ht="12" thickBot="1" x14ac:dyDescent="0.25">
      <c r="B166" s="128">
        <f>B48</f>
        <v>0</v>
      </c>
    </row>
    <row r="180" spans="2:2" x14ac:dyDescent="0.2">
      <c r="B180" s="114"/>
    </row>
  </sheetData>
  <printOptions verticalCentered="1"/>
  <pageMargins left="0.2" right="0.2" top="0.25" bottom="0.25" header="0" footer="0.1"/>
  <pageSetup scale="53" orientation="landscape" r:id="rId1"/>
  <headerFooter>
    <oddFooter>&amp;L&amp;"Arial,Regular"&amp;10&amp;D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DFA34-CD33-444C-AEDF-B9CC445B1516}">
  <dimension ref="A2:AH100"/>
  <sheetViews>
    <sheetView tabSelected="1" topLeftCell="A3" workbookViewId="0">
      <pane xSplit="1" ySplit="2" topLeftCell="D5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" defaultRowHeight="12.75" x14ac:dyDescent="0.2"/>
  <cols>
    <col min="1" max="1" width="18.7109375" style="188" customWidth="1"/>
    <col min="2" max="34" width="9.28515625" style="188" customWidth="1"/>
    <col min="35" max="16384" width="8" style="188"/>
  </cols>
  <sheetData>
    <row r="2" spans="1:34" ht="13.5" thickBot="1" x14ac:dyDescent="0.25"/>
    <row r="3" spans="1:34" ht="14.25" thickTop="1" thickBot="1" x14ac:dyDescent="0.25">
      <c r="A3" s="189" t="s">
        <v>214</v>
      </c>
      <c r="B3" s="189"/>
      <c r="C3" s="189"/>
      <c r="D3" s="189"/>
      <c r="E3" s="189"/>
      <c r="F3" s="189"/>
      <c r="G3" s="189"/>
      <c r="H3" s="189"/>
      <c r="I3" s="189"/>
      <c r="J3" s="190"/>
      <c r="K3" s="190"/>
      <c r="L3" s="190"/>
      <c r="M3" s="190"/>
      <c r="N3" s="190"/>
      <c r="O3" s="190"/>
      <c r="P3" s="190"/>
      <c r="Q3" s="190"/>
      <c r="R3" s="191"/>
    </row>
    <row r="4" spans="1:34" ht="13.5" thickBot="1" x14ac:dyDescent="0.25">
      <c r="A4" s="192" t="s">
        <v>215</v>
      </c>
      <c r="B4" s="193">
        <v>2018</v>
      </c>
      <c r="C4" s="193">
        <v>2019</v>
      </c>
      <c r="D4" s="193">
        <v>2020</v>
      </c>
      <c r="E4" s="193">
        <v>2021</v>
      </c>
      <c r="F4" s="193">
        <v>2022</v>
      </c>
      <c r="G4" s="193">
        <v>2023</v>
      </c>
      <c r="H4" s="193">
        <v>2024</v>
      </c>
      <c r="I4" s="193">
        <v>2025</v>
      </c>
      <c r="J4" s="194">
        <v>2026</v>
      </c>
      <c r="K4" s="193">
        <v>2027</v>
      </c>
      <c r="L4" s="194">
        <v>2028</v>
      </c>
      <c r="M4" s="193">
        <v>2029</v>
      </c>
      <c r="N4" s="194">
        <v>2030</v>
      </c>
      <c r="O4" s="193">
        <v>2031</v>
      </c>
      <c r="P4" s="194">
        <v>2032</v>
      </c>
      <c r="Q4" s="193">
        <v>2033</v>
      </c>
      <c r="R4" s="194">
        <v>2034</v>
      </c>
      <c r="S4" s="194">
        <v>2035</v>
      </c>
      <c r="T4" s="194">
        <v>2036</v>
      </c>
      <c r="U4" s="194">
        <v>2037</v>
      </c>
      <c r="V4" s="194">
        <v>2038</v>
      </c>
      <c r="W4" s="194">
        <v>2039</v>
      </c>
      <c r="X4" s="194">
        <v>2040</v>
      </c>
      <c r="Y4" s="194">
        <v>2041</v>
      </c>
      <c r="Z4" s="194">
        <v>2042</v>
      </c>
      <c r="AA4" s="194">
        <v>2043</v>
      </c>
      <c r="AB4" s="194">
        <v>2044</v>
      </c>
      <c r="AC4" s="194">
        <v>2045</v>
      </c>
      <c r="AD4" s="194">
        <v>2046</v>
      </c>
      <c r="AE4" s="194">
        <v>2047</v>
      </c>
      <c r="AF4" s="194">
        <v>2048</v>
      </c>
      <c r="AG4" s="194">
        <v>2049</v>
      </c>
      <c r="AH4" s="194">
        <v>2050</v>
      </c>
    </row>
    <row r="5" spans="1:34" x14ac:dyDescent="0.2">
      <c r="A5" s="195" t="s">
        <v>146</v>
      </c>
      <c r="B5" s="196">
        <v>0</v>
      </c>
      <c r="C5" s="197">
        <f t="shared" ref="C5:AH5" si="0">B12</f>
        <v>0.27223999999999998</v>
      </c>
      <c r="D5" s="197">
        <f t="shared" si="0"/>
        <v>0.13733300000000001</v>
      </c>
      <c r="E5" s="197">
        <f t="shared" si="0"/>
        <v>0.194662</v>
      </c>
      <c r="F5" s="197">
        <f t="shared" si="0"/>
        <v>0.30850300000000003</v>
      </c>
      <c r="G5" s="197">
        <f t="shared" si="0"/>
        <v>1.0698956940445841</v>
      </c>
      <c r="H5" s="197">
        <f t="shared" si="0"/>
        <v>1.6448755325144864</v>
      </c>
      <c r="I5" s="198">
        <f t="shared" si="0"/>
        <v>4.6345523729899814</v>
      </c>
      <c r="J5" s="199">
        <f t="shared" si="0"/>
        <v>12.675592662289951</v>
      </c>
      <c r="K5" s="199">
        <f t="shared" si="0"/>
        <v>32.311224099968335</v>
      </c>
      <c r="L5" s="199">
        <f t="shared" si="0"/>
        <v>90.829218538584996</v>
      </c>
      <c r="M5" s="199">
        <f t="shared" si="0"/>
        <v>116.41588815246462</v>
      </c>
      <c r="N5" s="199">
        <f t="shared" si="0"/>
        <v>146.87886569358349</v>
      </c>
      <c r="O5" s="199">
        <f t="shared" si="0"/>
        <v>197.87246652850192</v>
      </c>
      <c r="P5" s="199">
        <f t="shared" si="0"/>
        <v>229.54633896868731</v>
      </c>
      <c r="Q5" s="199">
        <f t="shared" si="0"/>
        <v>286.14333375521772</v>
      </c>
      <c r="R5" s="199">
        <f t="shared" si="0"/>
        <v>290.22991859209094</v>
      </c>
      <c r="S5" s="199">
        <f t="shared" si="0"/>
        <v>314.38557006366545</v>
      </c>
      <c r="T5" s="199">
        <f t="shared" si="0"/>
        <v>326.82357527298592</v>
      </c>
      <c r="U5" s="199">
        <f t="shared" si="0"/>
        <v>256.57999727662229</v>
      </c>
      <c r="V5" s="199">
        <f t="shared" si="0"/>
        <v>272.87694980661985</v>
      </c>
      <c r="W5" s="199">
        <f t="shared" si="0"/>
        <v>303.53584963441983</v>
      </c>
      <c r="X5" s="199">
        <f t="shared" si="0"/>
        <v>307.91341160775664</v>
      </c>
      <c r="Y5" s="199">
        <f t="shared" si="0"/>
        <v>309.71382140070318</v>
      </c>
      <c r="Z5" s="199">
        <f t="shared" si="0"/>
        <v>319.92840815166142</v>
      </c>
      <c r="AA5" s="199">
        <f t="shared" si="0"/>
        <v>327.72275920587327</v>
      </c>
      <c r="AB5" s="199">
        <f t="shared" si="0"/>
        <v>333.69091554563977</v>
      </c>
      <c r="AC5" s="199">
        <f t="shared" si="0"/>
        <v>334.90573541578334</v>
      </c>
      <c r="AD5" s="199">
        <f t="shared" si="0"/>
        <v>346.89307683624929</v>
      </c>
      <c r="AE5" s="199">
        <f t="shared" si="0"/>
        <v>367.66681719582488</v>
      </c>
      <c r="AF5" s="199">
        <f t="shared" si="0"/>
        <v>383.4675079592995</v>
      </c>
      <c r="AG5" s="199">
        <f t="shared" si="0"/>
        <v>380.47988546943327</v>
      </c>
      <c r="AH5" s="199">
        <f t="shared" si="0"/>
        <v>376.00050430371789</v>
      </c>
    </row>
    <row r="6" spans="1:34" x14ac:dyDescent="0.2">
      <c r="A6" s="195" t="s">
        <v>216</v>
      </c>
      <c r="B6" s="200">
        <f t="shared" ref="B6:G6" si="1">B35</f>
        <v>1.8281779999999999</v>
      </c>
      <c r="C6" s="201">
        <f t="shared" si="1"/>
        <v>2.4287020000000004</v>
      </c>
      <c r="D6" s="201">
        <f t="shared" si="1"/>
        <v>4.6083990000000004</v>
      </c>
      <c r="E6" s="201">
        <f t="shared" si="1"/>
        <v>5.0766230000000006</v>
      </c>
      <c r="F6" s="201">
        <f t="shared" si="1"/>
        <v>7.8931369999999985</v>
      </c>
      <c r="G6" s="201">
        <f t="shared" si="1"/>
        <v>14.016105</v>
      </c>
      <c r="H6" s="201">
        <f t="shared" ref="H6:AH6" si="2">H35</f>
        <v>38.708892999999996</v>
      </c>
      <c r="I6" s="199">
        <f t="shared" si="2"/>
        <v>139.54484977585415</v>
      </c>
      <c r="J6" s="199">
        <f t="shared" si="2"/>
        <v>460.88495228818954</v>
      </c>
      <c r="K6" s="199">
        <f t="shared" si="2"/>
        <v>1325.024691658055</v>
      </c>
      <c r="L6" s="199">
        <f t="shared" si="2"/>
        <v>1736.1276052408398</v>
      </c>
      <c r="M6" s="199">
        <f t="shared" si="2"/>
        <v>2273.6188430182933</v>
      </c>
      <c r="N6" s="199">
        <f t="shared" si="2"/>
        <v>3073.0567489326882</v>
      </c>
      <c r="O6" s="199">
        <f t="shared" si="2"/>
        <v>3588.4038424726386</v>
      </c>
      <c r="P6" s="199">
        <f t="shared" si="2"/>
        <v>4539.3265633096562</v>
      </c>
      <c r="Q6" s="199">
        <f t="shared" si="2"/>
        <v>4740.909735426977</v>
      </c>
      <c r="R6" s="199">
        <f t="shared" si="2"/>
        <v>5153.1203689732683</v>
      </c>
      <c r="S6" s="199">
        <f t="shared" si="2"/>
        <v>5383.43033507583</v>
      </c>
      <c r="T6" s="199">
        <f t="shared" si="2"/>
        <v>4141.8814130584124</v>
      </c>
      <c r="U6" s="199">
        <f t="shared" si="2"/>
        <v>4521.3717087055411</v>
      </c>
      <c r="V6" s="199">
        <f t="shared" si="2"/>
        <v>5091.1462971830406</v>
      </c>
      <c r="W6" s="199">
        <f t="shared" si="2"/>
        <v>5089.329457841005</v>
      </c>
      <c r="X6" s="199">
        <f t="shared" si="2"/>
        <v>5061.3522657506937</v>
      </c>
      <c r="Y6" s="199">
        <f t="shared" si="2"/>
        <v>5281.432384585718</v>
      </c>
      <c r="Z6" s="199">
        <f t="shared" si="2"/>
        <v>5452.6461677281859</v>
      </c>
      <c r="AA6" s="199">
        <f t="shared" si="2"/>
        <v>5577.9566167679932</v>
      </c>
      <c r="AB6" s="199">
        <f t="shared" si="2"/>
        <v>5641.6619152152552</v>
      </c>
      <c r="AC6" s="199">
        <f t="shared" si="2"/>
        <v>5809.2805268083539</v>
      </c>
      <c r="AD6" s="199">
        <f t="shared" si="2"/>
        <v>6127.3610683523875</v>
      </c>
      <c r="AE6" s="199">
        <f t="shared" si="2"/>
        <v>6348.6128534748404</v>
      </c>
      <c r="AF6" s="199">
        <f t="shared" si="2"/>
        <v>6355.8716047947155</v>
      </c>
      <c r="AG6" s="199">
        <f t="shared" si="2"/>
        <v>6345.2461711034648</v>
      </c>
      <c r="AH6" s="199">
        <f t="shared" si="2"/>
        <v>6494.4139814335422</v>
      </c>
    </row>
    <row r="7" spans="1:34" x14ac:dyDescent="0.2">
      <c r="A7" s="195" t="s">
        <v>217</v>
      </c>
      <c r="B7" s="200">
        <f t="shared" ref="B7:I7" si="3">B51</f>
        <v>0</v>
      </c>
      <c r="C7" s="201">
        <f t="shared" si="3"/>
        <v>0</v>
      </c>
      <c r="D7" s="201">
        <f t="shared" si="3"/>
        <v>0</v>
      </c>
      <c r="E7" s="201">
        <f t="shared" si="3"/>
        <v>0</v>
      </c>
      <c r="F7" s="201">
        <f t="shared" si="3"/>
        <v>7.9267400000000006</v>
      </c>
      <c r="G7" s="201">
        <f t="shared" si="3"/>
        <v>12.283992</v>
      </c>
      <c r="H7" s="201">
        <f t="shared" si="3"/>
        <v>73.150417000000004</v>
      </c>
      <c r="I7" s="199">
        <f t="shared" si="3"/>
        <v>60</v>
      </c>
      <c r="J7" s="199">
        <v>45.998087552847259</v>
      </c>
      <c r="K7" s="199">
        <v>66.736474900505826</v>
      </c>
      <c r="L7" s="199">
        <v>86.975813584309094</v>
      </c>
      <c r="M7" s="199">
        <v>101.66031184539069</v>
      </c>
      <c r="N7" s="199">
        <v>136.99378845610391</v>
      </c>
      <c r="O7" s="199">
        <v>123.83689684047657</v>
      </c>
      <c r="P7" s="199">
        <v>111.4606234356481</v>
      </c>
      <c r="Q7" s="199">
        <v>116.46604364430547</v>
      </c>
      <c r="R7" s="199">
        <v>126.74187769306047</v>
      </c>
      <c r="S7" s="199">
        <v>132.85575159239127</v>
      </c>
      <c r="T7" s="199">
        <v>123.00787959815408</v>
      </c>
      <c r="U7" s="199">
        <v>122.69555585100896</v>
      </c>
      <c r="V7" s="199">
        <v>123.90491440065065</v>
      </c>
      <c r="W7" s="199">
        <v>111.08692501322585</v>
      </c>
      <c r="X7" s="199">
        <v>102.34516738730642</v>
      </c>
      <c r="Y7" s="199">
        <v>106.48789918725871</v>
      </c>
      <c r="Z7" s="199">
        <v>111.80460950418049</v>
      </c>
      <c r="AA7" s="199">
        <v>135.88246337876882</v>
      </c>
      <c r="AB7" s="199">
        <v>139.56395898590705</v>
      </c>
      <c r="AC7" s="199">
        <v>143.25075543288159</v>
      </c>
      <c r="AD7" s="199">
        <v>146.71361931359695</v>
      </c>
      <c r="AE7" s="199">
        <v>150.18539372554207</v>
      </c>
      <c r="AF7" s="199">
        <v>153.20035094225693</v>
      </c>
      <c r="AG7" s="199">
        <v>156.22256765272616</v>
      </c>
      <c r="AH7" s="199">
        <v>164.75549999999998</v>
      </c>
    </row>
    <row r="8" spans="1:34" x14ac:dyDescent="0.2">
      <c r="A8" s="195" t="s">
        <v>218</v>
      </c>
      <c r="B8" s="200">
        <f t="shared" ref="B8:AH8" si="4">SUM(B5:B7)</f>
        <v>1.8281779999999999</v>
      </c>
      <c r="C8" s="201">
        <f t="shared" si="4"/>
        <v>2.7009420000000004</v>
      </c>
      <c r="D8" s="201">
        <f t="shared" si="4"/>
        <v>4.7457320000000003</v>
      </c>
      <c r="E8" s="201">
        <f t="shared" si="4"/>
        <v>5.2712850000000007</v>
      </c>
      <c r="F8" s="201">
        <f t="shared" si="4"/>
        <v>16.12838</v>
      </c>
      <c r="G8" s="201">
        <f t="shared" si="4"/>
        <v>27.369992694044583</v>
      </c>
      <c r="H8" s="201">
        <f t="shared" si="4"/>
        <v>113.50418553251448</v>
      </c>
      <c r="I8" s="199">
        <f t="shared" si="4"/>
        <v>204.17940214884413</v>
      </c>
      <c r="J8" s="199">
        <f t="shared" si="4"/>
        <v>519.55863250332675</v>
      </c>
      <c r="K8" s="199">
        <f t="shared" si="4"/>
        <v>1424.072390658529</v>
      </c>
      <c r="L8" s="199">
        <f t="shared" si="4"/>
        <v>1913.9326373637336</v>
      </c>
      <c r="M8" s="199">
        <f t="shared" si="4"/>
        <v>2491.6950430161487</v>
      </c>
      <c r="N8" s="199">
        <f t="shared" si="4"/>
        <v>3356.9294030823758</v>
      </c>
      <c r="O8" s="199">
        <f t="shared" si="4"/>
        <v>3910.1132058416169</v>
      </c>
      <c r="P8" s="199">
        <f t="shared" si="4"/>
        <v>4880.3335257139915</v>
      </c>
      <c r="Q8" s="199">
        <f t="shared" si="4"/>
        <v>5143.5191128265005</v>
      </c>
      <c r="R8" s="199">
        <f t="shared" si="4"/>
        <v>5570.0921652584202</v>
      </c>
      <c r="S8" s="199">
        <f t="shared" si="4"/>
        <v>5830.6716567318872</v>
      </c>
      <c r="T8" s="199">
        <f t="shared" si="4"/>
        <v>4591.7128679295529</v>
      </c>
      <c r="U8" s="199">
        <f t="shared" si="4"/>
        <v>4900.6472618331727</v>
      </c>
      <c r="V8" s="199">
        <f t="shared" si="4"/>
        <v>5487.9281613903104</v>
      </c>
      <c r="W8" s="199">
        <f t="shared" si="4"/>
        <v>5503.9522324886502</v>
      </c>
      <c r="X8" s="199">
        <f t="shared" si="4"/>
        <v>5471.6108447457564</v>
      </c>
      <c r="Y8" s="199">
        <f t="shared" si="4"/>
        <v>5697.634105173679</v>
      </c>
      <c r="Z8" s="199">
        <f t="shared" si="4"/>
        <v>5884.3791853840285</v>
      </c>
      <c r="AA8" s="199">
        <f t="shared" si="4"/>
        <v>6041.5618393526356</v>
      </c>
      <c r="AB8" s="199">
        <f t="shared" si="4"/>
        <v>6114.9167897468024</v>
      </c>
      <c r="AC8" s="199">
        <f t="shared" si="4"/>
        <v>6287.4370176570183</v>
      </c>
      <c r="AD8" s="199">
        <f t="shared" si="4"/>
        <v>6620.9677645022339</v>
      </c>
      <c r="AE8" s="199">
        <f t="shared" si="4"/>
        <v>6866.4650643962068</v>
      </c>
      <c r="AF8" s="199">
        <f t="shared" si="4"/>
        <v>6892.5394636962719</v>
      </c>
      <c r="AG8" s="199">
        <f t="shared" si="4"/>
        <v>6881.9486242256244</v>
      </c>
      <c r="AH8" s="199">
        <f t="shared" si="4"/>
        <v>7035.1699857372605</v>
      </c>
    </row>
    <row r="9" spans="1:34" x14ac:dyDescent="0.2">
      <c r="A9" s="202" t="s">
        <v>150</v>
      </c>
      <c r="B9" s="203">
        <f t="shared" ref="B9:H9" si="5">B11-B10</f>
        <v>1.5559379999999998</v>
      </c>
      <c r="C9" s="204">
        <f t="shared" si="5"/>
        <v>2.5636090000000005</v>
      </c>
      <c r="D9" s="204">
        <f t="shared" si="5"/>
        <v>4.5510700000000002</v>
      </c>
      <c r="E9" s="204">
        <f t="shared" si="5"/>
        <v>4.9627820000000007</v>
      </c>
      <c r="F9" s="204">
        <f t="shared" si="5"/>
        <v>15.058484305955416</v>
      </c>
      <c r="G9" s="204">
        <f t="shared" si="5"/>
        <v>25.725117161530097</v>
      </c>
      <c r="H9" s="204">
        <f t="shared" si="5"/>
        <v>108.8696331595245</v>
      </c>
      <c r="I9" s="205">
        <f>I11-I10</f>
        <v>126.50380948655419</v>
      </c>
      <c r="J9" s="205">
        <f t="shared" ref="J9:AH9" si="6">J11-J10</f>
        <v>187.24740840335841</v>
      </c>
      <c r="K9" s="205">
        <f t="shared" si="6"/>
        <v>933.24317211994412</v>
      </c>
      <c r="L9" s="205">
        <f t="shared" si="6"/>
        <v>1347.5167492112691</v>
      </c>
      <c r="M9" s="205">
        <f t="shared" si="6"/>
        <v>1744.8161773225652</v>
      </c>
      <c r="N9" s="205">
        <f t="shared" si="6"/>
        <v>2429.056936553874</v>
      </c>
      <c r="O9" s="205">
        <f t="shared" si="6"/>
        <v>2980.5668668729295</v>
      </c>
      <c r="P9" s="205">
        <f t="shared" si="6"/>
        <v>3894.1901919587735</v>
      </c>
      <c r="Q9" s="205">
        <f t="shared" si="6"/>
        <v>4153.2891942344095</v>
      </c>
      <c r="R9" s="205">
        <f t="shared" si="6"/>
        <v>4555.7065951947552</v>
      </c>
      <c r="S9" s="205">
        <f t="shared" si="6"/>
        <v>4803.8480814589011</v>
      </c>
      <c r="T9" s="205">
        <f t="shared" si="6"/>
        <v>3635.1328706529303</v>
      </c>
      <c r="U9" s="205">
        <f t="shared" si="6"/>
        <v>3927.7703120265533</v>
      </c>
      <c r="V9" s="205">
        <f t="shared" si="6"/>
        <v>4484.3923117558907</v>
      </c>
      <c r="W9" s="205">
        <f t="shared" si="6"/>
        <v>4496.0388208808936</v>
      </c>
      <c r="X9" s="205">
        <f t="shared" si="6"/>
        <v>4461.8970233450527</v>
      </c>
      <c r="Y9" s="205">
        <f t="shared" si="6"/>
        <v>4677.7056970220174</v>
      </c>
      <c r="Z9" s="205">
        <f t="shared" si="6"/>
        <v>4856.656426178155</v>
      </c>
      <c r="AA9" s="205">
        <f t="shared" si="6"/>
        <v>5007.870923806996</v>
      </c>
      <c r="AB9" s="205">
        <f t="shared" si="6"/>
        <v>5080.0110543310193</v>
      </c>
      <c r="AC9" s="205">
        <f t="shared" si="6"/>
        <v>5240.5439408207694</v>
      </c>
      <c r="AD9" s="205">
        <f t="shared" si="6"/>
        <v>5553.3009473064094</v>
      </c>
      <c r="AE9" s="205">
        <f t="shared" si="6"/>
        <v>5782.997556436907</v>
      </c>
      <c r="AF9" s="205">
        <f t="shared" si="6"/>
        <v>5812.0595782268383</v>
      </c>
      <c r="AG9" s="205">
        <f t="shared" si="6"/>
        <v>5805.9481199219063</v>
      </c>
      <c r="AH9" s="205">
        <f t="shared" si="6"/>
        <v>5949.5258430285676</v>
      </c>
    </row>
    <row r="10" spans="1:34" x14ac:dyDescent="0.2">
      <c r="A10" s="195" t="s">
        <v>151</v>
      </c>
      <c r="B10" s="200">
        <f>B67</f>
        <v>0</v>
      </c>
      <c r="C10" s="200">
        <f t="shared" ref="C10:H10" si="7">C67</f>
        <v>0</v>
      </c>
      <c r="D10" s="200">
        <f t="shared" si="7"/>
        <v>0</v>
      </c>
      <c r="E10" s="200">
        <f t="shared" si="7"/>
        <v>0</v>
      </c>
      <c r="F10" s="200">
        <f t="shared" si="7"/>
        <v>0</v>
      </c>
      <c r="G10" s="200">
        <f t="shared" si="7"/>
        <v>0</v>
      </c>
      <c r="H10" s="200">
        <f t="shared" si="7"/>
        <v>0</v>
      </c>
      <c r="I10" s="199">
        <v>65</v>
      </c>
      <c r="J10" s="199">
        <v>300</v>
      </c>
      <c r="K10" s="199">
        <v>400</v>
      </c>
      <c r="L10" s="199">
        <v>450</v>
      </c>
      <c r="M10" s="199">
        <v>600</v>
      </c>
      <c r="N10" s="199">
        <v>730</v>
      </c>
      <c r="O10" s="199">
        <v>700</v>
      </c>
      <c r="P10" s="199">
        <v>700</v>
      </c>
      <c r="Q10" s="199">
        <v>700</v>
      </c>
      <c r="R10" s="199">
        <v>700</v>
      </c>
      <c r="S10" s="199">
        <v>700</v>
      </c>
      <c r="T10" s="199">
        <v>700</v>
      </c>
      <c r="U10" s="199">
        <v>700</v>
      </c>
      <c r="V10" s="199">
        <v>700</v>
      </c>
      <c r="W10" s="199">
        <v>700</v>
      </c>
      <c r="X10" s="199">
        <v>700</v>
      </c>
      <c r="Y10" s="199">
        <v>700</v>
      </c>
      <c r="Z10" s="199">
        <v>700</v>
      </c>
      <c r="AA10" s="199">
        <v>700</v>
      </c>
      <c r="AB10" s="199">
        <v>700</v>
      </c>
      <c r="AC10" s="199">
        <v>700</v>
      </c>
      <c r="AD10" s="199">
        <v>700</v>
      </c>
      <c r="AE10" s="199">
        <v>700</v>
      </c>
      <c r="AF10" s="199">
        <v>700</v>
      </c>
      <c r="AG10" s="199">
        <v>700</v>
      </c>
      <c r="AH10" s="199">
        <v>700</v>
      </c>
    </row>
    <row r="11" spans="1:34" x14ac:dyDescent="0.2">
      <c r="A11" s="195" t="s">
        <v>219</v>
      </c>
      <c r="B11" s="200">
        <f>B8-B12</f>
        <v>1.5559379999999998</v>
      </c>
      <c r="C11" s="201">
        <f t="shared" ref="C11:AH11" si="8">C8-C12</f>
        <v>2.5636090000000005</v>
      </c>
      <c r="D11" s="201">
        <f t="shared" si="8"/>
        <v>4.5510700000000002</v>
      </c>
      <c r="E11" s="201">
        <f>E8-E12</f>
        <v>4.9627820000000007</v>
      </c>
      <c r="F11" s="201">
        <f t="shared" si="8"/>
        <v>15.058484305955416</v>
      </c>
      <c r="G11" s="201">
        <f t="shared" si="8"/>
        <v>25.725117161530097</v>
      </c>
      <c r="H11" s="201">
        <f t="shared" si="8"/>
        <v>108.8696331595245</v>
      </c>
      <c r="I11" s="199">
        <f t="shared" si="8"/>
        <v>191.50380948655419</v>
      </c>
      <c r="J11" s="199">
        <f t="shared" si="8"/>
        <v>487.24740840335841</v>
      </c>
      <c r="K11" s="199">
        <f t="shared" si="8"/>
        <v>1333.2431721199441</v>
      </c>
      <c r="L11" s="199">
        <f t="shared" si="8"/>
        <v>1797.5167492112691</v>
      </c>
      <c r="M11" s="199">
        <f t="shared" si="8"/>
        <v>2344.8161773225652</v>
      </c>
      <c r="N11" s="199">
        <f t="shared" si="8"/>
        <v>3159.056936553874</v>
      </c>
      <c r="O11" s="199">
        <f t="shared" si="8"/>
        <v>3680.5668668729295</v>
      </c>
      <c r="P11" s="199">
        <f t="shared" si="8"/>
        <v>4594.1901919587735</v>
      </c>
      <c r="Q11" s="199">
        <f t="shared" si="8"/>
        <v>4853.2891942344095</v>
      </c>
      <c r="R11" s="199">
        <f t="shared" si="8"/>
        <v>5255.7065951947552</v>
      </c>
      <c r="S11" s="199">
        <f t="shared" si="8"/>
        <v>5503.8480814589011</v>
      </c>
      <c r="T11" s="199">
        <f t="shared" si="8"/>
        <v>4335.1328706529303</v>
      </c>
      <c r="U11" s="199">
        <f t="shared" si="8"/>
        <v>4627.7703120265533</v>
      </c>
      <c r="V11" s="199">
        <f t="shared" si="8"/>
        <v>5184.3923117558907</v>
      </c>
      <c r="W11" s="199">
        <f t="shared" si="8"/>
        <v>5196.0388208808936</v>
      </c>
      <c r="X11" s="199">
        <f t="shared" si="8"/>
        <v>5161.8970233450527</v>
      </c>
      <c r="Y11" s="199">
        <f t="shared" si="8"/>
        <v>5377.7056970220174</v>
      </c>
      <c r="Z11" s="199">
        <f t="shared" si="8"/>
        <v>5556.656426178155</v>
      </c>
      <c r="AA11" s="199">
        <f t="shared" si="8"/>
        <v>5707.870923806996</v>
      </c>
      <c r="AB11" s="199">
        <f t="shared" si="8"/>
        <v>5780.0110543310193</v>
      </c>
      <c r="AC11" s="199">
        <f t="shared" si="8"/>
        <v>5940.5439408207694</v>
      </c>
      <c r="AD11" s="199">
        <f t="shared" si="8"/>
        <v>6253.3009473064094</v>
      </c>
      <c r="AE11" s="199">
        <f t="shared" si="8"/>
        <v>6482.997556436907</v>
      </c>
      <c r="AF11" s="199">
        <f t="shared" si="8"/>
        <v>6512.0595782268383</v>
      </c>
      <c r="AG11" s="199">
        <f t="shared" si="8"/>
        <v>6505.9481199219063</v>
      </c>
      <c r="AH11" s="199">
        <f t="shared" si="8"/>
        <v>6649.5258430285676</v>
      </c>
    </row>
    <row r="12" spans="1:34" x14ac:dyDescent="0.2">
      <c r="A12" s="202" t="s">
        <v>220</v>
      </c>
      <c r="B12" s="206">
        <f>B98</f>
        <v>0.27223999999999998</v>
      </c>
      <c r="C12" s="206">
        <f t="shared" ref="C12:H12" si="9">C98</f>
        <v>0.13733300000000001</v>
      </c>
      <c r="D12" s="206">
        <f t="shared" si="9"/>
        <v>0.194662</v>
      </c>
      <c r="E12" s="206">
        <f t="shared" si="9"/>
        <v>0.30850300000000003</v>
      </c>
      <c r="F12" s="206">
        <f t="shared" si="9"/>
        <v>1.0698956940445841</v>
      </c>
      <c r="G12" s="206">
        <f t="shared" si="9"/>
        <v>1.6448755325144864</v>
      </c>
      <c r="H12" s="206">
        <f t="shared" si="9"/>
        <v>4.6345523729899814</v>
      </c>
      <c r="I12" s="205">
        <f>I8*('Jet Fuel'!I12/'Jet Fuel'!I8)</f>
        <v>12.675592662289951</v>
      </c>
      <c r="J12" s="205">
        <f>J8*('Jet Fuel'!J12/'Jet Fuel'!J8)</f>
        <v>32.311224099968335</v>
      </c>
      <c r="K12" s="205">
        <f>K8*('Jet Fuel'!K12/'Jet Fuel'!K8)</f>
        <v>90.829218538584996</v>
      </c>
      <c r="L12" s="205">
        <f>L8*('Jet Fuel'!L12/'Jet Fuel'!L8)</f>
        <v>116.41588815246462</v>
      </c>
      <c r="M12" s="205">
        <f>M8*('Jet Fuel'!M12/'Jet Fuel'!M8)</f>
        <v>146.87886569358349</v>
      </c>
      <c r="N12" s="205">
        <f>N8*('Jet Fuel'!N12/'Jet Fuel'!N8)</f>
        <v>197.87246652850192</v>
      </c>
      <c r="O12" s="205">
        <f>O8*('Jet Fuel'!O12/'Jet Fuel'!O8)</f>
        <v>229.54633896868731</v>
      </c>
      <c r="P12" s="205">
        <f>P8*('Jet Fuel'!P12/'Jet Fuel'!P8)</f>
        <v>286.14333375521772</v>
      </c>
      <c r="Q12" s="205">
        <f>Q8*('Jet Fuel'!Q12/'Jet Fuel'!Q8)</f>
        <v>290.22991859209094</v>
      </c>
      <c r="R12" s="205">
        <f>R8*('Jet Fuel'!R12/'Jet Fuel'!R8)</f>
        <v>314.38557006366545</v>
      </c>
      <c r="S12" s="205">
        <f>S8*('Jet Fuel'!S12/'Jet Fuel'!S8)</f>
        <v>326.82357527298592</v>
      </c>
      <c r="T12" s="205">
        <f>T8*('Jet Fuel'!T12/'Jet Fuel'!T8)</f>
        <v>256.57999727662229</v>
      </c>
      <c r="U12" s="205">
        <f>U8*('Jet Fuel'!U12/'Jet Fuel'!U8)</f>
        <v>272.87694980661985</v>
      </c>
      <c r="V12" s="205">
        <f>V8*('Jet Fuel'!V12/'Jet Fuel'!V8)</f>
        <v>303.53584963441983</v>
      </c>
      <c r="W12" s="205">
        <f>W8*('Jet Fuel'!W12/'Jet Fuel'!W8)</f>
        <v>307.91341160775664</v>
      </c>
      <c r="X12" s="205">
        <f>X8*('Jet Fuel'!X12/'Jet Fuel'!X8)</f>
        <v>309.71382140070318</v>
      </c>
      <c r="Y12" s="205">
        <f>Y8*('Jet Fuel'!Y12/'Jet Fuel'!Y8)</f>
        <v>319.92840815166142</v>
      </c>
      <c r="Z12" s="205">
        <f>Z8*('Jet Fuel'!Z12/'Jet Fuel'!Z8)</f>
        <v>327.72275920587327</v>
      </c>
      <c r="AA12" s="205">
        <f>AA8*('Jet Fuel'!AA12/'Jet Fuel'!AA8)</f>
        <v>333.69091554563977</v>
      </c>
      <c r="AB12" s="205">
        <f>AB8*('Jet Fuel'!AB12/'Jet Fuel'!AB8)</f>
        <v>334.90573541578334</v>
      </c>
      <c r="AC12" s="205">
        <f>AC8*('Jet Fuel'!AC12/'Jet Fuel'!AC8)</f>
        <v>346.89307683624929</v>
      </c>
      <c r="AD12" s="205">
        <f>AD8*('Jet Fuel'!AD12/'Jet Fuel'!AD8)</f>
        <v>367.66681719582488</v>
      </c>
      <c r="AE12" s="205">
        <f>AE8*('Jet Fuel'!AE12/'Jet Fuel'!AE8)</f>
        <v>383.4675079592995</v>
      </c>
      <c r="AF12" s="205">
        <f>AF8*('Jet Fuel'!AF12/'Jet Fuel'!AF8)</f>
        <v>380.47988546943327</v>
      </c>
      <c r="AG12" s="205">
        <f>AG8*('Jet Fuel'!AG12/'Jet Fuel'!AG8)</f>
        <v>376.00050430371789</v>
      </c>
      <c r="AH12" s="205">
        <f>AH8*('Jet Fuel'!AH12/'Jet Fuel'!AH8)</f>
        <v>385.64414270869304</v>
      </c>
    </row>
    <row r="13" spans="1:34" x14ac:dyDescent="0.2">
      <c r="A13" s="195"/>
      <c r="B13" s="207"/>
      <c r="C13" s="201"/>
      <c r="D13" s="201"/>
      <c r="E13" s="201"/>
      <c r="F13" s="201"/>
      <c r="G13" s="201"/>
      <c r="H13" s="201"/>
      <c r="I13" s="201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</row>
    <row r="14" spans="1:34" x14ac:dyDescent="0.2">
      <c r="A14" s="195" t="s">
        <v>221</v>
      </c>
      <c r="B14" s="209"/>
      <c r="C14" s="210">
        <f>C6/B6-1</f>
        <v>0.32848223750641381</v>
      </c>
      <c r="D14" s="210">
        <f t="shared" ref="D14:AH14" si="10">D6/C6-1</f>
        <v>0.89747404168975842</v>
      </c>
      <c r="E14" s="210">
        <f t="shared" si="10"/>
        <v>0.10160231351495397</v>
      </c>
      <c r="F14" s="210">
        <f t="shared" si="10"/>
        <v>0.55480070117477664</v>
      </c>
      <c r="G14" s="210">
        <f t="shared" si="10"/>
        <v>0.77573314640300839</v>
      </c>
      <c r="H14" s="210">
        <f t="shared" si="10"/>
        <v>1.7617439367070951</v>
      </c>
      <c r="I14" s="210">
        <f t="shared" si="10"/>
        <v>2.6049816711589804</v>
      </c>
      <c r="J14" s="210">
        <f t="shared" si="10"/>
        <v>2.3027729294810406</v>
      </c>
      <c r="K14" s="210">
        <f t="shared" si="10"/>
        <v>1.8749575899139406</v>
      </c>
      <c r="L14" s="210">
        <f t="shared" si="10"/>
        <v>0.31026056810183333</v>
      </c>
      <c r="M14" s="210">
        <f t="shared" si="10"/>
        <v>0.30959201164415062</v>
      </c>
      <c r="N14" s="210">
        <f t="shared" si="10"/>
        <v>0.35161474332835763</v>
      </c>
      <c r="O14" s="210">
        <f t="shared" si="10"/>
        <v>0.16769852809224473</v>
      </c>
      <c r="P14" s="210">
        <f t="shared" si="10"/>
        <v>0.26499880241510709</v>
      </c>
      <c r="Q14" s="210">
        <f t="shared" si="10"/>
        <v>4.4408167005800303E-2</v>
      </c>
      <c r="R14" s="210">
        <f t="shared" si="10"/>
        <v>8.6947581065718538E-2</v>
      </c>
      <c r="S14" s="210">
        <f t="shared" si="10"/>
        <v>4.4693302234748655E-2</v>
      </c>
      <c r="T14" s="210">
        <f t="shared" si="10"/>
        <v>-0.23062412713471647</v>
      </c>
      <c r="U14" s="210">
        <f t="shared" si="10"/>
        <v>9.1622684910939833E-2</v>
      </c>
      <c r="V14" s="210">
        <f t="shared" si="10"/>
        <v>0.12601808149956883</v>
      </c>
      <c r="W14" s="210">
        <f t="shared" si="10"/>
        <v>-3.5686252878663893E-4</v>
      </c>
      <c r="X14" s="210">
        <f t="shared" si="10"/>
        <v>-5.4972255818902527E-3</v>
      </c>
      <c r="Y14" s="210">
        <f t="shared" si="10"/>
        <v>4.3482474105639435E-2</v>
      </c>
      <c r="Z14" s="210">
        <f t="shared" si="10"/>
        <v>3.2418058336251443E-2</v>
      </c>
      <c r="AA14" s="210">
        <f t="shared" si="10"/>
        <v>2.2981584571077462E-2</v>
      </c>
      <c r="AB14" s="210">
        <f t="shared" si="10"/>
        <v>1.142090246018701E-2</v>
      </c>
      <c r="AC14" s="210">
        <f t="shared" si="10"/>
        <v>2.9710857210539343E-2</v>
      </c>
      <c r="AD14" s="210">
        <f t="shared" si="10"/>
        <v>5.4753861528320513E-2</v>
      </c>
      <c r="AE14" s="210">
        <f t="shared" si="10"/>
        <v>3.6108821180003803E-2</v>
      </c>
      <c r="AF14" s="210">
        <f t="shared" si="10"/>
        <v>1.1433602091364126E-3</v>
      </c>
      <c r="AG14" s="210">
        <f t="shared" si="10"/>
        <v>-1.6717508395284186E-3</v>
      </c>
      <c r="AH14" s="210">
        <f t="shared" si="10"/>
        <v>2.3508593095945551E-2</v>
      </c>
    </row>
    <row r="15" spans="1:34" ht="13.5" thickBot="1" x14ac:dyDescent="0.25">
      <c r="A15" s="195" t="s">
        <v>222</v>
      </c>
      <c r="B15" s="207"/>
      <c r="C15" s="210">
        <f>C9/B9-1</f>
        <v>0.64762927571664219</v>
      </c>
      <c r="D15" s="210">
        <f t="shared" ref="D15:AH15" si="11">D9/C9-1</f>
        <v>0.77525901960868415</v>
      </c>
      <c r="E15" s="210">
        <f t="shared" si="11"/>
        <v>9.0464879687633948E-2</v>
      </c>
      <c r="F15" s="210">
        <f t="shared" si="11"/>
        <v>2.0342828490059435</v>
      </c>
      <c r="G15" s="210">
        <f t="shared" si="11"/>
        <v>0.70834704468604315</v>
      </c>
      <c r="H15" s="210">
        <f t="shared" si="11"/>
        <v>3.2320364364493752</v>
      </c>
      <c r="I15" s="210">
        <f t="shared" si="11"/>
        <v>0.1619751607061144</v>
      </c>
      <c r="J15" s="210">
        <f t="shared" si="11"/>
        <v>0.48017209255078219</v>
      </c>
      <c r="K15" s="210">
        <f t="shared" si="11"/>
        <v>3.9840111544273089</v>
      </c>
      <c r="L15" s="210">
        <f t="shared" si="11"/>
        <v>0.44390742891830226</v>
      </c>
      <c r="M15" s="210">
        <f t="shared" si="11"/>
        <v>0.2948382113571828</v>
      </c>
      <c r="N15" s="210">
        <f t="shared" si="11"/>
        <v>0.39215635900469592</v>
      </c>
      <c r="O15" s="210">
        <f t="shared" si="11"/>
        <v>0.22704693414946786</v>
      </c>
      <c r="P15" s="210">
        <f t="shared" si="11"/>
        <v>0.30652669974969382</v>
      </c>
      <c r="Q15" s="210">
        <f t="shared" si="11"/>
        <v>6.6534758063603761E-2</v>
      </c>
      <c r="R15" s="210">
        <f t="shared" si="11"/>
        <v>9.6891254651609859E-2</v>
      </c>
      <c r="S15" s="210">
        <f t="shared" si="11"/>
        <v>5.4468276452631859E-2</v>
      </c>
      <c r="T15" s="210">
        <f t="shared" si="11"/>
        <v>-0.2432872961401058</v>
      </c>
      <c r="U15" s="210">
        <f t="shared" si="11"/>
        <v>8.0502543314478814E-2</v>
      </c>
      <c r="V15" s="210">
        <f t="shared" si="11"/>
        <v>0.14171449843311867</v>
      </c>
      <c r="W15" s="210">
        <f t="shared" si="11"/>
        <v>2.597120928619745E-3</v>
      </c>
      <c r="X15" s="210">
        <f t="shared" si="11"/>
        <v>-7.5937506093756157E-3</v>
      </c>
      <c r="Y15" s="210">
        <f t="shared" si="11"/>
        <v>4.8367022490172662E-2</v>
      </c>
      <c r="Z15" s="210">
        <f t="shared" si="11"/>
        <v>3.8256089789929115E-2</v>
      </c>
      <c r="AA15" s="210">
        <f t="shared" si="11"/>
        <v>3.1135514716208901E-2</v>
      </c>
      <c r="AB15" s="210">
        <f t="shared" si="11"/>
        <v>1.4405349423259883E-2</v>
      </c>
      <c r="AC15" s="210">
        <f t="shared" si="11"/>
        <v>3.160089314232617E-2</v>
      </c>
      <c r="AD15" s="210">
        <f t="shared" si="11"/>
        <v>5.9680256480524108E-2</v>
      </c>
      <c r="AE15" s="210">
        <f t="shared" si="11"/>
        <v>4.1362175633919307E-2</v>
      </c>
      <c r="AF15" s="210">
        <f t="shared" si="11"/>
        <v>5.0254252239105845E-3</v>
      </c>
      <c r="AG15" s="210">
        <f t="shared" si="11"/>
        <v>-1.051513361601919E-3</v>
      </c>
      <c r="AH15" s="210">
        <f t="shared" si="11"/>
        <v>2.4729418889225752E-2</v>
      </c>
    </row>
    <row r="16" spans="1:34" ht="13.5" thickTop="1" x14ac:dyDescent="0.2">
      <c r="A16" s="211"/>
      <c r="B16" s="211"/>
      <c r="C16" s="211"/>
      <c r="D16" s="211"/>
      <c r="E16" s="211"/>
      <c r="F16" s="211"/>
      <c r="G16" s="211"/>
      <c r="H16" s="211"/>
      <c r="I16" s="211"/>
      <c r="J16" s="211"/>
      <c r="K16" s="211"/>
      <c r="L16" s="211"/>
      <c r="M16" s="211"/>
      <c r="N16" s="211"/>
      <c r="O16" s="211"/>
      <c r="P16" s="211"/>
      <c r="Q16" s="211"/>
      <c r="R16" s="211"/>
      <c r="S16" s="211"/>
      <c r="T16" s="211"/>
      <c r="U16" s="211"/>
      <c r="V16" s="211"/>
      <c r="W16" s="211"/>
      <c r="X16" s="211"/>
      <c r="Y16" s="211"/>
      <c r="Z16" s="211"/>
      <c r="AA16" s="211"/>
      <c r="AB16" s="211"/>
      <c r="AC16" s="211"/>
      <c r="AD16" s="211"/>
      <c r="AE16" s="211"/>
      <c r="AF16" s="211"/>
      <c r="AG16" s="211"/>
      <c r="AH16" s="211"/>
    </row>
    <row r="17" spans="1:34" x14ac:dyDescent="0.2">
      <c r="A17" s="195" t="s">
        <v>223</v>
      </c>
      <c r="B17" s="212">
        <f>B9/'Jet Fuel'!B9</f>
        <v>5.9458196547282389E-5</v>
      </c>
      <c r="C17" s="212">
        <f>C9/'Jet Fuel'!C9</f>
        <v>9.592150927153192E-5</v>
      </c>
      <c r="D17" s="212">
        <f>D9/'Jet Fuel'!D9</f>
        <v>2.7503981096214106E-4</v>
      </c>
      <c r="E17" s="213">
        <f>E9/'Jet Fuel'!E9</f>
        <v>2.3631938584878117E-4</v>
      </c>
      <c r="F17" s="213">
        <f>F9/'Jet Fuel'!F9</f>
        <v>6.2978907710992203E-4</v>
      </c>
      <c r="G17" s="213">
        <f>G9/'Jet Fuel'!G9</f>
        <v>1.0150136280167364E-3</v>
      </c>
      <c r="H17" s="213">
        <f>H9/'Jet Fuel'!H9</f>
        <v>4.1762988752085863E-3</v>
      </c>
      <c r="I17" s="213">
        <f>I9/'Jet Fuel'!I9</f>
        <v>4.7557160468737454E-3</v>
      </c>
      <c r="J17" s="213">
        <f>J9/'Jet Fuel'!J9</f>
        <v>6.9532741799814089E-3</v>
      </c>
      <c r="K17" s="213">
        <f>K9/'Jet Fuel'!K9</f>
        <v>3.3975682424332097E-2</v>
      </c>
      <c r="L17" s="213">
        <f>L9/'Jet Fuel'!L9</f>
        <v>4.7861210004938655E-2</v>
      </c>
      <c r="M17" s="213">
        <f>M9/'Jet Fuel'!M9</f>
        <v>6.0460998591400271E-2</v>
      </c>
      <c r="N17" s="213">
        <f>N9/'Jet Fuel'!N9</f>
        <v>8.2118208449553018E-2</v>
      </c>
      <c r="O17" s="213">
        <f>O9/'Jet Fuel'!O9</f>
        <v>9.8305264308166787E-2</v>
      </c>
      <c r="P17" s="213">
        <f>P9/'Jet Fuel'!P9</f>
        <v>0.12530580736055663</v>
      </c>
      <c r="Q17" s="213">
        <f>Q9/'Jet Fuel'!Q9</f>
        <v>0.13038341359732275</v>
      </c>
      <c r="R17" s="213">
        <f>R9/'Jet Fuel'!R9</f>
        <v>0.13952822061124598</v>
      </c>
      <c r="S17" s="213">
        <f>S9/'Jet Fuel'!S9</f>
        <v>0.14353959249213966</v>
      </c>
      <c r="T17" s="213">
        <f>T9/'Jet Fuel'!T9</f>
        <v>0.10596900794699939</v>
      </c>
      <c r="U17" s="213">
        <f>U9/'Jet Fuel'!U9</f>
        <v>0.11170710497487323</v>
      </c>
      <c r="V17" s="213">
        <f>V9/'Jet Fuel'!V9</f>
        <v>0.12442694763688111</v>
      </c>
      <c r="W17" s="213">
        <f>W9/'Jet Fuel'!W9</f>
        <v>0.12170741411382748</v>
      </c>
      <c r="X17" s="213">
        <f>X9/'Jet Fuel'!X9</f>
        <v>0.11783726669632691</v>
      </c>
      <c r="Y17" s="213">
        <f>Y9/'Jet Fuel'!Y9</f>
        <v>0.12052361407298402</v>
      </c>
      <c r="Z17" s="213">
        <f>Z9/'Jet Fuel'!Z9</f>
        <v>0.12208231831684575</v>
      </c>
      <c r="AA17" s="213">
        <f>AA9/'Jet Fuel'!AA9</f>
        <v>0.12281308696135496</v>
      </c>
      <c r="AB17" s="213">
        <f>AB9/'Jet Fuel'!AB9</f>
        <v>0.12154366087100731</v>
      </c>
      <c r="AC17" s="213">
        <f>AC9/'Jet Fuel'!AC9</f>
        <v>0.12232638937592112</v>
      </c>
      <c r="AD17" s="213">
        <f>AD9/'Jet Fuel'!AD9</f>
        <v>0.12646522894459764</v>
      </c>
      <c r="AE17" s="213">
        <f>AE9/'Jet Fuel'!AE9</f>
        <v>0.12848400581052477</v>
      </c>
      <c r="AF17" s="213">
        <f>AF9/'Jet Fuel'!AF9</f>
        <v>0.12598018787726248</v>
      </c>
      <c r="AG17" s="213">
        <f>AG9/'Jet Fuel'!AG9</f>
        <v>0.12277826148918286</v>
      </c>
      <c r="AH17" s="213">
        <f>AH9/'Jet Fuel'!AH9</f>
        <v>0.12274585029077049</v>
      </c>
    </row>
    <row r="18" spans="1:34" x14ac:dyDescent="0.2">
      <c r="A18" s="195" t="s">
        <v>224</v>
      </c>
      <c r="B18" s="195"/>
      <c r="C18" s="195"/>
      <c r="D18" s="214">
        <f>'[7]NAm Capacity Data'!B$29</f>
        <v>142.1</v>
      </c>
      <c r="E18" s="214">
        <f>'[7]NAm Capacity Data'!C$29</f>
        <v>565.6</v>
      </c>
      <c r="F18" s="214">
        <f>'[7]NAm Capacity Data'!D$29</f>
        <v>965.601</v>
      </c>
      <c r="G18" s="214">
        <f>'[7]NAm Capacity Data'!E$29</f>
        <v>965.601</v>
      </c>
      <c r="H18" s="214">
        <f>'[7]NAm Capacity Data'!F$29</f>
        <v>1848.3172582652869</v>
      </c>
      <c r="I18" s="214">
        <f>'[7]NAm Capacity Data'!G$29</f>
        <v>2492.8350707652871</v>
      </c>
      <c r="J18" s="214">
        <f>'[7]NAm Capacity Data'!H$29</f>
        <v>3418.6350707652873</v>
      </c>
      <c r="K18" s="214">
        <f>'[7]NAm Capacity Data'!I$29</f>
        <v>5844.6350707652873</v>
      </c>
      <c r="L18" s="214">
        <f>'[7]NAm Capacity Data'!J$29</f>
        <v>6270.6350707652873</v>
      </c>
      <c r="M18" s="214">
        <f>'[7]NAm Capacity Data'!K$29</f>
        <v>6520.6350707652873</v>
      </c>
      <c r="N18" s="214">
        <f>'[7]NAm Capacity Data'!L$29</f>
        <v>6703.1350707652873</v>
      </c>
      <c r="O18" s="214">
        <f>'[7]NAm Capacity Data'!M$29</f>
        <v>6771.1750707652873</v>
      </c>
      <c r="P18" s="214">
        <f>'[7]NAm Capacity Data'!N$29</f>
        <v>6771.1750707652873</v>
      </c>
      <c r="Q18" s="214">
        <f>'[7]NAm Capacity Data'!O$29</f>
        <v>6771.1750707652873</v>
      </c>
      <c r="R18" s="214">
        <f>'[7]NAm Capacity Data'!P$29</f>
        <v>6771.1750707652873</v>
      </c>
      <c r="S18" s="214">
        <f>'[7]NAm Capacity Data'!Q$29</f>
        <v>6771.1750707652873</v>
      </c>
      <c r="T18" s="214">
        <f>'[7]NAm Capacity Data'!R$29</f>
        <v>6771.1750707652873</v>
      </c>
      <c r="U18" s="214">
        <f>'[7]NAm Capacity Data'!S$29</f>
        <v>6771.1750707652873</v>
      </c>
      <c r="V18" s="214">
        <f>'[7]NAm Capacity Data'!T$29</f>
        <v>6771.1750707652873</v>
      </c>
      <c r="W18" s="214">
        <f>'[7]NAm Capacity Data'!U$29</f>
        <v>6771.1750707652873</v>
      </c>
      <c r="X18" s="214">
        <f>'[7]NAm Capacity Data'!V$29</f>
        <v>6771.1750707652873</v>
      </c>
      <c r="Y18" s="214">
        <f>'[7]NAm Capacity Data'!W$29</f>
        <v>6771.1750707652873</v>
      </c>
      <c r="Z18" s="214">
        <f>'[7]NAm Capacity Data'!X$29</f>
        <v>6771.1750707652873</v>
      </c>
      <c r="AA18" s="214">
        <f>'[7]NAm Capacity Data'!Y$29</f>
        <v>6771.1750707652873</v>
      </c>
      <c r="AB18" s="214">
        <f>'[7]NAm Capacity Data'!Z$29</f>
        <v>6771.1750707652873</v>
      </c>
      <c r="AC18" s="214">
        <f>'[7]NAm Capacity Data'!AA$29</f>
        <v>6771.1750707652873</v>
      </c>
      <c r="AD18" s="214">
        <f>'[7]NAm Capacity Data'!AB$29</f>
        <v>6771.1750707652873</v>
      </c>
      <c r="AE18" s="214">
        <f>'[7]NAm Capacity Data'!AC$29</f>
        <v>6771.1750707652873</v>
      </c>
      <c r="AF18" s="214">
        <f>'[7]NAm Capacity Data'!AD$29</f>
        <v>6771.1750707652873</v>
      </c>
      <c r="AG18" s="214">
        <f>'[7]NAm Capacity Data'!AE$29</f>
        <v>6771.1750707652873</v>
      </c>
      <c r="AH18" s="214">
        <f>'[7]NAm Capacity Data'!AF$29</f>
        <v>6771.1750707652873</v>
      </c>
    </row>
    <row r="19" spans="1:34" x14ac:dyDescent="0.2">
      <c r="A19" s="195" t="s">
        <v>201</v>
      </c>
      <c r="B19" s="195"/>
      <c r="C19" s="195"/>
      <c r="D19" s="215">
        <f>D6/D18</f>
        <v>3.2430675580577065E-2</v>
      </c>
      <c r="E19" s="215">
        <f t="shared" ref="E19:R19" si="12">E6/E18</f>
        <v>8.9756417963224901E-3</v>
      </c>
      <c r="F19" s="215">
        <f t="shared" si="12"/>
        <v>8.1743256272518352E-3</v>
      </c>
      <c r="G19" s="215">
        <f t="shared" si="12"/>
        <v>1.4515420965802646E-2</v>
      </c>
      <c r="H19" s="215">
        <f t="shared" si="12"/>
        <v>2.094277528757682E-2</v>
      </c>
      <c r="I19" s="215">
        <f t="shared" si="12"/>
        <v>5.5978372340940559E-2</v>
      </c>
      <c r="J19" s="215">
        <f t="shared" si="12"/>
        <v>0.13481548710170371</v>
      </c>
      <c r="K19" s="215">
        <f t="shared" si="12"/>
        <v>0.22670785696882839</v>
      </c>
      <c r="L19" s="215">
        <f t="shared" si="12"/>
        <v>0.27686631188839977</v>
      </c>
      <c r="M19" s="215">
        <f t="shared" si="12"/>
        <v>0.34868058376888317</v>
      </c>
      <c r="N19" s="215">
        <f t="shared" si="12"/>
        <v>0.45845066770851173</v>
      </c>
      <c r="O19" s="215">
        <f t="shared" si="12"/>
        <v>0.52995289664945444</v>
      </c>
      <c r="P19" s="215">
        <f t="shared" si="12"/>
        <v>0.67038977959797685</v>
      </c>
      <c r="Q19" s="215">
        <f t="shared" si="12"/>
        <v>0.70016056088934542</v>
      </c>
      <c r="R19" s="215">
        <f t="shared" si="12"/>
        <v>0.76103782801629083</v>
      </c>
      <c r="S19" s="215">
        <f>S6/S18</f>
        <v>0.79505112167589953</v>
      </c>
      <c r="T19" s="215">
        <f t="shared" ref="T19:AH19" si="13">T6/T18</f>
        <v>0.61169315071191788</v>
      </c>
      <c r="U19" s="215">
        <f t="shared" si="13"/>
        <v>0.66773811952177597</v>
      </c>
      <c r="V19" s="215">
        <f t="shared" si="13"/>
        <v>0.75188519628803996</v>
      </c>
      <c r="W19" s="215">
        <f t="shared" si="13"/>
        <v>0.75161687663553534</v>
      </c>
      <c r="X19" s="215">
        <f t="shared" si="13"/>
        <v>0.74748506911351398</v>
      </c>
      <c r="Y19" s="215">
        <f t="shared" si="13"/>
        <v>0.77998756927559454</v>
      </c>
      <c r="Z19" s="215">
        <f t="shared" si="13"/>
        <v>0.80527325179792175</v>
      </c>
      <c r="AA19" s="215">
        <f t="shared" si="13"/>
        <v>0.82377970713694237</v>
      </c>
      <c r="AB19" s="215">
        <f t="shared" si="13"/>
        <v>0.83318801482083482</v>
      </c>
      <c r="AC19" s="215">
        <f t="shared" si="13"/>
        <v>0.85794274495870937</v>
      </c>
      <c r="AD19" s="215">
        <f t="shared" si="13"/>
        <v>0.90491842321540583</v>
      </c>
      <c r="AE19" s="215">
        <f t="shared" si="13"/>
        <v>0.93759396074178181</v>
      </c>
      <c r="AF19" s="215">
        <f t="shared" si="13"/>
        <v>0.93866596836882055</v>
      </c>
      <c r="AG19" s="215">
        <f t="shared" si="13"/>
        <v>0.93709675274816318</v>
      </c>
      <c r="AH19" s="215">
        <f t="shared" si="13"/>
        <v>0.9591265790000516</v>
      </c>
    </row>
    <row r="20" spans="1:34" x14ac:dyDescent="0.2">
      <c r="A20" s="195"/>
      <c r="B20" s="195"/>
      <c r="C20" s="195"/>
      <c r="D20" s="195"/>
      <c r="E20" s="214"/>
      <c r="F20" s="195"/>
      <c r="G20" s="195"/>
      <c r="H20" s="195"/>
      <c r="I20" s="195"/>
      <c r="J20" s="195"/>
      <c r="K20" s="195"/>
      <c r="L20" s="195"/>
      <c r="M20" s="195"/>
      <c r="N20" s="195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  <c r="AA20" s="195"/>
      <c r="AB20" s="195"/>
      <c r="AC20" s="195"/>
      <c r="AD20" s="195"/>
      <c r="AE20" s="195"/>
      <c r="AF20" s="195"/>
      <c r="AG20" s="195"/>
      <c r="AH20" s="195"/>
    </row>
    <row r="21" spans="1:34" ht="13.5" thickBot="1" x14ac:dyDescent="0.25">
      <c r="A21" s="195" t="s">
        <v>225</v>
      </c>
      <c r="B21" s="195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  <c r="AA21" s="195"/>
      <c r="AB21" s="195"/>
      <c r="AC21" s="195"/>
      <c r="AD21" s="195"/>
      <c r="AE21" s="195"/>
      <c r="AF21" s="195"/>
      <c r="AG21" s="195"/>
      <c r="AH21" s="195"/>
    </row>
    <row r="22" spans="1:34" ht="13.5" thickBot="1" x14ac:dyDescent="0.25">
      <c r="A22" s="192" t="s">
        <v>215</v>
      </c>
      <c r="B22" s="216">
        <f t="shared" ref="B22:AH22" si="14">B4</f>
        <v>2018</v>
      </c>
      <c r="C22" s="216">
        <f t="shared" si="14"/>
        <v>2019</v>
      </c>
      <c r="D22" s="216">
        <f t="shared" si="14"/>
        <v>2020</v>
      </c>
      <c r="E22" s="216">
        <f t="shared" si="14"/>
        <v>2021</v>
      </c>
      <c r="F22" s="216">
        <f t="shared" si="14"/>
        <v>2022</v>
      </c>
      <c r="G22" s="216">
        <f t="shared" si="14"/>
        <v>2023</v>
      </c>
      <c r="H22" s="216">
        <f t="shared" si="14"/>
        <v>2024</v>
      </c>
      <c r="I22" s="216">
        <f t="shared" si="14"/>
        <v>2025</v>
      </c>
      <c r="J22" s="216">
        <f t="shared" si="14"/>
        <v>2026</v>
      </c>
      <c r="K22" s="216">
        <f t="shared" si="14"/>
        <v>2027</v>
      </c>
      <c r="L22" s="216">
        <f t="shared" si="14"/>
        <v>2028</v>
      </c>
      <c r="M22" s="216">
        <f t="shared" si="14"/>
        <v>2029</v>
      </c>
      <c r="N22" s="216">
        <f t="shared" si="14"/>
        <v>2030</v>
      </c>
      <c r="O22" s="216">
        <f t="shared" si="14"/>
        <v>2031</v>
      </c>
      <c r="P22" s="216">
        <f t="shared" si="14"/>
        <v>2032</v>
      </c>
      <c r="Q22" s="216">
        <f t="shared" si="14"/>
        <v>2033</v>
      </c>
      <c r="R22" s="216">
        <f t="shared" si="14"/>
        <v>2034</v>
      </c>
      <c r="S22" s="216">
        <f t="shared" si="14"/>
        <v>2035</v>
      </c>
      <c r="T22" s="216">
        <f t="shared" si="14"/>
        <v>2036</v>
      </c>
      <c r="U22" s="216">
        <f t="shared" si="14"/>
        <v>2037</v>
      </c>
      <c r="V22" s="216">
        <f t="shared" si="14"/>
        <v>2038</v>
      </c>
      <c r="W22" s="216">
        <f t="shared" si="14"/>
        <v>2039</v>
      </c>
      <c r="X22" s="216">
        <f t="shared" si="14"/>
        <v>2040</v>
      </c>
      <c r="Y22" s="216">
        <f t="shared" si="14"/>
        <v>2041</v>
      </c>
      <c r="Z22" s="216">
        <f t="shared" si="14"/>
        <v>2042</v>
      </c>
      <c r="AA22" s="216">
        <f t="shared" si="14"/>
        <v>2043</v>
      </c>
      <c r="AB22" s="216">
        <f t="shared" si="14"/>
        <v>2044</v>
      </c>
      <c r="AC22" s="216">
        <f t="shared" si="14"/>
        <v>2045</v>
      </c>
      <c r="AD22" s="216">
        <f t="shared" si="14"/>
        <v>2046</v>
      </c>
      <c r="AE22" s="216">
        <f t="shared" si="14"/>
        <v>2047</v>
      </c>
      <c r="AF22" s="216">
        <f t="shared" si="14"/>
        <v>2048</v>
      </c>
      <c r="AG22" s="216">
        <f t="shared" si="14"/>
        <v>2049</v>
      </c>
      <c r="AH22" s="216">
        <f t="shared" si="14"/>
        <v>2050</v>
      </c>
    </row>
    <row r="23" spans="1:34" x14ac:dyDescent="0.2">
      <c r="A23" s="188" t="s">
        <v>162</v>
      </c>
      <c r="B23" s="217">
        <f>'[3]Monthly Gallon Summary'!J196/1000000</f>
        <v>0.139714</v>
      </c>
      <c r="C23" s="217">
        <f>'[3]Monthly Gallon Summary'!K196/1000000</f>
        <v>0.19463</v>
      </c>
      <c r="D23" s="217">
        <f>'[3]Monthly Gallon Summary'!L196/1000000</f>
        <v>4.1590000000000002E-2</v>
      </c>
      <c r="E23" s="217">
        <f>'[3]Monthly Gallon Summary'!M196/1000000</f>
        <v>0.289825</v>
      </c>
      <c r="F23" s="217">
        <f>'[3]Monthly Gallon Summary'!N196/1000000</f>
        <v>0.40211999999999998</v>
      </c>
      <c r="G23" s="217">
        <f>'[3]Monthly Gallon Summary'!O196/1000000</f>
        <v>0.100937</v>
      </c>
      <c r="H23" s="217">
        <f>'[3]Monthly Gallon Summary'!P196/1000000</f>
        <v>0.833897</v>
      </c>
      <c r="I23" s="217">
        <f>'[3]Monthly Gallon Summary'!Q196/1000000</f>
        <v>8.4753439999999998</v>
      </c>
      <c r="J23" s="218">
        <f>'[3]Monthly Gallon Summary'!R196/1000000</f>
        <v>23.89312617964994</v>
      </c>
      <c r="K23" s="218">
        <f>'[3]Monthly Gallon Summary'!S196/1000000</f>
        <v>68.451166585377194</v>
      </c>
      <c r="L23" s="218">
        <f>'[3]Monthly Gallon Summary'!T196/1000000</f>
        <v>89.387901643266886</v>
      </c>
      <c r="M23" s="218">
        <f>'[3]Monthly Gallon Summary'!U196/1000000</f>
        <v>117.38533087423706</v>
      </c>
      <c r="N23" s="218">
        <f>'[3]Monthly Gallon Summary'!V196/1000000</f>
        <v>159.26172544323626</v>
      </c>
      <c r="O23" s="218">
        <f>'[3]Monthly Gallon Summary'!W196/1000000</f>
        <v>185.46658281507732</v>
      </c>
      <c r="P23" s="218">
        <f>'[3]Monthly Gallon Summary'!X196/1000000</f>
        <v>234.58764848402637</v>
      </c>
      <c r="Q23" s="218">
        <f>'[3]Monthly Gallon Summary'!Y196/1000000</f>
        <v>245.01296190866026</v>
      </c>
      <c r="R23" s="218">
        <f>'[3]Monthly Gallon Summary'!Z196/1000000</f>
        <v>266.4113514182248</v>
      </c>
      <c r="S23" s="218">
        <f>'[3]Monthly Gallon Summary'!AA196/1000000</f>
        <v>278.35862171511189</v>
      </c>
      <c r="T23" s="218">
        <f>'[3]Monthly Gallon Summary'!AB196/1000000</f>
        <v>214.09789414772646</v>
      </c>
      <c r="U23" s="218">
        <f>'[3]Monthly Gallon Summary'!AC196/1000000</f>
        <v>233.71817831806746</v>
      </c>
      <c r="V23" s="218">
        <f>'[3]Monthly Gallon Summary'!AD196/1000000</f>
        <v>263.18336704348184</v>
      </c>
      <c r="W23" s="218">
        <f>'[3]Monthly Gallon Summary'!AE196/1000000</f>
        <v>263.10309937063352</v>
      </c>
      <c r="X23" s="218">
        <f>'[3]Monthly Gallon Summary'!AF196/1000000</f>
        <v>261.65457854580529</v>
      </c>
      <c r="Y23" s="218">
        <f>'[3]Monthly Gallon Summary'!AG196/1000000</f>
        <v>273.020100644651</v>
      </c>
      <c r="Z23" s="218">
        <f>'[3]Monthly Gallon Summary'!AH196/1000000</f>
        <v>281.87390502968736</v>
      </c>
      <c r="AA23" s="218">
        <f>'[3]Monthly Gallon Summary'!AI196/1000000</f>
        <v>288.35473498635713</v>
      </c>
      <c r="AB23" s="218">
        <f>'[3]Monthly Gallon Summary'!AJ196/1000000</f>
        <v>291.64918110102968</v>
      </c>
      <c r="AC23" s="218">
        <f>'[3]Monthly Gallon Summary'!AK196/1000000</f>
        <v>300.31280489545679</v>
      </c>
      <c r="AD23" s="218">
        <f>'[3]Monthly Gallon Summary'!AL196/1000000</f>
        <v>316.75472474837255</v>
      </c>
      <c r="AE23" s="218">
        <f>'[3]Monthly Gallon Summary'!AM196/1000000</f>
        <v>328.19330339483992</v>
      </c>
      <c r="AF23" s="218">
        <f>'[3]Monthly Gallon Summary'!AN196/1000000</f>
        <v>328.56901011343734</v>
      </c>
      <c r="AG23" s="218">
        <f>'[3]Monthly Gallon Summary'!AO196/1000000</f>
        <v>328.01965905087326</v>
      </c>
      <c r="AH23" s="218">
        <f>'[3]Monthly Gallon Summary'!AP196/1000000</f>
        <v>335.73061499024584</v>
      </c>
    </row>
    <row r="24" spans="1:34" x14ac:dyDescent="0.2">
      <c r="A24" s="188" t="s">
        <v>163</v>
      </c>
      <c r="B24" s="217">
        <f>'[3]Monthly Gallon Summary'!J197/1000000</f>
        <v>0.23799600000000001</v>
      </c>
      <c r="C24" s="217">
        <f>'[3]Monthly Gallon Summary'!K197/1000000</f>
        <v>0.187609</v>
      </c>
      <c r="D24" s="217">
        <f>'[3]Monthly Gallon Summary'!L197/1000000</f>
        <v>0</v>
      </c>
      <c r="E24" s="217">
        <f>'[3]Monthly Gallon Summary'!M197/1000000</f>
        <v>0.29472500000000001</v>
      </c>
      <c r="F24" s="217">
        <f>'[3]Monthly Gallon Summary'!N197/1000000</f>
        <v>1.10887</v>
      </c>
      <c r="G24" s="217">
        <f>'[3]Monthly Gallon Summary'!O197/1000000</f>
        <v>1.5785960000000001</v>
      </c>
      <c r="H24" s="217">
        <f>'[3]Monthly Gallon Summary'!P197/1000000</f>
        <v>1.254939</v>
      </c>
      <c r="I24" s="217">
        <f>'[3]Monthly Gallon Summary'!Q197/1000000</f>
        <v>15.728119</v>
      </c>
      <c r="J24" s="218">
        <f>'[3]Monthly Gallon Summary'!R197/1000000</f>
        <v>45.244644572742757</v>
      </c>
      <c r="K24" s="218">
        <f>'[3]Monthly Gallon Summary'!S197/1000000</f>
        <v>129.88577512177199</v>
      </c>
      <c r="L24" s="218">
        <f>'[3]Monthly Gallon Summary'!T197/1000000</f>
        <v>170.15201300065522</v>
      </c>
      <c r="M24" s="218">
        <f>'[3]Monthly Gallon Summary'!U197/1000000</f>
        <v>222.5938807394669</v>
      </c>
      <c r="N24" s="218">
        <f>'[3]Monthly Gallon Summary'!V197/1000000</f>
        <v>302.17166315545495</v>
      </c>
      <c r="O24" s="218">
        <f>'[3]Monthly Gallon Summary'!W197/1000000</f>
        <v>352.03344140870752</v>
      </c>
      <c r="P24" s="218">
        <f>'[3]Monthly Gallon Summary'!X197/1000000</f>
        <v>445.31037295188992</v>
      </c>
      <c r="Q24" s="218">
        <f>'[3]Monthly Gallon Summary'!Y197/1000000</f>
        <v>465.11691486002161</v>
      </c>
      <c r="R24" s="218">
        <f>'[3]Monthly Gallon Summary'!Z197/1000000</f>
        <v>505.60705325518018</v>
      </c>
      <c r="S24" s="218">
        <f>'[3]Monthly Gallon Summary'!AA197/1000000</f>
        <v>528.32834224558314</v>
      </c>
      <c r="T24" s="218">
        <f>'[3]Monthly Gallon Summary'!AB197/1000000</f>
        <v>406.37995600577483</v>
      </c>
      <c r="U24" s="218">
        <f>'[3]Monthly Gallon Summary'!AC197/1000000</f>
        <v>443.62153519489544</v>
      </c>
      <c r="V24" s="218">
        <f>'[3]Monthly Gallon Summary'!AD197/1000000</f>
        <v>499.5413579930032</v>
      </c>
      <c r="W24" s="218">
        <f>'[3]Monthly Gallon Summary'!AE197/1000000</f>
        <v>499.37552798162818</v>
      </c>
      <c r="X24" s="218">
        <f>'[3]Monthly Gallon Summary'!AF197/1000000</f>
        <v>496.6361497181764</v>
      </c>
      <c r="Y24" s="218">
        <f>'[3]Monthly Gallon Summary'!AG197/1000000</f>
        <v>518.21148668275396</v>
      </c>
      <c r="Z24" s="218">
        <f>'[3]Monthly Gallon Summary'!AH197/1000000</f>
        <v>535.01511255638309</v>
      </c>
      <c r="AA24" s="218">
        <f>'[3]Monthly Gallon Summary'!AI197/1000000</f>
        <v>547.31418860587985</v>
      </c>
      <c r="AB24" s="218">
        <f>'[3]Monthly Gallon Summary'!AJ197/1000000</f>
        <v>553.56640873780202</v>
      </c>
      <c r="AC24" s="218">
        <f>'[3]Monthly Gallon Summary'!AK197/1000000</f>
        <v>570.01234769929874</v>
      </c>
      <c r="AD24" s="218">
        <f>'[3]Monthly Gallon Summary'!AL197/1000000</f>
        <v>601.22023923310144</v>
      </c>
      <c r="AE24" s="218">
        <f>'[3]Monthly Gallon Summary'!AM197/1000000</f>
        <v>622.93086645601022</v>
      </c>
      <c r="AF24" s="218">
        <f>'[3]Monthly Gallon Summary'!AN197/1000000</f>
        <v>623.64370416930512</v>
      </c>
      <c r="AG24" s="218">
        <f>'[3]Monthly Gallon Summary'!AO197/1000000</f>
        <v>622.60108824775307</v>
      </c>
      <c r="AH24" s="218">
        <f>'[3]Monthly Gallon Summary'!AP197/1000000</f>
        <v>637.23722408494905</v>
      </c>
    </row>
    <row r="25" spans="1:34" x14ac:dyDescent="0.2">
      <c r="A25" s="188" t="s">
        <v>164</v>
      </c>
      <c r="B25" s="217">
        <f>'[3]Monthly Gallon Summary'!J198/1000000</f>
        <v>0.10378999999999999</v>
      </c>
      <c r="C25" s="217">
        <f>'[3]Monthly Gallon Summary'!K198/1000000</f>
        <v>0.18393999999999999</v>
      </c>
      <c r="D25" s="217">
        <f>'[3]Monthly Gallon Summary'!L198/1000000</f>
        <v>0.28082600000000002</v>
      </c>
      <c r="E25" s="217">
        <f>'[3]Monthly Gallon Summary'!M198/1000000</f>
        <v>0.288906</v>
      </c>
      <c r="F25" s="217">
        <f>'[3]Monthly Gallon Summary'!N198/1000000</f>
        <v>1.026537</v>
      </c>
      <c r="G25" s="217">
        <f>'[3]Monthly Gallon Summary'!O198/1000000</f>
        <v>0.79717000000000005</v>
      </c>
      <c r="H25" s="217">
        <f>'[3]Monthly Gallon Summary'!P198/1000000</f>
        <v>2.1192579999999999</v>
      </c>
      <c r="I25" s="219">
        <f>'[3]Monthly Gallon Summary'!Q198/1000000</f>
        <v>3.8450150000000001</v>
      </c>
      <c r="J25" s="218">
        <f>'[3]Monthly Gallon Summary'!R198/1000000</f>
        <v>18.303595228116713</v>
      </c>
      <c r="K25" s="218">
        <f>'[3]Monthly Gallon Summary'!S198/1000000</f>
        <v>52.446592878731003</v>
      </c>
      <c r="L25" s="218">
        <f>'[3]Monthly Gallon Summary'!T198/1000000</f>
        <v>68.091377268205889</v>
      </c>
      <c r="M25" s="218">
        <f>'[3]Monthly Gallon Summary'!U198/1000000</f>
        <v>88.975887423838913</v>
      </c>
      <c r="N25" s="218">
        <f>'[3]Monthly Gallon Summary'!V198/1000000</f>
        <v>119.9473980919919</v>
      </c>
      <c r="O25" s="218">
        <f>'[3]Monthly Gallon Summary'!W198/1000000</f>
        <v>140.7104671858601</v>
      </c>
      <c r="P25" s="218">
        <f>'[3]Monthly Gallon Summary'!X198/1000000</f>
        <v>177.91111731121515</v>
      </c>
      <c r="Q25" s="218">
        <f>'[3]Monthly Gallon Summary'!Y198/1000000</f>
        <v>185.65145426298955</v>
      </c>
      <c r="R25" s="218">
        <f>'[3]Monthly Gallon Summary'!Z198/1000000</f>
        <v>201.76353567193198</v>
      </c>
      <c r="S25" s="218">
        <f>'[3]Monthly Gallon Summary'!AA198/1000000</f>
        <v>210.79240077562943</v>
      </c>
      <c r="T25" s="218">
        <f>'[3]Monthly Gallon Summary'!AB198/1000000</f>
        <v>162.24592725913061</v>
      </c>
      <c r="U25" s="218">
        <f>'[3]Monthly Gallon Summary'!AC198/1000000</f>
        <v>177.08389867480091</v>
      </c>
      <c r="V25" s="218">
        <f>'[3]Monthly Gallon Summary'!AD198/1000000</f>
        <v>199.37330258687672</v>
      </c>
      <c r="W25" s="218">
        <f>'[3]Monthly Gallon Summary'!AE198/1000000</f>
        <v>199.30347544531051</v>
      </c>
      <c r="X25" s="218">
        <f>'[3]Monthly Gallon Summary'!AF198/1000000</f>
        <v>198.21581021517588</v>
      </c>
      <c r="Y25" s="218">
        <f>'[3]Monthly Gallon Summary'!AG198/1000000</f>
        <v>206.84286106158768</v>
      </c>
      <c r="Z25" s="218">
        <f>'[3]Monthly Gallon Summary'!AH198/1000000</f>
        <v>213.54120254829346</v>
      </c>
      <c r="AA25" s="218">
        <f>'[3]Monthly Gallon Summary'!AI198/1000000</f>
        <v>218.44569756765975</v>
      </c>
      <c r="AB25" s="218">
        <f>'[3]Monthly Gallon Summary'!AJ198/1000000</f>
        <v>220.94220227381268</v>
      </c>
      <c r="AC25" s="218">
        <f>'[3]Monthly Gallon Summary'!AK198/1000000</f>
        <v>227.5082933043544</v>
      </c>
      <c r="AD25" s="218">
        <f>'[3]Monthly Gallon Summary'!AL198/1000000</f>
        <v>239.96556885772125</v>
      </c>
      <c r="AE25" s="218">
        <f>'[3]Monthly Gallon Summary'!AM198/1000000</f>
        <v>248.62903141110516</v>
      </c>
      <c r="AF25" s="218">
        <f>'[3]Monthly Gallon Summary'!AN198/1000000</f>
        <v>248.91315845657553</v>
      </c>
      <c r="AG25" s="218">
        <f>'[3]Monthly Gallon Summary'!AO198/1000000</f>
        <v>248.49749897531805</v>
      </c>
      <c r="AH25" s="218">
        <f>'[3]Monthly Gallon Summary'!AP198/1000000</f>
        <v>254.33953078464967</v>
      </c>
    </row>
    <row r="26" spans="1:34" x14ac:dyDescent="0.2">
      <c r="A26" s="188" t="s">
        <v>165</v>
      </c>
      <c r="B26" s="217">
        <f>'[3]Monthly Gallon Summary'!J199/1000000</f>
        <v>0.18463399999999999</v>
      </c>
      <c r="C26" s="217">
        <f>'[3]Monthly Gallon Summary'!K199/1000000</f>
        <v>0.245975</v>
      </c>
      <c r="D26" s="217">
        <f>'[3]Monthly Gallon Summary'!L199/1000000</f>
        <v>1.234442</v>
      </c>
      <c r="E26" s="217">
        <f>'[3]Monthly Gallon Summary'!M199/1000000</f>
        <v>0.29328900000000002</v>
      </c>
      <c r="F26" s="217">
        <f>'[3]Monthly Gallon Summary'!N199/1000000</f>
        <v>0.40899099999999999</v>
      </c>
      <c r="G26" s="217">
        <f>'[3]Monthly Gallon Summary'!O199/1000000</f>
        <v>0.91352100000000003</v>
      </c>
      <c r="H26" s="217">
        <f>'[3]Monthly Gallon Summary'!P199/1000000</f>
        <v>2.7812009999999998</v>
      </c>
      <c r="I26" s="218">
        <f>'[3]Monthly Gallon Summary'!Q199/1000000</f>
        <v>8.4044749199190303</v>
      </c>
      <c r="J26" s="218">
        <f>'[3]Monthly Gallon Summary'!R199/1000000</f>
        <v>28.923927353115388</v>
      </c>
      <c r="K26" s="218">
        <f>'[3]Monthly Gallon Summary'!S199/1000000</f>
        <v>83.355933002837475</v>
      </c>
      <c r="L26" s="218">
        <f>'[3]Monthly Gallon Summary'!T199/1000000</f>
        <v>109.22935493369607</v>
      </c>
      <c r="M26" s="218">
        <f>'[3]Monthly Gallon Summary'!U199/1000000</f>
        <v>142.95585488060638</v>
      </c>
      <c r="N26" s="218">
        <f>'[3]Monthly Gallon Summary'!V199/1000000</f>
        <v>193.05989522712349</v>
      </c>
      <c r="O26" s="218">
        <f>'[3]Monthly Gallon Summary'!W199/1000000</f>
        <v>225.58230985068755</v>
      </c>
      <c r="P26" s="218">
        <f>'[3]Monthly Gallon Summary'!X199/1000000</f>
        <v>285.37999109891661</v>
      </c>
      <c r="Q26" s="218">
        <f>'[3]Monthly Gallon Summary'!Y199/1000000</f>
        <v>298.03642123796737</v>
      </c>
      <c r="R26" s="218">
        <f>'[3]Monthly Gallon Summary'!Z199/1000000</f>
        <v>323.92506868341894</v>
      </c>
      <c r="S26" s="218">
        <f>'[3]Monthly Gallon Summary'!AA199/1000000</f>
        <v>338.39310916389786</v>
      </c>
      <c r="T26" s="218">
        <f>'[3]Monthly Gallon Summary'!AB199/1000000</f>
        <v>260.37045206182569</v>
      </c>
      <c r="U26" s="218">
        <f>'[3]Monthly Gallon Summary'!AC199/1000000</f>
        <v>284.22534216662228</v>
      </c>
      <c r="V26" s="218">
        <f>'[3]Monthly Gallon Summary'!AD199/1000000</f>
        <v>320.03735405648092</v>
      </c>
      <c r="W26" s="218">
        <f>'[3]Monthly Gallon Summary'!AE199/1000000</f>
        <v>319.9199012564485</v>
      </c>
      <c r="X26" s="218">
        <f>'[3]Monthly Gallon Summary'!AF199/1000000</f>
        <v>318.16222956939333</v>
      </c>
      <c r="Y26" s="218">
        <f>'[3]Monthly Gallon Summary'!AG199/1000000</f>
        <v>332.0000920550961</v>
      </c>
      <c r="Z26" s="218">
        <f>'[3]Monthly Gallon Summary'!AH199/1000000</f>
        <v>342.76190405742483</v>
      </c>
      <c r="AA26" s="218">
        <f>'[3]Monthly Gallon Summary'!AI199/1000000</f>
        <v>350.63808208908694</v>
      </c>
      <c r="AB26" s="218">
        <f>'[3]Monthly Gallon Summary'!AJ199/1000000</f>
        <v>354.6425056569517</v>
      </c>
      <c r="AC26" s="218">
        <f>'[3]Monthly Gallon Summary'!AK199/1000000</f>
        <v>365.17971984240518</v>
      </c>
      <c r="AD26" s="218">
        <f>'[3]Monthly Gallon Summary'!AL199/1000000</f>
        <v>385.17508277066054</v>
      </c>
      <c r="AE26" s="218">
        <f>'[3]Monthly Gallon Summary'!AM199/1000000</f>
        <v>399.08300098258508</v>
      </c>
      <c r="AF26" s="218">
        <f>'[3]Monthly Gallon Summary'!AN199/1000000</f>
        <v>399.53915294475968</v>
      </c>
      <c r="AG26" s="218">
        <f>'[3]Monthly Gallon Summary'!AO199/1000000</f>
        <v>398.87127024936541</v>
      </c>
      <c r="AH26" s="218">
        <f>'[3]Monthly Gallon Summary'!AP199/1000000</f>
        <v>408.24826688676336</v>
      </c>
    </row>
    <row r="27" spans="1:34" x14ac:dyDescent="0.2">
      <c r="A27" s="188" t="s">
        <v>166</v>
      </c>
      <c r="B27" s="217">
        <f>'[3]Monthly Gallon Summary'!J200/1000000</f>
        <v>6.4188999999999996E-2</v>
      </c>
      <c r="C27" s="217">
        <f>'[3]Monthly Gallon Summary'!K200/1000000</f>
        <v>0.25428800000000001</v>
      </c>
      <c r="D27" s="217">
        <f>'[3]Monthly Gallon Summary'!L200/1000000</f>
        <v>0</v>
      </c>
      <c r="E27" s="217">
        <f>'[3]Monthly Gallon Summary'!M200/1000000</f>
        <v>0.28749599999999997</v>
      </c>
      <c r="F27" s="217">
        <f>'[3]Monthly Gallon Summary'!N200/1000000</f>
        <v>0.20283100000000001</v>
      </c>
      <c r="G27" s="217">
        <f>'[3]Monthly Gallon Summary'!O200/1000000</f>
        <v>1.6267149999999999</v>
      </c>
      <c r="H27" s="217">
        <f>'[3]Monthly Gallon Summary'!P200/1000000</f>
        <v>3.266216</v>
      </c>
      <c r="I27" s="218">
        <f>'[3]Monthly Gallon Summary'!Q200/1000000</f>
        <v>10.97616797756708</v>
      </c>
      <c r="J27" s="218">
        <f>'[3]Monthly Gallon Summary'!R200/1000000</f>
        <v>38.073237291912427</v>
      </c>
      <c r="K27" s="218">
        <f>'[3]Monthly Gallon Summary'!S200/1000000</f>
        <v>109.83702955094272</v>
      </c>
      <c r="L27" s="218">
        <f>'[3]Monthly Gallon Summary'!T200/1000000</f>
        <v>143.8746989010358</v>
      </c>
      <c r="M27" s="218">
        <f>'[3]Monthly Gallon Summary'!U200/1000000</f>
        <v>188.03837830701107</v>
      </c>
      <c r="N27" s="218">
        <f>'[3]Monthly Gallon Summary'!V200/1000000</f>
        <v>254.12025094949621</v>
      </c>
      <c r="O27" s="218">
        <f>'[3]Monthly Gallon Summary'!W200/1000000</f>
        <v>296.96372671365538</v>
      </c>
      <c r="P27" s="218">
        <f>'[3]Monthly Gallon Summary'!X200/1000000</f>
        <v>375.68448437097663</v>
      </c>
      <c r="Q27" s="218">
        <f>'[3]Monthly Gallon Summary'!Y200/1000000</f>
        <v>392.3133611846896</v>
      </c>
      <c r="R27" s="218">
        <f>'[3]Monthly Gallon Summary'!Z200/1000000</f>
        <v>426.36492953210126</v>
      </c>
      <c r="S27" s="218">
        <f>'[3]Monthly Gallon Summary'!AA200/1000000</f>
        <v>445.44073938154668</v>
      </c>
      <c r="T27" s="218">
        <f>'[3]Monthly Gallon Summary'!AB200/1000000</f>
        <v>342.73851004728289</v>
      </c>
      <c r="U27" s="218">
        <f>'[3]Monthly Gallon Summary'!AC200/1000000</f>
        <v>374.13637792329394</v>
      </c>
      <c r="V27" s="218">
        <f>'[3]Monthly Gallon Summary'!AD200/1000000</f>
        <v>421.27106299150307</v>
      </c>
      <c r="W27" s="218">
        <f>'[3]Monthly Gallon Summary'!AE200/1000000</f>
        <v>421.1159273751407</v>
      </c>
      <c r="X27" s="218">
        <f>'[3]Monthly Gallon Summary'!AF200/1000000</f>
        <v>418.80709362650219</v>
      </c>
      <c r="Y27" s="218">
        <f>'[3]Monthly Gallon Summary'!AG200/1000000</f>
        <v>437.02163005349729</v>
      </c>
      <c r="Z27" s="218">
        <f>'[3]Monthly Gallon Summary'!AH200/1000000</f>
        <v>451.18661120667758</v>
      </c>
      <c r="AA27" s="218">
        <f>'[3]Monthly Gallon Summary'!AI200/1000000</f>
        <v>461.55358961231804</v>
      </c>
      <c r="AB27" s="218">
        <f>'[3]Monthly Gallon Summary'!AJ200/1000000</f>
        <v>466.82514441902299</v>
      </c>
      <c r="AC27" s="218">
        <f>'[3]Monthly Gallon Summary'!AK200/1000000</f>
        <v>480.69618774489999</v>
      </c>
      <c r="AD27" s="218">
        <f>'[3]Monthly Gallon Summary'!AL200/1000000</f>
        <v>507.0163443326083</v>
      </c>
      <c r="AE27" s="218">
        <f>'[3]Monthly Gallon Summary'!AM200/1000000</f>
        <v>525.32349907992682</v>
      </c>
      <c r="AF27" s="218">
        <f>'[3]Monthly Gallon Summary'!AN200/1000000</f>
        <v>525.92393099888682</v>
      </c>
      <c r="AG27" s="218">
        <f>'[3]Monthly Gallon Summary'!AO200/1000000</f>
        <v>525.04489908814821</v>
      </c>
      <c r="AH27" s="218">
        <f>'[3]Monthly Gallon Summary'!AP200/1000000</f>
        <v>537.38814271860781</v>
      </c>
    </row>
    <row r="28" spans="1:34" x14ac:dyDescent="0.2">
      <c r="A28" s="188" t="s">
        <v>167</v>
      </c>
      <c r="B28" s="217">
        <f>'[3]Monthly Gallon Summary'!J201/1000000</f>
        <v>0.14019400000000001</v>
      </c>
      <c r="C28" s="217">
        <f>'[3]Monthly Gallon Summary'!K201/1000000</f>
        <v>0.22327900000000001</v>
      </c>
      <c r="D28" s="217">
        <f>'[3]Monthly Gallon Summary'!L201/1000000</f>
        <v>0.50851299999999999</v>
      </c>
      <c r="E28" s="217">
        <f>'[3]Monthly Gallon Summary'!M201/1000000</f>
        <v>0.357317</v>
      </c>
      <c r="F28" s="217">
        <f>'[3]Monthly Gallon Summary'!N201/1000000</f>
        <v>0.80226399999999998</v>
      </c>
      <c r="G28" s="217">
        <f>'[3]Monthly Gallon Summary'!O201/1000000</f>
        <v>1.121861</v>
      </c>
      <c r="H28" s="217">
        <f>'[3]Monthly Gallon Summary'!P201/1000000</f>
        <v>2.9986120000000001</v>
      </c>
      <c r="I28" s="218">
        <f>'[3]Monthly Gallon Summary'!Q201/1000000</f>
        <v>10.802570811467989</v>
      </c>
      <c r="J28" s="218">
        <f>'[3]Monthly Gallon Summary'!R201/1000000</f>
        <v>36.445958845373937</v>
      </c>
      <c r="K28" s="218">
        <f>'[3]Monthly Gallon Summary'!S201/1000000</f>
        <v>104.66929816987525</v>
      </c>
      <c r="L28" s="218">
        <f>'[3]Monthly Gallon Summary'!T201/1000000</f>
        <v>137.07443203247411</v>
      </c>
      <c r="M28" s="218">
        <f>'[3]Monthly Gallon Summary'!U201/1000000</f>
        <v>179.41367029720334</v>
      </c>
      <c r="N28" s="218">
        <f>'[3]Monthly Gallon Summary'!V201/1000000</f>
        <v>242.52557225580676</v>
      </c>
      <c r="O28" s="218">
        <f>'[3]Monthly Gallon Summary'!W201/1000000</f>
        <v>283.28184634963793</v>
      </c>
      <c r="P28" s="218">
        <f>'[3]Monthly Gallon Summary'!X201/1000000</f>
        <v>358.32773608893473</v>
      </c>
      <c r="Q28" s="218">
        <f>'[3]Monthly Gallon Summary'!Y201/1000000</f>
        <v>374.2174098805076</v>
      </c>
      <c r="R28" s="218">
        <f>'[3]Monthly Gallon Summary'!Z201/1000000</f>
        <v>406.74466362686309</v>
      </c>
      <c r="S28" s="218">
        <f>'[3]Monthly Gallon Summary'!AA201/1000000</f>
        <v>424.93541513276676</v>
      </c>
      <c r="T28" s="218">
        <f>'[3]Monthly Gallon Summary'!AB201/1000000</f>
        <v>326.94265339627157</v>
      </c>
      <c r="U28" s="218">
        <f>'[3]Monthly Gallon Summary'!AC201/1000000</f>
        <v>356.89266165201229</v>
      </c>
      <c r="V28" s="218">
        <f>'[3]Monthly Gallon Summary'!AD201/1000000</f>
        <v>401.8638016596073</v>
      </c>
      <c r="W28" s="218">
        <f>'[3]Monthly Gallon Summary'!AE201/1000000</f>
        <v>401.72057379123839</v>
      </c>
      <c r="X28" s="218">
        <f>'[3]Monthly Gallon Summary'!AF201/1000000</f>
        <v>399.51455976192761</v>
      </c>
      <c r="Y28" s="218">
        <f>'[3]Monthly Gallon Summary'!AG201/1000000</f>
        <v>416.88692029490289</v>
      </c>
      <c r="Z28" s="218">
        <f>'[3]Monthly Gallon Summary'!AH201/1000000</f>
        <v>430.40037567974269</v>
      </c>
      <c r="AA28" s="218">
        <f>'[3]Monthly Gallon Summary'!AI201/1000000</f>
        <v>440.29129120100424</v>
      </c>
      <c r="AB28" s="218">
        <f>'[3]Monthly Gallon Summary'!AJ201/1000000</f>
        <v>445.32014093675434</v>
      </c>
      <c r="AC28" s="218">
        <f>'[3]Monthly Gallon Summary'!AK201/1000000</f>
        <v>458.55133662133386</v>
      </c>
      <c r="AD28" s="218">
        <f>'[3]Monthly Gallon Summary'!AL201/1000000</f>
        <v>483.65870541625719</v>
      </c>
      <c r="AE28" s="218">
        <f>'[3]Monthly Gallon Summary'!AM201/1000000</f>
        <v>501.12283616229831</v>
      </c>
      <c r="AF28" s="218">
        <f>'[3]Monthly Gallon Summary'!AN201/1000000</f>
        <v>501.69580533177401</v>
      </c>
      <c r="AG28" s="218">
        <f>'[3]Monthly Gallon Summary'!AO201/1000000</f>
        <v>500.85717806973378</v>
      </c>
      <c r="AH28" s="218">
        <f>'[3]Monthly Gallon Summary'!AP201/1000000</f>
        <v>512.6316569578272</v>
      </c>
    </row>
    <row r="29" spans="1:34" x14ac:dyDescent="0.2">
      <c r="A29" s="188" t="s">
        <v>168</v>
      </c>
      <c r="B29" s="217">
        <f>'[3]Monthly Gallon Summary'!J202/1000000</f>
        <v>8.2230999999999999E-2</v>
      </c>
      <c r="C29" s="217">
        <f>'[3]Monthly Gallon Summary'!K202/1000000</f>
        <v>0.14661299999999999</v>
      </c>
      <c r="D29" s="217">
        <f>'[3]Monthly Gallon Summary'!L202/1000000</f>
        <v>1.5367249999999999</v>
      </c>
      <c r="E29" s="217">
        <f>'[3]Monthly Gallon Summary'!M202/1000000</f>
        <v>1.093159</v>
      </c>
      <c r="F29" s="217">
        <f>'[3]Monthly Gallon Summary'!N202/1000000</f>
        <v>1.1379729999999999</v>
      </c>
      <c r="G29" s="217">
        <f>'[3]Monthly Gallon Summary'!O202/1000000</f>
        <v>1.7707619999999999</v>
      </c>
      <c r="H29" s="217">
        <f>'[3]Monthly Gallon Summary'!P202/1000000</f>
        <v>3.2568869999999999</v>
      </c>
      <c r="I29" s="218">
        <f>'[3]Monthly Gallon Summary'!Q202/1000000</f>
        <v>10.933554606466778</v>
      </c>
      <c r="J29" s="218">
        <f>'[3]Monthly Gallon Summary'!R202/1000000</f>
        <v>39.976921761037993</v>
      </c>
      <c r="K29" s="218">
        <f>'[3]Monthly Gallon Summary'!S202/1000000</f>
        <v>113.97848488508038</v>
      </c>
      <c r="L29" s="218">
        <f>'[3]Monthly Gallon Summary'!T202/1000000</f>
        <v>149.26606301052726</v>
      </c>
      <c r="M29" s="218">
        <f>'[3]Monthly Gallon Summary'!U202/1000000</f>
        <v>195.03361743180668</v>
      </c>
      <c r="N29" s="218">
        <f>'[3]Monthly Gallon Summary'!V202/1000000</f>
        <v>263.641552684837</v>
      </c>
      <c r="O29" s="218">
        <f>'[3]Monthly Gallon Summary'!W202/1000000</f>
        <v>308.27391513317133</v>
      </c>
      <c r="P29" s="218">
        <f>'[3]Monthly Gallon Summary'!X202/1000000</f>
        <v>389.82118960567601</v>
      </c>
      <c r="Q29" s="218">
        <f>'[3]Monthly Gallon Summary'!Y202/1000000</f>
        <v>407.07318695247625</v>
      </c>
      <c r="R29" s="218">
        <f>'[3]Monthly Gallon Summary'!Z202/1000000</f>
        <v>442.4119633709019</v>
      </c>
      <c r="S29" s="218">
        <f>'[3]Monthly Gallon Summary'!AA202/1000000</f>
        <v>462.22663622094757</v>
      </c>
      <c r="T29" s="218">
        <f>'[3]Monthly Gallon Summary'!AB202/1000000</f>
        <v>355.66391497845484</v>
      </c>
      <c r="U29" s="218">
        <f>'[3]Monthly Gallon Summary'!AC202/1000000</f>
        <v>388.22490721705157</v>
      </c>
      <c r="V29" s="218">
        <f>'[3]Monthly Gallon Summary'!AD202/1000000</f>
        <v>437.13665429824135</v>
      </c>
      <c r="W29" s="218">
        <f>'[3]Monthly Gallon Summary'!AE202/1000000</f>
        <v>436.97885705731892</v>
      </c>
      <c r="X29" s="218">
        <f>'[3]Monthly Gallon Summary'!AF202/1000000</f>
        <v>434.58589758986244</v>
      </c>
      <c r="Y29" s="218">
        <f>'[3]Monthly Gallon Summary'!AG202/1000000</f>
        <v>453.48586998691627</v>
      </c>
      <c r="Z29" s="218">
        <f>'[3]Monthly Gallon Summary'!AH202/1000000</f>
        <v>468.18163319149016</v>
      </c>
      <c r="AA29" s="218">
        <f>'[3]Monthly Gallon Summary'!AI202/1000000</f>
        <v>478.9400129773976</v>
      </c>
      <c r="AB29" s="218">
        <f>'[3]Monthly Gallon Summary'!AJ202/1000000</f>
        <v>484.4108719821719</v>
      </c>
      <c r="AC29" s="218">
        <f>'[3]Monthly Gallon Summary'!AK202/1000000</f>
        <v>498.80464153052043</v>
      </c>
      <c r="AD29" s="218">
        <f>'[3]Monthly Gallon Summary'!AL202/1000000</f>
        <v>526.11591704737737</v>
      </c>
      <c r="AE29" s="218">
        <f>'[3]Monthly Gallon Summary'!AM202/1000000</f>
        <v>545.11240017848991</v>
      </c>
      <c r="AF29" s="218">
        <f>'[3]Monthly Gallon Summary'!AN202/1000000</f>
        <v>545.73569752009905</v>
      </c>
      <c r="AG29" s="218">
        <f>'[3]Monthly Gallon Summary'!AO202/1000000</f>
        <v>544.8236540488781</v>
      </c>
      <c r="AH29" s="218">
        <f>'[3]Monthly Gallon Summary'!AP202/1000000</f>
        <v>557.63184453683186</v>
      </c>
    </row>
    <row r="30" spans="1:34" x14ac:dyDescent="0.2">
      <c r="A30" s="188" t="s">
        <v>169</v>
      </c>
      <c r="B30" s="217">
        <f>'[3]Monthly Gallon Summary'!J203/1000000</f>
        <v>7.0236000000000007E-2</v>
      </c>
      <c r="C30" s="217">
        <f>'[3]Monthly Gallon Summary'!K203/1000000</f>
        <v>0.27175700000000003</v>
      </c>
      <c r="D30" s="217">
        <f>'[3]Monthly Gallon Summary'!L203/1000000</f>
        <v>6.3854999999999995E-2</v>
      </c>
      <c r="E30" s="217">
        <f>'[3]Monthly Gallon Summary'!M203/1000000</f>
        <v>0.72205799999999998</v>
      </c>
      <c r="F30" s="217">
        <f>'[3]Monthly Gallon Summary'!N203/1000000</f>
        <v>0.39256799999999997</v>
      </c>
      <c r="G30" s="217">
        <f>'[3]Monthly Gallon Summary'!O203/1000000</f>
        <v>2.911842</v>
      </c>
      <c r="H30" s="217">
        <f>'[3]Monthly Gallon Summary'!P203/1000000</f>
        <v>4.0267900000000001</v>
      </c>
      <c r="I30" s="218">
        <f>'[3]Monthly Gallon Summary'!Q203/1000000</f>
        <v>11.770394176198298</v>
      </c>
      <c r="J30" s="218">
        <f>'[3]Monthly Gallon Summary'!R203/1000000</f>
        <v>42.945445735034241</v>
      </c>
      <c r="K30" s="218">
        <f>'[3]Monthly Gallon Summary'!S203/1000000</f>
        <v>124.36578844880567</v>
      </c>
      <c r="L30" s="218">
        <f>'[3]Monthly Gallon Summary'!T203/1000000</f>
        <v>162.64569940454592</v>
      </c>
      <c r="M30" s="218">
        <f>'[3]Monthly Gallon Summary'!U203/1000000</f>
        <v>212.44847447981218</v>
      </c>
      <c r="N30" s="218">
        <f>'[3]Monthly Gallon Summary'!V203/1000000</f>
        <v>286.93446200556855</v>
      </c>
      <c r="O30" s="218">
        <f>'[3]Monthly Gallon Summary'!W203/1000000</f>
        <v>335.5623786446298</v>
      </c>
      <c r="P30" s="218">
        <f>'[3]Monthly Gallon Summary'!X203/1000000</f>
        <v>424.54400954681194</v>
      </c>
      <c r="Q30" s="218">
        <f>'[3]Monthly Gallon Summary'!Y203/1000000</f>
        <v>443.25951717043864</v>
      </c>
      <c r="R30" s="218">
        <f>'[3]Monthly Gallon Summary'!Z203/1000000</f>
        <v>481.70835294362729</v>
      </c>
      <c r="S30" s="218">
        <f>'[3]Monthly Gallon Summary'!AA203/1000000</f>
        <v>503.25970761227575</v>
      </c>
      <c r="T30" s="218">
        <f>'[3]Monthly Gallon Summary'!AB203/1000000</f>
        <v>387.25682003295844</v>
      </c>
      <c r="U30" s="218">
        <f>'[3]Monthly Gallon Summary'!AC203/1000000</f>
        <v>422.72804530291944</v>
      </c>
      <c r="V30" s="218">
        <f>'[3]Monthly Gallon Summary'!AD203/1000000</f>
        <v>475.97023215940487</v>
      </c>
      <c r="W30" s="218">
        <f>'[3]Monthly Gallon Summary'!AE203/1000000</f>
        <v>475.79349783530421</v>
      </c>
      <c r="X30" s="218">
        <f>'[3]Monthly Gallon Summary'!AF203/1000000</f>
        <v>473.18816068332802</v>
      </c>
      <c r="Y30" s="218">
        <f>'[3]Monthly Gallon Summary'!AG203/1000000</f>
        <v>493.77231937976603</v>
      </c>
      <c r="Z30" s="218">
        <f>'[3]Monthly Gallon Summary'!AH203/1000000</f>
        <v>509.77433443475007</v>
      </c>
      <c r="AA30" s="218">
        <f>'[3]Monthly Gallon Summary'!AI203/1000000</f>
        <v>521.48553456446302</v>
      </c>
      <c r="AB30" s="218">
        <f>'[3]Monthly Gallon Summary'!AJ203/1000000</f>
        <v>527.44205193918287</v>
      </c>
      <c r="AC30" s="218">
        <f>'[3]Monthly Gallon Summary'!AK203/1000000</f>
        <v>543.11510644728867</v>
      </c>
      <c r="AD30" s="218">
        <f>'[3]Monthly Gallon Summary'!AL203/1000000</f>
        <v>572.85329173189973</v>
      </c>
      <c r="AE30" s="218">
        <f>'[3]Monthly Gallon Summary'!AM203/1000000</f>
        <v>593.53706820316677</v>
      </c>
      <c r="AF30" s="218">
        <f>'[3]Monthly Gallon Summary'!AN203/1000000</f>
        <v>594.21527847558991</v>
      </c>
      <c r="AG30" s="218">
        <f>'[3]Monthly Gallon Summary'!AO203/1000000</f>
        <v>593.22229230504502</v>
      </c>
      <c r="AH30" s="218">
        <f>'[3]Monthly Gallon Summary'!AP203/1000000</f>
        <v>607.16844255397359</v>
      </c>
    </row>
    <row r="31" spans="1:34" x14ac:dyDescent="0.2">
      <c r="A31" s="188" t="s">
        <v>170</v>
      </c>
      <c r="B31" s="217">
        <f>'[3]Monthly Gallon Summary'!J204/1000000</f>
        <v>0.15108199999999999</v>
      </c>
      <c r="C31" s="217">
        <f>'[3]Monthly Gallon Summary'!K204/1000000</f>
        <v>0.27552900000000002</v>
      </c>
      <c r="D31" s="217">
        <f>'[3]Monthly Gallon Summary'!L204/1000000</f>
        <v>0.37116900000000003</v>
      </c>
      <c r="E31" s="217">
        <f>'[3]Monthly Gallon Summary'!M204/1000000</f>
        <v>0.300122</v>
      </c>
      <c r="F31" s="217">
        <f>'[3]Monthly Gallon Summary'!N204/1000000</f>
        <v>0.393571</v>
      </c>
      <c r="G31" s="217">
        <f>'[3]Monthly Gallon Summary'!O204/1000000</f>
        <v>0.65930200000000005</v>
      </c>
      <c r="H31" s="217">
        <f>'[3]Monthly Gallon Summary'!P204/1000000</f>
        <v>9.2388250000000003</v>
      </c>
      <c r="I31" s="218">
        <f>'[3]Monthly Gallon Summary'!Q204/1000000</f>
        <v>12.352933632424854</v>
      </c>
      <c r="J31" s="218">
        <f>'[3]Monthly Gallon Summary'!R204/1000000</f>
        <v>51.996708025440149</v>
      </c>
      <c r="K31" s="218">
        <f>'[3]Monthly Gallon Summary'!S204/1000000</f>
        <v>150.93632087113687</v>
      </c>
      <c r="L31" s="218">
        <f>'[3]Monthly Gallon Summary'!T204/1000000</f>
        <v>197.81669635851759</v>
      </c>
      <c r="M31" s="218">
        <f>'[3]Monthly Gallon Summary'!U204/1000000</f>
        <v>259.50754987836723</v>
      </c>
      <c r="N31" s="218">
        <f>'[3]Monthly Gallon Summary'!V204/1000000</f>
        <v>348.25600037040306</v>
      </c>
      <c r="O31" s="218">
        <f>'[3]Monthly Gallon Summary'!W204/1000000</f>
        <v>408.058415897288</v>
      </c>
      <c r="P31" s="218">
        <f>'[3]Monthly Gallon Summary'!X204/1000000</f>
        <v>516.34976786017171</v>
      </c>
      <c r="Q31" s="218">
        <f>'[3]Monthly Gallon Summary'!Y204/1000000</f>
        <v>539.21310098474032</v>
      </c>
      <c r="R31" s="218">
        <f>'[3]Monthly Gallon Summary'!Z204/1000000</f>
        <v>585.99562815935928</v>
      </c>
      <c r="S31" s="218">
        <f>'[3]Monthly Gallon Summary'!AA204/1000000</f>
        <v>611.94091526851037</v>
      </c>
      <c r="T31" s="218">
        <f>'[3]Monthly Gallon Summary'!AB204/1000000</f>
        <v>471.00051314091451</v>
      </c>
      <c r="U31" s="218">
        <f>'[3]Monthly Gallon Summary'!AC204/1000000</f>
        <v>514.15532237966499</v>
      </c>
      <c r="V31" s="218">
        <f>'[3]Monthly Gallon Summary'!AD204/1000000</f>
        <v>578.91572147631052</v>
      </c>
      <c r="W31" s="218">
        <f>'[3]Monthly Gallon Summary'!AE204/1000000</f>
        <v>578.68338278706324</v>
      </c>
      <c r="X31" s="218">
        <f>'[3]Monthly Gallon Summary'!AF204/1000000</f>
        <v>575.48992787385146</v>
      </c>
      <c r="Y31" s="218">
        <f>'[3]Monthly Gallon Summary'!AG204/1000000</f>
        <v>600.55125467594326</v>
      </c>
      <c r="Z31" s="218">
        <f>'[3]Monthly Gallon Summary'!AH204/1000000</f>
        <v>620.01397122608716</v>
      </c>
      <c r="AA31" s="218">
        <f>'[3]Monthly Gallon Summary'!AI204/1000000</f>
        <v>634.25525749864266</v>
      </c>
      <c r="AB31" s="218">
        <f>'[3]Monthly Gallon Summary'!AJ204/1000000</f>
        <v>641.49594918487639</v>
      </c>
      <c r="AC31" s="218">
        <f>'[3]Monthly Gallon Summary'!AK204/1000000</f>
        <v>660.55718206234701</v>
      </c>
      <c r="AD31" s="218">
        <f>'[3]Monthly Gallon Summary'!AL204/1000000</f>
        <v>696.73018344995</v>
      </c>
      <c r="AE31" s="218">
        <f>'[3]Monthly Gallon Summary'!AM204/1000000</f>
        <v>721.88607901795353</v>
      </c>
      <c r="AF31" s="218">
        <f>'[3]Monthly Gallon Summary'!AN204/1000000</f>
        <v>722.71012116820077</v>
      </c>
      <c r="AG31" s="218">
        <f>'[3]Monthly Gallon Summary'!AO204/1000000</f>
        <v>721.50195368708557</v>
      </c>
      <c r="AH31" s="218">
        <f>'[3]Monthly Gallon Summary'!AP204/1000000</f>
        <v>738.46412265584945</v>
      </c>
    </row>
    <row r="32" spans="1:34" x14ac:dyDescent="0.2">
      <c r="A32" s="188" t="s">
        <v>171</v>
      </c>
      <c r="B32" s="217">
        <f>'[3]Monthly Gallon Summary'!J205/1000000</f>
        <v>0.22908899999999999</v>
      </c>
      <c r="C32" s="217">
        <f>'[3]Monthly Gallon Summary'!K205/1000000</f>
        <v>0.21657399999999999</v>
      </c>
      <c r="D32" s="217">
        <f>'[3]Monthly Gallon Summary'!L205/1000000</f>
        <v>0.188416</v>
      </c>
      <c r="E32" s="217">
        <f>'[3]Monthly Gallon Summary'!M205/1000000</f>
        <v>0.43774099999999999</v>
      </c>
      <c r="F32" s="217">
        <f>'[3]Monthly Gallon Summary'!N205/1000000</f>
        <v>1.7646310000000001</v>
      </c>
      <c r="G32" s="217">
        <f>'[3]Monthly Gallon Summary'!O205/1000000</f>
        <v>1.953292</v>
      </c>
      <c r="H32" s="217">
        <f>'[3]Monthly Gallon Summary'!P205/1000000</f>
        <v>4.385751</v>
      </c>
      <c r="I32" s="218">
        <f>'[3]Monthly Gallon Summary'!Q205/1000000</f>
        <v>14.80432559477609</v>
      </c>
      <c r="J32" s="218">
        <f>'[3]Monthly Gallon Summary'!R205/1000000</f>
        <v>51.799170449949763</v>
      </c>
      <c r="K32" s="218">
        <f>'[3]Monthly Gallon Summary'!S205/1000000</f>
        <v>146.98740750142557</v>
      </c>
      <c r="L32" s="218">
        <f>'[3]Monthly Gallon Summary'!T205/1000000</f>
        <v>192.77227950451348</v>
      </c>
      <c r="M32" s="218">
        <f>'[3]Monthly Gallon Summary'!U205/1000000</f>
        <v>252.3845124317161</v>
      </c>
      <c r="N32" s="218">
        <f>'[3]Monthly Gallon Summary'!V205/1000000</f>
        <v>341.07843546241088</v>
      </c>
      <c r="O32" s="218">
        <f>'[3]Monthly Gallon Summary'!W205/1000000</f>
        <v>398.55344225845425</v>
      </c>
      <c r="P32" s="218">
        <f>'[3]Monthly Gallon Summary'!X205/1000000</f>
        <v>503.93879168250572</v>
      </c>
      <c r="Q32" s="218">
        <f>'[3]Monthly Gallon Summary'!Y205/1000000</f>
        <v>526.35263633238776</v>
      </c>
      <c r="R32" s="218">
        <f>'[3]Monthly Gallon Summary'!Z205/1000000</f>
        <v>572.11171976345895</v>
      </c>
      <c r="S32" s="218">
        <f>'[3]Monthly Gallon Summary'!AA205/1000000</f>
        <v>597.69099903600704</v>
      </c>
      <c r="T32" s="218">
        <f>'[3]Monthly Gallon Summary'!AB205/1000000</f>
        <v>459.86765155774253</v>
      </c>
      <c r="U32" s="218">
        <f>'[3]Monthly Gallon Summary'!AC205/1000000</f>
        <v>501.97597849151566</v>
      </c>
      <c r="V32" s="218">
        <f>'[3]Monthly Gallon Summary'!AD205/1000000</f>
        <v>565.24053289830943</v>
      </c>
      <c r="W32" s="218">
        <f>'[3]Monthly Gallon Summary'!AE205/1000000</f>
        <v>565.03948105127643</v>
      </c>
      <c r="X32" s="218">
        <f>'[3]Monthly Gallon Summary'!AF205/1000000</f>
        <v>561.93544273680811</v>
      </c>
      <c r="Y32" s="218">
        <f>'[3]Monthly Gallon Summary'!AG205/1000000</f>
        <v>586.37046775575391</v>
      </c>
      <c r="Z32" s="218">
        <f>'[3]Monthly Gallon Summary'!AH205/1000000</f>
        <v>605.37603966827749</v>
      </c>
      <c r="AA32" s="218">
        <f>'[3]Monthly Gallon Summary'!AI205/1000000</f>
        <v>619.28982824733794</v>
      </c>
      <c r="AB32" s="218">
        <f>'[3]Monthly Gallon Summary'!AJ205/1000000</f>
        <v>626.36298064901257</v>
      </c>
      <c r="AC32" s="218">
        <f>'[3]Monthly Gallon Summary'!AK205/1000000</f>
        <v>644.97298462789979</v>
      </c>
      <c r="AD32" s="218">
        <f>'[3]Monthly Gallon Summary'!AL205/1000000</f>
        <v>680.28755054873238</v>
      </c>
      <c r="AE32" s="218">
        <f>'[3]Monthly Gallon Summary'!AM205/1000000</f>
        <v>704.85153819353809</v>
      </c>
      <c r="AF32" s="218">
        <f>'[3]Monthly Gallon Summary'!AN205/1000000</f>
        <v>705.65770653742334</v>
      </c>
      <c r="AG32" s="218">
        <f>'[3]Monthly Gallon Summary'!AO205/1000000</f>
        <v>704.47807010873134</v>
      </c>
      <c r="AH32" s="218">
        <f>'[3]Monthly Gallon Summary'!AP205/1000000</f>
        <v>721.03935158478771</v>
      </c>
    </row>
    <row r="33" spans="1:34" x14ac:dyDescent="0.2">
      <c r="A33" s="188" t="s">
        <v>172</v>
      </c>
      <c r="B33" s="217">
        <f>'[3]Monthly Gallon Summary'!J206/1000000</f>
        <v>0.152783</v>
      </c>
      <c r="C33" s="217">
        <f>'[3]Monthly Gallon Summary'!K206/1000000</f>
        <v>9.1175000000000006E-2</v>
      </c>
      <c r="D33" s="217">
        <f>'[3]Monthly Gallon Summary'!L206/1000000</f>
        <v>0.18820100000000001</v>
      </c>
      <c r="E33" s="217">
        <f>'[3]Monthly Gallon Summary'!M206/1000000</f>
        <v>0.40348200000000001</v>
      </c>
      <c r="F33" s="217">
        <f>'[3]Monthly Gallon Summary'!N206/1000000</f>
        <v>0.152226</v>
      </c>
      <c r="G33" s="217">
        <f>'[3]Monthly Gallon Summary'!O206/1000000</f>
        <v>0.44977800000000001</v>
      </c>
      <c r="H33" s="217">
        <f>'[3]Monthly Gallon Summary'!P206/1000000</f>
        <v>2.3854229999999998</v>
      </c>
      <c r="I33" s="218">
        <f>'[3]Monthly Gallon Summary'!Q206/1000000</f>
        <v>16.380536413000446</v>
      </c>
      <c r="J33" s="218">
        <f>'[3]Monthly Gallon Summary'!R206/1000000</f>
        <v>43.786179408729204</v>
      </c>
      <c r="K33" s="218">
        <f>'[3]Monthly Gallon Summary'!S206/1000000</f>
        <v>126.74184549121414</v>
      </c>
      <c r="L33" s="218">
        <f>'[3]Monthly Gallon Summary'!T206/1000000</f>
        <v>166.28843847560069</v>
      </c>
      <c r="M33" s="218">
        <f>'[3]Monthly Gallon Summary'!U206/1000000</f>
        <v>218.48747243177388</v>
      </c>
      <c r="N33" s="218">
        <f>'[3]Monthly Gallon Summary'!V206/1000000</f>
        <v>295.99988994310718</v>
      </c>
      <c r="O33" s="218">
        <f>'[3]Monthly Gallon Summary'!W206/1000000</f>
        <v>344.44929880517776</v>
      </c>
      <c r="P33" s="218">
        <f>'[3]Monthly Gallon Summary'!X206/1000000</f>
        <v>435.89972845442838</v>
      </c>
      <c r="Q33" s="218">
        <f>'[3]Monthly Gallon Summary'!Y206/1000000</f>
        <v>455.4120915854482</v>
      </c>
      <c r="R33" s="218">
        <f>'[3]Monthly Gallon Summary'!Z206/1000000</f>
        <v>495.14602060505655</v>
      </c>
      <c r="S33" s="218">
        <f>'[3]Monthly Gallon Summary'!AA206/1000000</f>
        <v>517.26984189440452</v>
      </c>
      <c r="T33" s="218">
        <f>'[3]Monthly Gallon Summary'!AB206/1000000</f>
        <v>397.84689276238311</v>
      </c>
      <c r="U33" s="218">
        <f>'[3]Monthly Gallon Summary'!AC206/1000000</f>
        <v>434.34276019127094</v>
      </c>
      <c r="V33" s="218">
        <f>'[3]Monthly Gallon Summary'!AD206/1000000</f>
        <v>489.11349670413358</v>
      </c>
      <c r="W33" s="218">
        <f>'[3]Monthly Gallon Summary'!AE206/1000000</f>
        <v>488.95019975573337</v>
      </c>
      <c r="X33" s="218">
        <f>'[3]Monthly Gallon Summary'!AF206/1000000</f>
        <v>486.24829163399761</v>
      </c>
      <c r="Y33" s="218">
        <f>'[3]Monthly Gallon Summary'!AG206/1000000</f>
        <v>507.37406269245309</v>
      </c>
      <c r="Z33" s="218">
        <f>'[3]Monthly Gallon Summary'!AH206/1000000</f>
        <v>523.83375870202167</v>
      </c>
      <c r="AA33" s="218">
        <f>'[3]Monthly Gallon Summary'!AI206/1000000</f>
        <v>535.87739832850616</v>
      </c>
      <c r="AB33" s="218">
        <f>'[3]Monthly Gallon Summary'!AJ206/1000000</f>
        <v>541.99669855620823</v>
      </c>
      <c r="AC33" s="218">
        <f>'[3]Monthly Gallon Summary'!AK206/1000000</f>
        <v>558.09638004823455</v>
      </c>
      <c r="AD33" s="218">
        <f>'[3]Monthly Gallon Summary'!AL206/1000000</f>
        <v>588.65315876595787</v>
      </c>
      <c r="AE33" s="218">
        <f>'[3]Monthly Gallon Summary'!AM206/1000000</f>
        <v>609.91118505111206</v>
      </c>
      <c r="AF33" s="218">
        <f>'[3]Monthly Gallon Summary'!AN206/1000000</f>
        <v>610.60894557455765</v>
      </c>
      <c r="AG33" s="218">
        <f>'[3]Monthly Gallon Summary'!AO206/1000000</f>
        <v>609.58757500664842</v>
      </c>
      <c r="AH33" s="218">
        <f>'[3]Monthly Gallon Summary'!AP206/1000000</f>
        <v>623.91761026345955</v>
      </c>
    </row>
    <row r="34" spans="1:34" x14ac:dyDescent="0.2">
      <c r="A34" s="188" t="s">
        <v>173</v>
      </c>
      <c r="B34" s="217">
        <f>'[3]Monthly Gallon Summary'!J207/1000000</f>
        <v>0.27223999999999998</v>
      </c>
      <c r="C34" s="217">
        <f>'[3]Monthly Gallon Summary'!K207/1000000</f>
        <v>0.13733300000000001</v>
      </c>
      <c r="D34" s="217">
        <f>'[3]Monthly Gallon Summary'!L207/1000000</f>
        <v>0.194662</v>
      </c>
      <c r="E34" s="217">
        <f>'[3]Monthly Gallon Summary'!M207/1000000</f>
        <v>0.30850300000000003</v>
      </c>
      <c r="F34" s="217">
        <f>'[3]Monthly Gallon Summary'!N207/1000000</f>
        <v>0.10055500000000001</v>
      </c>
      <c r="G34" s="217">
        <f>'[3]Monthly Gallon Summary'!O207/1000000</f>
        <v>0.132329</v>
      </c>
      <c r="H34" s="217">
        <f>'[3]Monthly Gallon Summary'!P207/1000000</f>
        <v>2.1610939999999998</v>
      </c>
      <c r="I34" s="218">
        <f>'[3]Monthly Gallon Summary'!Q207/1000000</f>
        <v>15.071413644033596</v>
      </c>
      <c r="J34" s="218">
        <f>'[3]Monthly Gallon Summary'!R207/1000000</f>
        <v>39.496037437086997</v>
      </c>
      <c r="K34" s="218">
        <f>'[3]Monthly Gallon Summary'!S207/1000000</f>
        <v>113.36904915085674</v>
      </c>
      <c r="L34" s="218">
        <f>'[3]Monthly Gallon Summary'!T207/1000000</f>
        <v>149.52865070780086</v>
      </c>
      <c r="M34" s="218">
        <f>'[3]Monthly Gallon Summary'!U207/1000000</f>
        <v>196.39421384245372</v>
      </c>
      <c r="N34" s="218">
        <f>'[3]Monthly Gallon Summary'!V207/1000000</f>
        <v>266.05990334325173</v>
      </c>
      <c r="O34" s="218">
        <f>'[3]Monthly Gallon Summary'!W207/1000000</f>
        <v>309.46801741029168</v>
      </c>
      <c r="P34" s="218">
        <f>'[3]Monthly Gallon Summary'!X207/1000000</f>
        <v>391.57172585410308</v>
      </c>
      <c r="Q34" s="218">
        <f>'[3]Monthly Gallon Summary'!Y207/1000000</f>
        <v>409.25067906665038</v>
      </c>
      <c r="R34" s="218">
        <f>'[3]Monthly Gallon Summary'!Z207/1000000</f>
        <v>444.93008194314382</v>
      </c>
      <c r="S34" s="218">
        <f>'[3]Monthly Gallon Summary'!AA207/1000000</f>
        <v>464.79360662914945</v>
      </c>
      <c r="T34" s="218">
        <f>'[3]Monthly Gallon Summary'!AB207/1000000</f>
        <v>357.4702276679468</v>
      </c>
      <c r="U34" s="218">
        <f>'[3]Monthly Gallon Summary'!AC207/1000000</f>
        <v>390.26670119342612</v>
      </c>
      <c r="V34" s="218">
        <f>'[3]Monthly Gallon Summary'!AD207/1000000</f>
        <v>439.49941331568812</v>
      </c>
      <c r="W34" s="218">
        <f>'[3]Monthly Gallon Summary'!AE207/1000000</f>
        <v>439.34553413390921</v>
      </c>
      <c r="X34" s="218">
        <f>'[3]Monthly Gallon Summary'!AF207/1000000</f>
        <v>436.91412379586603</v>
      </c>
      <c r="Y34" s="218">
        <f>'[3]Monthly Gallon Summary'!AG207/1000000</f>
        <v>455.89531930239582</v>
      </c>
      <c r="Z34" s="218">
        <f>'[3]Monthly Gallon Summary'!AH207/1000000</f>
        <v>470.68731942735002</v>
      </c>
      <c r="AA34" s="218">
        <f>'[3]Monthly Gallon Summary'!AI207/1000000</f>
        <v>481.5110010893402</v>
      </c>
      <c r="AB34" s="218">
        <f>'[3]Monthly Gallon Summary'!AJ207/1000000</f>
        <v>487.00777977843001</v>
      </c>
      <c r="AC34" s="218">
        <f>'[3]Monthly Gallon Summary'!AK207/1000000</f>
        <v>501.47354198431492</v>
      </c>
      <c r="AD34" s="218">
        <f>'[3]Monthly Gallon Summary'!AL207/1000000</f>
        <v>528.93030144974705</v>
      </c>
      <c r="AE34" s="218">
        <f>'[3]Monthly Gallon Summary'!AM207/1000000</f>
        <v>548.03204534381575</v>
      </c>
      <c r="AF34" s="218">
        <f>'[3]Monthly Gallon Summary'!AN207/1000000</f>
        <v>548.65909350410561</v>
      </c>
      <c r="AG34" s="218">
        <f>'[3]Monthly Gallon Summary'!AO207/1000000</f>
        <v>547.74103226588534</v>
      </c>
      <c r="AH34" s="218">
        <f>'[3]Monthly Gallon Summary'!AP207/1000000</f>
        <v>560.61717341559699</v>
      </c>
    </row>
    <row r="35" spans="1:34" ht="13.5" thickBot="1" x14ac:dyDescent="0.25">
      <c r="A35" s="188" t="s">
        <v>226</v>
      </c>
      <c r="B35" s="220">
        <f t="shared" ref="B35:R35" si="15">SUM(B23:B34)</f>
        <v>1.8281779999999999</v>
      </c>
      <c r="C35" s="220">
        <f t="shared" si="15"/>
        <v>2.4287020000000004</v>
      </c>
      <c r="D35" s="220">
        <f t="shared" si="15"/>
        <v>4.6083990000000004</v>
      </c>
      <c r="E35" s="220">
        <f t="shared" si="15"/>
        <v>5.0766230000000006</v>
      </c>
      <c r="F35" s="220">
        <f t="shared" si="15"/>
        <v>7.8931369999999985</v>
      </c>
      <c r="G35" s="220">
        <f t="shared" si="15"/>
        <v>14.016105</v>
      </c>
      <c r="H35" s="220">
        <f t="shared" si="15"/>
        <v>38.708892999999996</v>
      </c>
      <c r="I35" s="218">
        <f t="shared" si="15"/>
        <v>139.54484977585415</v>
      </c>
      <c r="J35" s="218">
        <f t="shared" si="15"/>
        <v>460.88495228818954</v>
      </c>
      <c r="K35" s="218">
        <f>SUM(K23:K34)</f>
        <v>1325.024691658055</v>
      </c>
      <c r="L35" s="218">
        <f t="shared" si="15"/>
        <v>1736.1276052408398</v>
      </c>
      <c r="M35" s="218">
        <f t="shared" si="15"/>
        <v>2273.6188430182933</v>
      </c>
      <c r="N35" s="218">
        <f t="shared" si="15"/>
        <v>3073.0567489326882</v>
      </c>
      <c r="O35" s="218">
        <f t="shared" si="15"/>
        <v>3588.4038424726386</v>
      </c>
      <c r="P35" s="218">
        <f t="shared" si="15"/>
        <v>4539.3265633096562</v>
      </c>
      <c r="Q35" s="218">
        <f t="shared" si="15"/>
        <v>4740.909735426977</v>
      </c>
      <c r="R35" s="218">
        <f t="shared" si="15"/>
        <v>5153.1203689732683</v>
      </c>
      <c r="S35" s="218">
        <f t="shared" ref="S35:AH35" si="16">SUM(S23:S34)</f>
        <v>5383.43033507583</v>
      </c>
      <c r="T35" s="218">
        <f t="shared" si="16"/>
        <v>4141.8814130584124</v>
      </c>
      <c r="U35" s="218">
        <f t="shared" si="16"/>
        <v>4521.3717087055411</v>
      </c>
      <c r="V35" s="218">
        <f t="shared" si="16"/>
        <v>5091.1462971830406</v>
      </c>
      <c r="W35" s="218">
        <f t="shared" si="16"/>
        <v>5089.329457841005</v>
      </c>
      <c r="X35" s="218">
        <f t="shared" si="16"/>
        <v>5061.3522657506937</v>
      </c>
      <c r="Y35" s="218">
        <f t="shared" si="16"/>
        <v>5281.432384585718</v>
      </c>
      <c r="Z35" s="218">
        <f t="shared" si="16"/>
        <v>5452.6461677281859</v>
      </c>
      <c r="AA35" s="218">
        <f t="shared" si="16"/>
        <v>5577.9566167679932</v>
      </c>
      <c r="AB35" s="218">
        <f t="shared" si="16"/>
        <v>5641.6619152152552</v>
      </c>
      <c r="AC35" s="218">
        <f t="shared" si="16"/>
        <v>5809.2805268083539</v>
      </c>
      <c r="AD35" s="218">
        <f t="shared" si="16"/>
        <v>6127.3610683523875</v>
      </c>
      <c r="AE35" s="218">
        <f t="shared" si="16"/>
        <v>6348.6128534748404</v>
      </c>
      <c r="AF35" s="218">
        <f t="shared" si="16"/>
        <v>6355.8716047947155</v>
      </c>
      <c r="AG35" s="218">
        <f t="shared" si="16"/>
        <v>6345.2461711034648</v>
      </c>
      <c r="AH35" s="218">
        <f t="shared" si="16"/>
        <v>6494.4139814335422</v>
      </c>
    </row>
    <row r="36" spans="1:34" x14ac:dyDescent="0.2">
      <c r="A36" s="221"/>
      <c r="B36" s="221"/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  <c r="O36" s="221"/>
      <c r="P36" s="221"/>
      <c r="Q36" s="221"/>
      <c r="R36" s="221"/>
      <c r="S36" s="221"/>
      <c r="T36" s="221"/>
      <c r="U36" s="221"/>
      <c r="V36" s="221"/>
      <c r="W36" s="221"/>
      <c r="X36" s="221"/>
      <c r="Y36" s="221"/>
      <c r="Z36" s="221"/>
      <c r="AA36" s="221"/>
      <c r="AB36" s="221"/>
      <c r="AC36" s="221"/>
      <c r="AD36" s="221"/>
      <c r="AE36" s="221"/>
      <c r="AF36" s="221"/>
      <c r="AG36" s="221"/>
      <c r="AH36" s="221"/>
    </row>
    <row r="37" spans="1:34" ht="13.5" thickBot="1" x14ac:dyDescent="0.25">
      <c r="A37" s="188" t="s">
        <v>227</v>
      </c>
    </row>
    <row r="38" spans="1:34" ht="13.5" thickBot="1" x14ac:dyDescent="0.25">
      <c r="A38" s="192" t="s">
        <v>215</v>
      </c>
      <c r="B38" s="216">
        <f t="shared" ref="B38:AH38" si="17">B4</f>
        <v>2018</v>
      </c>
      <c r="C38" s="216">
        <f t="shared" si="17"/>
        <v>2019</v>
      </c>
      <c r="D38" s="216">
        <f t="shared" si="17"/>
        <v>2020</v>
      </c>
      <c r="E38" s="216">
        <f t="shared" si="17"/>
        <v>2021</v>
      </c>
      <c r="F38" s="216">
        <f t="shared" si="17"/>
        <v>2022</v>
      </c>
      <c r="G38" s="216">
        <f t="shared" si="17"/>
        <v>2023</v>
      </c>
      <c r="H38" s="216">
        <f t="shared" si="17"/>
        <v>2024</v>
      </c>
      <c r="I38" s="216">
        <f t="shared" si="17"/>
        <v>2025</v>
      </c>
      <c r="J38" s="216">
        <f t="shared" si="17"/>
        <v>2026</v>
      </c>
      <c r="K38" s="216">
        <f t="shared" si="17"/>
        <v>2027</v>
      </c>
      <c r="L38" s="216">
        <f t="shared" si="17"/>
        <v>2028</v>
      </c>
      <c r="M38" s="216">
        <f t="shared" si="17"/>
        <v>2029</v>
      </c>
      <c r="N38" s="216">
        <f t="shared" si="17"/>
        <v>2030</v>
      </c>
      <c r="O38" s="216">
        <f t="shared" si="17"/>
        <v>2031</v>
      </c>
      <c r="P38" s="216">
        <f t="shared" si="17"/>
        <v>2032</v>
      </c>
      <c r="Q38" s="216">
        <f t="shared" si="17"/>
        <v>2033</v>
      </c>
      <c r="R38" s="216">
        <f t="shared" si="17"/>
        <v>2034</v>
      </c>
      <c r="S38" s="216">
        <f t="shared" si="17"/>
        <v>2035</v>
      </c>
      <c r="T38" s="216">
        <f t="shared" si="17"/>
        <v>2036</v>
      </c>
      <c r="U38" s="216">
        <f t="shared" si="17"/>
        <v>2037</v>
      </c>
      <c r="V38" s="216">
        <f t="shared" si="17"/>
        <v>2038</v>
      </c>
      <c r="W38" s="216">
        <f t="shared" si="17"/>
        <v>2039</v>
      </c>
      <c r="X38" s="216">
        <f t="shared" si="17"/>
        <v>2040</v>
      </c>
      <c r="Y38" s="216">
        <f t="shared" si="17"/>
        <v>2041</v>
      </c>
      <c r="Z38" s="216">
        <f t="shared" si="17"/>
        <v>2042</v>
      </c>
      <c r="AA38" s="216">
        <f t="shared" si="17"/>
        <v>2043</v>
      </c>
      <c r="AB38" s="216">
        <f t="shared" si="17"/>
        <v>2044</v>
      </c>
      <c r="AC38" s="216">
        <f t="shared" si="17"/>
        <v>2045</v>
      </c>
      <c r="AD38" s="216">
        <f t="shared" si="17"/>
        <v>2046</v>
      </c>
      <c r="AE38" s="216">
        <f t="shared" si="17"/>
        <v>2047</v>
      </c>
      <c r="AF38" s="216">
        <f t="shared" si="17"/>
        <v>2048</v>
      </c>
      <c r="AG38" s="216">
        <f t="shared" si="17"/>
        <v>2049</v>
      </c>
      <c r="AH38" s="216">
        <f t="shared" si="17"/>
        <v>2050</v>
      </c>
    </row>
    <row r="39" spans="1:34" x14ac:dyDescent="0.2">
      <c r="A39" s="188" t="s">
        <v>162</v>
      </c>
      <c r="B39" s="220">
        <f>'[3]Monthly Gallon Summary'!J212/1000000</f>
        <v>0</v>
      </c>
      <c r="C39" s="220">
        <f>'[3]Monthly Gallon Summary'!K212/1000000</f>
        <v>0</v>
      </c>
      <c r="D39" s="220">
        <f>'[3]Monthly Gallon Summary'!L212/1000000</f>
        <v>0</v>
      </c>
      <c r="E39" s="220">
        <f>'[3]Monthly Gallon Summary'!M212/1000000</f>
        <v>0</v>
      </c>
      <c r="F39" s="217">
        <f>'[3]Monthly Gallon Summary'!N212/1000000</f>
        <v>0</v>
      </c>
      <c r="G39" s="217">
        <f>'[3]Monthly Gallon Summary'!O212/1000000</f>
        <v>0</v>
      </c>
      <c r="H39" s="217">
        <f>'[3]Monthly Gallon Summary'!P212/1000000</f>
        <v>8.8267290000000003</v>
      </c>
      <c r="I39" s="217">
        <f>'[3]Monthly Gallon Summary'!Q212/1000000</f>
        <v>7.8972059999999997</v>
      </c>
      <c r="J39" s="218">
        <f>'[3]Monthly Gallon Summary'!R212/1000000</f>
        <v>2.2893126179649945</v>
      </c>
      <c r="K39" s="218">
        <f>'[3]Monthly Gallon Summary'!S212/1000000</f>
        <v>3.3875583292688605</v>
      </c>
      <c r="L39" s="218">
        <f>'[3]Monthly Gallon Summary'!T212/1000000</f>
        <v>4.4693950821633441</v>
      </c>
      <c r="M39" s="218">
        <f>'[3]Monthly Gallon Summary'!U212/1000000</f>
        <v>8.2732335969176454</v>
      </c>
      <c r="N39" s="218">
        <f>'[3]Monthly Gallon Summary'!V212/1000000</f>
        <v>10.068287870351941</v>
      </c>
      <c r="O39" s="218">
        <f>'[3]Monthly Gallon Summary'!W212/1000000</f>
        <v>8.1362760563004848</v>
      </c>
      <c r="P39" s="218">
        <f>'[3]Monthly Gallon Summary'!X212/1000000</f>
        <v>7.5038999199589895</v>
      </c>
      <c r="Q39" s="218">
        <f>'[3]Monthly Gallon Summary'!Y212/1000000</f>
        <v>8.0449374120936028</v>
      </c>
      <c r="R39" s="218">
        <f>'[3]Monthly Gallon Summary'!Z212/1000000</f>
        <v>9.0508252891462337</v>
      </c>
      <c r="S39" s="218">
        <f>'[3]Monthly Gallon Summary'!AA212/1000000</f>
        <v>9.2215389637561103</v>
      </c>
      <c r="T39" s="218">
        <f>'[3]Monthly Gallon Summary'!AB212/1000000</f>
        <v>8.3951223357814975</v>
      </c>
      <c r="U39" s="218">
        <f>'[3]Monthly Gallon Summary'!AC212/1000000</f>
        <v>8.470685571318775</v>
      </c>
      <c r="V39" s="218">
        <f>'[3]Monthly Gallon Summary'!AD212/1000000</f>
        <v>8.7169243697181891</v>
      </c>
      <c r="W39" s="218">
        <f>'[3]Monthly Gallon Summary'!AE212/1000000</f>
        <v>7.8553865554032605</v>
      </c>
      <c r="X39" s="218">
        <f>'[3]Monthly Gallon Summary'!AF212/1000000</f>
        <v>7.427869562026876</v>
      </c>
      <c r="Y39" s="218">
        <f>'[3]Monthly Gallon Summary'!AG212/1000000</f>
        <v>7.5641461394570984</v>
      </c>
      <c r="Z39" s="218">
        <f>'[3]Monthly Gallon Summary'!AH212/1000000</f>
        <v>7.8248515120473883</v>
      </c>
      <c r="AA39" s="218">
        <f>'[3]Monthly Gallon Summary'!AI212/1000000</f>
        <v>8.0099775739925185</v>
      </c>
      <c r="AB39" s="218">
        <f>'[3]Monthly Gallon Summary'!AJ212/1000000</f>
        <v>8.0986419875795601</v>
      </c>
      <c r="AC39" s="218">
        <f>'[3]Monthly Gallon Summary'!AK212/1000000</f>
        <v>8.3333121252960947</v>
      </c>
      <c r="AD39" s="218">
        <f>'[3]Monthly Gallon Summary'!AL212/1000000</f>
        <v>8.7907892720632859</v>
      </c>
      <c r="AE39" s="218">
        <f>'[3]Monthly Gallon Summary'!AM212/1000000</f>
        <v>9.1111009150479543</v>
      </c>
      <c r="AF39" s="218">
        <f>'[3]Monthly Gallon Summary'!AN212/1000000</f>
        <v>9.1216083276853439</v>
      </c>
      <c r="AG39" s="218">
        <f>'[3]Monthly Gallon Summary'!AO212/1000000</f>
        <v>9.1053553155277065</v>
      </c>
      <c r="AH39" s="218">
        <f>'[3]Monthly Gallon Summary'!AP212/1000000</f>
        <v>9.3187969903225483</v>
      </c>
    </row>
    <row r="40" spans="1:34" x14ac:dyDescent="0.2">
      <c r="A40" s="188" t="s">
        <v>163</v>
      </c>
      <c r="B40" s="220">
        <f>'[3]Monthly Gallon Summary'!J213/1000000</f>
        <v>0</v>
      </c>
      <c r="C40" s="220">
        <f>'[3]Monthly Gallon Summary'!K213/1000000</f>
        <v>0</v>
      </c>
      <c r="D40" s="220">
        <f>'[3]Monthly Gallon Summary'!L213/1000000</f>
        <v>0</v>
      </c>
      <c r="E40" s="220">
        <f>'[3]Monthly Gallon Summary'!M213/1000000</f>
        <v>0</v>
      </c>
      <c r="F40" s="217">
        <f>'[3]Monthly Gallon Summary'!N213/1000000</f>
        <v>1.4109989999999999</v>
      </c>
      <c r="G40" s="217">
        <f>'[3]Monthly Gallon Summary'!O213/1000000</f>
        <v>1.48628</v>
      </c>
      <c r="H40" s="217">
        <f>'[3]Monthly Gallon Summary'!P213/1000000</f>
        <v>0</v>
      </c>
      <c r="I40" s="217">
        <f>'[3]Monthly Gallon Summary'!Q213/1000000</f>
        <v>0</v>
      </c>
      <c r="J40" s="218">
        <f>'[3]Monthly Gallon Summary'!R213/1000000</f>
        <v>4.5244644572742772</v>
      </c>
      <c r="K40" s="218">
        <f>'[3]Monthly Gallon Summary'!S213/1000000</f>
        <v>6.5242887560885983</v>
      </c>
      <c r="L40" s="218">
        <f>'[3]Monthly Gallon Summary'!T213/1000000</f>
        <v>8.5076006500327601</v>
      </c>
      <c r="M40" s="218">
        <f>'[3]Monthly Gallon Summary'!U213/1000000</f>
        <v>6.0213276275396987</v>
      </c>
      <c r="N40" s="218">
        <f>'[3]Monthly Gallon Summary'!V213/1000000</f>
        <v>9.7855508194537979</v>
      </c>
      <c r="O40" s="218">
        <f>'[3]Monthly Gallon Summary'!W213/1000000</f>
        <v>10.099942663293033</v>
      </c>
      <c r="P40" s="218">
        <f>'[3]Monthly Gallon Summary'!X213/1000000</f>
        <v>8.9472029999240501</v>
      </c>
      <c r="Q40" s="218">
        <f>'[3]Monthly Gallon Summary'!Y213/1000000</f>
        <v>9.0723444866945115</v>
      </c>
      <c r="R40" s="218">
        <f>'[3]Monthly Gallon Summary'!Z213/1000000</f>
        <v>9.4599505557137764</v>
      </c>
      <c r="S40" s="218">
        <f>'[3]Monthly Gallon Summary'!AA213/1000000</f>
        <v>10.204088476595111</v>
      </c>
      <c r="T40" s="218">
        <f>'[3]Monthly Gallon Summary'!AB213/1000000</f>
        <v>9.5608362483089273</v>
      </c>
      <c r="U40" s="218">
        <f>'[3]Monthly Gallon Summary'!AC213/1000000</f>
        <v>9.4795712438415549</v>
      </c>
      <c r="V40" s="218">
        <f>'[3]Monthly Gallon Summary'!AD213/1000000</f>
        <v>9.6442029765538209</v>
      </c>
      <c r="W40" s="218">
        <f>'[3]Monthly Gallon Summary'!AE213/1000000</f>
        <v>8.6602780820416871</v>
      </c>
      <c r="X40" s="218">
        <f>'[3]Monthly Gallon Summary'!AF213/1000000</f>
        <v>8.2791943821031406</v>
      </c>
      <c r="Y40" s="218">
        <f>'[3]Monthly Gallon Summary'!AG213/1000000</f>
        <v>8.4448521703038253</v>
      </c>
      <c r="Z40" s="218">
        <f>'[3]Monthly Gallon Summary'!AH213/1000000</f>
        <v>8.6991172352069004</v>
      </c>
      <c r="AA40" s="218">
        <f>'[3]Monthly Gallon Summary'!AI213/1000000</f>
        <v>8.8922255079482628</v>
      </c>
      <c r="AB40" s="218">
        <f>'[3]Monthly Gallon Summary'!AJ213/1000000</f>
        <v>8.9975301885513819</v>
      </c>
      <c r="AC40" s="218">
        <f>'[3]Monthly Gallon Summary'!AK213/1000000</f>
        <v>9.2725899409893096</v>
      </c>
      <c r="AD40" s="218">
        <f>'[3]Monthly Gallon Summary'!AL213/1000000</f>
        <v>9.7785184888827086</v>
      </c>
      <c r="AE40" s="218">
        <f>'[3]Monthly Gallon Summary'!AM213/1000000</f>
        <v>10.12798494699549</v>
      </c>
      <c r="AF40" s="218">
        <f>'[3]Monthly Gallon Summary'!AN213/1000000</f>
        <v>10.139462775938636</v>
      </c>
      <c r="AG40" s="218">
        <f>'[3]Monthly Gallon Summary'!AO213/1000000</f>
        <v>10.123818922406681</v>
      </c>
      <c r="AH40" s="218">
        <f>'[3]Monthly Gallon Summary'!AP213/1000000</f>
        <v>10.362595841713604</v>
      </c>
    </row>
    <row r="41" spans="1:34" x14ac:dyDescent="0.2">
      <c r="A41" s="188" t="s">
        <v>164</v>
      </c>
      <c r="B41" s="220">
        <f>'[3]Monthly Gallon Summary'!J214/1000000</f>
        <v>0</v>
      </c>
      <c r="C41" s="220">
        <f>'[3]Monthly Gallon Summary'!K214/1000000</f>
        <v>0</v>
      </c>
      <c r="D41" s="220">
        <f>'[3]Monthly Gallon Summary'!L214/1000000</f>
        <v>0</v>
      </c>
      <c r="E41" s="220">
        <f>'[3]Monthly Gallon Summary'!M214/1000000</f>
        <v>0</v>
      </c>
      <c r="F41" s="217">
        <f>'[3]Monthly Gallon Summary'!N214/1000000</f>
        <v>1.8959710000000001</v>
      </c>
      <c r="G41" s="217">
        <f>'[3]Monthly Gallon Summary'!O214/1000000</f>
        <v>1.414636</v>
      </c>
      <c r="H41" s="217">
        <f>'[3]Monthly Gallon Summary'!P214/1000000</f>
        <v>5.6634399999999996</v>
      </c>
      <c r="I41" s="217">
        <f>'[3]Monthly Gallon Summary'!Q214/1000000</f>
        <v>4.9816929999999999</v>
      </c>
      <c r="J41" s="218">
        <f>'[3]Monthly Gallon Summary'!R214/1000000</f>
        <v>1.8303595228116716</v>
      </c>
      <c r="K41" s="218">
        <f>'[3]Monthly Gallon Summary'!S214/1000000</f>
        <v>2.6223296439365509</v>
      </c>
      <c r="L41" s="218">
        <f>'[3]Monthly Gallon Summary'!T214/1000000</f>
        <v>3.4045688634102951</v>
      </c>
      <c r="M41" s="218">
        <f>'[3]Monthly Gallon Summary'!U214/1000000</f>
        <v>5.6968164446013887</v>
      </c>
      <c r="N41" s="218">
        <f>'[3]Monthly Gallon Summary'!V214/1000000</f>
        <v>7.0914439475729409</v>
      </c>
      <c r="O41" s="218">
        <f>'[3]Monthly Gallon Summary'!W214/1000000</f>
        <v>5.8964788764024405</v>
      </c>
      <c r="P41" s="218">
        <f>'[3]Monthly Gallon Summary'!X214/1000000</f>
        <v>5.4007572992111026</v>
      </c>
      <c r="Q41" s="218">
        <f>'[3]Monthly Gallon Summary'!Y214/1000000</f>
        <v>5.7516143579164734</v>
      </c>
      <c r="R41" s="218">
        <f>'[3]Monthly Gallon Summary'!Z214/1000000</f>
        <v>6.4256983469923661</v>
      </c>
      <c r="S41" s="218">
        <f>'[3]Monthly Gallon Summary'!AA214/1000000</f>
        <v>6.584992103877191</v>
      </c>
      <c r="T41" s="218">
        <f>'[3]Monthly Gallon Summary'!AB214/1000000</f>
        <v>6.014506545868743</v>
      </c>
      <c r="U41" s="218">
        <f>'[3]Monthly Gallon Summary'!AC214/1000000</f>
        <v>6.0551149800189483</v>
      </c>
      <c r="V41" s="218">
        <f>'[3]Monthly Gallon Summary'!AD214/1000000</f>
        <v>6.2237197065062366</v>
      </c>
      <c r="W41" s="218">
        <f>'[3]Monthly Gallon Summary'!AE214/1000000</f>
        <v>5.6072221719538238</v>
      </c>
      <c r="X41" s="218">
        <f>'[3]Monthly Gallon Summary'!AF214/1000000</f>
        <v>5.308123448247045</v>
      </c>
      <c r="Y41" s="218">
        <f>'[3]Monthly Gallon Summary'!AG214/1000000</f>
        <v>5.4064219311959851</v>
      </c>
      <c r="Z41" s="218">
        <f>'[3]Monthly Gallon Summary'!AH214/1000000</f>
        <v>5.589993692532806</v>
      </c>
      <c r="AA41" s="218">
        <f>'[3]Monthly Gallon Summary'!AI214/1000000</f>
        <v>5.7214844811736185</v>
      </c>
      <c r="AB41" s="218">
        <f>'[3]Monthly Gallon Summary'!AJ214/1000000</f>
        <v>5.7853892165231571</v>
      </c>
      <c r="AC41" s="218">
        <f>'[3]Monthly Gallon Summary'!AK214/1000000</f>
        <v>5.9539700709243482</v>
      </c>
      <c r="AD41" s="218">
        <f>'[3]Monthly Gallon Summary'!AL214/1000000</f>
        <v>6.2805908557496002</v>
      </c>
      <c r="AE41" s="218">
        <f>'[3]Monthly Gallon Summary'!AM214/1000000</f>
        <v>6.5089479794914924</v>
      </c>
      <c r="AF41" s="218">
        <f>'[3]Monthly Gallon Summary'!AN214/1000000</f>
        <v>6.5164675663020342</v>
      </c>
      <c r="AG41" s="218">
        <f>'[3]Monthly Gallon Summary'!AO214/1000000</f>
        <v>6.5050314380742078</v>
      </c>
      <c r="AH41" s="218">
        <f>'[3]Monthly Gallon Summary'!AP214/1000000</f>
        <v>6.6576077379988616</v>
      </c>
    </row>
    <row r="42" spans="1:34" x14ac:dyDescent="0.2">
      <c r="A42" s="188" t="s">
        <v>165</v>
      </c>
      <c r="B42" s="220">
        <f>'[3]Monthly Gallon Summary'!J215/1000000</f>
        <v>0</v>
      </c>
      <c r="C42" s="220">
        <f>'[3]Monthly Gallon Summary'!K215/1000000</f>
        <v>0</v>
      </c>
      <c r="D42" s="220">
        <f>'[3]Monthly Gallon Summary'!L215/1000000</f>
        <v>0</v>
      </c>
      <c r="E42" s="220">
        <f>'[3]Monthly Gallon Summary'!M215/1000000</f>
        <v>0</v>
      </c>
      <c r="F42" s="217">
        <f>'[3]Monthly Gallon Summary'!N215/1000000</f>
        <v>0</v>
      </c>
      <c r="G42" s="217">
        <f>'[3]Monthly Gallon Summary'!O215/1000000</f>
        <v>1.397929</v>
      </c>
      <c r="H42" s="217">
        <f>'[3]Monthly Gallon Summary'!P215/1000000</f>
        <v>5.6601629999999998</v>
      </c>
      <c r="I42" s="218">
        <f>'[3]Monthly Gallon Summary'!Q215/1000000</f>
        <v>4.9035739856702527</v>
      </c>
      <c r="J42" s="218">
        <f>'[3]Monthly Gallon Summary'!R215/1000000</f>
        <v>2.8923927353115393</v>
      </c>
      <c r="K42" s="218">
        <f>'[3]Monthly Gallon Summary'!S215/1000000</f>
        <v>4.1602966501418734</v>
      </c>
      <c r="L42" s="218">
        <f>'[3]Monthly Gallon Summary'!T215/1000000</f>
        <v>5.4614677466848036</v>
      </c>
      <c r="M42" s="218">
        <f>'[3]Monthly Gallon Summary'!U215/1000000</f>
        <v>7.1055965957484473</v>
      </c>
      <c r="N42" s="218">
        <f>'[3]Monthly Gallon Summary'!V215/1000000</f>
        <v>9.3821744433003893</v>
      </c>
      <c r="O42" s="218">
        <f>'[3]Monthly Gallon Summary'!W215/1000000</f>
        <v>8.2831175918236912</v>
      </c>
      <c r="P42" s="218">
        <f>'[3]Monthly Gallon Summary'!X215/1000000</f>
        <v>7.516554489947759</v>
      </c>
      <c r="Q42" s="218">
        <f>'[3]Monthly Gallon Summary'!Y215/1000000</f>
        <v>7.8980233162649229</v>
      </c>
      <c r="R42" s="218">
        <f>'[3]Monthly Gallon Summary'!Z215/1000000</f>
        <v>8.6543126075736154</v>
      </c>
      <c r="S42" s="218">
        <f>'[3]Monthly Gallon Summary'!AA215/1000000</f>
        <v>8.9910137528802743</v>
      </c>
      <c r="T42" s="218">
        <f>'[3]Monthly Gallon Summary'!AB215/1000000</f>
        <v>8.2721780456156377</v>
      </c>
      <c r="U42" s="218">
        <f>'[3]Monthly Gallon Summary'!AC215/1000000</f>
        <v>8.2932628877278347</v>
      </c>
      <c r="V42" s="218">
        <f>'[3]Monthly Gallon Summary'!AD215/1000000</f>
        <v>8.5000627950469809</v>
      </c>
      <c r="W42" s="218">
        <f>'[3]Monthly Gallon Summary'!AE215/1000000</f>
        <v>7.6504239415513347</v>
      </c>
      <c r="X42" s="218">
        <f>'[3]Monthly Gallon Summary'!AF215/1000000</f>
        <v>7.2619832583145296</v>
      </c>
      <c r="Y42" s="218">
        <f>'[3]Monthly Gallon Summary'!AG215/1000000</f>
        <v>7.3997662235446837</v>
      </c>
      <c r="Z42" s="218">
        <f>'[3]Monthly Gallon Summary'!AH215/1000000</f>
        <v>7.6431779837516336</v>
      </c>
      <c r="AA42" s="218">
        <f>'[3]Monthly Gallon Summary'!AI215/1000000</f>
        <v>7.8200922160399218</v>
      </c>
      <c r="AB42" s="218">
        <f>'[3]Monthly Gallon Summary'!AJ215/1000000</f>
        <v>7.9087938623335594</v>
      </c>
      <c r="AC42" s="218">
        <f>'[3]Monthly Gallon Summary'!AK215/1000000</f>
        <v>8.1424194232569924</v>
      </c>
      <c r="AD42" s="218">
        <f>'[3]Monthly Gallon Summary'!AL215/1000000</f>
        <v>8.5884757035297916</v>
      </c>
      <c r="AE42" s="218">
        <f>'[3]Monthly Gallon Summary'!AM215/1000000</f>
        <v>8.8992623326791396</v>
      </c>
      <c r="AF42" s="218">
        <f>'[3]Monthly Gallon Summary'!AN215/1000000</f>
        <v>8.9094696525654502</v>
      </c>
      <c r="AG42" s="218">
        <f>'[3]Monthly Gallon Summary'!AO215/1000000</f>
        <v>8.8943488603445111</v>
      </c>
      <c r="AH42" s="218">
        <f>'[3]Monthly Gallon Summary'!AP215/1000000</f>
        <v>9.1032993078456705</v>
      </c>
    </row>
    <row r="43" spans="1:34" x14ac:dyDescent="0.2">
      <c r="A43" s="188" t="s">
        <v>166</v>
      </c>
      <c r="B43" s="220">
        <f>'[3]Monthly Gallon Summary'!J216/1000000</f>
        <v>0</v>
      </c>
      <c r="C43" s="220">
        <f>'[3]Monthly Gallon Summary'!K216/1000000</f>
        <v>0</v>
      </c>
      <c r="D43" s="220">
        <f>'[3]Monthly Gallon Summary'!L216/1000000</f>
        <v>0</v>
      </c>
      <c r="E43" s="220">
        <f>'[3]Monthly Gallon Summary'!M216/1000000</f>
        <v>0</v>
      </c>
      <c r="F43" s="217">
        <f>'[3]Monthly Gallon Summary'!N216/1000000</f>
        <v>0</v>
      </c>
      <c r="G43" s="217">
        <f>'[3]Monthly Gallon Summary'!O216/1000000</f>
        <v>0</v>
      </c>
      <c r="H43" s="217">
        <f>'[3]Monthly Gallon Summary'!P216/1000000</f>
        <v>14.789282</v>
      </c>
      <c r="I43" s="218">
        <f>'[3]Monthly Gallon Summary'!Q216/1000000</f>
        <v>4.7194151537076579</v>
      </c>
      <c r="J43" s="218">
        <f>'[3]Monthly Gallon Summary'!R216/1000000</f>
        <v>3.7073237291912431</v>
      </c>
      <c r="K43" s="218">
        <f>'[3]Monthly Gallon Summary'!S216/1000000</f>
        <v>5.4418514775471358</v>
      </c>
      <c r="L43" s="218">
        <f>'[3]Monthly Gallon Summary'!T216/1000000</f>
        <v>7.1937349450517898</v>
      </c>
      <c r="M43" s="218">
        <f>'[3]Monthly Gallon Summary'!U216/1000000</f>
        <v>11.038574729635984</v>
      </c>
      <c r="N43" s="218">
        <f>'[3]Monthly Gallon Summary'!V216/1000000</f>
        <v>12.281214337403222</v>
      </c>
      <c r="O43" s="218">
        <f>'[3]Monthly Gallon Summary'!W216/1000000</f>
        <v>11.327895155780968</v>
      </c>
      <c r="P43" s="218">
        <f>'[3]Monthly Gallon Summary'!X216/1000000</f>
        <v>10.333814026588806</v>
      </c>
      <c r="Q43" s="218">
        <f>'[3]Monthly Gallon Summary'!Y216/1000000</f>
        <v>10.916373448436028</v>
      </c>
      <c r="R43" s="218">
        <f>'[3]Monthly Gallon Summary'!Z216/1000000</f>
        <v>12.038124691885026</v>
      </c>
      <c r="S43" s="218">
        <f>'[3]Monthly Gallon Summary'!AA216/1000000</f>
        <v>12.257709882674122</v>
      </c>
      <c r="T43" s="218">
        <f>'[3]Monthly Gallon Summary'!AB216/1000000</f>
        <v>11.379699626763848</v>
      </c>
      <c r="U43" s="218">
        <f>'[3]Monthly Gallon Summary'!AC216/1000000</f>
        <v>11.422119323939857</v>
      </c>
      <c r="V43" s="218">
        <f>'[3]Monthly Gallon Summary'!AD216/1000000</f>
        <v>11.710687130305608</v>
      </c>
      <c r="W43" s="218">
        <f>'[3]Monthly Gallon Summary'!AE216/1000000</f>
        <v>10.533832669100466</v>
      </c>
      <c r="X43" s="218">
        <f>'[3]Monthly Gallon Summary'!AF216/1000000</f>
        <v>9.9777405776681007</v>
      </c>
      <c r="Y43" s="218">
        <f>'[3]Monthly Gallon Summary'!AG216/1000000</f>
        <v>10.184757388199346</v>
      </c>
      <c r="Z43" s="218">
        <f>'[3]Monthly Gallon Summary'!AH216/1000000</f>
        <v>10.520916108689903</v>
      </c>
      <c r="AA43" s="218">
        <f>'[3]Monthly Gallon Summary'!AI216/1000000</f>
        <v>10.763148240256884</v>
      </c>
      <c r="AB43" s="218">
        <f>'[3]Monthly Gallon Summary'!AJ216/1000000</f>
        <v>10.88279023036953</v>
      </c>
      <c r="AC43" s="218">
        <f>'[3]Monthly Gallon Summary'!AK216/1000000</f>
        <v>11.202861266531075</v>
      </c>
      <c r="AD43" s="218">
        <f>'[3]Monthly Gallon Summary'!AL216/1000000</f>
        <v>11.8196109555322</v>
      </c>
      <c r="AE43" s="218">
        <f>'[3]Monthly Gallon Summary'!AM216/1000000</f>
        <v>12.247083684169462</v>
      </c>
      <c r="AF43" s="218">
        <f>'[3]Monthly Gallon Summary'!AN216/1000000</f>
        <v>12.26060436933103</v>
      </c>
      <c r="AG43" s="218">
        <f>'[3]Monthly Gallon Summary'!AO216/1000000</f>
        <v>12.239446081529563</v>
      </c>
      <c r="AH43" s="218">
        <f>'[3]Monthly Gallon Summary'!AP216/1000000</f>
        <v>12.527073656042571</v>
      </c>
    </row>
    <row r="44" spans="1:34" x14ac:dyDescent="0.2">
      <c r="A44" s="188" t="s">
        <v>167</v>
      </c>
      <c r="B44" s="220">
        <f>'[3]Monthly Gallon Summary'!J217/1000000</f>
        <v>0</v>
      </c>
      <c r="C44" s="220">
        <f>'[3]Monthly Gallon Summary'!K217/1000000</f>
        <v>0</v>
      </c>
      <c r="D44" s="220">
        <f>'[3]Monthly Gallon Summary'!L217/1000000</f>
        <v>0</v>
      </c>
      <c r="E44" s="220">
        <f>'[3]Monthly Gallon Summary'!M217/1000000</f>
        <v>0</v>
      </c>
      <c r="F44" s="217">
        <f>'[3]Monthly Gallon Summary'!N217/1000000</f>
        <v>1.529485</v>
      </c>
      <c r="G44" s="217">
        <f>'[3]Monthly Gallon Summary'!O217/1000000</f>
        <v>1.3101240000000001</v>
      </c>
      <c r="H44" s="217">
        <f>'[3]Monthly Gallon Summary'!P217/1000000</f>
        <v>3.2706520000000001</v>
      </c>
      <c r="I44" s="218">
        <f>'[3]Monthly Gallon Summary'!Q217/1000000</f>
        <v>5.074742993564878</v>
      </c>
      <c r="J44" s="218">
        <f>'[3]Monthly Gallon Summary'!R217/1000000</f>
        <v>3.6445958845373942</v>
      </c>
      <c r="K44" s="218">
        <f>'[3]Monthly Gallon Summary'!S217/1000000</f>
        <v>5.2434649084937632</v>
      </c>
      <c r="L44" s="218">
        <f>'[3]Monthly Gallon Summary'!T217/1000000</f>
        <v>6.8537216016237048</v>
      </c>
      <c r="M44" s="218">
        <f>'[3]Monthly Gallon Summary'!U217/1000000</f>
        <v>7.4163511097335917</v>
      </c>
      <c r="N44" s="218">
        <f>'[3]Monthly Gallon Summary'!V217/1000000</f>
        <v>10.801379626530887</v>
      </c>
      <c r="O44" s="218">
        <f>'[3]Monthly Gallon Summary'!W217/1000000</f>
        <v>9.6990323872308384</v>
      </c>
      <c r="P44" s="218">
        <f>'[3]Monthly Gallon Summary'!X217/1000000</f>
        <v>8.7450954288650955</v>
      </c>
      <c r="Q44" s="218">
        <f>'[3]Monthly Gallon Summary'!Y217/1000000</f>
        <v>9.1045558342933131</v>
      </c>
      <c r="R44" s="218">
        <f>'[3]Monthly Gallon Summary'!Z217/1000000</f>
        <v>9.8562214687729952</v>
      </c>
      <c r="S44" s="218">
        <f>'[3]Monthly Gallon Summary'!AA217/1000000</f>
        <v>10.385332686326661</v>
      </c>
      <c r="T44" s="218">
        <f>'[3]Monthly Gallon Summary'!AB217/1000000</f>
        <v>9.5621785528565102</v>
      </c>
      <c r="U44" s="218">
        <f>'[3]Monthly Gallon Summary'!AC217/1000000</f>
        <v>9.5616291173651806</v>
      </c>
      <c r="V44" s="218">
        <f>'[3]Monthly Gallon Summary'!AD217/1000000</f>
        <v>9.7841172308337612</v>
      </c>
      <c r="W44" s="218">
        <f>'[3]Monthly Gallon Summary'!AE217/1000000</f>
        <v>8.8037237980115073</v>
      </c>
      <c r="X44" s="218">
        <f>'[3]Monthly Gallon Summary'!AF217/1000000</f>
        <v>8.374612514862287</v>
      </c>
      <c r="Y44" s="218">
        <f>'[3]Monthly Gallon Summary'!AG217/1000000</f>
        <v>8.5303996927776762</v>
      </c>
      <c r="Z44" s="218">
        <f>'[3]Monthly Gallon Summary'!AH217/1000000</f>
        <v>8.8059080044271383</v>
      </c>
      <c r="AA44" s="218">
        <f>'[3]Monthly Gallon Summary'!AI217/1000000</f>
        <v>9.0083647555763147</v>
      </c>
      <c r="AB44" s="218">
        <f>'[3]Monthly Gallon Summary'!AJ217/1000000</f>
        <v>9.1121234214885831</v>
      </c>
      <c r="AC44" s="218">
        <f>'[3]Monthly Gallon Summary'!AK217/1000000</f>
        <v>9.3835899627484629</v>
      </c>
      <c r="AD44" s="218">
        <f>'[3]Monthly Gallon Summary'!AL217/1000000</f>
        <v>9.8963892964326874</v>
      </c>
      <c r="AE44" s="218">
        <f>'[3]Monthly Gallon Summary'!AM217/1000000</f>
        <v>10.253673664124696</v>
      </c>
      <c r="AF44" s="218">
        <f>'[3]Monthly Gallon Summary'!AN217/1000000</f>
        <v>10.265545032838656</v>
      </c>
      <c r="AG44" s="218">
        <f>'[3]Monthly Gallon Summary'!AO217/1000000</f>
        <v>10.248540359506354</v>
      </c>
      <c r="AH44" s="218">
        <f>'[3]Monthly Gallon Summary'!AP217/1000000</f>
        <v>10.489473536981006</v>
      </c>
    </row>
    <row r="45" spans="1:34" x14ac:dyDescent="0.2">
      <c r="A45" s="188" t="s">
        <v>168</v>
      </c>
      <c r="B45" s="220">
        <f>'[3]Monthly Gallon Summary'!J218/1000000</f>
        <v>0</v>
      </c>
      <c r="C45" s="220">
        <f>'[3]Monthly Gallon Summary'!K218/1000000</f>
        <v>0</v>
      </c>
      <c r="D45" s="220">
        <f>'[3]Monthly Gallon Summary'!L218/1000000</f>
        <v>0</v>
      </c>
      <c r="E45" s="220">
        <f>'[3]Monthly Gallon Summary'!M218/1000000</f>
        <v>0</v>
      </c>
      <c r="F45" s="217">
        <f>'[3]Monthly Gallon Summary'!N218/1000000</f>
        <v>0</v>
      </c>
      <c r="G45" s="217">
        <f>'[3]Monthly Gallon Summary'!O218/1000000</f>
        <v>0</v>
      </c>
      <c r="H45" s="217">
        <f>'[3]Monthly Gallon Summary'!P218/1000000</f>
        <v>6.9374469999999997</v>
      </c>
      <c r="I45" s="218">
        <f>'[3]Monthly Gallon Summary'!Q218/1000000</f>
        <v>7.7108777437244571</v>
      </c>
      <c r="J45" s="218">
        <f>'[3]Monthly Gallon Summary'!R218/1000000</f>
        <v>4.1226921761037989</v>
      </c>
      <c r="K45" s="218">
        <f>'[3]Monthly Gallon Summary'!S218/1000000</f>
        <v>5.7364242442540192</v>
      </c>
      <c r="L45" s="218">
        <f>'[3]Monthly Gallon Summary'!T218/1000000</f>
        <v>7.4633031505263636</v>
      </c>
      <c r="M45" s="218">
        <f>'[3]Monthly Gallon Summary'!U218/1000000</f>
        <v>9.8436716455045357</v>
      </c>
      <c r="N45" s="218">
        <f>'[3]Monthly Gallon Summary'!V218/1000000</f>
        <v>13.343287283824084</v>
      </c>
      <c r="O45" s="218">
        <f>'[3]Monthly Gallon Summary'!W218/1000000</f>
        <v>11.569711631184392</v>
      </c>
      <c r="P45" s="218">
        <f>'[3]Monthly Gallon Summary'!X218/1000000</f>
        <v>10.480926786376985</v>
      </c>
      <c r="Q45" s="218">
        <f>'[3]Monthly Gallon Summary'!Y218/1000000</f>
        <v>11.026356293501768</v>
      </c>
      <c r="R45" s="218">
        <f>'[3]Monthly Gallon Summary'!Z218/1000000</f>
        <v>12.116963830799778</v>
      </c>
      <c r="S45" s="218">
        <f>'[3]Monthly Gallon Summary'!AA218/1000000</f>
        <v>12.610985800878591</v>
      </c>
      <c r="T45" s="218">
        <f>'[3]Monthly Gallon Summary'!AB218/1000000</f>
        <v>11.565985532295105</v>
      </c>
      <c r="U45" s="218">
        <f>'[3]Monthly Gallon Summary'!AC218/1000000</f>
        <v>11.597787299105642</v>
      </c>
      <c r="V45" s="218">
        <f>'[3]Monthly Gallon Summary'!AD218/1000000</f>
        <v>11.893178643672295</v>
      </c>
      <c r="W45" s="218">
        <f>'[3]Monthly Gallon Summary'!AE218/1000000</f>
        <v>10.708755550265765</v>
      </c>
      <c r="X45" s="218">
        <f>'[3]Monthly Gallon Summary'!AF218/1000000</f>
        <v>10.164508628958957</v>
      </c>
      <c r="Y45" s="218">
        <f>'[3]Monthly Gallon Summary'!AG218/1000000</f>
        <v>10.352479933655555</v>
      </c>
      <c r="Z45" s="218">
        <f>'[3]Monthly Gallon Summary'!AH218/1000000</f>
        <v>10.694392430720306</v>
      </c>
      <c r="AA45" s="218">
        <f>'[3]Monthly Gallon Summary'!AI218/1000000</f>
        <v>10.943194760625417</v>
      </c>
      <c r="AB45" s="218">
        <f>'[3]Monthly Gallon Summary'!AJ218/1000000</f>
        <v>11.067644746455752</v>
      </c>
      <c r="AC45" s="218">
        <f>'[3]Monthly Gallon Summary'!AK218/1000000</f>
        <v>11.394009739525481</v>
      </c>
      <c r="AD45" s="218">
        <f>'[3]Monthly Gallon Summary'!AL218/1000000</f>
        <v>12.017635996307346</v>
      </c>
      <c r="AE45" s="218">
        <f>'[3]Monthly Gallon Summary'!AM218/1000000</f>
        <v>12.452916837284565</v>
      </c>
      <c r="AF45" s="218">
        <f>'[3]Monthly Gallon Summary'!AN218/1000000</f>
        <v>12.467385470164317</v>
      </c>
      <c r="AG45" s="218">
        <f>'[3]Monthly Gallon Summary'!AO218/1000000</f>
        <v>12.446180289094572</v>
      </c>
      <c r="AH45" s="218">
        <f>'[3]Monthly Gallon Summary'!AP218/1000000</f>
        <v>12.738449133281387</v>
      </c>
    </row>
    <row r="46" spans="1:34" x14ac:dyDescent="0.2">
      <c r="A46" s="188" t="s">
        <v>169</v>
      </c>
      <c r="B46" s="220">
        <f>'[3]Monthly Gallon Summary'!J219/1000000</f>
        <v>0</v>
      </c>
      <c r="C46" s="220">
        <f>'[3]Monthly Gallon Summary'!K219/1000000</f>
        <v>0</v>
      </c>
      <c r="D46" s="220">
        <f>'[3]Monthly Gallon Summary'!L219/1000000</f>
        <v>0</v>
      </c>
      <c r="E46" s="220">
        <f>'[3]Monthly Gallon Summary'!M219/1000000</f>
        <v>0</v>
      </c>
      <c r="F46" s="217">
        <f>'[3]Monthly Gallon Summary'!N219/1000000</f>
        <v>1.6469940000000001</v>
      </c>
      <c r="G46" s="217">
        <f>'[3]Monthly Gallon Summary'!O219/1000000</f>
        <v>1.4363239999999999</v>
      </c>
      <c r="H46" s="217">
        <f>'[3]Monthly Gallon Summary'!P219/1000000</f>
        <v>6.9919359999999999</v>
      </c>
      <c r="I46" s="218">
        <f>'[3]Monthly Gallon Summary'!Q219/1000000</f>
        <v>6.3508158989414998</v>
      </c>
      <c r="J46" s="218">
        <f>'[3]Monthly Gallon Summary'!R219/1000000</f>
        <v>4.2945445735034244</v>
      </c>
      <c r="K46" s="218">
        <f>'[3]Monthly Gallon Summary'!S219/1000000</f>
        <v>6.1482894224402838</v>
      </c>
      <c r="L46" s="218">
        <f>'[3]Monthly Gallon Summary'!T219/1000000</f>
        <v>8.1322849702272961</v>
      </c>
      <c r="M46" s="218">
        <f>'[3]Monthly Gallon Summary'!U219/1000000</f>
        <v>9.827392109736353</v>
      </c>
      <c r="N46" s="218">
        <f>'[3]Monthly Gallon Summary'!V219/1000000</f>
        <v>13.29598413280741</v>
      </c>
      <c r="O46" s="218">
        <f>'[3]Monthly Gallon Summary'!W219/1000000</f>
        <v>11.909330206500689</v>
      </c>
      <c r="P46" s="218">
        <f>'[3]Monthly Gallon Summary'!X219/1000000</f>
        <v>10.777475126047934</v>
      </c>
      <c r="Q46" s="218">
        <f>'[3]Monthly Gallon Summary'!Y219/1000000</f>
        <v>11.286123194577169</v>
      </c>
      <c r="R46" s="218">
        <f>'[3]Monthly Gallon Summary'!Z219/1000000</f>
        <v>12.296218360128551</v>
      </c>
      <c r="S46" s="218">
        <f>'[3]Monthly Gallon Summary'!AA219/1000000</f>
        <v>12.832428497888857</v>
      </c>
      <c r="T46" s="218">
        <f>'[3]Monthly Gallon Summary'!AB219/1000000</f>
        <v>11.825423821660499</v>
      </c>
      <c r="U46" s="218">
        <f>'[3]Monthly Gallon Summary'!AC219/1000000</f>
        <v>11.841867572182807</v>
      </c>
      <c r="V46" s="218">
        <f>'[3]Monthly Gallon Summary'!AD219/1000000</f>
        <v>12.128139700800538</v>
      </c>
      <c r="W46" s="218">
        <f>'[3]Monthly Gallon Summary'!AE219/1000000</f>
        <v>10.912806508710748</v>
      </c>
      <c r="X46" s="218">
        <f>'[3]Monthly Gallon Summary'!AF219/1000000</f>
        <v>10.367178835596055</v>
      </c>
      <c r="Y46" s="218">
        <f>'[3]Monthly Gallon Summary'!AG219/1000000</f>
        <v>10.564452442690831</v>
      </c>
      <c r="Z46" s="218">
        <f>'[3]Monthly Gallon Summary'!AH219/1000000</f>
        <v>10.908944967033701</v>
      </c>
      <c r="AA46" s="218">
        <f>'[3]Monthly Gallon Summary'!AI219/1000000</f>
        <v>11.16041981232374</v>
      </c>
      <c r="AB46" s="218">
        <f>'[3]Monthly Gallon Summary'!AJ219/1000000</f>
        <v>11.28757494114396</v>
      </c>
      <c r="AC46" s="218">
        <f>'[3]Monthly Gallon Summary'!AK219/1000000</f>
        <v>11.622297996760199</v>
      </c>
      <c r="AD46" s="218">
        <f>'[3]Monthly Gallon Summary'!AL219/1000000</f>
        <v>12.258636283400008</v>
      </c>
      <c r="AE46" s="218">
        <f>'[3]Monthly Gallon Summary'!AM219/1000000</f>
        <v>12.701677541979496</v>
      </c>
      <c r="AF46" s="218">
        <f>'[3]Monthly Gallon Summary'!AN219/1000000</f>
        <v>12.7162369549656</v>
      </c>
      <c r="AG46" s="218">
        <f>'[3]Monthly Gallon Summary'!AO219/1000000</f>
        <v>12.694860642194291</v>
      </c>
      <c r="AH46" s="218">
        <f>'[3]Monthly Gallon Summary'!AP219/1000000</f>
        <v>12.9932219975998</v>
      </c>
    </row>
    <row r="47" spans="1:34" x14ac:dyDescent="0.2">
      <c r="A47" s="188" t="s">
        <v>170</v>
      </c>
      <c r="B47" s="220">
        <f>'[3]Monthly Gallon Summary'!J220/1000000</f>
        <v>0</v>
      </c>
      <c r="C47" s="220">
        <f>'[3]Monthly Gallon Summary'!K220/1000000</f>
        <v>0</v>
      </c>
      <c r="D47" s="220">
        <f>'[3]Monthly Gallon Summary'!L220/1000000</f>
        <v>0</v>
      </c>
      <c r="E47" s="220">
        <f>'[3]Monthly Gallon Summary'!M220/1000000</f>
        <v>0</v>
      </c>
      <c r="F47" s="217">
        <f>'[3]Monthly Gallon Summary'!N220/1000000</f>
        <v>0</v>
      </c>
      <c r="G47" s="217">
        <f>'[3]Monthly Gallon Summary'!O220/1000000</f>
        <v>1.503762</v>
      </c>
      <c r="H47" s="217">
        <f>'[3]Monthly Gallon Summary'!P220/1000000</f>
        <v>11.456296</v>
      </c>
      <c r="I47" s="218">
        <f>'[3]Monthly Gallon Summary'!Q220/1000000</f>
        <v>7.2083062547620367</v>
      </c>
      <c r="J47" s="218">
        <f>'[3]Monthly Gallon Summary'!R220/1000000</f>
        <v>5.1996708025440155</v>
      </c>
      <c r="K47" s="218">
        <f>'[3]Monthly Gallon Summary'!S220/1000000</f>
        <v>7.5018160435568442</v>
      </c>
      <c r="L47" s="218">
        <f>'[3]Monthly Gallon Summary'!T220/1000000</f>
        <v>9.8908348179258798</v>
      </c>
      <c r="M47" s="218">
        <f>'[3]Monthly Gallon Summary'!U220/1000000</f>
        <v>12.702851336950188</v>
      </c>
      <c r="N47" s="218">
        <f>'[3]Monthly Gallon Summary'!V220/1000000</f>
        <v>16.261049947315783</v>
      </c>
      <c r="O47" s="218">
        <f>'[3]Monthly Gallon Summary'!W220/1000000</f>
        <v>14.724753980159541</v>
      </c>
      <c r="P47" s="218">
        <f>'[3]Monthly Gallon Summary'!X220/1000000</f>
        <v>13.349390797005443</v>
      </c>
      <c r="Q47" s="218">
        <f>'[3]Monthly Gallon Summary'!Y220/1000000</f>
        <v>14.003208293135442</v>
      </c>
      <c r="R47" s="218">
        <f>'[3]Monthly Gallon Summary'!Z220/1000000</f>
        <v>15.299392485119617</v>
      </c>
      <c r="S47" s="218">
        <f>'[3]Monthly Gallon Summary'!AA220/1000000</f>
        <v>15.864176395629118</v>
      </c>
      <c r="T47" s="218">
        <f>'[3]Monthly Gallon Summary'!AB220/1000000</f>
        <v>14.654515341024792</v>
      </c>
      <c r="U47" s="218">
        <f>'[3]Monthly Gallon Summary'!AC220/1000000</f>
        <v>14.681663248024389</v>
      </c>
      <c r="V47" s="218">
        <f>'[3]Monthly Gallon Summary'!AD220/1000000</f>
        <v>15.039135373558153</v>
      </c>
      <c r="W47" s="218">
        <f>'[3]Monthly Gallon Summary'!AE220/1000000</f>
        <v>13.53063091072528</v>
      </c>
      <c r="X47" s="218">
        <f>'[3]Monthly Gallon Summary'!AF220/1000000</f>
        <v>12.844801544854779</v>
      </c>
      <c r="Y47" s="218">
        <f>'[3]Monthly Gallon Summary'!AG220/1000000</f>
        <v>13.09570639084699</v>
      </c>
      <c r="Z47" s="218">
        <f>'[3]Monthly Gallon Summary'!AH220/1000000</f>
        <v>13.523578657635964</v>
      </c>
      <c r="AA47" s="218">
        <f>'[3]Monthly Gallon Summary'!AI220/1000000</f>
        <v>13.835009044966334</v>
      </c>
      <c r="AB47" s="218">
        <f>'[3]Monthly Gallon Summary'!AJ220/1000000</f>
        <v>13.991696204138201</v>
      </c>
      <c r="AC47" s="218">
        <f>'[3]Monthly Gallon Summary'!AK220/1000000</f>
        <v>14.405861507172109</v>
      </c>
      <c r="AD47" s="218">
        <f>'[3]Monthly Gallon Summary'!AL220/1000000</f>
        <v>15.195782028210656</v>
      </c>
      <c r="AE47" s="218">
        <f>'[3]Monthly Gallon Summary'!AM220/1000000</f>
        <v>15.744968154151895</v>
      </c>
      <c r="AF47" s="218">
        <f>'[3]Monthly Gallon Summary'!AN220/1000000</f>
        <v>15.762826963005159</v>
      </c>
      <c r="AG47" s="218">
        <f>'[3]Monthly Gallon Summary'!AO220/1000000</f>
        <v>15.736172933887731</v>
      </c>
      <c r="AH47" s="218">
        <f>'[3]Monthly Gallon Summary'!AP220/1000000</f>
        <v>16.106022695472728</v>
      </c>
    </row>
    <row r="48" spans="1:34" x14ac:dyDescent="0.2">
      <c r="A48" s="188" t="s">
        <v>171</v>
      </c>
      <c r="B48" s="220">
        <f>'[3]Monthly Gallon Summary'!J221/1000000</f>
        <v>0</v>
      </c>
      <c r="C48" s="220">
        <f>'[3]Monthly Gallon Summary'!K221/1000000</f>
        <v>0</v>
      </c>
      <c r="D48" s="220">
        <f>'[3]Monthly Gallon Summary'!L221/1000000</f>
        <v>0</v>
      </c>
      <c r="E48" s="220">
        <f>'[3]Monthly Gallon Summary'!M221/1000000</f>
        <v>0</v>
      </c>
      <c r="F48" s="217">
        <f>'[3]Monthly Gallon Summary'!N221/1000000</f>
        <v>0</v>
      </c>
      <c r="G48" s="217">
        <f>'[3]Monthly Gallon Summary'!O221/1000000</f>
        <v>1.4307399999999999</v>
      </c>
      <c r="H48" s="217">
        <f>'[3]Monthly Gallon Summary'!P221/1000000</f>
        <v>4.8805899999999998</v>
      </c>
      <c r="I48" s="218">
        <f>'[3]Monthly Gallon Summary'!Q221/1000000</f>
        <v>5.419007960376697</v>
      </c>
      <c r="J48" s="218">
        <f>'[3]Monthly Gallon Summary'!R221/1000000</f>
        <v>5.1799170449949772</v>
      </c>
      <c r="K48" s="218">
        <f>'[3]Monthly Gallon Summary'!S221/1000000</f>
        <v>7.4593703750712779</v>
      </c>
      <c r="L48" s="218">
        <f>'[3]Monthly Gallon Summary'!T221/1000000</f>
        <v>9.6386139752256739</v>
      </c>
      <c r="M48" s="218">
        <f>'[3]Monthly Gallon Summary'!U221/1000000</f>
        <v>10.030489235194494</v>
      </c>
      <c r="N48" s="218">
        <f>'[3]Monthly Gallon Summary'!V221/1000000</f>
        <v>14.433809269519532</v>
      </c>
      <c r="O48" s="218">
        <f>'[3]Monthly Gallon Summary'!W221/1000000</f>
        <v>13.349841292860221</v>
      </c>
      <c r="P48" s="218">
        <f>'[3]Monthly Gallon Summary'!X221/1000000</f>
        <v>12.00110887007841</v>
      </c>
      <c r="Q48" s="218">
        <f>'[3]Monthly Gallon Summary'!Y221/1000000</f>
        <v>12.439246129341372</v>
      </c>
      <c r="R48" s="218">
        <f>'[3]Monthly Gallon Summary'!Z221/1000000</f>
        <v>13.407082384952661</v>
      </c>
      <c r="S48" s="218">
        <f>'[3]Monthly Gallon Summary'!AA221/1000000</f>
        <v>14.139249404684341</v>
      </c>
      <c r="T48" s="218">
        <f>'[3]Monthly Gallon Summary'!AB221/1000000</f>
        <v>13.072953310796414</v>
      </c>
      <c r="U48" s="218">
        <f>'[3]Monthly Gallon Summary'!AC221/1000000</f>
        <v>13.05418623619954</v>
      </c>
      <c r="V48" s="218">
        <f>'[3]Monthly Gallon Summary'!AD221/1000000</f>
        <v>13.345485393201844</v>
      </c>
      <c r="W48" s="218">
        <f>'[3]Monthly Gallon Summary'!AE221/1000000</f>
        <v>12.004529765335548</v>
      </c>
      <c r="X48" s="218">
        <f>'[3]Monthly Gallon Summary'!AF221/1000000</f>
        <v>11.425082057406815</v>
      </c>
      <c r="Y48" s="218">
        <f>'[3]Monthly Gallon Summary'!AG221/1000000</f>
        <v>11.642975737754909</v>
      </c>
      <c r="Z48" s="218">
        <f>'[3]Monthly Gallon Summary'!AH221/1000000</f>
        <v>12.014765922713714</v>
      </c>
      <c r="AA48" s="218">
        <f>'[3]Monthly Gallon Summary'!AI221/1000000</f>
        <v>12.289306530560831</v>
      </c>
      <c r="AB48" s="218">
        <f>'[3]Monthly Gallon Summary'!AJ221/1000000</f>
        <v>12.431297140196994</v>
      </c>
      <c r="AC48" s="218">
        <f>'[3]Monthly Gallon Summary'!AK221/1000000</f>
        <v>12.802938842391336</v>
      </c>
      <c r="AD48" s="218">
        <f>'[3]Monthly Gallon Summary'!AL221/1000000</f>
        <v>13.502867884288946</v>
      </c>
      <c r="AE48" s="218">
        <f>'[3]Monthly Gallon Summary'!AM221/1000000</f>
        <v>13.989490481012387</v>
      </c>
      <c r="AF48" s="218">
        <f>'[3]Monthly Gallon Summary'!AN221/1000000</f>
        <v>14.005575232434845</v>
      </c>
      <c r="AG48" s="218">
        <f>'[3]Monthly Gallon Summary'!AO221/1000000</f>
        <v>13.982597769974079</v>
      </c>
      <c r="AH48" s="218">
        <f>'[3]Monthly Gallon Summary'!AP221/1000000</f>
        <v>14.31148894810506</v>
      </c>
    </row>
    <row r="49" spans="1:34" x14ac:dyDescent="0.2">
      <c r="A49" s="188" t="s">
        <v>172</v>
      </c>
      <c r="B49" s="220">
        <f>'[3]Monthly Gallon Summary'!J222/1000000</f>
        <v>0</v>
      </c>
      <c r="C49" s="220">
        <f>'[3]Monthly Gallon Summary'!K222/1000000</f>
        <v>0</v>
      </c>
      <c r="D49" s="220">
        <f>'[3]Monthly Gallon Summary'!L222/1000000</f>
        <v>0</v>
      </c>
      <c r="E49" s="220">
        <f>'[3]Monthly Gallon Summary'!M222/1000000</f>
        <v>0</v>
      </c>
      <c r="F49" s="217">
        <f>'[3]Monthly Gallon Summary'!N222/1000000</f>
        <v>0</v>
      </c>
      <c r="G49" s="217">
        <f>'[3]Monthly Gallon Summary'!O222/1000000</f>
        <v>0</v>
      </c>
      <c r="H49" s="217">
        <f>'[3]Monthly Gallon Summary'!P222/1000000</f>
        <v>1.2702910000000001</v>
      </c>
      <c r="I49" s="218">
        <f>'[3]Monthly Gallon Summary'!Q222/1000000</f>
        <v>3.7434347121728688</v>
      </c>
      <c r="J49" s="218">
        <f>'[3]Monthly Gallon Summary'!R222/1000000</f>
        <v>4.3786179408729211</v>
      </c>
      <c r="K49" s="218">
        <f>'[3]Monthly Gallon Summary'!S222/1000000</f>
        <v>6.3020922745607075</v>
      </c>
      <c r="L49" s="218">
        <f>'[3]Monthly Gallon Summary'!T222/1000000</f>
        <v>8.314421923780035</v>
      </c>
      <c r="M49" s="218">
        <f>'[3]Monthly Gallon Summary'!U222/1000000</f>
        <v>7.3922368196054808</v>
      </c>
      <c r="N49" s="218">
        <f>'[3]Monthly Gallon Summary'!V222/1000000</f>
        <v>11.527491678945575</v>
      </c>
      <c r="O49" s="218">
        <f>'[3]Monthly Gallon Summary'!W222/1000000</f>
        <v>10.828702398215698</v>
      </c>
      <c r="P49" s="218">
        <f>'[3]Monthly Gallon Summary'!X222/1000000</f>
        <v>9.6960105689533247</v>
      </c>
      <c r="Q49" s="218">
        <f>'[3]Monthly Gallon Summary'!Y222/1000000</f>
        <v>9.9923576055616437</v>
      </c>
      <c r="R49" s="218">
        <f>'[3]Monthly Gallon Summary'!Z222/1000000</f>
        <v>10.64667282512473</v>
      </c>
      <c r="S49" s="218">
        <f>'[3]Monthly Gallon Summary'!AA222/1000000</f>
        <v>11.351549052427501</v>
      </c>
      <c r="T49" s="218">
        <f>'[3]Monthly Gallon Summary'!AB222/1000000</f>
        <v>10.507597915895023</v>
      </c>
      <c r="U49" s="218">
        <f>'[3]Monthly Gallon Summary'!AC222/1000000</f>
        <v>10.472739307122627</v>
      </c>
      <c r="V49" s="218">
        <f>'[3]Monthly Gallon Summary'!AD222/1000000</f>
        <v>10.692687008819684</v>
      </c>
      <c r="W49" s="218">
        <f>'[3]Monthly Gallon Summary'!AE222/1000000</f>
        <v>9.6136690706794425</v>
      </c>
      <c r="X49" s="218">
        <f>'[3]Monthly Gallon Summary'!AF222/1000000</f>
        <v>9.1653336755961714</v>
      </c>
      <c r="Y49" s="218">
        <f>'[3]Monthly Gallon Summary'!AG222/1000000</f>
        <v>9.3384870913335796</v>
      </c>
      <c r="Z49" s="218">
        <f>'[3]Monthly Gallon Summary'!AH222/1000000</f>
        <v>9.6323562754457459</v>
      </c>
      <c r="AA49" s="218">
        <f>'[3]Monthly Gallon Summary'!AI222/1000000</f>
        <v>9.8510205663020844</v>
      </c>
      <c r="AB49" s="218">
        <f>'[3]Monthly Gallon Summary'!AJ222/1000000</f>
        <v>9.9658774623689013</v>
      </c>
      <c r="AC49" s="218">
        <f>'[3]Monthly Gallon Summary'!AK222/1000000</f>
        <v>10.265971604762894</v>
      </c>
      <c r="AD49" s="218">
        <f>'[3]Monthly Gallon Summary'!AL222/1000000</f>
        <v>10.826281514393701</v>
      </c>
      <c r="AE49" s="218">
        <f>'[3]Monthly Gallon Summary'!AM222/1000000</f>
        <v>11.215684387029476</v>
      </c>
      <c r="AF49" s="218">
        <f>'[3]Monthly Gallon Summary'!AN222/1000000</f>
        <v>11.228611704182427</v>
      </c>
      <c r="AG49" s="218">
        <f>'[3]Monthly Gallon Summary'!AO222/1000000</f>
        <v>11.210528843692689</v>
      </c>
      <c r="AH49" s="218">
        <f>'[3]Monthly Gallon Summary'!AP222/1000000</f>
        <v>11.47440515399922</v>
      </c>
    </row>
    <row r="50" spans="1:34" x14ac:dyDescent="0.2">
      <c r="A50" s="188" t="s">
        <v>173</v>
      </c>
      <c r="B50" s="220">
        <f>'[3]Monthly Gallon Summary'!J223/1000000</f>
        <v>0</v>
      </c>
      <c r="C50" s="220">
        <f>'[3]Monthly Gallon Summary'!K223/1000000</f>
        <v>0</v>
      </c>
      <c r="D50" s="220">
        <f>'[3]Monthly Gallon Summary'!L223/1000000</f>
        <v>0</v>
      </c>
      <c r="E50" s="220">
        <f>'[3]Monthly Gallon Summary'!M223/1000000</f>
        <v>0</v>
      </c>
      <c r="F50" s="217">
        <f>'[3]Monthly Gallon Summary'!N223/1000000</f>
        <v>1.4432910000000001</v>
      </c>
      <c r="G50" s="217">
        <f>'[3]Monthly Gallon Summary'!O223/1000000</f>
        <v>2.3041969999999998</v>
      </c>
      <c r="H50" s="217">
        <f>'[3]Monthly Gallon Summary'!P223/1000000</f>
        <v>3.403591</v>
      </c>
      <c r="I50" s="218">
        <f>'[3]Monthly Gallon Summary'!Q223/1000000</f>
        <v>1.9909262970796526</v>
      </c>
      <c r="J50" s="218">
        <f>'[3]Monthly Gallon Summary'!R223/1000000</f>
        <v>4.0246037437086928</v>
      </c>
      <c r="K50" s="218">
        <f>'[3]Monthly Gallon Summary'!S223/1000000</f>
        <v>5.7234524575428214</v>
      </c>
      <c r="L50" s="218">
        <f>'[3]Monthly Gallon Summary'!T223/1000000</f>
        <v>7.4764325353900496</v>
      </c>
      <c r="M50" s="218">
        <f>'[3]Monthly Gallon Summary'!U223/1000000</f>
        <v>6.9643066846553978</v>
      </c>
      <c r="N50" s="218">
        <f>'[3]Monthly Gallon Summary'!V223/1000000</f>
        <v>10.015880344945385</v>
      </c>
      <c r="O50" s="218">
        <f>'[3]Monthly Gallon Summary'!W223/1000000</f>
        <v>9.7690522467903502</v>
      </c>
      <c r="P50" s="218">
        <f>'[3]Monthly Gallon Summary'!X223/1000000</f>
        <v>8.730927769783511</v>
      </c>
      <c r="Q50" s="218">
        <f>'[3]Monthly Gallon Summary'!Y223/1000000</f>
        <v>8.9876030138582141</v>
      </c>
      <c r="R50" s="218">
        <f>'[3]Monthly Gallon Summary'!Z223/1000000</f>
        <v>9.576546378122389</v>
      </c>
      <c r="S50" s="218">
        <f>'[3]Monthly Gallon Summary'!AA223/1000000</f>
        <v>10.142693359277875</v>
      </c>
      <c r="T50" s="218">
        <f>'[3]Monthly Gallon Summary'!AB223/1000000</f>
        <v>9.4454451148853593</v>
      </c>
      <c r="U50" s="218">
        <f>'[3]Monthly Gallon Summary'!AC223/1000000</f>
        <v>9.4070952025552099</v>
      </c>
      <c r="V50" s="218">
        <f>'[3]Monthly Gallon Summary'!AD223/1000000</f>
        <v>9.6003171005589358</v>
      </c>
      <c r="W50" s="218">
        <f>'[3]Monthly Gallon Summary'!AE223/1000000</f>
        <v>8.6286537776437555</v>
      </c>
      <c r="X50" s="218">
        <f>'[3]Monthly Gallon Summary'!AF223/1000000</f>
        <v>8.2226452280051561</v>
      </c>
      <c r="Y50" s="218">
        <f>'[3]Monthly Gallon Summary'!AG223/1000000</f>
        <v>8.3856349345395866</v>
      </c>
      <c r="Z50" s="218">
        <f>'[3]Monthly Gallon Summary'!AH223/1000000</f>
        <v>8.6475667320866876</v>
      </c>
      <c r="AA50" s="218">
        <f>'[3]Monthly Gallon Summary'!AI223/1000000</f>
        <v>8.8428454623619324</v>
      </c>
      <c r="AB50" s="218">
        <f>'[3]Monthly Gallon Summary'!AJ223/1000000</f>
        <v>8.9455408183707892</v>
      </c>
      <c r="AC50" s="218">
        <f>'[3]Monthly Gallon Summary'!AK223/1000000</f>
        <v>9.2150685826171337</v>
      </c>
      <c r="AD50" s="218">
        <f>'[3]Monthly Gallon Summary'!AL223/1000000</f>
        <v>9.7190041566091772</v>
      </c>
      <c r="AE50" s="218">
        <f>'[3]Monthly Gallon Summary'!AM223/1000000</f>
        <v>10.068078999005646</v>
      </c>
      <c r="AF50" s="218">
        <f>'[3]Monthly Gallon Summary'!AN223/1000000</f>
        <v>10.079509651275501</v>
      </c>
      <c r="AG50" s="218">
        <f>'[3]Monthly Gallon Summary'!AO223/1000000</f>
        <v>10.063288136940375</v>
      </c>
      <c r="AH50" s="218">
        <f>'[3]Monthly Gallon Summary'!AP223/1000000</f>
        <v>10.300258610741928</v>
      </c>
    </row>
    <row r="51" spans="1:34" ht="13.5" thickBot="1" x14ac:dyDescent="0.25">
      <c r="A51" s="188" t="s">
        <v>226</v>
      </c>
      <c r="B51" s="220">
        <f t="shared" ref="B51:R51" si="18">SUM(B39:B50)</f>
        <v>0</v>
      </c>
      <c r="C51" s="220">
        <f t="shared" si="18"/>
        <v>0</v>
      </c>
      <c r="D51" s="220">
        <f t="shared" si="18"/>
        <v>0</v>
      </c>
      <c r="E51" s="220">
        <f t="shared" si="18"/>
        <v>0</v>
      </c>
      <c r="F51" s="220">
        <f t="shared" si="18"/>
        <v>7.9267400000000006</v>
      </c>
      <c r="G51" s="220">
        <f t="shared" si="18"/>
        <v>12.283992</v>
      </c>
      <c r="H51" s="220">
        <f t="shared" si="18"/>
        <v>73.150417000000004</v>
      </c>
      <c r="I51" s="218">
        <f t="shared" si="18"/>
        <v>60</v>
      </c>
      <c r="J51" s="218">
        <f>J7</f>
        <v>45.998087552847259</v>
      </c>
      <c r="K51" s="218">
        <f t="shared" si="18"/>
        <v>66.25123458290274</v>
      </c>
      <c r="L51" s="218">
        <f t="shared" si="18"/>
        <v>86.806380262041984</v>
      </c>
      <c r="M51" s="218">
        <f t="shared" si="18"/>
        <v>102.31284793582321</v>
      </c>
      <c r="N51" s="218">
        <f t="shared" si="18"/>
        <v>138.28755370197092</v>
      </c>
      <c r="O51" s="218">
        <f t="shared" si="18"/>
        <v>125.59413448654233</v>
      </c>
      <c r="P51" s="218">
        <f t="shared" si="18"/>
        <v>113.4831640827414</v>
      </c>
      <c r="Q51" s="218">
        <f t="shared" si="18"/>
        <v>118.52274338567447</v>
      </c>
      <c r="R51" s="218">
        <f t="shared" si="18"/>
        <v>128.82800922433174</v>
      </c>
      <c r="S51" s="218">
        <f t="shared" ref="S51:AH51" si="19">SUM(S39:S50)</f>
        <v>134.58575837689574</v>
      </c>
      <c r="T51" s="218">
        <f t="shared" si="19"/>
        <v>124.25644239175233</v>
      </c>
      <c r="U51" s="218">
        <f t="shared" si="19"/>
        <v>124.33772198940237</v>
      </c>
      <c r="V51" s="218">
        <f t="shared" si="19"/>
        <v>127.27865742957607</v>
      </c>
      <c r="W51" s="218">
        <f t="shared" si="19"/>
        <v>114.50991280142262</v>
      </c>
      <c r="X51" s="218">
        <f t="shared" si="19"/>
        <v>108.81907371363991</v>
      </c>
      <c r="Y51" s="218">
        <f t="shared" si="19"/>
        <v>110.91008007630006</v>
      </c>
      <c r="Z51" s="218">
        <f t="shared" si="19"/>
        <v>114.50556952229189</v>
      </c>
      <c r="AA51" s="218">
        <f t="shared" si="19"/>
        <v>117.13708895212788</v>
      </c>
      <c r="AB51" s="218">
        <f t="shared" si="19"/>
        <v>118.47490021952036</v>
      </c>
      <c r="AC51" s="218">
        <f t="shared" si="19"/>
        <v>121.99489106297544</v>
      </c>
      <c r="AD51" s="218">
        <f t="shared" si="19"/>
        <v>128.67458243540011</v>
      </c>
      <c r="AE51" s="218">
        <f t="shared" si="19"/>
        <v>133.3208699229717</v>
      </c>
      <c r="AF51" s="218">
        <f t="shared" si="19"/>
        <v>133.473303700689</v>
      </c>
      <c r="AG51" s="218">
        <f t="shared" si="19"/>
        <v>133.25016959317276</v>
      </c>
      <c r="AH51" s="218">
        <f t="shared" si="19"/>
        <v>136.38269361010441</v>
      </c>
    </row>
    <row r="52" spans="1:34" x14ac:dyDescent="0.2">
      <c r="A52" s="221"/>
      <c r="B52" s="221"/>
      <c r="C52" s="221"/>
      <c r="D52" s="221"/>
      <c r="E52" s="221"/>
      <c r="F52" s="221"/>
      <c r="G52" s="221"/>
      <c r="H52" s="221"/>
      <c r="I52" s="221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</row>
    <row r="53" spans="1:34" ht="13.5" thickBot="1" x14ac:dyDescent="0.25">
      <c r="A53" s="188" t="s">
        <v>228</v>
      </c>
    </row>
    <row r="54" spans="1:34" ht="13.5" thickBot="1" x14ac:dyDescent="0.25">
      <c r="A54" s="222" t="s">
        <v>197</v>
      </c>
      <c r="B54" s="216">
        <f t="shared" ref="B54:AH54" si="20">B4</f>
        <v>2018</v>
      </c>
      <c r="C54" s="216">
        <f t="shared" si="20"/>
        <v>2019</v>
      </c>
      <c r="D54" s="216">
        <f t="shared" si="20"/>
        <v>2020</v>
      </c>
      <c r="E54" s="216">
        <f t="shared" si="20"/>
        <v>2021</v>
      </c>
      <c r="F54" s="216">
        <f t="shared" si="20"/>
        <v>2022</v>
      </c>
      <c r="G54" s="216">
        <f t="shared" si="20"/>
        <v>2023</v>
      </c>
      <c r="H54" s="216">
        <f t="shared" si="20"/>
        <v>2024</v>
      </c>
      <c r="I54" s="216">
        <f t="shared" si="20"/>
        <v>2025</v>
      </c>
      <c r="J54" s="216">
        <f t="shared" si="20"/>
        <v>2026</v>
      </c>
      <c r="K54" s="216">
        <f t="shared" si="20"/>
        <v>2027</v>
      </c>
      <c r="L54" s="216">
        <f t="shared" si="20"/>
        <v>2028</v>
      </c>
      <c r="M54" s="216">
        <f t="shared" si="20"/>
        <v>2029</v>
      </c>
      <c r="N54" s="216">
        <f t="shared" si="20"/>
        <v>2030</v>
      </c>
      <c r="O54" s="216">
        <f t="shared" si="20"/>
        <v>2031</v>
      </c>
      <c r="P54" s="216">
        <f t="shared" si="20"/>
        <v>2032</v>
      </c>
      <c r="Q54" s="216">
        <f t="shared" si="20"/>
        <v>2033</v>
      </c>
      <c r="R54" s="216">
        <f t="shared" si="20"/>
        <v>2034</v>
      </c>
      <c r="S54" s="216">
        <f t="shared" si="20"/>
        <v>2035</v>
      </c>
      <c r="T54" s="216">
        <f t="shared" si="20"/>
        <v>2036</v>
      </c>
      <c r="U54" s="216">
        <f t="shared" si="20"/>
        <v>2037</v>
      </c>
      <c r="V54" s="216">
        <f t="shared" si="20"/>
        <v>2038</v>
      </c>
      <c r="W54" s="216">
        <f t="shared" si="20"/>
        <v>2039</v>
      </c>
      <c r="X54" s="216">
        <f t="shared" si="20"/>
        <v>2040</v>
      </c>
      <c r="Y54" s="216">
        <f t="shared" si="20"/>
        <v>2041</v>
      </c>
      <c r="Z54" s="216">
        <f t="shared" si="20"/>
        <v>2042</v>
      </c>
      <c r="AA54" s="216">
        <f t="shared" si="20"/>
        <v>2043</v>
      </c>
      <c r="AB54" s="216">
        <f t="shared" si="20"/>
        <v>2044</v>
      </c>
      <c r="AC54" s="216">
        <f t="shared" si="20"/>
        <v>2045</v>
      </c>
      <c r="AD54" s="216">
        <f t="shared" si="20"/>
        <v>2046</v>
      </c>
      <c r="AE54" s="216">
        <f t="shared" si="20"/>
        <v>2047</v>
      </c>
      <c r="AF54" s="216">
        <f t="shared" si="20"/>
        <v>2048</v>
      </c>
      <c r="AG54" s="216">
        <f t="shared" si="20"/>
        <v>2049</v>
      </c>
      <c r="AH54" s="216">
        <f t="shared" si="20"/>
        <v>2050</v>
      </c>
    </row>
    <row r="55" spans="1:34" x14ac:dyDescent="0.2">
      <c r="A55" s="188" t="s">
        <v>162</v>
      </c>
      <c r="B55" s="220">
        <v>0</v>
      </c>
      <c r="C55" s="220">
        <v>0</v>
      </c>
      <c r="D55" s="220">
        <v>0</v>
      </c>
      <c r="E55" s="220">
        <v>0</v>
      </c>
      <c r="F55" s="220">
        <v>0</v>
      </c>
      <c r="G55" s="220">
        <v>0</v>
      </c>
      <c r="H55" s="220">
        <v>0</v>
      </c>
      <c r="I55" s="223">
        <v>0</v>
      </c>
      <c r="J55" s="218">
        <f>J$67*(SUM(E71:I71)/SUM(E$83:I$83))</f>
        <v>12.536120166133143</v>
      </c>
      <c r="K55" s="218">
        <f>K$67*(SUM(F71:J71)/SUM(F$83:J$83))</f>
        <v>16.725825064458505</v>
      </c>
      <c r="L55" s="218">
        <f t="shared" ref="L55:Q55" si="21">L$67*(SUM(G71:K71)/SUM(G$83:K$83))</f>
        <v>18.920543034768482</v>
      </c>
      <c r="M55" s="218">
        <f t="shared" si="21"/>
        <v>25.229983463854619</v>
      </c>
      <c r="N55" s="218">
        <f t="shared" si="21"/>
        <v>30.802618367083287</v>
      </c>
      <c r="O55" s="218">
        <f t="shared" si="21"/>
        <v>29.442651024448509</v>
      </c>
      <c r="P55" s="218">
        <f t="shared" si="21"/>
        <v>29.446469603203237</v>
      </c>
      <c r="Q55" s="218">
        <f t="shared" si="21"/>
        <v>29.460050254332415</v>
      </c>
      <c r="R55" s="218">
        <f t="shared" ref="R55:R65" si="22">R$67*(SUM(M71:Q71)/SUM(M$83:Q$83))</f>
        <v>29.462589531824868</v>
      </c>
      <c r="S55" s="218">
        <f t="shared" ref="S55:AH65" si="23">S$67*(SUM(N71:R71)/SUM(N$83:R$83))</f>
        <v>29.465291519285898</v>
      </c>
      <c r="T55" s="218">
        <f t="shared" si="23"/>
        <v>29.456725399838756</v>
      </c>
      <c r="U55" s="218">
        <f t="shared" si="23"/>
        <v>29.458719510268473</v>
      </c>
      <c r="V55" s="218">
        <f t="shared" si="23"/>
        <v>29.460972261338956</v>
      </c>
      <c r="W55" s="218">
        <f t="shared" si="23"/>
        <v>29.461150750639359</v>
      </c>
      <c r="X55" s="218">
        <f t="shared" si="23"/>
        <v>29.46084488158159</v>
      </c>
      <c r="Y55" s="218">
        <f t="shared" si="23"/>
        <v>29.459828851561699</v>
      </c>
      <c r="Z55" s="218">
        <f t="shared" si="23"/>
        <v>29.460338946295476</v>
      </c>
      <c r="AA55" s="218">
        <f t="shared" si="23"/>
        <v>29.460613410688623</v>
      </c>
      <c r="AB55" s="218">
        <f t="shared" si="23"/>
        <v>29.460546873912865</v>
      </c>
      <c r="AC55" s="218">
        <f t="shared" si="23"/>
        <v>29.46043453263762</v>
      </c>
      <c r="AD55" s="218">
        <f t="shared" si="23"/>
        <v>29.460360891068195</v>
      </c>
      <c r="AE55" s="218">
        <f t="shared" si="23"/>
        <v>29.46045758417446</v>
      </c>
      <c r="AF55" s="218">
        <f t="shared" si="23"/>
        <v>29.460479192626437</v>
      </c>
      <c r="AG55" s="218">
        <f t="shared" si="23"/>
        <v>29.460454723266135</v>
      </c>
      <c r="AH55" s="218">
        <f t="shared" si="23"/>
        <v>29.460438120010522</v>
      </c>
    </row>
    <row r="56" spans="1:34" x14ac:dyDescent="0.2">
      <c r="A56" s="188" t="s">
        <v>163</v>
      </c>
      <c r="B56" s="220">
        <v>0</v>
      </c>
      <c r="C56" s="220">
        <v>0</v>
      </c>
      <c r="D56" s="220">
        <v>0</v>
      </c>
      <c r="E56" s="220">
        <v>0</v>
      </c>
      <c r="F56" s="220">
        <v>0</v>
      </c>
      <c r="G56" s="220">
        <v>0</v>
      </c>
      <c r="H56" s="220">
        <v>0</v>
      </c>
      <c r="I56" s="223">
        <v>7</v>
      </c>
      <c r="J56" s="218">
        <f t="shared" ref="J56:Q65" si="24">J$67*(SUM(E72:I72)/SUM(E$83:I$83))</f>
        <v>17.552499636531802</v>
      </c>
      <c r="K56" s="218">
        <f t="shared" si="24"/>
        <v>23.403799041539301</v>
      </c>
      <c r="L56" s="218">
        <f t="shared" si="24"/>
        <v>26.430705080510052</v>
      </c>
      <c r="M56" s="218">
        <f t="shared" si="24"/>
        <v>35.475080833960511</v>
      </c>
      <c r="N56" s="218">
        <f t="shared" si="24"/>
        <v>43.006305187138906</v>
      </c>
      <c r="O56" s="218">
        <f t="shared" si="24"/>
        <v>41.204206482698396</v>
      </c>
      <c r="P56" s="218">
        <f t="shared" si="24"/>
        <v>41.209153879819254</v>
      </c>
      <c r="Q56" s="218">
        <f t="shared" si="24"/>
        <v>41.228607435207557</v>
      </c>
      <c r="R56" s="218">
        <f t="shared" si="22"/>
        <v>41.238927201476493</v>
      </c>
      <c r="S56" s="218">
        <f t="shared" si="23"/>
        <v>41.224377626559921</v>
      </c>
      <c r="T56" s="218">
        <f t="shared" si="23"/>
        <v>41.222634198132077</v>
      </c>
      <c r="U56" s="218">
        <f t="shared" si="23"/>
        <v>41.225245106149174</v>
      </c>
      <c r="V56" s="218">
        <f t="shared" si="23"/>
        <v>41.228204273687929</v>
      </c>
      <c r="W56" s="218">
        <f t="shared" si="23"/>
        <v>41.228126226539608</v>
      </c>
      <c r="X56" s="218">
        <f t="shared" si="23"/>
        <v>41.22583005804627</v>
      </c>
      <c r="Y56" s="218">
        <f t="shared" si="23"/>
        <v>41.226161929921183</v>
      </c>
      <c r="Z56" s="218">
        <f t="shared" si="23"/>
        <v>41.22674176088632</v>
      </c>
      <c r="AA56" s="218">
        <f t="shared" si="23"/>
        <v>41.226995416126364</v>
      </c>
      <c r="AB56" s="218">
        <f t="shared" si="23"/>
        <v>41.226771274176464</v>
      </c>
      <c r="AC56" s="218">
        <f t="shared" si="23"/>
        <v>41.226519207703802</v>
      </c>
      <c r="AD56" s="218">
        <f t="shared" si="23"/>
        <v>41.226642883085674</v>
      </c>
      <c r="AE56" s="218">
        <f t="shared" si="23"/>
        <v>41.22673029173648</v>
      </c>
      <c r="AF56" s="218">
        <f t="shared" si="23"/>
        <v>41.22672820276982</v>
      </c>
      <c r="AG56" s="218">
        <f t="shared" si="23"/>
        <v>41.226679486972614</v>
      </c>
      <c r="AH56" s="218">
        <f t="shared" si="23"/>
        <v>41.226662949200382</v>
      </c>
    </row>
    <row r="57" spans="1:34" x14ac:dyDescent="0.2">
      <c r="A57" s="188" t="s">
        <v>164</v>
      </c>
      <c r="B57" s="220">
        <v>0</v>
      </c>
      <c r="C57" s="220">
        <v>0</v>
      </c>
      <c r="D57" s="220">
        <v>0</v>
      </c>
      <c r="E57" s="220">
        <v>0</v>
      </c>
      <c r="F57" s="220">
        <v>0</v>
      </c>
      <c r="G57" s="220">
        <v>0</v>
      </c>
      <c r="H57" s="220">
        <v>0</v>
      </c>
      <c r="I57" s="218">
        <f>I$67*(SUM(D73:H73)/SUM(D$83:H$83))</f>
        <v>3.7619149366073819</v>
      </c>
      <c r="J57" s="218">
        <f>J$67*(SUM(E73:I73)/SUM(E$83:I$83))</f>
        <v>23.043876235524568</v>
      </c>
      <c r="K57" s="218">
        <f>K$67*(SUM(F73:J73)/SUM(F$83:J$83))</f>
        <v>30.799953894731914</v>
      </c>
      <c r="L57" s="218">
        <f t="shared" si="24"/>
        <v>34.101160242173819</v>
      </c>
      <c r="M57" s="218">
        <f t="shared" si="24"/>
        <v>45.195272087588798</v>
      </c>
      <c r="N57" s="218">
        <f t="shared" si="24"/>
        <v>55.883286980179726</v>
      </c>
      <c r="O57" s="218">
        <f t="shared" si="24"/>
        <v>53.301151916477423</v>
      </c>
      <c r="P57" s="218">
        <f t="shared" si="24"/>
        <v>53.291831896308352</v>
      </c>
      <c r="Q57" s="218">
        <f t="shared" si="24"/>
        <v>53.244983571739567</v>
      </c>
      <c r="R57" s="218">
        <f t="shared" si="22"/>
        <v>53.262945911100033</v>
      </c>
      <c r="S57" s="218">
        <f t="shared" si="23"/>
        <v>53.315317226565853</v>
      </c>
      <c r="T57" s="218">
        <f t="shared" si="23"/>
        <v>53.282786804427133</v>
      </c>
      <c r="U57" s="218">
        <f t="shared" si="23"/>
        <v>53.280184766292798</v>
      </c>
      <c r="V57" s="218">
        <f t="shared" si="23"/>
        <v>53.278042865585228</v>
      </c>
      <c r="W57" s="218">
        <f t="shared" si="23"/>
        <v>53.284442741278752</v>
      </c>
      <c r="X57" s="218">
        <f t="shared" si="23"/>
        <v>53.289012730974257</v>
      </c>
      <c r="Y57" s="218">
        <f t="shared" si="23"/>
        <v>53.283002311651522</v>
      </c>
      <c r="Z57" s="218">
        <f t="shared" si="23"/>
        <v>53.283037733211138</v>
      </c>
      <c r="AA57" s="218">
        <f t="shared" si="23"/>
        <v>53.283521258229023</v>
      </c>
      <c r="AB57" s="218">
        <f t="shared" si="23"/>
        <v>53.284537041766022</v>
      </c>
      <c r="AC57" s="218">
        <f t="shared" si="23"/>
        <v>53.284554584811701</v>
      </c>
      <c r="AD57" s="218">
        <f t="shared" si="23"/>
        <v>53.283754522121278</v>
      </c>
      <c r="AE57" s="218">
        <f t="shared" si="23"/>
        <v>53.28389122920035</v>
      </c>
      <c r="AF57" s="218">
        <f t="shared" si="23"/>
        <v>53.284046683151971</v>
      </c>
      <c r="AG57" s="218">
        <f t="shared" si="23"/>
        <v>53.284142473625629</v>
      </c>
      <c r="AH57" s="218">
        <f t="shared" si="23"/>
        <v>53.284071382255959</v>
      </c>
    </row>
    <row r="58" spans="1:34" x14ac:dyDescent="0.2">
      <c r="A58" s="188" t="s">
        <v>165</v>
      </c>
      <c r="B58" s="220">
        <v>0</v>
      </c>
      <c r="C58" s="220">
        <v>0</v>
      </c>
      <c r="D58" s="220">
        <v>0</v>
      </c>
      <c r="E58" s="220">
        <v>0</v>
      </c>
      <c r="F58" s="220">
        <v>0</v>
      </c>
      <c r="G58" s="220">
        <v>0</v>
      </c>
      <c r="H58" s="220">
        <v>0</v>
      </c>
      <c r="I58" s="218">
        <f t="shared" ref="I58:K65" si="25">I$67*(SUM(D74:H74)/SUM(D$83:H$83))</f>
        <v>5.2019042373017532</v>
      </c>
      <c r="J58" s="218">
        <f t="shared" si="25"/>
        <v>24.097783639876624</v>
      </c>
      <c r="K58" s="218">
        <f t="shared" si="25"/>
        <v>32.225272480242353</v>
      </c>
      <c r="L58" s="218">
        <f t="shared" si="24"/>
        <v>35.861913124971622</v>
      </c>
      <c r="M58" s="218">
        <f t="shared" si="24"/>
        <v>47.805564861107662</v>
      </c>
      <c r="N58" s="218">
        <f t="shared" si="24"/>
        <v>58.335951913213933</v>
      </c>
      <c r="O58" s="218">
        <f t="shared" si="24"/>
        <v>55.937016816808388</v>
      </c>
      <c r="P58" s="218">
        <f t="shared" si="24"/>
        <v>55.931217457789941</v>
      </c>
      <c r="Q58" s="218">
        <f t="shared" si="24"/>
        <v>55.895546248122649</v>
      </c>
      <c r="R58" s="218">
        <f t="shared" si="22"/>
        <v>55.90551991209275</v>
      </c>
      <c r="S58" s="218">
        <f t="shared" si="23"/>
        <v>55.918473651534093</v>
      </c>
      <c r="T58" s="218">
        <f t="shared" si="23"/>
        <v>55.916063158303253</v>
      </c>
      <c r="U58" s="218">
        <f t="shared" si="23"/>
        <v>55.9130943651734</v>
      </c>
      <c r="V58" s="218">
        <f t="shared" si="23"/>
        <v>55.909761538558861</v>
      </c>
      <c r="W58" s="218">
        <f t="shared" si="23"/>
        <v>55.912513445243981</v>
      </c>
      <c r="X58" s="218">
        <f t="shared" si="23"/>
        <v>55.9140001934841</v>
      </c>
      <c r="Y58" s="218">
        <f t="shared" si="23"/>
        <v>55.912978035176245</v>
      </c>
      <c r="Z58" s="218">
        <f t="shared" si="23"/>
        <v>55.912470952997857</v>
      </c>
      <c r="AA58" s="218">
        <f t="shared" si="23"/>
        <v>55.912365296187964</v>
      </c>
      <c r="AB58" s="218">
        <f t="shared" si="23"/>
        <v>55.912848075409173</v>
      </c>
      <c r="AC58" s="218">
        <f t="shared" si="23"/>
        <v>55.912910327815737</v>
      </c>
      <c r="AD58" s="218">
        <f t="shared" si="23"/>
        <v>55.91271473959879</v>
      </c>
      <c r="AE58" s="218">
        <f t="shared" si="23"/>
        <v>55.912666888138645</v>
      </c>
      <c r="AF58" s="218">
        <f t="shared" si="23"/>
        <v>55.912702575350153</v>
      </c>
      <c r="AG58" s="218">
        <f t="shared" si="23"/>
        <v>55.912764064878509</v>
      </c>
      <c r="AH58" s="218">
        <f t="shared" si="23"/>
        <v>55.91274892826943</v>
      </c>
    </row>
    <row r="59" spans="1:34" x14ac:dyDescent="0.2">
      <c r="A59" s="188" t="s">
        <v>166</v>
      </c>
      <c r="B59" s="220">
        <v>0</v>
      </c>
      <c r="C59" s="220">
        <v>0</v>
      </c>
      <c r="D59" s="220">
        <v>0</v>
      </c>
      <c r="E59" s="220">
        <v>0</v>
      </c>
      <c r="F59" s="220">
        <v>0</v>
      </c>
      <c r="G59" s="220">
        <v>0</v>
      </c>
      <c r="H59" s="220">
        <v>0</v>
      </c>
      <c r="I59" s="218">
        <f t="shared" si="25"/>
        <v>6.2383494446375671</v>
      </c>
      <c r="J59" s="218">
        <f t="shared" si="25"/>
        <v>27.941144699406969</v>
      </c>
      <c r="K59" s="218">
        <f t="shared" si="25"/>
        <v>37.400944723197185</v>
      </c>
      <c r="L59" s="218">
        <f t="shared" si="24"/>
        <v>42.399536723242463</v>
      </c>
      <c r="M59" s="218">
        <f t="shared" si="24"/>
        <v>56.636043250662674</v>
      </c>
      <c r="N59" s="218">
        <f t="shared" si="24"/>
        <v>68.720983739317361</v>
      </c>
      <c r="O59" s="218">
        <f t="shared" si="24"/>
        <v>65.872243880792979</v>
      </c>
      <c r="P59" s="218">
        <f t="shared" si="24"/>
        <v>65.885713993591111</v>
      </c>
      <c r="Q59" s="218">
        <f t="shared" si="24"/>
        <v>65.919154938456174</v>
      </c>
      <c r="R59" s="218">
        <f t="shared" si="22"/>
        <v>65.915930051717893</v>
      </c>
      <c r="S59" s="218">
        <f t="shared" si="23"/>
        <v>65.900324823181876</v>
      </c>
      <c r="T59" s="218">
        <f t="shared" si="23"/>
        <v>65.900743277552323</v>
      </c>
      <c r="U59" s="218">
        <f t="shared" si="23"/>
        <v>65.904781179252566</v>
      </c>
      <c r="V59" s="218">
        <f t="shared" si="23"/>
        <v>65.908287624050985</v>
      </c>
      <c r="W59" s="218">
        <f t="shared" si="23"/>
        <v>65.906183844652659</v>
      </c>
      <c r="X59" s="218">
        <f t="shared" si="23"/>
        <v>65.904111908209543</v>
      </c>
      <c r="Y59" s="218">
        <f t="shared" si="23"/>
        <v>65.904977234402494</v>
      </c>
      <c r="Z59" s="218">
        <f t="shared" si="23"/>
        <v>65.905673143114825</v>
      </c>
      <c r="AA59" s="218">
        <f t="shared" si="23"/>
        <v>65.905824314458457</v>
      </c>
      <c r="AB59" s="218">
        <f t="shared" si="23"/>
        <v>65.905367576598792</v>
      </c>
      <c r="AC59" s="218">
        <f t="shared" si="23"/>
        <v>65.905215723430601</v>
      </c>
      <c r="AD59" s="218">
        <f t="shared" si="23"/>
        <v>65.905413815046103</v>
      </c>
      <c r="AE59" s="218">
        <f t="shared" si="23"/>
        <v>65.905493159414448</v>
      </c>
      <c r="AF59" s="218">
        <f t="shared" si="23"/>
        <v>65.905460377564481</v>
      </c>
      <c r="AG59" s="218">
        <f t="shared" si="23"/>
        <v>65.905394028052044</v>
      </c>
      <c r="AH59" s="218">
        <f t="shared" si="23"/>
        <v>65.905398793946318</v>
      </c>
    </row>
    <row r="60" spans="1:34" x14ac:dyDescent="0.2">
      <c r="A60" s="188" t="s">
        <v>167</v>
      </c>
      <c r="B60" s="220">
        <v>0</v>
      </c>
      <c r="C60" s="220">
        <v>0</v>
      </c>
      <c r="D60" s="220">
        <v>0</v>
      </c>
      <c r="E60" s="220">
        <v>0</v>
      </c>
      <c r="F60" s="220">
        <v>0</v>
      </c>
      <c r="G60" s="220">
        <v>0</v>
      </c>
      <c r="H60" s="220">
        <v>0</v>
      </c>
      <c r="I60" s="218">
        <f t="shared" si="25"/>
        <v>7.091296263926119</v>
      </c>
      <c r="J60" s="218">
        <f t="shared" si="25"/>
        <v>25.788694695217792</v>
      </c>
      <c r="K60" s="218">
        <f t="shared" si="25"/>
        <v>34.505229155071291</v>
      </c>
      <c r="L60" s="218">
        <f t="shared" si="24"/>
        <v>39.036611961624693</v>
      </c>
      <c r="M60" s="218">
        <f t="shared" si="24"/>
        <v>52.107380662598786</v>
      </c>
      <c r="N60" s="218">
        <f t="shared" si="24"/>
        <v>62.550717145860254</v>
      </c>
      <c r="O60" s="218">
        <f t="shared" si="24"/>
        <v>60.407653029916503</v>
      </c>
      <c r="P60" s="218">
        <f t="shared" si="24"/>
        <v>60.412314748224254</v>
      </c>
      <c r="Q60" s="218">
        <f t="shared" si="24"/>
        <v>60.414484540550582</v>
      </c>
      <c r="R60" s="218">
        <f t="shared" si="22"/>
        <v>60.386543863790216</v>
      </c>
      <c r="S60" s="218">
        <f t="shared" si="23"/>
        <v>60.346868636321119</v>
      </c>
      <c r="T60" s="218">
        <f t="shared" si="23"/>
        <v>60.390825924840399</v>
      </c>
      <c r="U60" s="218">
        <f t="shared" si="23"/>
        <v>60.38844179731759</v>
      </c>
      <c r="V60" s="218">
        <f t="shared" si="23"/>
        <v>60.384051574973505</v>
      </c>
      <c r="W60" s="218">
        <f t="shared" si="23"/>
        <v>60.378160124369998</v>
      </c>
      <c r="X60" s="218">
        <f t="shared" si="23"/>
        <v>60.376377833565179</v>
      </c>
      <c r="Y60" s="218">
        <f t="shared" si="23"/>
        <v>60.383120507975995</v>
      </c>
      <c r="Z60" s="218">
        <f t="shared" si="23"/>
        <v>60.381854017334291</v>
      </c>
      <c r="AA60" s="218">
        <f t="shared" si="23"/>
        <v>60.380737510720159</v>
      </c>
      <c r="AB60" s="218">
        <f t="shared" si="23"/>
        <v>60.380123029041314</v>
      </c>
      <c r="AC60" s="218">
        <f t="shared" si="23"/>
        <v>60.380488194983769</v>
      </c>
      <c r="AD60" s="218">
        <f t="shared" si="23"/>
        <v>60.381225843929151</v>
      </c>
      <c r="AE60" s="218">
        <f t="shared" si="23"/>
        <v>60.380881506808024</v>
      </c>
      <c r="AF60" s="218">
        <f t="shared" si="23"/>
        <v>60.380704375800683</v>
      </c>
      <c r="AG60" s="218">
        <f t="shared" si="23"/>
        <v>60.380698334957351</v>
      </c>
      <c r="AH60" s="218">
        <f t="shared" si="23"/>
        <v>60.380801990780988</v>
      </c>
    </row>
    <row r="61" spans="1:34" x14ac:dyDescent="0.2">
      <c r="A61" s="188" t="s">
        <v>168</v>
      </c>
      <c r="B61" s="220">
        <v>0</v>
      </c>
      <c r="C61" s="220">
        <v>0</v>
      </c>
      <c r="D61" s="220">
        <v>0</v>
      </c>
      <c r="E61" s="220">
        <v>0</v>
      </c>
      <c r="F61" s="220">
        <v>0</v>
      </c>
      <c r="G61" s="220">
        <v>0</v>
      </c>
      <c r="H61" s="220">
        <v>0</v>
      </c>
      <c r="I61" s="218">
        <f t="shared" si="25"/>
        <v>4.964663236458466</v>
      </c>
      <c r="J61" s="218">
        <f t="shared" si="25"/>
        <v>22.7421166829747</v>
      </c>
      <c r="K61" s="218">
        <f t="shared" si="25"/>
        <v>30.339163620170574</v>
      </c>
      <c r="L61" s="218">
        <f t="shared" si="24"/>
        <v>33.883076480137134</v>
      </c>
      <c r="M61" s="218">
        <f t="shared" si="24"/>
        <v>45.143153750867867</v>
      </c>
      <c r="N61" s="218">
        <f t="shared" si="24"/>
        <v>55.075902807204166</v>
      </c>
      <c r="O61" s="218">
        <f t="shared" si="24"/>
        <v>52.800015684642133</v>
      </c>
      <c r="P61" s="218">
        <f t="shared" si="24"/>
        <v>52.79473864075019</v>
      </c>
      <c r="Q61" s="218">
        <f t="shared" si="24"/>
        <v>52.771718642430287</v>
      </c>
      <c r="R61" s="218">
        <f t="shared" si="22"/>
        <v>52.777567441729111</v>
      </c>
      <c r="S61" s="218">
        <f t="shared" si="23"/>
        <v>52.788387080432912</v>
      </c>
      <c r="T61" s="218">
        <f t="shared" si="23"/>
        <v>52.785495685878772</v>
      </c>
      <c r="U61" s="218">
        <f t="shared" si="23"/>
        <v>52.783438437853867</v>
      </c>
      <c r="V61" s="218">
        <f t="shared" si="23"/>
        <v>52.781360336849836</v>
      </c>
      <c r="W61" s="218">
        <f t="shared" si="23"/>
        <v>52.783226851181567</v>
      </c>
      <c r="X61" s="218">
        <f t="shared" si="23"/>
        <v>52.784429979394673</v>
      </c>
      <c r="Y61" s="218">
        <f t="shared" si="23"/>
        <v>52.783525805564032</v>
      </c>
      <c r="Z61" s="218">
        <f t="shared" si="23"/>
        <v>52.783202028794037</v>
      </c>
      <c r="AA61" s="218">
        <f t="shared" si="23"/>
        <v>52.783161961839809</v>
      </c>
      <c r="AB61" s="218">
        <f t="shared" si="23"/>
        <v>52.783496012559382</v>
      </c>
      <c r="AC61" s="218">
        <f t="shared" si="23"/>
        <v>52.783546085581079</v>
      </c>
      <c r="AD61" s="218">
        <f t="shared" si="23"/>
        <v>52.783387461247827</v>
      </c>
      <c r="AE61" s="218">
        <f t="shared" si="23"/>
        <v>52.783362318487761</v>
      </c>
      <c r="AF61" s="218">
        <f t="shared" si="23"/>
        <v>52.783391513313042</v>
      </c>
      <c r="AG61" s="218">
        <f t="shared" si="23"/>
        <v>52.783433362953943</v>
      </c>
      <c r="AH61" s="218">
        <f t="shared" si="23"/>
        <v>52.783422075052563</v>
      </c>
    </row>
    <row r="62" spans="1:34" x14ac:dyDescent="0.2">
      <c r="A62" s="188" t="s">
        <v>169</v>
      </c>
      <c r="B62" s="220">
        <v>0</v>
      </c>
      <c r="C62" s="220">
        <v>0</v>
      </c>
      <c r="D62" s="220">
        <v>0</v>
      </c>
      <c r="E62" s="220">
        <v>0</v>
      </c>
      <c r="F62" s="220">
        <v>0</v>
      </c>
      <c r="G62" s="220">
        <v>0</v>
      </c>
      <c r="H62" s="220">
        <v>0</v>
      </c>
      <c r="I62" s="218">
        <f t="shared" si="25"/>
        <v>6.7895131948373635</v>
      </c>
      <c r="J62" s="218">
        <f t="shared" si="25"/>
        <v>28.069221266418371</v>
      </c>
      <c r="K62" s="218">
        <f t="shared" si="25"/>
        <v>35.152315174076982</v>
      </c>
      <c r="L62" s="218">
        <f t="shared" si="24"/>
        <v>38.799085174263389</v>
      </c>
      <c r="M62" s="218">
        <f t="shared" si="24"/>
        <v>51.299211985572228</v>
      </c>
      <c r="N62" s="218">
        <f t="shared" si="24"/>
        <v>61.929511990176714</v>
      </c>
      <c r="O62" s="218">
        <f t="shared" si="24"/>
        <v>59.121740847658252</v>
      </c>
      <c r="P62" s="218">
        <f t="shared" si="24"/>
        <v>58.994793983968236</v>
      </c>
      <c r="Q62" s="218">
        <f t="shared" si="24"/>
        <v>58.80051251493726</v>
      </c>
      <c r="R62" s="218">
        <f t="shared" si="22"/>
        <v>58.660090612794924</v>
      </c>
      <c r="S62" s="218">
        <f t="shared" si="23"/>
        <v>58.543727953812812</v>
      </c>
      <c r="T62" s="218">
        <f t="shared" si="23"/>
        <v>58.44295472181323</v>
      </c>
      <c r="U62" s="218">
        <f t="shared" si="23"/>
        <v>58.346781751037689</v>
      </c>
      <c r="V62" s="218">
        <f t="shared" si="23"/>
        <v>58.227612663170262</v>
      </c>
      <c r="W62" s="218">
        <f t="shared" si="23"/>
        <v>58.116706245953303</v>
      </c>
      <c r="X62" s="218">
        <f t="shared" si="23"/>
        <v>58.001188705156579</v>
      </c>
      <c r="Y62" s="218">
        <f t="shared" si="23"/>
        <v>57.877221743991342</v>
      </c>
      <c r="Z62" s="218">
        <f t="shared" si="23"/>
        <v>57.78423579206666</v>
      </c>
      <c r="AA62" s="218">
        <f t="shared" si="23"/>
        <v>57.688894677830945</v>
      </c>
      <c r="AB62" s="218">
        <f t="shared" si="23"/>
        <v>57.589007558346331</v>
      </c>
      <c r="AC62" s="218">
        <f t="shared" si="23"/>
        <v>57.490837947050039</v>
      </c>
      <c r="AD62" s="218">
        <f t="shared" si="23"/>
        <v>57.399249967270933</v>
      </c>
      <c r="AE62" s="218">
        <f t="shared" si="23"/>
        <v>57.31238315525804</v>
      </c>
      <c r="AF62" s="218">
        <f t="shared" si="23"/>
        <v>57.226440915449444</v>
      </c>
      <c r="AG62" s="218">
        <f t="shared" si="23"/>
        <v>57.142130744758184</v>
      </c>
      <c r="AH62" s="218">
        <f t="shared" si="23"/>
        <v>57.06161465258316</v>
      </c>
    </row>
    <row r="63" spans="1:34" x14ac:dyDescent="0.2">
      <c r="A63" s="188" t="s">
        <v>170</v>
      </c>
      <c r="B63" s="220">
        <v>0</v>
      </c>
      <c r="C63" s="220">
        <v>0</v>
      </c>
      <c r="D63" s="220">
        <v>0</v>
      </c>
      <c r="E63" s="220">
        <v>0</v>
      </c>
      <c r="F63" s="220">
        <v>0</v>
      </c>
      <c r="G63" s="220">
        <v>0</v>
      </c>
      <c r="H63" s="220">
        <v>0</v>
      </c>
      <c r="I63" s="218">
        <f t="shared" si="25"/>
        <v>7.2871246712134736</v>
      </c>
      <c r="J63" s="218">
        <f t="shared" si="25"/>
        <v>34.10923128641469</v>
      </c>
      <c r="K63" s="218">
        <f t="shared" si="25"/>
        <v>42.748217015330788</v>
      </c>
      <c r="L63" s="218">
        <f t="shared" si="24"/>
        <v>47.140756831828256</v>
      </c>
      <c r="M63" s="218">
        <f t="shared" si="24"/>
        <v>61.842668551870936</v>
      </c>
      <c r="N63" s="218">
        <f t="shared" si="24"/>
        <v>74.734137757096534</v>
      </c>
      <c r="O63" s="218">
        <f t="shared" si="24"/>
        <v>71.214943984768411</v>
      </c>
      <c r="P63" s="218">
        <f t="shared" si="24"/>
        <v>71.048155776390331</v>
      </c>
      <c r="Q63" s="218">
        <f t="shared" si="24"/>
        <v>70.758383225428304</v>
      </c>
      <c r="R63" s="218">
        <f t="shared" si="22"/>
        <v>70.525945037443492</v>
      </c>
      <c r="S63" s="218">
        <f t="shared" si="23"/>
        <v>70.36702549611023</v>
      </c>
      <c r="T63" s="218">
        <f t="shared" si="23"/>
        <v>70.211701250689089</v>
      </c>
      <c r="U63" s="218">
        <f t="shared" si="23"/>
        <v>70.069558047592139</v>
      </c>
      <c r="V63" s="218">
        <f t="shared" si="23"/>
        <v>69.889594471592005</v>
      </c>
      <c r="W63" s="218">
        <f t="shared" si="23"/>
        <v>69.721407575210051</v>
      </c>
      <c r="X63" s="218">
        <f t="shared" si="23"/>
        <v>69.550371758231663</v>
      </c>
      <c r="Y63" s="218">
        <f t="shared" si="23"/>
        <v>69.363771281934703</v>
      </c>
      <c r="Z63" s="218">
        <f t="shared" si="23"/>
        <v>69.224402395196577</v>
      </c>
      <c r="AA63" s="218">
        <f t="shared" si="23"/>
        <v>69.081164175604002</v>
      </c>
      <c r="AB63" s="218">
        <f t="shared" si="23"/>
        <v>68.931267985448997</v>
      </c>
      <c r="AC63" s="218">
        <f t="shared" si="23"/>
        <v>68.784275585774097</v>
      </c>
      <c r="AD63" s="218">
        <f t="shared" si="23"/>
        <v>68.646791317087576</v>
      </c>
      <c r="AE63" s="218">
        <f t="shared" si="23"/>
        <v>68.516487046298337</v>
      </c>
      <c r="AF63" s="218">
        <f t="shared" si="23"/>
        <v>68.387548844128503</v>
      </c>
      <c r="AG63" s="218">
        <f t="shared" si="23"/>
        <v>68.261095495171787</v>
      </c>
      <c r="AH63" s="218">
        <f t="shared" si="23"/>
        <v>68.140347073325813</v>
      </c>
    </row>
    <row r="64" spans="1:34" x14ac:dyDescent="0.2">
      <c r="A64" s="188" t="s">
        <v>171</v>
      </c>
      <c r="B64" s="220">
        <v>0</v>
      </c>
      <c r="C64" s="220">
        <v>0</v>
      </c>
      <c r="D64" s="220">
        <v>0</v>
      </c>
      <c r="E64" s="220">
        <v>0</v>
      </c>
      <c r="F64" s="220">
        <v>0</v>
      </c>
      <c r="G64" s="220">
        <v>0</v>
      </c>
      <c r="H64" s="220">
        <v>0</v>
      </c>
      <c r="I64" s="218">
        <f t="shared" si="25"/>
        <v>9.4177786674029136</v>
      </c>
      <c r="J64" s="218">
        <f t="shared" si="25"/>
        <v>35.770450313168411</v>
      </c>
      <c r="K64" s="218">
        <f t="shared" si="25"/>
        <v>47.946111851044762</v>
      </c>
      <c r="L64" s="218">
        <f t="shared" si="24"/>
        <v>54.396384007403107</v>
      </c>
      <c r="M64" s="218">
        <f t="shared" si="24"/>
        <v>72.730054404608325</v>
      </c>
      <c r="N64" s="218">
        <f t="shared" si="24"/>
        <v>87.377163402909233</v>
      </c>
      <c r="O64" s="218">
        <f t="shared" si="24"/>
        <v>84.242884675094203</v>
      </c>
      <c r="P64" s="218">
        <f t="shared" si="24"/>
        <v>84.258391739928086</v>
      </c>
      <c r="Q64" s="218">
        <f t="shared" si="24"/>
        <v>84.285564176293477</v>
      </c>
      <c r="R64" s="218">
        <f t="shared" si="22"/>
        <v>84.25564417793592</v>
      </c>
      <c r="S64" s="218">
        <f t="shared" si="23"/>
        <v>84.197307148005677</v>
      </c>
      <c r="T64" s="218">
        <f t="shared" si="23"/>
        <v>84.246569241030457</v>
      </c>
      <c r="U64" s="218">
        <f t="shared" si="23"/>
        <v>84.247091284187547</v>
      </c>
      <c r="V64" s="218">
        <f t="shared" si="23"/>
        <v>84.245013136685586</v>
      </c>
      <c r="W64" s="218">
        <f t="shared" si="23"/>
        <v>84.237162950473348</v>
      </c>
      <c r="X64" s="218">
        <f t="shared" si="23"/>
        <v>84.233234044752734</v>
      </c>
      <c r="Y64" s="218">
        <f t="shared" si="23"/>
        <v>84.241443124971113</v>
      </c>
      <c r="Z64" s="218">
        <f t="shared" si="23"/>
        <v>84.240600577691481</v>
      </c>
      <c r="AA64" s="218">
        <f t="shared" si="23"/>
        <v>84.239500523234341</v>
      </c>
      <c r="AB64" s="218">
        <f t="shared" si="23"/>
        <v>84.238478394600335</v>
      </c>
      <c r="AC64" s="218">
        <f t="shared" si="23"/>
        <v>84.23872311121923</v>
      </c>
      <c r="AD64" s="218">
        <f t="shared" si="23"/>
        <v>84.239708183741513</v>
      </c>
      <c r="AE64" s="218">
        <f t="shared" si="23"/>
        <v>84.239392874719144</v>
      </c>
      <c r="AF64" s="218">
        <f t="shared" si="23"/>
        <v>84.239172906257849</v>
      </c>
      <c r="AG64" s="218">
        <f t="shared" si="23"/>
        <v>84.23911317824728</v>
      </c>
      <c r="AH64" s="218">
        <f t="shared" si="23"/>
        <v>84.239227550479342</v>
      </c>
    </row>
    <row r="65" spans="1:34" x14ac:dyDescent="0.2">
      <c r="A65" s="188" t="s">
        <v>172</v>
      </c>
      <c r="B65" s="220">
        <v>0</v>
      </c>
      <c r="C65" s="220">
        <v>0</v>
      </c>
      <c r="D65" s="220">
        <v>0</v>
      </c>
      <c r="E65" s="220">
        <v>0</v>
      </c>
      <c r="F65" s="220">
        <v>0</v>
      </c>
      <c r="G65" s="220">
        <v>0</v>
      </c>
      <c r="H65" s="220">
        <v>0</v>
      </c>
      <c r="I65" s="218">
        <f t="shared" si="25"/>
        <v>5.6271968508780148</v>
      </c>
      <c r="J65" s="218">
        <f t="shared" si="25"/>
        <v>26.191068060267344</v>
      </c>
      <c r="K65" s="218">
        <f t="shared" si="25"/>
        <v>32.323260463300088</v>
      </c>
      <c r="L65" s="218">
        <f t="shared" si="24"/>
        <v>35.214918882734622</v>
      </c>
      <c r="M65" s="218">
        <f t="shared" si="24"/>
        <v>46.068270162834196</v>
      </c>
      <c r="N65" s="218">
        <f t="shared" si="24"/>
        <v>55.542923136444699</v>
      </c>
      <c r="O65" s="218">
        <f t="shared" si="24"/>
        <v>52.802339471821206</v>
      </c>
      <c r="P65" s="218">
        <f t="shared" si="24"/>
        <v>52.636808354198344</v>
      </c>
      <c r="Q65" s="218">
        <f t="shared" si="24"/>
        <v>52.334117890049527</v>
      </c>
      <c r="R65" s="218">
        <f t="shared" si="22"/>
        <v>52.113161877661547</v>
      </c>
      <c r="S65" s="218">
        <f t="shared" si="23"/>
        <v>51.953330376954263</v>
      </c>
      <c r="T65" s="218">
        <f t="shared" si="23"/>
        <v>51.796668392488442</v>
      </c>
      <c r="U65" s="218">
        <f t="shared" si="23"/>
        <v>51.654181132304572</v>
      </c>
      <c r="V65" s="218">
        <f t="shared" si="23"/>
        <v>51.473476534773724</v>
      </c>
      <c r="W65" s="218">
        <f t="shared" si="23"/>
        <v>51.306866875287895</v>
      </c>
      <c r="X65" s="218">
        <f t="shared" si="23"/>
        <v>51.135457424603338</v>
      </c>
      <c r="Y65" s="218">
        <f t="shared" si="23"/>
        <v>50.94857836511904</v>
      </c>
      <c r="Z65" s="218">
        <f t="shared" si="23"/>
        <v>50.809183170558555</v>
      </c>
      <c r="AA65" s="218">
        <f t="shared" si="23"/>
        <v>50.66597167660855</v>
      </c>
      <c r="AB65" s="218">
        <f t="shared" si="23"/>
        <v>50.516247077751601</v>
      </c>
      <c r="AC65" s="218">
        <f t="shared" si="23"/>
        <v>50.369165343364024</v>
      </c>
      <c r="AD65" s="218">
        <f t="shared" si="23"/>
        <v>50.231645916721405</v>
      </c>
      <c r="AE65" s="218">
        <f t="shared" si="23"/>
        <v>50.101350281593703</v>
      </c>
      <c r="AF65" s="218">
        <f t="shared" si="23"/>
        <v>49.972427098501484</v>
      </c>
      <c r="AG65" s="218">
        <f t="shared" si="23"/>
        <v>49.845986648625825</v>
      </c>
      <c r="AH65" s="218">
        <f t="shared" si="23"/>
        <v>49.725222382385553</v>
      </c>
    </row>
    <row r="66" spans="1:34" x14ac:dyDescent="0.2">
      <c r="A66" s="188" t="s">
        <v>173</v>
      </c>
      <c r="B66" s="220">
        <v>0</v>
      </c>
      <c r="C66" s="220">
        <v>0</v>
      </c>
      <c r="D66" s="220">
        <v>0</v>
      </c>
      <c r="E66" s="220">
        <v>0</v>
      </c>
      <c r="F66" s="220">
        <v>0</v>
      </c>
      <c r="G66" s="220">
        <v>0</v>
      </c>
      <c r="H66" s="220">
        <v>0</v>
      </c>
      <c r="I66" s="218">
        <f>I67-SUM(I55:I65)</f>
        <v>1.6202584967369447</v>
      </c>
      <c r="J66" s="218">
        <f>J67-SUM(J55:J65)</f>
        <v>22.157793318065558</v>
      </c>
      <c r="K66" s="218">
        <f>K67-SUM(K55:K65)</f>
        <v>36.429907516836295</v>
      </c>
      <c r="L66" s="218">
        <f t="shared" ref="L66:AH66" si="26">L67-SUM(L55:L65)</f>
        <v>43.815308456342336</v>
      </c>
      <c r="M66" s="218">
        <f t="shared" si="26"/>
        <v>60.46731598447343</v>
      </c>
      <c r="N66" s="218">
        <f t="shared" si="26"/>
        <v>76.040497573375205</v>
      </c>
      <c r="O66" s="218">
        <f t="shared" si="26"/>
        <v>73.653152184873534</v>
      </c>
      <c r="P66" s="218">
        <f t="shared" si="26"/>
        <v>74.090409925828567</v>
      </c>
      <c r="Q66" s="218">
        <f t="shared" si="26"/>
        <v>74.886876562452244</v>
      </c>
      <c r="R66" s="218">
        <f t="shared" si="26"/>
        <v>75.495134380432773</v>
      </c>
      <c r="S66" s="218">
        <f t="shared" si="26"/>
        <v>75.979568461235431</v>
      </c>
      <c r="T66" s="218">
        <f t="shared" si="26"/>
        <v>76.346831945006102</v>
      </c>
      <c r="U66" s="218">
        <f t="shared" si="26"/>
        <v>76.728482622570255</v>
      </c>
      <c r="V66" s="218">
        <f t="shared" si="26"/>
        <v>77.213622718733177</v>
      </c>
      <c r="W66" s="218">
        <f t="shared" si="26"/>
        <v>77.66405236916944</v>
      </c>
      <c r="X66" s="218">
        <f t="shared" si="26"/>
        <v>78.125140482000006</v>
      </c>
      <c r="Y66" s="218">
        <f t="shared" si="26"/>
        <v>78.615390807730705</v>
      </c>
      <c r="Z66" s="218">
        <f t="shared" si="26"/>
        <v>78.988259481852765</v>
      </c>
      <c r="AA66" s="218">
        <f t="shared" si="26"/>
        <v>79.371249778471679</v>
      </c>
      <c r="AB66" s="218">
        <f t="shared" si="26"/>
        <v>79.771309100388748</v>
      </c>
      <c r="AC66" s="218">
        <f t="shared" si="26"/>
        <v>80.163329355628321</v>
      </c>
      <c r="AD66" s="218">
        <f t="shared" si="26"/>
        <v>80.529104459081623</v>
      </c>
      <c r="AE66" s="218">
        <f t="shared" si="26"/>
        <v>80.876903664170641</v>
      </c>
      <c r="AF66" s="218">
        <f t="shared" si="26"/>
        <v>81.220897315086177</v>
      </c>
      <c r="AG66" s="218">
        <f t="shared" si="26"/>
        <v>81.558107458490781</v>
      </c>
      <c r="AH66" s="218">
        <f t="shared" si="26"/>
        <v>81.880044101709927</v>
      </c>
    </row>
    <row r="67" spans="1:34" ht="13.5" thickBot="1" x14ac:dyDescent="0.25">
      <c r="A67" s="188" t="s">
        <v>226</v>
      </c>
      <c r="B67" s="220">
        <f>SUM(B55:B66)</f>
        <v>0</v>
      </c>
      <c r="C67" s="220">
        <f t="shared" ref="C67:H67" si="27">SUM(C55:C66)</f>
        <v>0</v>
      </c>
      <c r="D67" s="220">
        <f t="shared" si="27"/>
        <v>0</v>
      </c>
      <c r="E67" s="220">
        <f t="shared" si="27"/>
        <v>0</v>
      </c>
      <c r="F67" s="220">
        <f t="shared" si="27"/>
        <v>0</v>
      </c>
      <c r="G67" s="220">
        <f t="shared" si="27"/>
        <v>0</v>
      </c>
      <c r="H67" s="220">
        <f t="shared" si="27"/>
        <v>0</v>
      </c>
      <c r="I67" s="218">
        <f>I10</f>
        <v>65</v>
      </c>
      <c r="J67" s="218">
        <f>J10</f>
        <v>300</v>
      </c>
      <c r="K67" s="218">
        <f t="shared" ref="K67:AH67" si="28">K10</f>
        <v>400</v>
      </c>
      <c r="L67" s="218">
        <f t="shared" si="28"/>
        <v>450</v>
      </c>
      <c r="M67" s="218">
        <f t="shared" si="28"/>
        <v>600</v>
      </c>
      <c r="N67" s="218">
        <f t="shared" si="28"/>
        <v>730</v>
      </c>
      <c r="O67" s="218">
        <f t="shared" si="28"/>
        <v>700</v>
      </c>
      <c r="P67" s="218">
        <f t="shared" si="28"/>
        <v>700</v>
      </c>
      <c r="Q67" s="218">
        <f t="shared" si="28"/>
        <v>700</v>
      </c>
      <c r="R67" s="218">
        <f t="shared" si="28"/>
        <v>700</v>
      </c>
      <c r="S67" s="218">
        <f t="shared" si="28"/>
        <v>700</v>
      </c>
      <c r="T67" s="218">
        <f t="shared" si="28"/>
        <v>700</v>
      </c>
      <c r="U67" s="218">
        <f t="shared" si="28"/>
        <v>700</v>
      </c>
      <c r="V67" s="218">
        <f t="shared" si="28"/>
        <v>700</v>
      </c>
      <c r="W67" s="218">
        <f t="shared" si="28"/>
        <v>700</v>
      </c>
      <c r="X67" s="218">
        <f t="shared" si="28"/>
        <v>700</v>
      </c>
      <c r="Y67" s="218">
        <f t="shared" si="28"/>
        <v>700</v>
      </c>
      <c r="Z67" s="218">
        <f t="shared" si="28"/>
        <v>700</v>
      </c>
      <c r="AA67" s="218">
        <f t="shared" si="28"/>
        <v>700</v>
      </c>
      <c r="AB67" s="218">
        <f t="shared" si="28"/>
        <v>700</v>
      </c>
      <c r="AC67" s="218">
        <f t="shared" si="28"/>
        <v>700</v>
      </c>
      <c r="AD67" s="218">
        <f t="shared" si="28"/>
        <v>700</v>
      </c>
      <c r="AE67" s="218">
        <f t="shared" si="28"/>
        <v>700</v>
      </c>
      <c r="AF67" s="218">
        <f t="shared" si="28"/>
        <v>700</v>
      </c>
      <c r="AG67" s="218">
        <f t="shared" si="28"/>
        <v>700</v>
      </c>
      <c r="AH67" s="218">
        <f t="shared" si="28"/>
        <v>700</v>
      </c>
    </row>
    <row r="68" spans="1:34" x14ac:dyDescent="0.2">
      <c r="A68" s="221"/>
      <c r="B68" s="221"/>
      <c r="C68" s="221"/>
      <c r="D68" s="221"/>
      <c r="E68" s="221"/>
      <c r="F68" s="221"/>
      <c r="G68" s="221"/>
      <c r="H68" s="221"/>
      <c r="I68" s="221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1"/>
      <c r="U68" s="221"/>
      <c r="V68" s="221"/>
      <c r="W68" s="221"/>
      <c r="X68" s="221"/>
      <c r="Y68" s="221"/>
      <c r="Z68" s="221"/>
      <c r="AA68" s="221"/>
      <c r="AB68" s="221"/>
      <c r="AC68" s="221"/>
      <c r="AD68" s="221"/>
      <c r="AE68" s="221"/>
      <c r="AF68" s="221"/>
      <c r="AG68" s="221"/>
      <c r="AH68" s="221"/>
    </row>
    <row r="69" spans="1:34" ht="13.5" thickBot="1" x14ac:dyDescent="0.25">
      <c r="A69" s="188" t="s">
        <v>229</v>
      </c>
    </row>
    <row r="70" spans="1:34" ht="13.5" thickBot="1" x14ac:dyDescent="0.25">
      <c r="A70" s="222" t="s">
        <v>197</v>
      </c>
      <c r="B70" s="216">
        <f>B4</f>
        <v>2018</v>
      </c>
      <c r="C70" s="216">
        <f>C4</f>
        <v>2019</v>
      </c>
      <c r="D70" s="216">
        <f t="shared" ref="D70:AH70" si="29">D4</f>
        <v>2020</v>
      </c>
      <c r="E70" s="216">
        <f t="shared" si="29"/>
        <v>2021</v>
      </c>
      <c r="F70" s="216">
        <f t="shared" si="29"/>
        <v>2022</v>
      </c>
      <c r="G70" s="216">
        <f t="shared" si="29"/>
        <v>2023</v>
      </c>
      <c r="H70" s="216">
        <f t="shared" si="29"/>
        <v>2024</v>
      </c>
      <c r="I70" s="216">
        <f t="shared" si="29"/>
        <v>2025</v>
      </c>
      <c r="J70" s="216">
        <f t="shared" si="29"/>
        <v>2026</v>
      </c>
      <c r="K70" s="216">
        <f t="shared" si="29"/>
        <v>2027</v>
      </c>
      <c r="L70" s="216">
        <f t="shared" si="29"/>
        <v>2028</v>
      </c>
      <c r="M70" s="216">
        <f t="shared" si="29"/>
        <v>2029</v>
      </c>
      <c r="N70" s="216">
        <f t="shared" si="29"/>
        <v>2030</v>
      </c>
      <c r="O70" s="216">
        <f t="shared" si="29"/>
        <v>2031</v>
      </c>
      <c r="P70" s="216">
        <f t="shared" si="29"/>
        <v>2032</v>
      </c>
      <c r="Q70" s="216">
        <f t="shared" si="29"/>
        <v>2033</v>
      </c>
      <c r="R70" s="216">
        <f t="shared" si="29"/>
        <v>2034</v>
      </c>
      <c r="S70" s="216">
        <f t="shared" si="29"/>
        <v>2035</v>
      </c>
      <c r="T70" s="216">
        <f t="shared" si="29"/>
        <v>2036</v>
      </c>
      <c r="U70" s="216">
        <f t="shared" si="29"/>
        <v>2037</v>
      </c>
      <c r="V70" s="216">
        <f t="shared" si="29"/>
        <v>2038</v>
      </c>
      <c r="W70" s="216">
        <f t="shared" si="29"/>
        <v>2039</v>
      </c>
      <c r="X70" s="216">
        <f t="shared" si="29"/>
        <v>2040</v>
      </c>
      <c r="Y70" s="216">
        <f t="shared" si="29"/>
        <v>2041</v>
      </c>
      <c r="Z70" s="216">
        <f t="shared" si="29"/>
        <v>2042</v>
      </c>
      <c r="AA70" s="216">
        <f t="shared" si="29"/>
        <v>2043</v>
      </c>
      <c r="AB70" s="216">
        <f t="shared" si="29"/>
        <v>2044</v>
      </c>
      <c r="AC70" s="216">
        <f t="shared" si="29"/>
        <v>2045</v>
      </c>
      <c r="AD70" s="216">
        <f t="shared" si="29"/>
        <v>2046</v>
      </c>
      <c r="AE70" s="216">
        <f t="shared" si="29"/>
        <v>2047</v>
      </c>
      <c r="AF70" s="216">
        <f t="shared" si="29"/>
        <v>2048</v>
      </c>
      <c r="AG70" s="216">
        <f t="shared" si="29"/>
        <v>2049</v>
      </c>
      <c r="AH70" s="216">
        <f t="shared" si="29"/>
        <v>2050</v>
      </c>
    </row>
    <row r="71" spans="1:34" x14ac:dyDescent="0.2">
      <c r="A71" s="188" t="s">
        <v>162</v>
      </c>
      <c r="B71" s="217">
        <f>B5+B23+B39-B55-B87</f>
        <v>0</v>
      </c>
      <c r="C71" s="217">
        <f t="shared" ref="C71:I71" si="30">B98+C23+C39-C55-C87</f>
        <v>0.27224000000000004</v>
      </c>
      <c r="D71" s="217">
        <f t="shared" si="30"/>
        <v>0.13733299999999998</v>
      </c>
      <c r="E71" s="217">
        <f t="shared" si="30"/>
        <v>0.194662</v>
      </c>
      <c r="F71" s="217">
        <f t="shared" si="30"/>
        <v>0.30850300000000003</v>
      </c>
      <c r="G71" s="217">
        <f t="shared" si="30"/>
        <v>1.0698956940445841</v>
      </c>
      <c r="H71" s="217">
        <f t="shared" si="30"/>
        <v>3.9472616431000436</v>
      </c>
      <c r="I71" s="217">
        <f t="shared" si="30"/>
        <v>6.2266915463916419</v>
      </c>
      <c r="J71" s="224">
        <f>J$83*(SUM(E71:I71)/SUM(E$83:I$83))</f>
        <v>7.789109329890727</v>
      </c>
      <c r="K71" s="218">
        <f t="shared" ref="K71:K77" si="31">K$83*(SUM(F71:J71)/SUM(F$83:J$83))</f>
        <v>39.40101440848327</v>
      </c>
      <c r="L71" s="218">
        <f>L$83*(SUM(G71:K71)/SUM(G$83:K$83))</f>
        <v>56.815332572823088</v>
      </c>
      <c r="M71" s="218">
        <f t="shared" ref="M71:M77" si="32">M$83*(SUM(H71:L71)/SUM(H$83:L$83))</f>
        <v>72.80529503803271</v>
      </c>
      <c r="N71" s="218">
        <f t="shared" ref="N71:N77" si="33">N$83*(SUM(I71:M71)/SUM(I$83:M$83))</f>
        <v>101.31995484298135</v>
      </c>
      <c r="O71" s="218">
        <f t="shared" ref="O71:AD77" si="34">O$83*(SUM(J71:N71)/SUM(J$83:N$83))</f>
        <v>123.30858546986947</v>
      </c>
      <c r="P71" s="218">
        <f t="shared" si="34"/>
        <v>160.49003100111958</v>
      </c>
      <c r="Q71" s="218">
        <f t="shared" si="34"/>
        <v>171.33202609227385</v>
      </c>
      <c r="R71" s="218">
        <f t="shared" si="34"/>
        <v>188.23770454768908</v>
      </c>
      <c r="S71" s="218">
        <f t="shared" si="34"/>
        <v>199.63808433808609</v>
      </c>
      <c r="T71" s="218">
        <f t="shared" si="34"/>
        <v>151.08566161098108</v>
      </c>
      <c r="U71" s="218">
        <f t="shared" si="34"/>
        <v>162.84171249151882</v>
      </c>
      <c r="V71" s="218">
        <f t="shared" si="34"/>
        <v>183.26518101704536</v>
      </c>
      <c r="W71" s="218">
        <f t="shared" si="34"/>
        <v>188.5705583569156</v>
      </c>
      <c r="X71" s="218">
        <f t="shared" si="34"/>
        <v>187.7875086890846</v>
      </c>
      <c r="Y71" s="218">
        <f t="shared" si="34"/>
        <v>196.86344178891966</v>
      </c>
      <c r="Z71" s="218">
        <f t="shared" si="34"/>
        <v>204.39820637273215</v>
      </c>
      <c r="AA71" s="218">
        <f t="shared" si="34"/>
        <v>210.76421328129427</v>
      </c>
      <c r="AB71" s="218">
        <f t="shared" si="34"/>
        <v>213.79986255159216</v>
      </c>
      <c r="AC71" s="218">
        <f t="shared" si="34"/>
        <v>220.55528811994435</v>
      </c>
      <c r="AD71" s="218">
        <f t="shared" si="34"/>
        <v>233.71750006336813</v>
      </c>
      <c r="AE71" s="218">
        <f t="shared" ref="AE71:AH77" si="35">AE$83*(SUM(Z71:AD71)/SUM(Z$83:AD$83))</f>
        <v>243.3853631725629</v>
      </c>
      <c r="AF71" s="218">
        <f t="shared" si="35"/>
        <v>244.60865752950994</v>
      </c>
      <c r="AG71" s="218">
        <f t="shared" si="35"/>
        <v>244.35124530370209</v>
      </c>
      <c r="AH71" s="218">
        <f t="shared" si="35"/>
        <v>250.39376848849506</v>
      </c>
    </row>
    <row r="72" spans="1:34" x14ac:dyDescent="0.2">
      <c r="A72" s="188" t="s">
        <v>163</v>
      </c>
      <c r="B72" s="217">
        <f t="shared" ref="B72:I82" si="36">B87+B24+B40-B56-B88</f>
        <v>0.13971399999999998</v>
      </c>
      <c r="C72" s="217">
        <f t="shared" si="36"/>
        <v>0.19463</v>
      </c>
      <c r="D72" s="217">
        <f t="shared" si="36"/>
        <v>4.1590000000000002E-2</v>
      </c>
      <c r="E72" s="217">
        <f t="shared" si="36"/>
        <v>0.289825</v>
      </c>
      <c r="F72" s="217">
        <f t="shared" si="36"/>
        <v>0.56780560698390214</v>
      </c>
      <c r="G72" s="217">
        <f t="shared" si="36"/>
        <v>0.45134794256619104</v>
      </c>
      <c r="H72" s="217">
        <f t="shared" si="36"/>
        <v>7.3582398894144436</v>
      </c>
      <c r="I72" s="217">
        <f t="shared" si="36"/>
        <v>7.780410826598338</v>
      </c>
      <c r="J72" s="224">
        <f>J$83*(SUM(E72:I72)/SUM(E$83:I$83))</f>
        <v>10.905953107498428</v>
      </c>
      <c r="K72" s="218">
        <f t="shared" si="31"/>
        <v>55.132313036588059</v>
      </c>
      <c r="L72" s="218">
        <f t="shared" ref="L72:L77" si="37">L$83*(SUM(G72:K72)/SUM(G$83:K$83))</f>
        <v>79.367135315509103</v>
      </c>
      <c r="M72" s="218">
        <f t="shared" si="32"/>
        <v>102.3692199527094</v>
      </c>
      <c r="N72" s="218">
        <f t="shared" si="33"/>
        <v>141.46189936180389</v>
      </c>
      <c r="O72" s="218">
        <f t="shared" si="34"/>
        <v>172.56708346578429</v>
      </c>
      <c r="P72" s="218">
        <f t="shared" si="34"/>
        <v>224.59936531687501</v>
      </c>
      <c r="Q72" s="218">
        <f t="shared" si="34"/>
        <v>239.77490818428905</v>
      </c>
      <c r="R72" s="218">
        <f t="shared" si="34"/>
        <v>263.47721357045219</v>
      </c>
      <c r="S72" s="218">
        <f t="shared" si="34"/>
        <v>279.31017658554413</v>
      </c>
      <c r="T72" s="218">
        <f t="shared" si="34"/>
        <v>211.43385344544549</v>
      </c>
      <c r="U72" s="218">
        <f t="shared" si="34"/>
        <v>227.88463390704783</v>
      </c>
      <c r="V72" s="218">
        <f t="shared" si="34"/>
        <v>256.46452711067951</v>
      </c>
      <c r="W72" s="218">
        <f t="shared" si="34"/>
        <v>263.88686743267317</v>
      </c>
      <c r="X72" s="218">
        <f t="shared" si="34"/>
        <v>262.77915488703667</v>
      </c>
      <c r="Y72" s="218">
        <f t="shared" si="34"/>
        <v>275.49121789420644</v>
      </c>
      <c r="Z72" s="218">
        <f t="shared" si="34"/>
        <v>286.03445757627975</v>
      </c>
      <c r="AA72" s="218">
        <f t="shared" si="34"/>
        <v>294.94210231477649</v>
      </c>
      <c r="AB72" s="218">
        <f t="shared" si="34"/>
        <v>299.18921972456138</v>
      </c>
      <c r="AC72" s="218">
        <f t="shared" si="34"/>
        <v>308.64197919294747</v>
      </c>
      <c r="AD72" s="218">
        <f t="shared" si="34"/>
        <v>327.0627928241467</v>
      </c>
      <c r="AE72" s="218">
        <f t="shared" si="35"/>
        <v>340.59154362427927</v>
      </c>
      <c r="AF72" s="218">
        <f t="shared" si="35"/>
        <v>342.30314361408983</v>
      </c>
      <c r="AG72" s="218">
        <f t="shared" si="35"/>
        <v>341.94280322573098</v>
      </c>
      <c r="AH72" s="218">
        <f t="shared" si="35"/>
        <v>350.39870948299426</v>
      </c>
    </row>
    <row r="73" spans="1:34" x14ac:dyDescent="0.2">
      <c r="A73" s="188" t="s">
        <v>164</v>
      </c>
      <c r="B73" s="217">
        <f t="shared" si="36"/>
        <v>0.23799600000000004</v>
      </c>
      <c r="C73" s="217">
        <f t="shared" si="36"/>
        <v>0.18760900000000003</v>
      </c>
      <c r="D73" s="217">
        <f t="shared" si="36"/>
        <v>0</v>
      </c>
      <c r="E73" s="217">
        <f t="shared" si="36"/>
        <v>0.29472500000000001</v>
      </c>
      <c r="F73" s="217">
        <f t="shared" si="36"/>
        <v>2.8543713302460274</v>
      </c>
      <c r="G73" s="217">
        <f t="shared" si="36"/>
        <v>3.1846677170733746</v>
      </c>
      <c r="H73" s="217">
        <f t="shared" si="36"/>
        <v>2.878128884964136</v>
      </c>
      <c r="I73" s="217">
        <f t="shared" si="36"/>
        <v>12.381449384304744</v>
      </c>
      <c r="J73" s="224">
        <f>J$83*(SUM(E73:I73)/SUM(E$83:I$83))</f>
        <v>14.317928434339265</v>
      </c>
      <c r="K73" s="218">
        <f t="shared" si="31"/>
        <v>72.555429852347373</v>
      </c>
      <c r="L73" s="218">
        <f t="shared" si="37"/>
        <v>102.40027237685175</v>
      </c>
      <c r="M73" s="218">
        <f t="shared" si="32"/>
        <v>130.41844135074805</v>
      </c>
      <c r="N73" s="218">
        <f t="shared" si="33"/>
        <v>183.81853275693859</v>
      </c>
      <c r="O73" s="218">
        <f t="shared" si="34"/>
        <v>223.23022615313434</v>
      </c>
      <c r="P73" s="218">
        <f t="shared" si="34"/>
        <v>290.45273910236739</v>
      </c>
      <c r="Q73" s="218">
        <f t="shared" si="34"/>
        <v>309.65904117065799</v>
      </c>
      <c r="R73" s="218">
        <f t="shared" si="34"/>
        <v>340.29916701392511</v>
      </c>
      <c r="S73" s="218">
        <f t="shared" si="34"/>
        <v>361.23069714149307</v>
      </c>
      <c r="T73" s="218">
        <f t="shared" si="34"/>
        <v>273.29124291825701</v>
      </c>
      <c r="U73" s="218">
        <f t="shared" si="34"/>
        <v>294.52184865616317</v>
      </c>
      <c r="V73" s="218">
        <f t="shared" si="34"/>
        <v>331.42185815803828</v>
      </c>
      <c r="W73" s="218">
        <f t="shared" si="34"/>
        <v>341.05514765888682</v>
      </c>
      <c r="X73" s="218">
        <f t="shared" si="34"/>
        <v>339.67155325904378</v>
      </c>
      <c r="Y73" s="218">
        <f t="shared" si="34"/>
        <v>356.06029066807088</v>
      </c>
      <c r="Z73" s="218">
        <f t="shared" si="34"/>
        <v>369.68201087613284</v>
      </c>
      <c r="AA73" s="218">
        <f t="shared" si="34"/>
        <v>381.19570975305294</v>
      </c>
      <c r="AB73" s="218">
        <f t="shared" si="34"/>
        <v>386.6943388529744</v>
      </c>
      <c r="AC73" s="218">
        <f t="shared" si="34"/>
        <v>398.9143566696693</v>
      </c>
      <c r="AD73" s="218">
        <f t="shared" si="34"/>
        <v>422.71532066248324</v>
      </c>
      <c r="AE73" s="218">
        <f t="shared" si="35"/>
        <v>440.20087539416511</v>
      </c>
      <c r="AF73" s="218">
        <f t="shared" si="35"/>
        <v>442.41436270214206</v>
      </c>
      <c r="AG73" s="218">
        <f t="shared" si="35"/>
        <v>441.94995259485387</v>
      </c>
      <c r="AH73" s="218">
        <f t="shared" si="35"/>
        <v>452.87851387215824</v>
      </c>
    </row>
    <row r="74" spans="1:34" x14ac:dyDescent="0.2">
      <c r="A74" s="188" t="s">
        <v>165</v>
      </c>
      <c r="B74" s="217">
        <f t="shared" si="36"/>
        <v>0.10379000000000002</v>
      </c>
      <c r="C74" s="217">
        <f t="shared" si="36"/>
        <v>0.18393999999999999</v>
      </c>
      <c r="D74" s="217">
        <f t="shared" si="36"/>
        <v>0.28082600000000002</v>
      </c>
      <c r="E74" s="217">
        <f t="shared" si="36"/>
        <v>0.288906</v>
      </c>
      <c r="F74" s="217">
        <f t="shared" si="36"/>
        <v>2.4223200627700709</v>
      </c>
      <c r="G74" s="217">
        <f t="shared" si="36"/>
        <v>2.0968158455692385</v>
      </c>
      <c r="H74" s="217">
        <f t="shared" si="36"/>
        <v>7.649161974184052</v>
      </c>
      <c r="I74" s="224">
        <f t="shared" ref="I74:J77" si="38">I$83*(SUM(D74:H74)/SUM(D$83:H$83))</f>
        <v>10.123705938748797</v>
      </c>
      <c r="J74" s="224">
        <f t="shared" si="38"/>
        <v>14.97275623491001</v>
      </c>
      <c r="K74" s="218">
        <f t="shared" si="31"/>
        <v>75.913051847552296</v>
      </c>
      <c r="L74" s="218">
        <f t="shared" si="37"/>
        <v>107.68752869031401</v>
      </c>
      <c r="M74" s="218">
        <f t="shared" si="32"/>
        <v>137.95087337885255</v>
      </c>
      <c r="N74" s="218">
        <f t="shared" si="33"/>
        <v>191.88615536286451</v>
      </c>
      <c r="O74" s="218">
        <f t="shared" si="34"/>
        <v>234.26947571254382</v>
      </c>
      <c r="P74" s="218">
        <f t="shared" si="34"/>
        <v>304.83799737930553</v>
      </c>
      <c r="Q74" s="218">
        <f t="shared" si="34"/>
        <v>325.07402755760381</v>
      </c>
      <c r="R74" s="218">
        <f t="shared" si="34"/>
        <v>357.18268173373463</v>
      </c>
      <c r="S74" s="218">
        <f t="shared" si="34"/>
        <v>378.86803025842107</v>
      </c>
      <c r="T74" s="218">
        <f t="shared" si="34"/>
        <v>286.79750658910291</v>
      </c>
      <c r="U74" s="218">
        <f t="shared" si="34"/>
        <v>309.07602871031071</v>
      </c>
      <c r="V74" s="218">
        <f t="shared" si="34"/>
        <v>347.79275028984227</v>
      </c>
      <c r="W74" s="218">
        <f t="shared" si="34"/>
        <v>357.87651231781552</v>
      </c>
      <c r="X74" s="218">
        <f t="shared" si="34"/>
        <v>356.40358718088771</v>
      </c>
      <c r="Y74" s="218">
        <f t="shared" si="34"/>
        <v>373.63493698944404</v>
      </c>
      <c r="Z74" s="218">
        <f t="shared" si="34"/>
        <v>387.9252305105378</v>
      </c>
      <c r="AA74" s="218">
        <f t="shared" si="34"/>
        <v>400.00272635436437</v>
      </c>
      <c r="AB74" s="218">
        <f t="shared" si="34"/>
        <v>405.76840900315636</v>
      </c>
      <c r="AC74" s="218">
        <f t="shared" si="34"/>
        <v>418.59151918869969</v>
      </c>
      <c r="AD74" s="218">
        <f t="shared" si="34"/>
        <v>443.57161675698143</v>
      </c>
      <c r="AE74" s="218">
        <f t="shared" si="35"/>
        <v>461.91830855425223</v>
      </c>
      <c r="AF74" s="218">
        <f t="shared" si="35"/>
        <v>464.23994078230322</v>
      </c>
      <c r="AG74" s="218">
        <f t="shared" si="35"/>
        <v>463.75229628874069</v>
      </c>
      <c r="AH74" s="218">
        <f t="shared" si="35"/>
        <v>475.22049243358117</v>
      </c>
    </row>
    <row r="75" spans="1:34" x14ac:dyDescent="0.2">
      <c r="A75" s="188" t="s">
        <v>166</v>
      </c>
      <c r="B75" s="217">
        <f t="shared" si="36"/>
        <v>0.18463399999999999</v>
      </c>
      <c r="C75" s="217">
        <f t="shared" si="36"/>
        <v>0.245975</v>
      </c>
      <c r="D75" s="217">
        <f t="shared" si="36"/>
        <v>1.234442</v>
      </c>
      <c r="E75" s="217">
        <f t="shared" si="36"/>
        <v>0.29328900000000002</v>
      </c>
      <c r="F75" s="217">
        <f t="shared" si="36"/>
        <v>0.40899099999999999</v>
      </c>
      <c r="G75" s="217">
        <f t="shared" si="36"/>
        <v>1.9562374947911949</v>
      </c>
      <c r="H75" s="217">
        <f t="shared" si="36"/>
        <v>11.383039066196304</v>
      </c>
      <c r="I75" s="224">
        <f t="shared" si="38"/>
        <v>12.140787765333112</v>
      </c>
      <c r="J75" s="224">
        <f t="shared" si="38"/>
        <v>17.360764573231531</v>
      </c>
      <c r="K75" s="218">
        <f t="shared" si="31"/>
        <v>88.105379331090532</v>
      </c>
      <c r="L75" s="218">
        <f t="shared" si="37"/>
        <v>127.31895566834204</v>
      </c>
      <c r="M75" s="218">
        <f t="shared" si="32"/>
        <v>163.43268098287157</v>
      </c>
      <c r="N75" s="218">
        <f t="shared" si="33"/>
        <v>226.04594473934657</v>
      </c>
      <c r="O75" s="218">
        <f t="shared" si="34"/>
        <v>275.879139005588</v>
      </c>
      <c r="P75" s="218">
        <f t="shared" si="34"/>
        <v>359.09229268734066</v>
      </c>
      <c r="Q75" s="218">
        <f t="shared" si="34"/>
        <v>383.36874093537239</v>
      </c>
      <c r="R75" s="218">
        <f t="shared" si="34"/>
        <v>421.13960664111681</v>
      </c>
      <c r="S75" s="218">
        <f t="shared" si="34"/>
        <v>446.49870836494262</v>
      </c>
      <c r="T75" s="218">
        <f t="shared" si="34"/>
        <v>338.00964851303218</v>
      </c>
      <c r="U75" s="218">
        <f t="shared" si="34"/>
        <v>364.30800818981356</v>
      </c>
      <c r="V75" s="218">
        <f t="shared" si="34"/>
        <v>409.98966886764367</v>
      </c>
      <c r="W75" s="218">
        <f t="shared" si="34"/>
        <v>421.84251361905717</v>
      </c>
      <c r="X75" s="218">
        <f t="shared" si="34"/>
        <v>420.08194392777062</v>
      </c>
      <c r="Y75" s="218">
        <f t="shared" si="34"/>
        <v>440.40583924495843</v>
      </c>
      <c r="Z75" s="218">
        <f t="shared" si="34"/>
        <v>457.2588728458652</v>
      </c>
      <c r="AA75" s="218">
        <f t="shared" si="34"/>
        <v>471.49694470558376</v>
      </c>
      <c r="AB75" s="218">
        <f t="shared" si="34"/>
        <v>478.28570832695863</v>
      </c>
      <c r="AC75" s="218">
        <f t="shared" si="34"/>
        <v>493.39882703987138</v>
      </c>
      <c r="AD75" s="218">
        <f t="shared" si="34"/>
        <v>522.84656710245213</v>
      </c>
      <c r="AE75" s="218">
        <f t="shared" si="35"/>
        <v>544.47329413808995</v>
      </c>
      <c r="AF75" s="218">
        <f t="shared" si="35"/>
        <v>547.20923177839006</v>
      </c>
      <c r="AG75" s="218">
        <f t="shared" si="35"/>
        <v>546.6332836426875</v>
      </c>
      <c r="AH75" s="218">
        <f t="shared" si="35"/>
        <v>560.15124759955347</v>
      </c>
    </row>
    <row r="76" spans="1:34" x14ac:dyDescent="0.2">
      <c r="A76" s="188" t="s">
        <v>167</v>
      </c>
      <c r="B76" s="217">
        <f t="shared" si="36"/>
        <v>6.4188999999999996E-2</v>
      </c>
      <c r="C76" s="217">
        <f t="shared" si="36"/>
        <v>0.25428800000000001</v>
      </c>
      <c r="D76" s="217">
        <f t="shared" si="36"/>
        <v>0</v>
      </c>
      <c r="E76" s="217">
        <f t="shared" si="36"/>
        <v>0.28749599999999997</v>
      </c>
      <c r="F76" s="217">
        <f t="shared" si="36"/>
        <v>0.62501486631488001</v>
      </c>
      <c r="G76" s="217">
        <f t="shared" si="36"/>
        <v>1.9665659369509849</v>
      </c>
      <c r="H76" s="217">
        <f t="shared" si="36"/>
        <v>14.485553454243687</v>
      </c>
      <c r="I76" s="224">
        <f>I$83*(SUM(D76:H76)/SUM(D$83:H$83))-7</f>
        <v>6.8007534982562152</v>
      </c>
      <c r="J76" s="224">
        <f t="shared" si="38"/>
        <v>16.02337563729532</v>
      </c>
      <c r="K76" s="218">
        <f t="shared" si="31"/>
        <v>81.283944192142343</v>
      </c>
      <c r="L76" s="218">
        <f t="shared" si="37"/>
        <v>117.22063616463689</v>
      </c>
      <c r="M76" s="218">
        <f t="shared" si="32"/>
        <v>150.36447519811364</v>
      </c>
      <c r="N76" s="218">
        <f t="shared" si="33"/>
        <v>205.74990609847865</v>
      </c>
      <c r="O76" s="218">
        <f t="shared" si="34"/>
        <v>252.99291970985828</v>
      </c>
      <c r="P76" s="218">
        <f t="shared" si="34"/>
        <v>329.26100810866654</v>
      </c>
      <c r="Q76" s="218">
        <f t="shared" si="34"/>
        <v>351.35500286971404</v>
      </c>
      <c r="R76" s="218">
        <f t="shared" si="34"/>
        <v>385.81212931775019</v>
      </c>
      <c r="S76" s="218">
        <f t="shared" si="34"/>
        <v>408.87201955805574</v>
      </c>
      <c r="T76" s="218">
        <f t="shared" si="34"/>
        <v>309.7488864168875</v>
      </c>
      <c r="U76" s="218">
        <f t="shared" si="34"/>
        <v>333.81482428460072</v>
      </c>
      <c r="V76" s="218">
        <f t="shared" si="34"/>
        <v>375.62555791657286</v>
      </c>
      <c r="W76" s="218">
        <f t="shared" si="34"/>
        <v>386.45956037438964</v>
      </c>
      <c r="X76" s="218">
        <f t="shared" si="34"/>
        <v>384.84740076562957</v>
      </c>
      <c r="Y76" s="218">
        <f t="shared" si="34"/>
        <v>403.50638114875193</v>
      </c>
      <c r="Z76" s="218">
        <f t="shared" si="34"/>
        <v>418.93417048262552</v>
      </c>
      <c r="AA76" s="218">
        <f t="shared" si="34"/>
        <v>431.96991391136839</v>
      </c>
      <c r="AB76" s="218">
        <f t="shared" si="34"/>
        <v>438.18813207056689</v>
      </c>
      <c r="AC76" s="218">
        <f t="shared" si="34"/>
        <v>452.03800222003173</v>
      </c>
      <c r="AD76" s="218">
        <f t="shared" si="34"/>
        <v>479.0215981123057</v>
      </c>
      <c r="AE76" s="218">
        <f t="shared" si="35"/>
        <v>498.8321288705389</v>
      </c>
      <c r="AF76" s="218">
        <f t="shared" si="35"/>
        <v>501.33750172493649</v>
      </c>
      <c r="AG76" s="218">
        <f t="shared" si="35"/>
        <v>500.81028853916774</v>
      </c>
      <c r="AH76" s="218">
        <f t="shared" si="35"/>
        <v>513.19591695277461</v>
      </c>
    </row>
    <row r="77" spans="1:34" x14ac:dyDescent="0.2">
      <c r="A77" s="188" t="s">
        <v>168</v>
      </c>
      <c r="B77" s="217">
        <f t="shared" si="36"/>
        <v>0.14019400000000001</v>
      </c>
      <c r="C77" s="217">
        <f t="shared" si="36"/>
        <v>0.22327900000000001</v>
      </c>
      <c r="D77" s="217">
        <f t="shared" si="36"/>
        <v>0.50851299999999999</v>
      </c>
      <c r="E77" s="217">
        <f t="shared" si="36"/>
        <v>0.35731700000000011</v>
      </c>
      <c r="F77" s="217">
        <f t="shared" si="36"/>
        <v>1.9095651336851203</v>
      </c>
      <c r="G77" s="217">
        <f t="shared" si="36"/>
        <v>2.0921340630490151</v>
      </c>
      <c r="H77" s="217">
        <f t="shared" si="36"/>
        <v>7.2895628560553494</v>
      </c>
      <c r="I77" s="224">
        <f t="shared" si="38"/>
        <v>9.6619984524922451</v>
      </c>
      <c r="J77" s="224">
        <f t="shared" si="38"/>
        <v>14.130435165688281</v>
      </c>
      <c r="K77" s="218">
        <f t="shared" si="31"/>
        <v>71.469946524779871</v>
      </c>
      <c r="L77" s="218">
        <f t="shared" si="37"/>
        <v>101.74540208871692</v>
      </c>
      <c r="M77" s="218">
        <f t="shared" si="32"/>
        <v>130.26804526002945</v>
      </c>
      <c r="N77" s="218">
        <f t="shared" si="33"/>
        <v>181.1627803474538</v>
      </c>
      <c r="O77" s="218">
        <f t="shared" si="34"/>
        <v>221.13142058620366</v>
      </c>
      <c r="P77" s="218">
        <f t="shared" si="34"/>
        <v>287.74346654541887</v>
      </c>
      <c r="Q77" s="218">
        <f t="shared" si="34"/>
        <v>306.90665485369811</v>
      </c>
      <c r="R77" s="218">
        <f t="shared" si="34"/>
        <v>337.19806387387149</v>
      </c>
      <c r="S77" s="218">
        <f t="shared" si="34"/>
        <v>357.66055343919453</v>
      </c>
      <c r="T77" s="218">
        <f t="shared" si="34"/>
        <v>270.74060103124145</v>
      </c>
      <c r="U77" s="218">
        <f t="shared" si="34"/>
        <v>291.77593762738701</v>
      </c>
      <c r="V77" s="218">
        <f t="shared" si="34"/>
        <v>328.33219048756069</v>
      </c>
      <c r="W77" s="218">
        <f t="shared" si="34"/>
        <v>337.84703942669455</v>
      </c>
      <c r="X77" s="218">
        <f t="shared" si="34"/>
        <v>336.45527286289496</v>
      </c>
      <c r="Y77" s="218">
        <f t="shared" si="34"/>
        <v>352.72257052799364</v>
      </c>
      <c r="Z77" s="218">
        <f t="shared" si="34"/>
        <v>366.21411046771766</v>
      </c>
      <c r="AA77" s="218">
        <f t="shared" si="34"/>
        <v>377.61608865041859</v>
      </c>
      <c r="AB77" s="218">
        <f t="shared" si="34"/>
        <v>383.05820461434132</v>
      </c>
      <c r="AC77" s="218">
        <f t="shared" si="34"/>
        <v>395.16356087689394</v>
      </c>
      <c r="AD77" s="218">
        <f t="shared" si="34"/>
        <v>418.74576512941263</v>
      </c>
      <c r="AE77" s="218">
        <f t="shared" si="35"/>
        <v>436.06579329762661</v>
      </c>
      <c r="AF77" s="218">
        <f t="shared" si="35"/>
        <v>438.25745173749755</v>
      </c>
      <c r="AG77" s="218">
        <f t="shared" si="35"/>
        <v>437.79696528095099</v>
      </c>
      <c r="AH77" s="218">
        <f t="shared" si="35"/>
        <v>448.62333388429971</v>
      </c>
    </row>
    <row r="78" spans="1:34" x14ac:dyDescent="0.2">
      <c r="A78" s="188" t="s">
        <v>169</v>
      </c>
      <c r="B78" s="217">
        <f t="shared" si="36"/>
        <v>8.2231000000000012E-2</v>
      </c>
      <c r="C78" s="217">
        <f t="shared" si="36"/>
        <v>0.14661299999999999</v>
      </c>
      <c r="D78" s="217">
        <f t="shared" si="36"/>
        <v>1.5367249999999999</v>
      </c>
      <c r="E78" s="217">
        <f t="shared" si="36"/>
        <v>1.093159</v>
      </c>
      <c r="F78" s="217">
        <f t="shared" si="36"/>
        <v>1.6312090882014989</v>
      </c>
      <c r="G78" s="217">
        <f t="shared" si="36"/>
        <v>2.1771397774114316</v>
      </c>
      <c r="H78" s="217">
        <f t="shared" si="36"/>
        <v>10.187413824201013</v>
      </c>
      <c r="I78" s="224">
        <f>I$83*(SUM(D78:H78)/SUM(D$83:H$83))-2</f>
        <v>11.213437217645023</v>
      </c>
      <c r="J78" s="224">
        <f>J$83*(SUM(E78:I78)/SUM(E$83:I$83))-2</f>
        <v>15.440342813534613</v>
      </c>
      <c r="K78" s="218">
        <f t="shared" ref="K78:AH78" si="39">K$83*(SUM(F78:J78)/SUM(F$83:J$83))-2</f>
        <v>80.808284274626445</v>
      </c>
      <c r="L78" s="218">
        <f t="shared" si="39"/>
        <v>114.50738161406252</v>
      </c>
      <c r="M78" s="218">
        <f t="shared" si="39"/>
        <v>146.03237065846105</v>
      </c>
      <c r="N78" s="218">
        <f t="shared" si="39"/>
        <v>201.70655778399433</v>
      </c>
      <c r="O78" s="218">
        <f t="shared" si="39"/>
        <v>245.60739881701917</v>
      </c>
      <c r="P78" s="218">
        <f t="shared" si="39"/>
        <v>319.53519396300646</v>
      </c>
      <c r="Q78" s="218">
        <f t="shared" si="39"/>
        <v>339.96855937021883</v>
      </c>
      <c r="R78" s="218">
        <f t="shared" si="39"/>
        <v>372.78174800570673</v>
      </c>
      <c r="S78" s="218">
        <f t="shared" si="39"/>
        <v>394.65508454445126</v>
      </c>
      <c r="T78" s="218">
        <f t="shared" si="39"/>
        <v>297.75811502435693</v>
      </c>
      <c r="U78" s="218">
        <f t="shared" si="39"/>
        <v>320.52894954907993</v>
      </c>
      <c r="V78" s="218">
        <f t="shared" si="39"/>
        <v>360.21119521264961</v>
      </c>
      <c r="W78" s="218">
        <f>W$83*(SUM(R78:V78)/SUM(R$83:V$83))-2</f>
        <v>369.98478224501889</v>
      </c>
      <c r="X78" s="218">
        <f t="shared" ref="X78:AC78" si="40">X$83*(SUM(S78:W78)/SUM(S$83:W$83))-2</f>
        <v>367.70761604858978</v>
      </c>
      <c r="Y78" s="218">
        <f t="shared" si="40"/>
        <v>384.7608712566784</v>
      </c>
      <c r="Z78" s="218">
        <f t="shared" si="40"/>
        <v>398.91168584476327</v>
      </c>
      <c r="AA78" s="218">
        <f t="shared" si="40"/>
        <v>410.71219754810534</v>
      </c>
      <c r="AB78" s="218">
        <f t="shared" si="40"/>
        <v>415.93256429193139</v>
      </c>
      <c r="AC78" s="218">
        <f t="shared" si="40"/>
        <v>428.40466065160263</v>
      </c>
      <c r="AD78" s="218">
        <f t="shared" si="39"/>
        <v>453.36472745417581</v>
      </c>
      <c r="AE78" s="218">
        <f t="shared" si="39"/>
        <v>471.48195962918999</v>
      </c>
      <c r="AF78" s="218">
        <f t="shared" si="39"/>
        <v>473.14783435781459</v>
      </c>
      <c r="AG78" s="218">
        <f t="shared" si="39"/>
        <v>471.94892366551505</v>
      </c>
      <c r="AH78" s="218">
        <f t="shared" si="39"/>
        <v>482.98507288640155</v>
      </c>
    </row>
    <row r="79" spans="1:34" x14ac:dyDescent="0.2">
      <c r="A79" s="188" t="s">
        <v>170</v>
      </c>
      <c r="B79" s="217">
        <f t="shared" si="36"/>
        <v>7.0236000000000021E-2</v>
      </c>
      <c r="C79" s="217">
        <f t="shared" si="36"/>
        <v>0.27175700000000003</v>
      </c>
      <c r="D79" s="217">
        <f t="shared" si="36"/>
        <v>6.3854999999999995E-2</v>
      </c>
      <c r="E79" s="217">
        <f t="shared" si="36"/>
        <v>0.72205800000000009</v>
      </c>
      <c r="F79" s="217">
        <f t="shared" si="36"/>
        <v>1.5463259117985007</v>
      </c>
      <c r="G79" s="217">
        <f t="shared" si="36"/>
        <v>4.2732672806822354</v>
      </c>
      <c r="H79" s="217">
        <f t="shared" si="36"/>
        <v>11.238653866055522</v>
      </c>
      <c r="I79" s="224">
        <f>I$83*(SUM(D79:H79)/SUM(D$83:H$83))</f>
        <v>14.181865706284682</v>
      </c>
      <c r="J79" s="224">
        <f>J$83*(SUM(E79:I79)/SUM(E$83:I$83))-3</f>
        <v>18.19320237262566</v>
      </c>
      <c r="K79" s="218">
        <f t="shared" ref="K79:AH79" si="41">K$83*(SUM(F79:J79)/SUM(F$83:J$83))-3</f>
        <v>97.701944930484515</v>
      </c>
      <c r="L79" s="218">
        <f t="shared" si="41"/>
        <v>138.55607332269557</v>
      </c>
      <c r="M79" s="218">
        <f t="shared" si="41"/>
        <v>175.45726043810674</v>
      </c>
      <c r="N79" s="218">
        <f t="shared" si="41"/>
        <v>242.82518838300857</v>
      </c>
      <c r="O79" s="218">
        <f t="shared" si="41"/>
        <v>295.25486841473258</v>
      </c>
      <c r="P79" s="218">
        <f t="shared" si="41"/>
        <v>384.22878758562189</v>
      </c>
      <c r="Q79" s="218">
        <f t="shared" si="41"/>
        <v>408.5124399437625</v>
      </c>
      <c r="R79" s="218">
        <f t="shared" si="41"/>
        <v>447.59318328298258</v>
      </c>
      <c r="S79" s="218">
        <f t="shared" si="41"/>
        <v>473.76223265661304</v>
      </c>
      <c r="T79" s="218">
        <f t="shared" si="41"/>
        <v>357.12086178292492</v>
      </c>
      <c r="U79" s="218">
        <f t="shared" si="41"/>
        <v>384.33003388068175</v>
      </c>
      <c r="V79" s="218">
        <f t="shared" si="41"/>
        <v>431.75582096970766</v>
      </c>
      <c r="W79" s="218">
        <f>W$83*(SUM(R79:V79)/SUM(R$83:V$83))-3</f>
        <v>443.26243106278264</v>
      </c>
      <c r="X79" s="218">
        <f t="shared" ref="X79:AC79" si="42">X$83*(SUM(S79:W79)/SUM(S$83:W$83))-3</f>
        <v>440.32370960085098</v>
      </c>
      <c r="Y79" s="218">
        <f t="shared" si="42"/>
        <v>460.51901156062598</v>
      </c>
      <c r="Z79" s="218">
        <f t="shared" si="42"/>
        <v>477.28448391567701</v>
      </c>
      <c r="AA79" s="218">
        <f t="shared" si="42"/>
        <v>491.21364779677822</v>
      </c>
      <c r="AB79" s="218">
        <f t="shared" si="42"/>
        <v>497.24514765019256</v>
      </c>
      <c r="AC79" s="218">
        <f t="shared" si="42"/>
        <v>511.9528837782492</v>
      </c>
      <c r="AD79" s="218">
        <f t="shared" si="41"/>
        <v>541.59470178675406</v>
      </c>
      <c r="AE79" s="218">
        <f t="shared" si="41"/>
        <v>563.04382452054904</v>
      </c>
      <c r="AF79" s="218">
        <f t="shared" si="41"/>
        <v>564.81786898710402</v>
      </c>
      <c r="AG79" s="218">
        <f t="shared" si="41"/>
        <v>563.17197007714628</v>
      </c>
      <c r="AH79" s="218">
        <f t="shared" si="41"/>
        <v>576.14679409383996</v>
      </c>
    </row>
    <row r="80" spans="1:34" x14ac:dyDescent="0.2">
      <c r="A80" s="188" t="s">
        <v>171</v>
      </c>
      <c r="B80" s="217">
        <f t="shared" si="36"/>
        <v>0.15108199999999999</v>
      </c>
      <c r="C80" s="217">
        <f t="shared" si="36"/>
        <v>0.27552900000000002</v>
      </c>
      <c r="D80" s="217">
        <f t="shared" si="36"/>
        <v>0.37116899999999997</v>
      </c>
      <c r="E80" s="217">
        <f t="shared" si="36"/>
        <v>0.30012199999999994</v>
      </c>
      <c r="F80" s="217">
        <f t="shared" si="36"/>
        <v>0.39357100000000012</v>
      </c>
      <c r="G80" s="217">
        <f t="shared" si="36"/>
        <v>2.1975850661416274</v>
      </c>
      <c r="H80" s="217">
        <f t="shared" si="36"/>
        <v>19.799097441374165</v>
      </c>
      <c r="I80" s="224">
        <f>I$83*(SUM(D80:H80)/SUM(D$83:H$83))-7.5</f>
        <v>10.828446175791825</v>
      </c>
      <c r="J80" s="224">
        <f>J$83*(SUM(E80:I80)/SUM(E$83:I$83))</f>
        <v>22.225373127915304</v>
      </c>
      <c r="K80" s="218">
        <f t="shared" ref="K80:AH80" si="43">K$83*(SUM(F80:J80)/SUM(F$83:J$83))</f>
        <v>112.94662216024588</v>
      </c>
      <c r="L80" s="218">
        <f t="shared" si="43"/>
        <v>163.34354899118887</v>
      </c>
      <c r="M80" s="218">
        <f t="shared" si="43"/>
        <v>209.8746151239329</v>
      </c>
      <c r="N80" s="218">
        <f t="shared" si="43"/>
        <v>287.41226297019062</v>
      </c>
      <c r="O80" s="218">
        <f t="shared" si="43"/>
        <v>352.81710660366008</v>
      </c>
      <c r="P80" s="218">
        <f t="shared" si="43"/>
        <v>459.22761148163318</v>
      </c>
      <c r="Q80" s="218">
        <f t="shared" si="43"/>
        <v>490.18302263523998</v>
      </c>
      <c r="R80" s="218">
        <f t="shared" si="43"/>
        <v>538.31279963052089</v>
      </c>
      <c r="S80" s="218">
        <f t="shared" si="43"/>
        <v>570.46742926168974</v>
      </c>
      <c r="T80" s="218">
        <f t="shared" si="43"/>
        <v>432.10670838198769</v>
      </c>
      <c r="U80" s="218">
        <f t="shared" si="43"/>
        <v>465.70050719157621</v>
      </c>
      <c r="V80" s="218">
        <f t="shared" si="43"/>
        <v>524.05526353040875</v>
      </c>
      <c r="W80" s="218">
        <f>W$83*(SUM(R80:V80)/SUM(R$83:V$83))</f>
        <v>539.1727222884706</v>
      </c>
      <c r="X80" s="218">
        <f t="shared" ref="X80:AC80" si="44">X$83*(SUM(S80:W80)/SUM(S$83:W$83))</f>
        <v>536.91430893001336</v>
      </c>
      <c r="Y80" s="218">
        <f t="shared" si="44"/>
        <v>562.93811204433371</v>
      </c>
      <c r="Z80" s="218">
        <f t="shared" si="44"/>
        <v>584.46807734393212</v>
      </c>
      <c r="AA80" s="218">
        <f t="shared" si="44"/>
        <v>602.65792186618489</v>
      </c>
      <c r="AB80" s="218">
        <f t="shared" si="44"/>
        <v>611.33200206370634</v>
      </c>
      <c r="AC80" s="218">
        <f t="shared" si="44"/>
        <v>630.65247140425492</v>
      </c>
      <c r="AD80" s="218">
        <f t="shared" si="43"/>
        <v>668.29778751083893</v>
      </c>
      <c r="AE80" s="218">
        <f t="shared" si="43"/>
        <v>695.93743307175623</v>
      </c>
      <c r="AF80" s="218">
        <f t="shared" si="43"/>
        <v>699.43298821674671</v>
      </c>
      <c r="AG80" s="218">
        <f t="shared" si="43"/>
        <v>698.6970296873335</v>
      </c>
      <c r="AH80" s="218">
        <f t="shared" si="43"/>
        <v>715.97637329762983</v>
      </c>
    </row>
    <row r="81" spans="1:34" x14ac:dyDescent="0.2">
      <c r="A81" s="188" t="s">
        <v>172</v>
      </c>
      <c r="B81" s="217">
        <f t="shared" si="36"/>
        <v>0.22908899999999999</v>
      </c>
      <c r="C81" s="217">
        <f t="shared" si="36"/>
        <v>0.21657399999999999</v>
      </c>
      <c r="D81" s="217">
        <f t="shared" si="36"/>
        <v>0.18841599999999997</v>
      </c>
      <c r="E81" s="217">
        <f t="shared" si="36"/>
        <v>0.43774100000000005</v>
      </c>
      <c r="F81" s="217">
        <f t="shared" si="36"/>
        <v>1.7646310000000001</v>
      </c>
      <c r="G81" s="217">
        <f t="shared" si="36"/>
        <v>3.0180318757647058</v>
      </c>
      <c r="H81" s="217">
        <f t="shared" si="36"/>
        <v>8.3706344108651223</v>
      </c>
      <c r="I81" s="224">
        <f>I$83*(SUM(D81:H81)/SUM(D$83:H$83))</f>
        <v>10.95139079440106</v>
      </c>
      <c r="J81" s="224">
        <f>J$83*(SUM(E81:I81)/SUM(E$83:I$83))-3</f>
        <v>13.273383621446111</v>
      </c>
      <c r="K81" s="218">
        <f t="shared" ref="K81:AH81" si="45">K$83*(SUM(F81:J81)/SUM(F$83:J$83))-3</f>
        <v>73.143882070721389</v>
      </c>
      <c r="L81" s="218">
        <f t="shared" si="45"/>
        <v>102.74470955569153</v>
      </c>
      <c r="M81" s="218">
        <f t="shared" si="45"/>
        <v>129.93762185385592</v>
      </c>
      <c r="N81" s="218">
        <f t="shared" si="45"/>
        <v>179.69896399604815</v>
      </c>
      <c r="O81" s="218">
        <f t="shared" si="45"/>
        <v>218.1411528249802</v>
      </c>
      <c r="P81" s="218">
        <f t="shared" si="45"/>
        <v>283.8827101652393</v>
      </c>
      <c r="Q81" s="218">
        <f t="shared" si="45"/>
        <v>301.36168215753395</v>
      </c>
      <c r="R81" s="218">
        <f t="shared" si="45"/>
        <v>329.95314921239213</v>
      </c>
      <c r="S81" s="218">
        <f t="shared" si="45"/>
        <v>349.00274005944095</v>
      </c>
      <c r="T81" s="218">
        <f t="shared" si="45"/>
        <v>262.66883477708438</v>
      </c>
      <c r="U81" s="218">
        <f t="shared" si="45"/>
        <v>282.53363665381255</v>
      </c>
      <c r="V81" s="218">
        <f t="shared" si="45"/>
        <v>317.19635710057906</v>
      </c>
      <c r="W81" s="218">
        <f>W$83*(SUM(R81:V81)/SUM(R$83:V$83))-3</f>
        <v>325.39737375183864</v>
      </c>
      <c r="X81" s="218">
        <f t="shared" ref="X81:AC81" si="46">X$83*(SUM(S81:W81)/SUM(S$83:W$83))-3</f>
        <v>322.94449324317901</v>
      </c>
      <c r="Y81" s="218">
        <f t="shared" si="46"/>
        <v>337.46065039098573</v>
      </c>
      <c r="Z81" s="218">
        <f t="shared" si="46"/>
        <v>349.51820850593742</v>
      </c>
      <c r="AA81" s="218">
        <f t="shared" si="46"/>
        <v>359.46949483673819</v>
      </c>
      <c r="AB81" s="218">
        <f t="shared" si="46"/>
        <v>363.60441939756458</v>
      </c>
      <c r="AC81" s="218">
        <f t="shared" si="46"/>
        <v>374.08832034909403</v>
      </c>
      <c r="AD81" s="218">
        <f t="shared" si="45"/>
        <v>395.50206693441299</v>
      </c>
      <c r="AE81" s="218">
        <f t="shared" si="45"/>
        <v>410.90855178949414</v>
      </c>
      <c r="AF81" s="218">
        <f t="shared" si="45"/>
        <v>411.91817652155424</v>
      </c>
      <c r="AG81" s="218">
        <f t="shared" si="45"/>
        <v>410.43316066891651</v>
      </c>
      <c r="AH81" s="218">
        <f t="shared" si="45"/>
        <v>419.63070802049344</v>
      </c>
    </row>
    <row r="82" spans="1:34" x14ac:dyDescent="0.2">
      <c r="A82" s="188" t="s">
        <v>173</v>
      </c>
      <c r="B82" s="217">
        <f t="shared" si="36"/>
        <v>0.152783</v>
      </c>
      <c r="C82" s="217">
        <f t="shared" si="36"/>
        <v>9.1175000000000006E-2</v>
      </c>
      <c r="D82" s="217">
        <f t="shared" si="36"/>
        <v>0.18820100000000001</v>
      </c>
      <c r="E82" s="217">
        <f t="shared" si="36"/>
        <v>0.40348200000000006</v>
      </c>
      <c r="F82" s="217">
        <f t="shared" si="36"/>
        <v>0.62617630595541596</v>
      </c>
      <c r="G82" s="217">
        <f t="shared" si="36"/>
        <v>1.2414284674855136</v>
      </c>
      <c r="H82" s="217">
        <f t="shared" si="36"/>
        <v>4.2828858488706611</v>
      </c>
      <c r="I82" s="224">
        <f>I83-SUM(I71:I81)</f>
        <v>14.209062693752315</v>
      </c>
      <c r="J82" s="224">
        <f>J83-SUM(J71:J81)</f>
        <v>21.767375581624776</v>
      </c>
      <c r="K82" s="218">
        <f t="shared" ref="K82:AH82" si="47">K83-SUM(K71:K81)</f>
        <v>93.81790766308302</v>
      </c>
      <c r="L82" s="218">
        <f t="shared" si="47"/>
        <v>139.57028934917048</v>
      </c>
      <c r="M82" s="218">
        <f t="shared" si="47"/>
        <v>182.48845286460414</v>
      </c>
      <c r="N82" s="218">
        <f t="shared" si="47"/>
        <v>258.12223599164599</v>
      </c>
      <c r="O82" s="218">
        <f t="shared" si="47"/>
        <v>316.46631316494722</v>
      </c>
      <c r="P82" s="218">
        <f t="shared" si="47"/>
        <v>411.80977231268525</v>
      </c>
      <c r="Q82" s="218">
        <f t="shared" si="47"/>
        <v>443.52268846792276</v>
      </c>
      <c r="R82" s="218">
        <f t="shared" si="47"/>
        <v>490.34153976660991</v>
      </c>
      <c r="S82" s="218">
        <f t="shared" si="47"/>
        <v>522.78925591173356</v>
      </c>
      <c r="T82" s="218">
        <f t="shared" si="47"/>
        <v>399.58838804182869</v>
      </c>
      <c r="U82" s="218">
        <f t="shared" si="47"/>
        <v>432.1391925667308</v>
      </c>
      <c r="V82" s="218">
        <f t="shared" si="47"/>
        <v>488.31573496642432</v>
      </c>
      <c r="W82" s="218">
        <f t="shared" si="47"/>
        <v>505.100532272902</v>
      </c>
      <c r="X82" s="218">
        <f t="shared" si="47"/>
        <v>505.98047395007143</v>
      </c>
      <c r="Y82" s="218">
        <f t="shared" si="47"/>
        <v>533.34237350704916</v>
      </c>
      <c r="Z82" s="218">
        <f t="shared" si="47"/>
        <v>556.02691143595439</v>
      </c>
      <c r="AA82" s="218">
        <f t="shared" si="47"/>
        <v>575.8299627883307</v>
      </c>
      <c r="AB82" s="218">
        <f t="shared" si="47"/>
        <v>586.91304578347354</v>
      </c>
      <c r="AC82" s="218">
        <f t="shared" si="47"/>
        <v>608.14207132951105</v>
      </c>
      <c r="AD82" s="218">
        <f t="shared" si="47"/>
        <v>646.86050296907706</v>
      </c>
      <c r="AE82" s="218">
        <f t="shared" si="47"/>
        <v>676.15848037440264</v>
      </c>
      <c r="AF82" s="218">
        <f t="shared" si="47"/>
        <v>682.37242027474986</v>
      </c>
      <c r="AG82" s="218">
        <f t="shared" si="47"/>
        <v>684.46020094716096</v>
      </c>
      <c r="AH82" s="218">
        <f t="shared" si="47"/>
        <v>703.92491201634584</v>
      </c>
    </row>
    <row r="83" spans="1:34" ht="13.5" thickBot="1" x14ac:dyDescent="0.25">
      <c r="A83" s="188" t="s">
        <v>226</v>
      </c>
      <c r="B83" s="220">
        <f t="shared" ref="B83:H83" si="48">SUM(B71:B82)</f>
        <v>1.5559379999999998</v>
      </c>
      <c r="C83" s="220">
        <f t="shared" si="48"/>
        <v>2.5636090000000005</v>
      </c>
      <c r="D83" s="220">
        <f t="shared" si="48"/>
        <v>4.5510700000000002</v>
      </c>
      <c r="E83" s="220">
        <f t="shared" si="48"/>
        <v>4.9627820000000007</v>
      </c>
      <c r="F83" s="220">
        <f t="shared" si="48"/>
        <v>15.058484305955417</v>
      </c>
      <c r="G83" s="220">
        <f t="shared" si="48"/>
        <v>25.725117161530093</v>
      </c>
      <c r="H83" s="220">
        <f t="shared" si="48"/>
        <v>108.86963315952448</v>
      </c>
      <c r="I83" s="225">
        <v>126.5</v>
      </c>
      <c r="J83" s="225">
        <v>186.4</v>
      </c>
      <c r="K83" s="225">
        <v>942.27972029214493</v>
      </c>
      <c r="L83" s="225">
        <v>1351.2772657100027</v>
      </c>
      <c r="M83" s="225">
        <v>1731.3993521003181</v>
      </c>
      <c r="N83" s="225">
        <v>2401.2103826347548</v>
      </c>
      <c r="O83" s="225">
        <v>2931.6656899283212</v>
      </c>
      <c r="P83" s="225">
        <v>3815.1609756492794</v>
      </c>
      <c r="Q83" s="225">
        <v>4071.0187942382868</v>
      </c>
      <c r="R83" s="225">
        <v>4472.3289865967508</v>
      </c>
      <c r="S83" s="225">
        <v>4742.7550121196655</v>
      </c>
      <c r="T83" s="225">
        <v>3590.3503085331295</v>
      </c>
      <c r="U83" s="225">
        <v>3869.4553137087232</v>
      </c>
      <c r="V83" s="225">
        <v>4354.4261056271525</v>
      </c>
      <c r="W83" s="225">
        <v>4480.4560408074449</v>
      </c>
      <c r="X83" s="225">
        <f t="shared" ref="X83:AH83" si="49">X9</f>
        <v>4461.8970233450527</v>
      </c>
      <c r="Y83" s="225">
        <f t="shared" si="49"/>
        <v>4677.7056970220174</v>
      </c>
      <c r="Z83" s="225">
        <f t="shared" si="49"/>
        <v>4856.656426178155</v>
      </c>
      <c r="AA83" s="225">
        <f t="shared" si="49"/>
        <v>5007.870923806996</v>
      </c>
      <c r="AB83" s="225">
        <f t="shared" si="49"/>
        <v>5080.0110543310193</v>
      </c>
      <c r="AC83" s="225">
        <f t="shared" si="49"/>
        <v>5240.5439408207694</v>
      </c>
      <c r="AD83" s="225">
        <f t="shared" si="49"/>
        <v>5553.3009473064094</v>
      </c>
      <c r="AE83" s="225">
        <f t="shared" si="49"/>
        <v>5782.997556436907</v>
      </c>
      <c r="AF83" s="225">
        <f t="shared" si="49"/>
        <v>5812.0595782268383</v>
      </c>
      <c r="AG83" s="225">
        <f t="shared" si="49"/>
        <v>5805.9481199219063</v>
      </c>
      <c r="AH83" s="225">
        <f t="shared" si="49"/>
        <v>5949.5258430285676</v>
      </c>
    </row>
    <row r="84" spans="1:34" x14ac:dyDescent="0.2">
      <c r="A84" s="221"/>
      <c r="B84" s="221"/>
      <c r="C84" s="221"/>
      <c r="D84" s="221"/>
      <c r="E84" s="221"/>
      <c r="F84" s="221"/>
      <c r="G84" s="226">
        <f>G83+G99</f>
        <v>25.725117161530093</v>
      </c>
      <c r="H84" s="226">
        <f>H83+H99</f>
        <v>108.86963315952448</v>
      </c>
      <c r="I84" s="226">
        <f>I83+I99</f>
        <v>126.50380948655419</v>
      </c>
      <c r="J84" s="226">
        <f>J83+J99</f>
        <v>187.3416255658843</v>
      </c>
      <c r="K84" s="226">
        <f>K83+K99</f>
        <v>933.69955736822533</v>
      </c>
      <c r="L84" s="226">
        <f t="shared" ref="L84:AH84" si="50">L83+L99</f>
        <v>1338.7671529650825</v>
      </c>
      <c r="M84" s="226">
        <f t="shared" si="50"/>
        <v>1732.9586006680775</v>
      </c>
      <c r="N84" s="226">
        <f t="shared" si="50"/>
        <v>2431.9099503674997</v>
      </c>
      <c r="O84" s="226">
        <f t="shared" si="50"/>
        <v>3013.0236722517407</v>
      </c>
      <c r="P84" s="226">
        <f t="shared" si="50"/>
        <v>3977.5707149292866</v>
      </c>
      <c r="Q84" s="226">
        <f t="shared" si="50"/>
        <v>4317.7556332557861</v>
      </c>
      <c r="R84" s="226">
        <f t="shared" si="50"/>
        <v>4804.5295657435227</v>
      </c>
      <c r="S84" s="226">
        <f t="shared" si="50"/>
        <v>5137.7786673901774</v>
      </c>
      <c r="T84" s="226">
        <f t="shared" si="50"/>
        <v>4031.4050887170397</v>
      </c>
      <c r="U84" s="226">
        <f t="shared" si="50"/>
        <v>4370.4672583488555</v>
      </c>
      <c r="V84" s="226">
        <f t="shared" si="50"/>
        <v>4988.7779994249504</v>
      </c>
      <c r="W84" s="226">
        <f t="shared" si="50"/>
        <v>5133.8137024668886</v>
      </c>
      <c r="X84" s="226">
        <f t="shared" si="50"/>
        <v>5121.7285913308315</v>
      </c>
      <c r="Y84" s="226">
        <f t="shared" si="50"/>
        <v>5341.9594458968377</v>
      </c>
      <c r="Z84" s="226">
        <f t="shared" si="50"/>
        <v>5523.6111350710862</v>
      </c>
      <c r="AA84" s="226">
        <f t="shared" si="50"/>
        <v>5656.0802582732858</v>
      </c>
      <c r="AB84" s="226">
        <f t="shared" si="50"/>
        <v>5707.1313300309221</v>
      </c>
      <c r="AC84" s="226">
        <f t="shared" si="50"/>
        <v>5846.4083521507646</v>
      </c>
      <c r="AD84" s="226">
        <f t="shared" si="50"/>
        <v>6141.1263217582054</v>
      </c>
      <c r="AE84" s="226">
        <f t="shared" si="50"/>
        <v>6353.9584070861347</v>
      </c>
      <c r="AF84" s="226">
        <f t="shared" si="50"/>
        <v>6363.2933816344976</v>
      </c>
      <c r="AG84" s="226">
        <f t="shared" si="50"/>
        <v>6334.2095252700137</v>
      </c>
      <c r="AH84" s="226">
        <f t="shared" si="50"/>
        <v>6449.4144419867789</v>
      </c>
    </row>
    <row r="85" spans="1:34" ht="13.5" thickBot="1" x14ac:dyDescent="0.25">
      <c r="A85" s="188" t="s">
        <v>230</v>
      </c>
    </row>
    <row r="86" spans="1:34" ht="13.5" thickBot="1" x14ac:dyDescent="0.25">
      <c r="A86" s="222" t="s">
        <v>197</v>
      </c>
      <c r="B86" s="216">
        <f t="shared" ref="B86:I86" si="51">B4</f>
        <v>2018</v>
      </c>
      <c r="C86" s="216">
        <f t="shared" si="51"/>
        <v>2019</v>
      </c>
      <c r="D86" s="216">
        <f t="shared" si="51"/>
        <v>2020</v>
      </c>
      <c r="E86" s="216">
        <f t="shared" si="51"/>
        <v>2021</v>
      </c>
      <c r="F86" s="216">
        <f t="shared" si="51"/>
        <v>2022</v>
      </c>
      <c r="G86" s="216">
        <f t="shared" si="51"/>
        <v>2023</v>
      </c>
      <c r="H86" s="216">
        <f t="shared" si="51"/>
        <v>2024</v>
      </c>
      <c r="I86" s="216">
        <f t="shared" si="51"/>
        <v>2025</v>
      </c>
      <c r="J86" s="216">
        <f t="shared" ref="J86:AH86" si="52">J4</f>
        <v>2026</v>
      </c>
      <c r="K86" s="216">
        <f t="shared" si="52"/>
        <v>2027</v>
      </c>
      <c r="L86" s="216">
        <f t="shared" si="52"/>
        <v>2028</v>
      </c>
      <c r="M86" s="216">
        <f t="shared" si="52"/>
        <v>2029</v>
      </c>
      <c r="N86" s="216">
        <f t="shared" si="52"/>
        <v>2030</v>
      </c>
      <c r="O86" s="216">
        <f t="shared" si="52"/>
        <v>2031</v>
      </c>
      <c r="P86" s="216">
        <f t="shared" si="52"/>
        <v>2032</v>
      </c>
      <c r="Q86" s="216">
        <f t="shared" si="52"/>
        <v>2033</v>
      </c>
      <c r="R86" s="216">
        <f t="shared" si="52"/>
        <v>2034</v>
      </c>
      <c r="S86" s="216">
        <f t="shared" si="52"/>
        <v>2035</v>
      </c>
      <c r="T86" s="216">
        <f t="shared" si="52"/>
        <v>2036</v>
      </c>
      <c r="U86" s="216">
        <f t="shared" si="52"/>
        <v>2037</v>
      </c>
      <c r="V86" s="216">
        <f t="shared" si="52"/>
        <v>2038</v>
      </c>
      <c r="W86" s="216">
        <f t="shared" si="52"/>
        <v>2039</v>
      </c>
      <c r="X86" s="216">
        <f t="shared" si="52"/>
        <v>2040</v>
      </c>
      <c r="Y86" s="216">
        <f t="shared" si="52"/>
        <v>2041</v>
      </c>
      <c r="Z86" s="216">
        <f t="shared" si="52"/>
        <v>2042</v>
      </c>
      <c r="AA86" s="216">
        <f t="shared" si="52"/>
        <v>2043</v>
      </c>
      <c r="AB86" s="216">
        <f t="shared" si="52"/>
        <v>2044</v>
      </c>
      <c r="AC86" s="216">
        <f t="shared" si="52"/>
        <v>2045</v>
      </c>
      <c r="AD86" s="216">
        <f t="shared" si="52"/>
        <v>2046</v>
      </c>
      <c r="AE86" s="216">
        <f t="shared" si="52"/>
        <v>2047</v>
      </c>
      <c r="AF86" s="216">
        <f t="shared" si="52"/>
        <v>2048</v>
      </c>
      <c r="AG86" s="216">
        <f t="shared" si="52"/>
        <v>2049</v>
      </c>
      <c r="AH86" s="216">
        <f t="shared" si="52"/>
        <v>2050</v>
      </c>
    </row>
    <row r="87" spans="1:34" x14ac:dyDescent="0.2">
      <c r="A87" s="188" t="s">
        <v>162</v>
      </c>
      <c r="B87" s="217">
        <f>B23+B39*('Jet Fuel'!B85/('Jet Fuel'!B21+'Jet Fuel'!B37))</f>
        <v>0.139714</v>
      </c>
      <c r="C87" s="217">
        <f>C23+C39*('Jet Fuel'!C85/('Jet Fuel'!C21+'Jet Fuel'!C37))</f>
        <v>0.19463</v>
      </c>
      <c r="D87" s="217">
        <f>D23+D39*('Jet Fuel'!D85/('Jet Fuel'!D21+'Jet Fuel'!D37))</f>
        <v>4.1590000000000002E-2</v>
      </c>
      <c r="E87" s="217">
        <f>E23+E39*('Jet Fuel'!E85/('Jet Fuel'!E21+'Jet Fuel'!E37))</f>
        <v>0.289825</v>
      </c>
      <c r="F87" s="217">
        <f>F23+F39*('Jet Fuel'!F85/('Jet Fuel'!F21+'Jet Fuel'!F37))</f>
        <v>0.40211999999999998</v>
      </c>
      <c r="G87" s="217">
        <f>G23+G39*('Jet Fuel'!G85/('Jet Fuel'!G21+'Jet Fuel'!G37))</f>
        <v>0.100937</v>
      </c>
      <c r="H87" s="217">
        <f>H23+H39*('Jet Fuel'!H85/('Jet Fuel'!H21+'Jet Fuel'!H37))</f>
        <v>7.3582398894144436</v>
      </c>
      <c r="I87" s="217">
        <f>I23+I39*('Jet Fuel'!I85/('Jet Fuel'!I21+'Jet Fuel'!I37))</f>
        <v>14.780410826598338</v>
      </c>
      <c r="J87" s="227">
        <f t="shared" ref="J87:AH87" si="53">I98+J23+J39-J55-J71</f>
        <v>18.536611450435196</v>
      </c>
      <c r="K87" s="227">
        <f t="shared" si="53"/>
        <v>48.964735107556898</v>
      </c>
      <c r="L87" s="225">
        <f t="shared" si="53"/>
        <v>100.37047673250402</v>
      </c>
      <c r="M87" s="225">
        <f t="shared" si="53"/>
        <v>131.52906137681185</v>
      </c>
      <c r="N87" s="225">
        <f t="shared" si="53"/>
        <v>185.64555436486643</v>
      </c>
      <c r="O87" s="225">
        <f t="shared" si="53"/>
        <v>269.42365663830657</v>
      </c>
      <c r="P87" s="225">
        <f t="shared" si="53"/>
        <v>363.0593690917695</v>
      </c>
      <c r="Q87" s="225">
        <f t="shared" si="53"/>
        <v>500.81889600937268</v>
      </c>
      <c r="R87" s="225">
        <f t="shared" si="53"/>
        <v>594.72864023744694</v>
      </c>
      <c r="S87" s="225">
        <f t="shared" si="53"/>
        <v>705.06293403193354</v>
      </c>
      <c r="T87" s="225">
        <f t="shared" si="53"/>
        <v>763.79786001618629</v>
      </c>
      <c r="U87" s="225">
        <f t="shared" si="53"/>
        <v>747.52320934813133</v>
      </c>
      <c r="V87" s="225">
        <f t="shared" si="53"/>
        <v>833.063032581568</v>
      </c>
      <c r="W87" s="225">
        <f t="shared" si="53"/>
        <v>990.81452025069939</v>
      </c>
      <c r="X87" s="225">
        <f t="shared" si="53"/>
        <v>1013.1051678043667</v>
      </c>
      <c r="Y87" s="225">
        <f t="shared" si="53"/>
        <v>1023.806365530109</v>
      </c>
      <c r="Z87" s="225">
        <f t="shared" si="53"/>
        <v>1040.0223682491892</v>
      </c>
      <c r="AA87" s="225">
        <f t="shared" si="53"/>
        <v>1050.8173539671707</v>
      </c>
      <c r="AB87" s="225">
        <f t="shared" si="53"/>
        <v>1038.3876636750338</v>
      </c>
      <c r="AC87" s="225">
        <f t="shared" si="53"/>
        <v>1020.6564054838566</v>
      </c>
      <c r="AD87" s="225">
        <f t="shared" si="53"/>
        <v>1015.1251412322442</v>
      </c>
      <c r="AE87" s="225">
        <f t="shared" si="53"/>
        <v>1019.9507752007719</v>
      </c>
      <c r="AF87" s="225">
        <f t="shared" si="53"/>
        <v>1018.0498403275134</v>
      </c>
      <c r="AG87" s="225">
        <f t="shared" si="53"/>
        <v>995.02700321652571</v>
      </c>
      <c r="AH87" s="225">
        <f t="shared" si="53"/>
        <v>969.45711502388792</v>
      </c>
    </row>
    <row r="88" spans="1:34" x14ac:dyDescent="0.2">
      <c r="A88" s="188" t="s">
        <v>163</v>
      </c>
      <c r="B88" s="217">
        <f>B24+B40*('Jet Fuel'!B86/('Jet Fuel'!B22+'Jet Fuel'!B38))</f>
        <v>0.23799600000000001</v>
      </c>
      <c r="C88" s="217">
        <f>C24+C40*('Jet Fuel'!C86/('Jet Fuel'!C22+'Jet Fuel'!C38))</f>
        <v>0.187609</v>
      </c>
      <c r="D88" s="217">
        <f>D24+D40*('Jet Fuel'!D86/('Jet Fuel'!D22+'Jet Fuel'!D38))</f>
        <v>0</v>
      </c>
      <c r="E88" s="217">
        <f>E24+E40*('Jet Fuel'!E86/('Jet Fuel'!E22+'Jet Fuel'!E38))</f>
        <v>0.29472500000000001</v>
      </c>
      <c r="F88" s="217">
        <f>F24+F40*('Jet Fuel'!F86/('Jet Fuel'!F22+'Jet Fuel'!F38))</f>
        <v>2.3541833930160978</v>
      </c>
      <c r="G88" s="217">
        <f>G24+G40*('Jet Fuel'!G86/('Jet Fuel'!G22+'Jet Fuel'!G38))</f>
        <v>2.7144650574338089</v>
      </c>
      <c r="H88" s="217">
        <f>H24+H40*('Jet Fuel'!H86/('Jet Fuel'!H22+'Jet Fuel'!H38))</f>
        <v>1.254939</v>
      </c>
      <c r="I88" s="217">
        <f>I24+I40*('Jet Fuel'!I86/('Jet Fuel'!I22+'Jet Fuel'!I38))</f>
        <v>15.728119</v>
      </c>
      <c r="J88" s="227">
        <f t="shared" ref="J88:AH98" si="54">J87+J24+J40-J56-J72</f>
        <v>39.847267736422005</v>
      </c>
      <c r="K88" s="227">
        <f t="shared" si="54"/>
        <v>106.8386869072901</v>
      </c>
      <c r="L88" s="225">
        <f t="shared" si="54"/>
        <v>173.23224998717282</v>
      </c>
      <c r="M88" s="225">
        <f t="shared" si="54"/>
        <v>222.29996895714851</v>
      </c>
      <c r="N88" s="225">
        <f t="shared" si="54"/>
        <v>313.13456379083237</v>
      </c>
      <c r="O88" s="225">
        <f t="shared" si="54"/>
        <v>417.78575076182449</v>
      </c>
      <c r="P88" s="225">
        <f t="shared" si="54"/>
        <v>551.50842584688917</v>
      </c>
      <c r="Q88" s="225">
        <f t="shared" si="54"/>
        <v>694.00463973659225</v>
      </c>
      <c r="R88" s="225">
        <f t="shared" si="54"/>
        <v>805.07950327641197</v>
      </c>
      <c r="S88" s="225">
        <f t="shared" si="54"/>
        <v>923.06081054200774</v>
      </c>
      <c r="T88" s="225">
        <f t="shared" si="54"/>
        <v>927.08216462669247</v>
      </c>
      <c r="U88" s="225">
        <f t="shared" si="54"/>
        <v>931.51443677367115</v>
      </c>
      <c r="V88" s="225">
        <f t="shared" si="54"/>
        <v>1044.5558621667576</v>
      </c>
      <c r="W88" s="225">
        <f t="shared" si="54"/>
        <v>1193.7353326551565</v>
      </c>
      <c r="X88" s="225">
        <f t="shared" si="54"/>
        <v>1214.0155269595634</v>
      </c>
      <c r="Y88" s="225">
        <f t="shared" si="54"/>
        <v>1233.7453245590395</v>
      </c>
      <c r="Z88" s="225">
        <f t="shared" si="54"/>
        <v>1256.4753987036129</v>
      </c>
      <c r="AA88" s="225">
        <f t="shared" si="54"/>
        <v>1270.8546703500958</v>
      </c>
      <c r="AB88" s="225">
        <f t="shared" si="54"/>
        <v>1260.5356116026494</v>
      </c>
      <c r="AC88" s="225">
        <f t="shared" si="54"/>
        <v>1250.0728447234933</v>
      </c>
      <c r="AD88" s="225">
        <f t="shared" si="54"/>
        <v>1257.8344632469959</v>
      </c>
      <c r="AE88" s="225">
        <f t="shared" si="54"/>
        <v>1271.1913526877618</v>
      </c>
      <c r="AF88" s="225">
        <f t="shared" si="54"/>
        <v>1268.3031354558975</v>
      </c>
      <c r="AG88" s="225">
        <f t="shared" si="54"/>
        <v>1244.5824276739818</v>
      </c>
      <c r="AH88" s="225">
        <f t="shared" si="54"/>
        <v>1225.431562518356</v>
      </c>
    </row>
    <row r="89" spans="1:34" x14ac:dyDescent="0.2">
      <c r="A89" s="188" t="s">
        <v>164</v>
      </c>
      <c r="B89" s="217">
        <f>B25+B41*('Jet Fuel'!B87/('Jet Fuel'!B23+'Jet Fuel'!B39))</f>
        <v>0.10378999999999999</v>
      </c>
      <c r="C89" s="217">
        <f>C25+C41*('Jet Fuel'!C87/('Jet Fuel'!C23+'Jet Fuel'!C39))</f>
        <v>0.18393999999999999</v>
      </c>
      <c r="D89" s="217">
        <f>D25+D41*('Jet Fuel'!D87/('Jet Fuel'!D23+'Jet Fuel'!D39))</f>
        <v>0.28082600000000002</v>
      </c>
      <c r="E89" s="217">
        <f>E25+E41*('Jet Fuel'!E87/('Jet Fuel'!E23+'Jet Fuel'!E39))</f>
        <v>0.288906</v>
      </c>
      <c r="F89" s="217">
        <f>F25+F41*('Jet Fuel'!F87/('Jet Fuel'!F23+'Jet Fuel'!F39))</f>
        <v>2.4223200627700709</v>
      </c>
      <c r="G89" s="217">
        <f>G25+G41*('Jet Fuel'!G87/('Jet Fuel'!G23+'Jet Fuel'!G39))</f>
        <v>1.7416033403604341</v>
      </c>
      <c r="H89" s="217">
        <f>H25+H41*('Jet Fuel'!H87/('Jet Fuel'!H23+'Jet Fuel'!H39))</f>
        <v>6.1595081150358642</v>
      </c>
      <c r="I89" s="217">
        <f>I25+I41*('Jet Fuel'!I87/('Jet Fuel'!I23+'Jet Fuel'!I39))</f>
        <v>8.4114626790878724</v>
      </c>
      <c r="J89" s="227">
        <f t="shared" si="54"/>
        <v>22.61941781748655</v>
      </c>
      <c r="K89" s="227">
        <f t="shared" si="54"/>
        <v>58.552225682878372</v>
      </c>
      <c r="L89" s="225">
        <f t="shared" si="54"/>
        <v>108.22676349976345</v>
      </c>
      <c r="M89" s="225">
        <f t="shared" si="54"/>
        <v>141.35895938725193</v>
      </c>
      <c r="N89" s="225">
        <f t="shared" si="54"/>
        <v>200.47158609327889</v>
      </c>
      <c r="O89" s="225">
        <f t="shared" si="54"/>
        <v>287.86131875447529</v>
      </c>
      <c r="P89" s="225">
        <f t="shared" si="54"/>
        <v>391.07572945863961</v>
      </c>
      <c r="Q89" s="225">
        <f t="shared" si="54"/>
        <v>522.50368361510073</v>
      </c>
      <c r="R89" s="225">
        <f t="shared" si="54"/>
        <v>619.70662437031115</v>
      </c>
      <c r="S89" s="225">
        <f t="shared" si="54"/>
        <v>725.89218905345547</v>
      </c>
      <c r="T89" s="225">
        <f t="shared" si="54"/>
        <v>768.7685687090077</v>
      </c>
      <c r="U89" s="225">
        <f t="shared" si="54"/>
        <v>766.85141700603481</v>
      </c>
      <c r="V89" s="225">
        <f t="shared" si="54"/>
        <v>865.45298343651712</v>
      </c>
      <c r="W89" s="225">
        <f t="shared" si="54"/>
        <v>1004.3064398722554</v>
      </c>
      <c r="X89" s="225">
        <f t="shared" si="54"/>
        <v>1024.5788946329683</v>
      </c>
      <c r="Y89" s="225">
        <f t="shared" si="54"/>
        <v>1036.651314572101</v>
      </c>
      <c r="Z89" s="225">
        <f t="shared" si="54"/>
        <v>1052.6415463350952</v>
      </c>
      <c r="AA89" s="225">
        <f t="shared" si="54"/>
        <v>1060.5426213876472</v>
      </c>
      <c r="AB89" s="225">
        <f t="shared" si="54"/>
        <v>1047.2843271982447</v>
      </c>
      <c r="AC89" s="225">
        <f t="shared" si="54"/>
        <v>1031.3361968442907</v>
      </c>
      <c r="AD89" s="225">
        <f t="shared" si="54"/>
        <v>1028.0815477758624</v>
      </c>
      <c r="AE89" s="225">
        <f t="shared" si="54"/>
        <v>1032.8445654549928</v>
      </c>
      <c r="AF89" s="225">
        <f t="shared" si="54"/>
        <v>1028.0343520934812</v>
      </c>
      <c r="AG89" s="225">
        <f t="shared" si="54"/>
        <v>1004.3508630188944</v>
      </c>
      <c r="AH89" s="225">
        <f t="shared" si="54"/>
        <v>980.26611578659049</v>
      </c>
    </row>
    <row r="90" spans="1:34" x14ac:dyDescent="0.2">
      <c r="A90" s="188" t="s">
        <v>165</v>
      </c>
      <c r="B90" s="217">
        <f>B26+B42*('Jet Fuel'!B88/('Jet Fuel'!B24+'Jet Fuel'!B40))</f>
        <v>0.18463399999999999</v>
      </c>
      <c r="C90" s="217">
        <f>C26+C42*('Jet Fuel'!C88/('Jet Fuel'!C24+'Jet Fuel'!C40))</f>
        <v>0.245975</v>
      </c>
      <c r="D90" s="217">
        <f>D26+D42*('Jet Fuel'!D88/('Jet Fuel'!D24+'Jet Fuel'!D40))</f>
        <v>1.234442</v>
      </c>
      <c r="E90" s="217">
        <f>E26+E42*('Jet Fuel'!E88/('Jet Fuel'!E24+'Jet Fuel'!E40))</f>
        <v>0.29328900000000002</v>
      </c>
      <c r="F90" s="217">
        <f>F26+F42*('Jet Fuel'!F88/('Jet Fuel'!F24+'Jet Fuel'!F40))</f>
        <v>0.40899099999999999</v>
      </c>
      <c r="G90" s="217">
        <f>G26+G42*('Jet Fuel'!G88/('Jet Fuel'!G24+'Jet Fuel'!G40))</f>
        <v>1.9562374947911949</v>
      </c>
      <c r="H90" s="217">
        <f>H26+H42*('Jet Fuel'!H88/('Jet Fuel'!H24+'Jet Fuel'!H40))</f>
        <v>6.9517101408518105</v>
      </c>
      <c r="I90" s="227">
        <f t="shared" ref="I90:I98" si="55">I89+I26+I42-I58-I74</f>
        <v>6.3939014086266024</v>
      </c>
      <c r="J90" s="227">
        <f t="shared" si="54"/>
        <v>15.365198031126843</v>
      </c>
      <c r="K90" s="227">
        <f t="shared" si="54"/>
        <v>37.930131008063071</v>
      </c>
      <c r="L90" s="225">
        <f t="shared" si="54"/>
        <v>79.368144364858679</v>
      </c>
      <c r="M90" s="225">
        <f t="shared" si="54"/>
        <v>105.66397262364657</v>
      </c>
      <c r="N90" s="225">
        <f t="shared" si="54"/>
        <v>152.69154848762432</v>
      </c>
      <c r="O90" s="225">
        <f t="shared" si="54"/>
        <v>231.52025366763436</v>
      </c>
      <c r="P90" s="225">
        <f t="shared" si="54"/>
        <v>323.20306021040858</v>
      </c>
      <c r="Q90" s="225">
        <f t="shared" si="54"/>
        <v>447.46855436360659</v>
      </c>
      <c r="R90" s="225">
        <f t="shared" si="54"/>
        <v>539.19780401547632</v>
      </c>
      <c r="S90" s="225">
        <f t="shared" si="54"/>
        <v>638.48980806027839</v>
      </c>
      <c r="T90" s="225">
        <f t="shared" si="54"/>
        <v>694.69762906904293</v>
      </c>
      <c r="U90" s="225">
        <f t="shared" si="54"/>
        <v>694.38089898490102</v>
      </c>
      <c r="V90" s="225">
        <f t="shared" si="54"/>
        <v>790.28788845964402</v>
      </c>
      <c r="W90" s="225">
        <f t="shared" si="54"/>
        <v>918.08773930719576</v>
      </c>
      <c r="X90" s="225">
        <f t="shared" si="54"/>
        <v>937.68552008630434</v>
      </c>
      <c r="Y90" s="225">
        <f t="shared" si="54"/>
        <v>946.50325782612163</v>
      </c>
      <c r="Z90" s="225">
        <f t="shared" si="54"/>
        <v>959.20892691273593</v>
      </c>
      <c r="AA90" s="225">
        <f t="shared" si="54"/>
        <v>963.08570404222178</v>
      </c>
      <c r="AB90" s="225">
        <f t="shared" si="54"/>
        <v>948.15436963896445</v>
      </c>
      <c r="AC90" s="225">
        <f t="shared" si="54"/>
        <v>930.15390659343734</v>
      </c>
      <c r="AD90" s="225">
        <f t="shared" si="54"/>
        <v>922.36077475347247</v>
      </c>
      <c r="AE90" s="225">
        <f t="shared" si="54"/>
        <v>922.99585332786614</v>
      </c>
      <c r="AF90" s="225">
        <f t="shared" si="54"/>
        <v>916.33033133315303</v>
      </c>
      <c r="AG90" s="225">
        <f t="shared" si="54"/>
        <v>892.45142177498508</v>
      </c>
      <c r="AH90" s="225">
        <f t="shared" si="54"/>
        <v>866.4844406193489</v>
      </c>
    </row>
    <row r="91" spans="1:34" x14ac:dyDescent="0.2">
      <c r="A91" s="188" t="s">
        <v>166</v>
      </c>
      <c r="B91" s="217">
        <f>B27+B43*('Jet Fuel'!B89/('Jet Fuel'!B25+'Jet Fuel'!B41))</f>
        <v>6.4188999999999996E-2</v>
      </c>
      <c r="C91" s="217">
        <f>C27+C43*('Jet Fuel'!C89/('Jet Fuel'!C25+'Jet Fuel'!C41))</f>
        <v>0.25428800000000001</v>
      </c>
      <c r="D91" s="217">
        <f>D27+D43*('Jet Fuel'!D89/('Jet Fuel'!D25+'Jet Fuel'!D41))</f>
        <v>0</v>
      </c>
      <c r="E91" s="217">
        <f>E27+E43*('Jet Fuel'!E89/('Jet Fuel'!E25+'Jet Fuel'!E41))</f>
        <v>0.28749599999999997</v>
      </c>
      <c r="F91" s="217">
        <f>F27+F43*('Jet Fuel'!F89/('Jet Fuel'!F25+'Jet Fuel'!F41))</f>
        <v>0.20283100000000001</v>
      </c>
      <c r="G91" s="217">
        <f>G27+G43*('Jet Fuel'!G89/('Jet Fuel'!G25+'Jet Fuel'!G41))</f>
        <v>1.6267149999999999</v>
      </c>
      <c r="H91" s="217">
        <f>H27+H43*('Jet Fuel'!H89/('Jet Fuel'!H25+'Jet Fuel'!H41))</f>
        <v>13.624169074655505</v>
      </c>
      <c r="I91" s="227">
        <f t="shared" si="55"/>
        <v>3.7103473299306629</v>
      </c>
      <c r="J91" s="227">
        <f t="shared" si="54"/>
        <v>11.843849779592016</v>
      </c>
      <c r="K91" s="227">
        <f t="shared" si="54"/>
        <v>27.702687982265218</v>
      </c>
      <c r="L91" s="225">
        <f t="shared" si="54"/>
        <v>60.718085819361747</v>
      </c>
      <c r="M91" s="225">
        <f t="shared" si="54"/>
        <v>84.672201426759358</v>
      </c>
      <c r="N91" s="225">
        <f t="shared" si="54"/>
        <v>124.3260852958598</v>
      </c>
      <c r="O91" s="225">
        <f t="shared" si="54"/>
        <v>198.0604926506897</v>
      </c>
      <c r="P91" s="225">
        <f t="shared" si="54"/>
        <v>284.24335192704223</v>
      </c>
      <c r="Q91" s="225">
        <f t="shared" si="54"/>
        <v>401.41039312290371</v>
      </c>
      <c r="R91" s="225">
        <f t="shared" si="54"/>
        <v>490.54532154662803</v>
      </c>
      <c r="S91" s="225">
        <f t="shared" si="54"/>
        <v>583.78922413637497</v>
      </c>
      <c r="T91" s="225">
        <f t="shared" si="54"/>
        <v>644.90544695250514</v>
      </c>
      <c r="U91" s="225">
        <f t="shared" si="54"/>
        <v>649.7266068630687</v>
      </c>
      <c r="V91" s="225">
        <f t="shared" si="54"/>
        <v>747.37168208975811</v>
      </c>
      <c r="W91" s="225">
        <f t="shared" si="54"/>
        <v>861.98880188772728</v>
      </c>
      <c r="X91" s="225">
        <f t="shared" si="54"/>
        <v>880.48429845449436</v>
      </c>
      <c r="Y91" s="225">
        <f t="shared" si="54"/>
        <v>887.39882878845754</v>
      </c>
      <c r="Z91" s="225">
        <f t="shared" si="54"/>
        <v>897.75190823912317</v>
      </c>
      <c r="AA91" s="225">
        <f t="shared" si="54"/>
        <v>897.99967287475465</v>
      </c>
      <c r="AB91" s="225">
        <f t="shared" si="54"/>
        <v>881.67122838479941</v>
      </c>
      <c r="AC91" s="225">
        <f t="shared" si="54"/>
        <v>862.74891284156661</v>
      </c>
      <c r="AD91" s="225">
        <f t="shared" si="54"/>
        <v>852.44474912411465</v>
      </c>
      <c r="AE91" s="225">
        <f t="shared" si="54"/>
        <v>850.18764879445791</v>
      </c>
      <c r="AF91" s="225">
        <f t="shared" si="54"/>
        <v>841.40017454541646</v>
      </c>
      <c r="AG91" s="225">
        <f t="shared" si="54"/>
        <v>817.19708927392344</v>
      </c>
      <c r="AH91" s="225">
        <f t="shared" si="54"/>
        <v>790.34301060049961</v>
      </c>
    </row>
    <row r="92" spans="1:34" x14ac:dyDescent="0.2">
      <c r="A92" s="188" t="s">
        <v>167</v>
      </c>
      <c r="B92" s="217">
        <f>B28+B44*('Jet Fuel'!B90/('Jet Fuel'!B26+'Jet Fuel'!B42))</f>
        <v>0.14019400000000001</v>
      </c>
      <c r="C92" s="217">
        <f>C28+C44*('Jet Fuel'!C90/('Jet Fuel'!C26+'Jet Fuel'!C42))</f>
        <v>0.22327900000000001</v>
      </c>
      <c r="D92" s="217">
        <f>D28+D44*('Jet Fuel'!D90/('Jet Fuel'!D26+'Jet Fuel'!D42))</f>
        <v>0.50851299999999999</v>
      </c>
      <c r="E92" s="217">
        <f>E28+E44*('Jet Fuel'!E90/('Jet Fuel'!E26+'Jet Fuel'!E42))</f>
        <v>0.357317</v>
      </c>
      <c r="F92" s="217">
        <f>F28+F44*('Jet Fuel'!F90/('Jet Fuel'!F26+'Jet Fuel'!F42))</f>
        <v>1.90956513368512</v>
      </c>
      <c r="G92" s="217">
        <f>G28+G44*('Jet Fuel'!G90/('Jet Fuel'!G26+'Jet Fuel'!G42))</f>
        <v>2.0921340630490151</v>
      </c>
      <c r="H92" s="217">
        <f>H28+H44*('Jet Fuel'!H90/('Jet Fuel'!H26+'Jet Fuel'!H42))</f>
        <v>5.4078796204118174</v>
      </c>
      <c r="I92" s="227">
        <f t="shared" si="55"/>
        <v>5.6956113727811957</v>
      </c>
      <c r="J92" s="227">
        <f t="shared" si="54"/>
        <v>10.12233417699024</v>
      </c>
      <c r="K92" s="227">
        <f t="shared" si="54"/>
        <v>21.826277713420595</v>
      </c>
      <c r="L92" s="225">
        <f t="shared" si="54"/>
        <v>48.388991327197971</v>
      </c>
      <c r="M92" s="225">
        <f t="shared" si="54"/>
        <v>69.030366972983813</v>
      </c>
      <c r="N92" s="225">
        <f t="shared" si="54"/>
        <v>109.35241393385857</v>
      </c>
      <c r="O92" s="225">
        <f t="shared" si="54"/>
        <v>177.64079864778367</v>
      </c>
      <c r="P92" s="225">
        <f t="shared" si="54"/>
        <v>261.64286058795125</v>
      </c>
      <c r="Q92" s="225">
        <f t="shared" si="54"/>
        <v>372.96287142744012</v>
      </c>
      <c r="R92" s="225">
        <f t="shared" si="54"/>
        <v>460.94753346072378</v>
      </c>
      <c r="S92" s="225">
        <f t="shared" si="54"/>
        <v>549.89108376109164</v>
      </c>
      <c r="T92" s="225">
        <f t="shared" si="54"/>
        <v>611.27056655990532</v>
      </c>
      <c r="U92" s="225">
        <f t="shared" si="54"/>
        <v>621.97763155052792</v>
      </c>
      <c r="V92" s="225">
        <f t="shared" si="54"/>
        <v>723.00999148865276</v>
      </c>
      <c r="W92" s="225">
        <f t="shared" si="54"/>
        <v>825.67537897821762</v>
      </c>
      <c r="X92" s="225">
        <f t="shared" si="54"/>
        <v>843.14969213208951</v>
      </c>
      <c r="Y92" s="225">
        <f t="shared" si="54"/>
        <v>848.92664711941006</v>
      </c>
      <c r="Z92" s="225">
        <f t="shared" si="54"/>
        <v>857.64216742333326</v>
      </c>
      <c r="AA92" s="225">
        <f t="shared" si="54"/>
        <v>854.94867740924678</v>
      </c>
      <c r="AB92" s="225">
        <f t="shared" si="54"/>
        <v>837.53523764343424</v>
      </c>
      <c r="AC92" s="225">
        <f t="shared" si="54"/>
        <v>818.26534901063314</v>
      </c>
      <c r="AD92" s="225">
        <f t="shared" si="54"/>
        <v>806.59701988056975</v>
      </c>
      <c r="AE92" s="225">
        <f t="shared" si="54"/>
        <v>802.35114824353411</v>
      </c>
      <c r="AF92" s="225">
        <f t="shared" si="54"/>
        <v>791.64331880929205</v>
      </c>
      <c r="AG92" s="225">
        <f t="shared" si="54"/>
        <v>767.11182082903838</v>
      </c>
      <c r="AH92" s="225">
        <f t="shared" si="54"/>
        <v>739.88742215175228</v>
      </c>
    </row>
    <row r="93" spans="1:34" x14ac:dyDescent="0.2">
      <c r="A93" s="188" t="s">
        <v>168</v>
      </c>
      <c r="B93" s="217">
        <f>B29+B45*('Jet Fuel'!B91/('Jet Fuel'!B27+'Jet Fuel'!B43))</f>
        <v>8.2230999999999999E-2</v>
      </c>
      <c r="C93" s="217">
        <f>C29+C45*('Jet Fuel'!C91/('Jet Fuel'!C27+'Jet Fuel'!C43))</f>
        <v>0.14661299999999999</v>
      </c>
      <c r="D93" s="217">
        <f>D29+D45*('Jet Fuel'!D91/('Jet Fuel'!D27+'Jet Fuel'!D43))</f>
        <v>1.5367249999999999</v>
      </c>
      <c r="E93" s="217">
        <f>E29+E45*('Jet Fuel'!E91/('Jet Fuel'!E27+'Jet Fuel'!E43))</f>
        <v>1.093159</v>
      </c>
      <c r="F93" s="217">
        <f>F29+F45*('Jet Fuel'!F91/('Jet Fuel'!F27+'Jet Fuel'!F43))</f>
        <v>1.1379729999999999</v>
      </c>
      <c r="G93" s="217">
        <f>G29+G45*('Jet Fuel'!G91/('Jet Fuel'!G27+'Jet Fuel'!G43))</f>
        <v>1.7707619999999999</v>
      </c>
      <c r="H93" s="217">
        <f>H29+H45*('Jet Fuel'!H91/('Jet Fuel'!H27+'Jet Fuel'!H43))</f>
        <v>8.3126507643564675</v>
      </c>
      <c r="I93" s="227">
        <f t="shared" si="55"/>
        <v>9.7133820340217163</v>
      </c>
      <c r="J93" s="227">
        <f t="shared" si="54"/>
        <v>17.349396265469053</v>
      </c>
      <c r="K93" s="227">
        <f t="shared" si="54"/>
        <v>39.732076697804544</v>
      </c>
      <c r="L93" s="225">
        <f t="shared" si="54"/>
        <v>69.489878919397555</v>
      </c>
      <c r="M93" s="225">
        <f t="shared" si="54"/>
        <v>98.496457039397711</v>
      </c>
      <c r="N93" s="225">
        <f t="shared" si="54"/>
        <v>150.09857074786174</v>
      </c>
      <c r="O93" s="225">
        <f t="shared" si="54"/>
        <v>223.55298914129366</v>
      </c>
      <c r="P93" s="225">
        <f t="shared" si="54"/>
        <v>321.40677179383522</v>
      </c>
      <c r="Q93" s="225">
        <f t="shared" si="54"/>
        <v>431.38404117728965</v>
      </c>
      <c r="R93" s="225">
        <f t="shared" si="54"/>
        <v>525.50082934682473</v>
      </c>
      <c r="S93" s="225">
        <f t="shared" si="54"/>
        <v>614.2797652632903</v>
      </c>
      <c r="T93" s="225">
        <f t="shared" si="54"/>
        <v>654.97437035353505</v>
      </c>
      <c r="U93" s="225">
        <f t="shared" si="54"/>
        <v>677.24095000144416</v>
      </c>
      <c r="V93" s="225">
        <f t="shared" si="54"/>
        <v>790.9262736061562</v>
      </c>
      <c r="W93" s="225">
        <f t="shared" si="54"/>
        <v>882.73272530792622</v>
      </c>
      <c r="X93" s="225">
        <f t="shared" si="54"/>
        <v>898.66039550862126</v>
      </c>
      <c r="Y93" s="225">
        <f t="shared" si="54"/>
        <v>907.25890070642413</v>
      </c>
      <c r="Z93" s="225">
        <f t="shared" si="54"/>
        <v>917.52088054903209</v>
      </c>
      <c r="AA93" s="225">
        <f t="shared" si="54"/>
        <v>914.4326345350114</v>
      </c>
      <c r="AB93" s="225">
        <f t="shared" si="54"/>
        <v>897.17205374516107</v>
      </c>
      <c r="AC93" s="225">
        <f t="shared" si="54"/>
        <v>880.5168933182041</v>
      </c>
      <c r="AD93" s="225">
        <f t="shared" si="54"/>
        <v>873.20142033359389</v>
      </c>
      <c r="AE93" s="225">
        <f t="shared" si="54"/>
        <v>871.06730964319422</v>
      </c>
      <c r="AF93" s="225">
        <f t="shared" si="54"/>
        <v>858.80555854874478</v>
      </c>
      <c r="AG93" s="225">
        <f t="shared" si="54"/>
        <v>833.80125652310619</v>
      </c>
      <c r="AH93" s="225">
        <f t="shared" si="54"/>
        <v>808.85095986251326</v>
      </c>
    </row>
    <row r="94" spans="1:34" x14ac:dyDescent="0.2">
      <c r="A94" s="188" t="s">
        <v>169</v>
      </c>
      <c r="B94" s="217">
        <f>B30+B46*('Jet Fuel'!B92/('Jet Fuel'!B28+'Jet Fuel'!B44))</f>
        <v>7.0236000000000007E-2</v>
      </c>
      <c r="C94" s="217">
        <f>C30+C46*('Jet Fuel'!C92/('Jet Fuel'!C28+'Jet Fuel'!C44))</f>
        <v>0.27175700000000003</v>
      </c>
      <c r="D94" s="217">
        <f>D30+D46*('Jet Fuel'!D92/('Jet Fuel'!D28+'Jet Fuel'!D44))</f>
        <v>6.3854999999999995E-2</v>
      </c>
      <c r="E94" s="217">
        <f>E30+E46*('Jet Fuel'!E92/('Jet Fuel'!E28+'Jet Fuel'!E44))</f>
        <v>0.72205799999999998</v>
      </c>
      <c r="F94" s="217">
        <f>F30+F46*('Jet Fuel'!F92/('Jet Fuel'!F28+'Jet Fuel'!F44))</f>
        <v>1.5463259117985009</v>
      </c>
      <c r="G94" s="217">
        <f>G30+G46*('Jet Fuel'!G92/('Jet Fuel'!G28+'Jet Fuel'!G44))</f>
        <v>3.9417882225885679</v>
      </c>
      <c r="H94" s="217">
        <f>H30+H46*('Jet Fuel'!H92/('Jet Fuel'!H28+'Jet Fuel'!H44))</f>
        <v>9.1439629401554541</v>
      </c>
      <c r="I94" s="227">
        <f t="shared" si="55"/>
        <v>9.831641696679128</v>
      </c>
      <c r="J94" s="227">
        <f t="shared" si="54"/>
        <v>21.079822494053744</v>
      </c>
      <c r="K94" s="227">
        <f t="shared" si="54"/>
        <v>54.28555512034707</v>
      </c>
      <c r="L94" s="225">
        <f t="shared" si="54"/>
        <v>86.961396505844874</v>
      </c>
      <c r="M94" s="225">
        <f t="shared" si="54"/>
        <v>123.44074098491296</v>
      </c>
      <c r="N94" s="225">
        <f t="shared" si="54"/>
        <v>186.69294711206666</v>
      </c>
      <c r="O94" s="225">
        <f t="shared" si="54"/>
        <v>266.29555832774679</v>
      </c>
      <c r="P94" s="225">
        <f t="shared" si="54"/>
        <v>378.1982685197205</v>
      </c>
      <c r="Q94" s="225">
        <f t="shared" si="54"/>
        <v>487.16060965714928</v>
      </c>
      <c r="R94" s="225">
        <f t="shared" si="54"/>
        <v>588.06356203207895</v>
      </c>
      <c r="S94" s="225">
        <f t="shared" si="54"/>
        <v>677.17308887519084</v>
      </c>
      <c r="T94" s="225">
        <f t="shared" si="54"/>
        <v>697.85554446198375</v>
      </c>
      <c r="U94" s="225">
        <f t="shared" si="54"/>
        <v>732.9351315764286</v>
      </c>
      <c r="V94" s="225">
        <f t="shared" si="54"/>
        <v>860.5858375905417</v>
      </c>
      <c r="W94" s="225">
        <f t="shared" si="54"/>
        <v>941.33754116096895</v>
      </c>
      <c r="X94" s="225">
        <f t="shared" si="54"/>
        <v>956.50693027379873</v>
      </c>
      <c r="Y94" s="225">
        <f t="shared" si="54"/>
        <v>968.95757952821123</v>
      </c>
      <c r="Z94" s="225">
        <f t="shared" si="54"/>
        <v>981.50823831398588</v>
      </c>
      <c r="AA94" s="225">
        <f t="shared" si="54"/>
        <v>978.67749668586168</v>
      </c>
      <c r="AB94" s="225">
        <f t="shared" si="54"/>
        <v>962.38010877521015</v>
      </c>
      <c r="AC94" s="225">
        <f t="shared" si="54"/>
        <v>949.35879916360022</v>
      </c>
      <c r="AD94" s="225">
        <f t="shared" si="54"/>
        <v>947.54937092744694</v>
      </c>
      <c r="AE94" s="225">
        <f t="shared" si="54"/>
        <v>948.51171260389242</v>
      </c>
      <c r="AF94" s="225">
        <f t="shared" si="54"/>
        <v>935.36279870603607</v>
      </c>
      <c r="AG94" s="225">
        <f t="shared" si="54"/>
        <v>910.62735506007232</v>
      </c>
      <c r="AH94" s="225">
        <f t="shared" si="54"/>
        <v>888.9659368751021</v>
      </c>
    </row>
    <row r="95" spans="1:34" x14ac:dyDescent="0.2">
      <c r="A95" s="188" t="s">
        <v>170</v>
      </c>
      <c r="B95" s="217">
        <f>B31+B47*('Jet Fuel'!B93/('Jet Fuel'!B29+'Jet Fuel'!B45))</f>
        <v>0.15108199999999999</v>
      </c>
      <c r="C95" s="217">
        <f>C31+C47*('Jet Fuel'!C93/('Jet Fuel'!C29+'Jet Fuel'!C45))</f>
        <v>0.27552900000000002</v>
      </c>
      <c r="D95" s="217">
        <f>D31+D47*('Jet Fuel'!D93/('Jet Fuel'!D29+'Jet Fuel'!D45))</f>
        <v>0.37116900000000003</v>
      </c>
      <c r="E95" s="217">
        <f>E31+E47*('Jet Fuel'!E93/('Jet Fuel'!E29+'Jet Fuel'!E45))</f>
        <v>0.300122</v>
      </c>
      <c r="F95" s="217">
        <f>F31+F47*('Jet Fuel'!F93/('Jet Fuel'!F29+'Jet Fuel'!F45))</f>
        <v>0.393571</v>
      </c>
      <c r="G95" s="217">
        <f>G31+G47*('Jet Fuel'!G93/('Jet Fuel'!G29+'Jet Fuel'!G45))</f>
        <v>1.831584941906333</v>
      </c>
      <c r="H95" s="217">
        <f>H31+H47*('Jet Fuel'!H93/('Jet Fuel'!H29+'Jet Fuel'!H45))</f>
        <v>18.600430074099933</v>
      </c>
      <c r="I95" s="227">
        <f t="shared" si="55"/>
        <v>7.9238912063678626</v>
      </c>
      <c r="J95" s="227">
        <f t="shared" si="54"/>
        <v>25.97376766299757</v>
      </c>
      <c r="K95" s="227">
        <f t="shared" si="54"/>
        <v>72.273530089225503</v>
      </c>
      <c r="L95" s="225">
        <f t="shared" si="54"/>
        <v>108.97209752776456</v>
      </c>
      <c r="M95" s="225">
        <f t="shared" si="54"/>
        <v>158.35121321025269</v>
      </c>
      <c r="N95" s="225">
        <f t="shared" si="54"/>
        <v>233.65067128968045</v>
      </c>
      <c r="O95" s="225">
        <f t="shared" si="54"/>
        <v>322.60891580569336</v>
      </c>
      <c r="P95" s="225">
        <f t="shared" si="54"/>
        <v>452.6204838148854</v>
      </c>
      <c r="Q95" s="225">
        <f t="shared" si="54"/>
        <v>561.1060957658342</v>
      </c>
      <c r="R95" s="225">
        <f t="shared" si="54"/>
        <v>671.23945435613155</v>
      </c>
      <c r="S95" s="225">
        <f t="shared" si="54"/>
        <v>760.84892238660689</v>
      </c>
      <c r="T95" s="225">
        <f t="shared" si="54"/>
        <v>756.17800991030913</v>
      </c>
      <c r="U95" s="225">
        <f t="shared" si="54"/>
        <v>807.37252527584394</v>
      </c>
      <c r="V95" s="225">
        <f t="shared" si="54"/>
        <v>952.89527899911059</v>
      </c>
      <c r="W95" s="225">
        <f t="shared" si="54"/>
        <v>1020.5677162207647</v>
      </c>
      <c r="X95" s="225">
        <f t="shared" si="54"/>
        <v>1034.9675783334224</v>
      </c>
      <c r="Y95" s="225">
        <f t="shared" si="54"/>
        <v>1052.7217577524407</v>
      </c>
      <c r="Z95" s="225">
        <f t="shared" si="54"/>
        <v>1068.5369018868355</v>
      </c>
      <c r="AA95" s="225">
        <f t="shared" si="54"/>
        <v>1066.4729512570884</v>
      </c>
      <c r="AB95" s="225">
        <f t="shared" si="54"/>
        <v>1051.6913385285832</v>
      </c>
      <c r="AC95" s="225">
        <f t="shared" si="54"/>
        <v>1043.5846833690962</v>
      </c>
      <c r="AD95" s="225">
        <f t="shared" si="54"/>
        <v>1049.233843301766</v>
      </c>
      <c r="AE95" s="225">
        <f t="shared" si="54"/>
        <v>1054.5824482091502</v>
      </c>
      <c r="AF95" s="225">
        <f t="shared" si="54"/>
        <v>1040.6303290060096</v>
      </c>
      <c r="AG95" s="225">
        <f t="shared" si="54"/>
        <v>1016.4324161087276</v>
      </c>
      <c r="AH95" s="225">
        <f t="shared" si="54"/>
        <v>999.24894105925853</v>
      </c>
    </row>
    <row r="96" spans="1:34" x14ac:dyDescent="0.2">
      <c r="A96" s="188" t="s">
        <v>171</v>
      </c>
      <c r="B96" s="217">
        <f>B32+B48*('Jet Fuel'!B94/('Jet Fuel'!B30+'Jet Fuel'!B46))</f>
        <v>0.22908899999999999</v>
      </c>
      <c r="C96" s="217">
        <f>C32+C48*('Jet Fuel'!C94/('Jet Fuel'!C30+'Jet Fuel'!C46))</f>
        <v>0.21657399999999999</v>
      </c>
      <c r="D96" s="217">
        <f>D32+D48*('Jet Fuel'!D94/('Jet Fuel'!D30+'Jet Fuel'!D46))</f>
        <v>0.188416</v>
      </c>
      <c r="E96" s="217">
        <f>E32+E48*('Jet Fuel'!E94/('Jet Fuel'!E30+'Jet Fuel'!E46))</f>
        <v>0.43774099999999999</v>
      </c>
      <c r="F96" s="217">
        <f>F32+F48*('Jet Fuel'!F94/('Jet Fuel'!F30+'Jet Fuel'!F46))</f>
        <v>1.7646310000000001</v>
      </c>
      <c r="G96" s="217">
        <f>G32+G48*('Jet Fuel'!G94/('Jet Fuel'!G30+'Jet Fuel'!G46))</f>
        <v>3.0180318757647058</v>
      </c>
      <c r="H96" s="217">
        <f>H32+H48*('Jet Fuel'!H94/('Jet Fuel'!H30+'Jet Fuel'!H46))</f>
        <v>8.0676736327257643</v>
      </c>
      <c r="I96" s="227">
        <f t="shared" si="55"/>
        <v>7.9009999183259083</v>
      </c>
      <c r="J96" s="227">
        <f t="shared" si="54"/>
        <v>24.957031716858594</v>
      </c>
      <c r="K96" s="227">
        <f t="shared" si="54"/>
        <v>65.827573954431699</v>
      </c>
      <c r="L96" s="225">
        <f t="shared" si="54"/>
        <v>93.643058008911737</v>
      </c>
      <c r="M96" s="225">
        <f t="shared" si="54"/>
        <v>138.16154534862207</v>
      </c>
      <c r="N96" s="225">
        <f t="shared" si="54"/>
        <v>214.373489648511</v>
      </c>
      <c r="O96" s="225">
        <f t="shared" si="54"/>
        <v>297.45220807825359</v>
      </c>
      <c r="P96" s="225">
        <f t="shared" si="54"/>
        <v>425.07438114590821</v>
      </c>
      <c r="Q96" s="225">
        <f t="shared" si="54"/>
        <v>525.42939141602983</v>
      </c>
      <c r="R96" s="225">
        <f t="shared" si="54"/>
        <v>634.18981269608639</v>
      </c>
      <c r="S96" s="225">
        <f t="shared" si="54"/>
        <v>718.01443441760296</v>
      </c>
      <c r="T96" s="225">
        <f t="shared" si="54"/>
        <v>712.7653371558298</v>
      </c>
      <c r="U96" s="225">
        <f t="shared" si="54"/>
        <v>772.45509152779528</v>
      </c>
      <c r="V96" s="225">
        <f t="shared" si="54"/>
        <v>923.18102062352739</v>
      </c>
      <c r="W96" s="225">
        <f t="shared" si="54"/>
        <v>974.20184179843272</v>
      </c>
      <c r="X96" s="225">
        <f t="shared" si="54"/>
        <v>987.18056015287118</v>
      </c>
      <c r="Y96" s="225">
        <f t="shared" si="54"/>
        <v>1003.5556460766448</v>
      </c>
      <c r="Z96" s="225">
        <f t="shared" si="54"/>
        <v>1017.2190295562028</v>
      </c>
      <c r="AA96" s="225">
        <f t="shared" si="54"/>
        <v>1011.1546636455681</v>
      </c>
      <c r="AB96" s="225">
        <f t="shared" si="54"/>
        <v>994.9151358594861</v>
      </c>
      <c r="AC96" s="225">
        <f t="shared" si="54"/>
        <v>986.46941232391293</v>
      </c>
      <c r="AD96" s="225">
        <f t="shared" si="54"/>
        <v>990.48676604020704</v>
      </c>
      <c r="AE96" s="225">
        <f t="shared" si="54"/>
        <v>993.24665093722524</v>
      </c>
      <c r="AF96" s="225">
        <f t="shared" si="54"/>
        <v>976.62144965286325</v>
      </c>
      <c r="AG96" s="225">
        <f t="shared" si="54"/>
        <v>951.95694112185242</v>
      </c>
      <c r="AH96" s="225">
        <f t="shared" si="54"/>
        <v>934.38418074404194</v>
      </c>
    </row>
    <row r="97" spans="1:34" x14ac:dyDescent="0.2">
      <c r="A97" s="188" t="s">
        <v>172</v>
      </c>
      <c r="B97" s="217">
        <f>B33+B49*('Jet Fuel'!B95/('Jet Fuel'!B31+'Jet Fuel'!B47))</f>
        <v>0.152783</v>
      </c>
      <c r="C97" s="217">
        <f>C33+C49*('Jet Fuel'!C95/('Jet Fuel'!C31+'Jet Fuel'!C47))</f>
        <v>9.1175000000000006E-2</v>
      </c>
      <c r="D97" s="217">
        <f>D33+D49*('Jet Fuel'!D95/('Jet Fuel'!D31+'Jet Fuel'!D47))</f>
        <v>0.18820100000000001</v>
      </c>
      <c r="E97" s="217">
        <f>E33+E49*('Jet Fuel'!E95/('Jet Fuel'!E31+'Jet Fuel'!E47))</f>
        <v>0.40348200000000001</v>
      </c>
      <c r="F97" s="217">
        <f>F33+F49*('Jet Fuel'!F95/('Jet Fuel'!F31+'Jet Fuel'!F47))</f>
        <v>0.152226</v>
      </c>
      <c r="G97" s="217">
        <f>G33+G49*('Jet Fuel'!G95/('Jet Fuel'!G31+'Jet Fuel'!G47))</f>
        <v>0.44977800000000001</v>
      </c>
      <c r="H97" s="217">
        <f>H33+H49*('Jet Fuel'!H95/('Jet Fuel'!H31+'Jet Fuel'!H47))</f>
        <v>3.3527532218606426</v>
      </c>
      <c r="I97" s="227">
        <f t="shared" si="55"/>
        <v>11.446383398220146</v>
      </c>
      <c r="J97" s="227">
        <f t="shared" si="54"/>
        <v>33.657377384747264</v>
      </c>
      <c r="K97" s="227">
        <f t="shared" si="54"/>
        <v>93.404369186185107</v>
      </c>
      <c r="L97" s="225">
        <f t="shared" si="54"/>
        <v>130.28628996986635</v>
      </c>
      <c r="M97" s="225">
        <f t="shared" si="54"/>
        <v>188.03536258331135</v>
      </c>
      <c r="N97" s="225">
        <f t="shared" si="54"/>
        <v>286.65898413807088</v>
      </c>
      <c r="O97" s="225">
        <f t="shared" si="54"/>
        <v>381.78671698484561</v>
      </c>
      <c r="P97" s="225">
        <f t="shared" si="54"/>
        <v>534.15060164985221</v>
      </c>
      <c r="Q97" s="225">
        <f t="shared" si="54"/>
        <v>637.13804055945616</v>
      </c>
      <c r="R97" s="225">
        <f t="shared" si="54"/>
        <v>757.91619503621405</v>
      </c>
      <c r="S97" s="225">
        <f t="shared" si="54"/>
        <v>845.67975492803987</v>
      </c>
      <c r="T97" s="225">
        <f t="shared" si="54"/>
        <v>806.65432466453512</v>
      </c>
      <c r="U97" s="225">
        <f t="shared" si="54"/>
        <v>883.08277324007179</v>
      </c>
      <c r="V97" s="225">
        <f t="shared" si="54"/>
        <v>1054.3173707011279</v>
      </c>
      <c r="W97" s="225">
        <f t="shared" si="54"/>
        <v>1096.0614699977191</v>
      </c>
      <c r="X97" s="225">
        <f t="shared" si="54"/>
        <v>1108.5142347946826</v>
      </c>
      <c r="Y97" s="225">
        <f t="shared" si="54"/>
        <v>1131.8589671043264</v>
      </c>
      <c r="Z97" s="225">
        <f t="shared" si="54"/>
        <v>1150.3577528571745</v>
      </c>
      <c r="AA97" s="225">
        <f t="shared" si="54"/>
        <v>1146.7476160270296</v>
      </c>
      <c r="AB97" s="225">
        <f t="shared" si="54"/>
        <v>1132.7570454027473</v>
      </c>
      <c r="AC97" s="225">
        <f t="shared" si="54"/>
        <v>1130.374278284452</v>
      </c>
      <c r="AD97" s="225">
        <f t="shared" si="54"/>
        <v>1144.2324934694241</v>
      </c>
      <c r="AE97" s="225">
        <f t="shared" si="54"/>
        <v>1153.363618304279</v>
      </c>
      <c r="AF97" s="225">
        <f t="shared" si="54"/>
        <v>1136.5684033115479</v>
      </c>
      <c r="AG97" s="225">
        <f t="shared" si="54"/>
        <v>1112.4758976546511</v>
      </c>
      <c r="AH97" s="225">
        <f t="shared" si="54"/>
        <v>1100.4202657586216</v>
      </c>
    </row>
    <row r="98" spans="1:34" ht="13.5" thickBot="1" x14ac:dyDescent="0.25">
      <c r="A98" s="188" t="s">
        <v>173</v>
      </c>
      <c r="B98" s="217">
        <f>B34+B50*('Jet Fuel'!B96/('Jet Fuel'!B32+'Jet Fuel'!B48))</f>
        <v>0.27223999999999998</v>
      </c>
      <c r="C98" s="217">
        <f>C34+C50*('Jet Fuel'!C96/('Jet Fuel'!C32+'Jet Fuel'!C48))</f>
        <v>0.13733300000000001</v>
      </c>
      <c r="D98" s="217">
        <f>D34+D50*('Jet Fuel'!D96/('Jet Fuel'!D32+'Jet Fuel'!D48))</f>
        <v>0.194662</v>
      </c>
      <c r="E98" s="217">
        <f>E34+E50*('Jet Fuel'!E96/('Jet Fuel'!E32+'Jet Fuel'!E48))</f>
        <v>0.30850300000000003</v>
      </c>
      <c r="F98" s="217">
        <f>F34+F50*('Jet Fuel'!F96/('Jet Fuel'!F32+'Jet Fuel'!F48))</f>
        <v>1.0698956940445841</v>
      </c>
      <c r="G98" s="217">
        <f>G34+G50*('Jet Fuel'!G96/('Jet Fuel'!G32+'Jet Fuel'!G48))</f>
        <v>1.6448755325144864</v>
      </c>
      <c r="H98" s="217">
        <f>H34+H50*('Jet Fuel'!H96/('Jet Fuel'!H32+'Jet Fuel'!H48))</f>
        <v>4.6345523729899814</v>
      </c>
      <c r="I98" s="227">
        <f t="shared" si="55"/>
        <v>12.679402148844133</v>
      </c>
      <c r="J98" s="227">
        <f t="shared" si="54"/>
        <v>33.252849665852622</v>
      </c>
      <c r="K98" s="227">
        <f t="shared" si="54"/>
        <v>82.249055614665366</v>
      </c>
      <c r="L98" s="225">
        <f t="shared" si="54"/>
        <v>103.90577540754447</v>
      </c>
      <c r="M98" s="225">
        <f t="shared" si="54"/>
        <v>148.43811426134289</v>
      </c>
      <c r="N98" s="225">
        <f t="shared" si="54"/>
        <v>228.5720342612467</v>
      </c>
      <c r="O98" s="225">
        <f t="shared" ref="O98:AH98" si="56">O97+O34+O50-O66-O82</f>
        <v>310.90432129210694</v>
      </c>
      <c r="P98" s="225">
        <f t="shared" si="56"/>
        <v>448.553073035225</v>
      </c>
      <c r="Q98" s="225">
        <f t="shared" si="56"/>
        <v>536.96675760958988</v>
      </c>
      <c r="R98" s="225">
        <f t="shared" si="56"/>
        <v>646.5861492104375</v>
      </c>
      <c r="S98" s="225">
        <f t="shared" si="56"/>
        <v>721.8472305434982</v>
      </c>
      <c r="T98" s="225">
        <f t="shared" si="56"/>
        <v>697.6347774605324</v>
      </c>
      <c r="U98" s="225">
        <f t="shared" si="56"/>
        <v>773.88889444675215</v>
      </c>
      <c r="V98" s="225">
        <f t="shared" si="56"/>
        <v>937.88774343221735</v>
      </c>
      <c r="W98" s="225">
        <f t="shared" si="56"/>
        <v>961.27107326720056</v>
      </c>
      <c r="X98" s="225">
        <f t="shared" si="56"/>
        <v>969.54538938648238</v>
      </c>
      <c r="Y98" s="225">
        <f t="shared" si="56"/>
        <v>984.18215702648195</v>
      </c>
      <c r="Z98" s="225">
        <f t="shared" si="56"/>
        <v>994.67746809880418</v>
      </c>
      <c r="AA98" s="225">
        <f t="shared" si="56"/>
        <v>981.90025001192953</v>
      </c>
      <c r="AB98" s="225">
        <f t="shared" si="56"/>
        <v>962.02601111568583</v>
      </c>
      <c r="AC98" s="225">
        <f t="shared" si="56"/>
        <v>952.75748816624468</v>
      </c>
      <c r="AD98" s="225">
        <f t="shared" si="56"/>
        <v>955.49219164762144</v>
      </c>
      <c r="AE98" s="225">
        <f t="shared" si="56"/>
        <v>954.42835860852711</v>
      </c>
      <c r="AF98" s="225">
        <f t="shared" si="56"/>
        <v>931.71368887709286</v>
      </c>
      <c r="AG98" s="225">
        <f t="shared" si="56"/>
        <v>904.26190965182514</v>
      </c>
      <c r="AH98" s="225">
        <f t="shared" si="56"/>
        <v>885.53274166690449</v>
      </c>
    </row>
    <row r="99" spans="1:34" ht="13.5" thickBot="1" x14ac:dyDescent="0.25">
      <c r="A99" s="221"/>
      <c r="B99" s="221"/>
      <c r="C99" s="221"/>
      <c r="D99" s="221"/>
      <c r="E99" s="221"/>
      <c r="F99" s="221"/>
      <c r="G99" s="221"/>
      <c r="H99" s="226">
        <f t="shared" ref="H99:AC99" si="57">H98-H12</f>
        <v>0</v>
      </c>
      <c r="I99" s="226">
        <f t="shared" si="57"/>
        <v>3.8094865541822287E-3</v>
      </c>
      <c r="J99" s="226">
        <f t="shared" si="57"/>
        <v>0.94162556588428714</v>
      </c>
      <c r="K99" s="226">
        <f t="shared" si="57"/>
        <v>-8.5801629239196302</v>
      </c>
      <c r="L99" s="226">
        <f t="shared" si="57"/>
        <v>-12.51011274492015</v>
      </c>
      <c r="M99" s="226">
        <f t="shared" si="57"/>
        <v>1.559248567759397</v>
      </c>
      <c r="N99" s="226">
        <f t="shared" si="57"/>
        <v>30.699567732744782</v>
      </c>
      <c r="O99" s="226">
        <f t="shared" si="57"/>
        <v>81.357982323419634</v>
      </c>
      <c r="P99" s="226">
        <f t="shared" si="57"/>
        <v>162.40973928000727</v>
      </c>
      <c r="Q99" s="226">
        <f t="shared" si="57"/>
        <v>246.73683901749894</v>
      </c>
      <c r="R99" s="226">
        <f t="shared" si="57"/>
        <v>332.20057914677204</v>
      </c>
      <c r="S99" s="226">
        <f t="shared" si="57"/>
        <v>395.02365527051228</v>
      </c>
      <c r="T99" s="226">
        <f t="shared" si="57"/>
        <v>441.05478018391011</v>
      </c>
      <c r="U99" s="226">
        <f t="shared" si="57"/>
        <v>501.0119446401323</v>
      </c>
      <c r="V99" s="226">
        <f t="shared" si="57"/>
        <v>634.35189379779752</v>
      </c>
      <c r="W99" s="226">
        <f t="shared" si="57"/>
        <v>653.35766165944392</v>
      </c>
      <c r="X99" s="226">
        <f t="shared" si="57"/>
        <v>659.8315679857792</v>
      </c>
      <c r="Y99" s="226">
        <f t="shared" si="57"/>
        <v>664.25374887482053</v>
      </c>
      <c r="Z99" s="226">
        <f t="shared" si="57"/>
        <v>666.95470889293097</v>
      </c>
      <c r="AA99" s="226">
        <f t="shared" si="57"/>
        <v>648.20933446628976</v>
      </c>
      <c r="AB99" s="226">
        <f t="shared" si="57"/>
        <v>627.12027569990255</v>
      </c>
      <c r="AC99" s="226">
        <f t="shared" si="57"/>
        <v>605.86441132999539</v>
      </c>
      <c r="AD99" s="226">
        <f>AD98-AD12</f>
        <v>587.82537445179651</v>
      </c>
      <c r="AE99" s="226">
        <f>AE98-AE12</f>
        <v>570.96085064922761</v>
      </c>
      <c r="AF99" s="226">
        <f>AF98-AF12</f>
        <v>551.23380340765959</v>
      </c>
      <c r="AG99" s="226">
        <f>AG98-AG12</f>
        <v>528.26140534810725</v>
      </c>
      <c r="AH99" s="226">
        <f>AH98-AH12</f>
        <v>499.88859895821145</v>
      </c>
    </row>
    <row r="100" spans="1:34" x14ac:dyDescent="0.2">
      <c r="W100" s="226">
        <f>W83+W99</f>
        <v>5133.8137024668886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AD998-FF3D-4ED5-AE75-DE9FBD86E930}">
  <dimension ref="A2:AI97"/>
  <sheetViews>
    <sheetView topLeftCell="A3" workbookViewId="0">
      <pane xSplit="1" ySplit="2" topLeftCell="C5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" defaultRowHeight="11.25" x14ac:dyDescent="0.2"/>
  <cols>
    <col min="1" max="1" width="18.7109375" style="228" customWidth="1"/>
    <col min="2" max="35" width="12.85546875" style="228" customWidth="1"/>
    <col min="36" max="16384" width="8" style="228"/>
  </cols>
  <sheetData>
    <row r="2" spans="1:35" ht="12" thickBot="1" x14ac:dyDescent="0.25"/>
    <row r="3" spans="1:35" ht="12.75" thickTop="1" thickBot="1" x14ac:dyDescent="0.25">
      <c r="A3" s="229" t="s">
        <v>231</v>
      </c>
      <c r="B3" s="229"/>
      <c r="C3" s="229"/>
      <c r="D3" s="229"/>
      <c r="E3" s="229"/>
      <c r="F3" s="229"/>
      <c r="G3" s="229"/>
      <c r="H3" s="229"/>
      <c r="I3" s="229"/>
      <c r="J3" s="229"/>
      <c r="K3" s="229"/>
      <c r="L3" s="229"/>
      <c r="M3" s="229"/>
      <c r="N3" s="229"/>
      <c r="O3" s="229"/>
      <c r="P3" s="229"/>
      <c r="Q3" s="229"/>
      <c r="R3" s="230"/>
      <c r="S3" s="230"/>
      <c r="T3" s="230"/>
      <c r="U3" s="230"/>
      <c r="V3" s="230"/>
      <c r="W3" s="230"/>
      <c r="X3" s="230"/>
      <c r="Y3" s="230"/>
      <c r="Z3" s="230"/>
      <c r="AA3" s="230"/>
      <c r="AB3" s="230"/>
      <c r="AC3" s="230"/>
      <c r="AD3" s="230"/>
      <c r="AE3" s="230"/>
      <c r="AF3" s="230"/>
      <c r="AG3" s="230"/>
      <c r="AH3" s="230"/>
      <c r="AI3" s="230"/>
    </row>
    <row r="4" spans="1:35" ht="12" thickBot="1" x14ac:dyDescent="0.25">
      <c r="A4" s="231" t="s">
        <v>197</v>
      </c>
      <c r="B4" s="232">
        <v>2018</v>
      </c>
      <c r="C4" s="232">
        <v>2019</v>
      </c>
      <c r="D4" s="232">
        <v>2020</v>
      </c>
      <c r="E4" s="232">
        <v>2021</v>
      </c>
      <c r="F4" s="232">
        <v>2022</v>
      </c>
      <c r="G4" s="232">
        <v>2023</v>
      </c>
      <c r="H4" s="232">
        <v>2024</v>
      </c>
      <c r="I4" s="232">
        <v>2025</v>
      </c>
      <c r="J4" s="232">
        <v>2026</v>
      </c>
      <c r="K4" s="232">
        <v>2027</v>
      </c>
      <c r="L4" s="232">
        <v>2028</v>
      </c>
      <c r="M4" s="232">
        <v>2029</v>
      </c>
      <c r="N4" s="232">
        <v>2030</v>
      </c>
      <c r="O4" s="232">
        <v>2031</v>
      </c>
      <c r="P4" s="232">
        <v>2032</v>
      </c>
      <c r="Q4" s="232">
        <v>2033</v>
      </c>
      <c r="R4" s="232">
        <v>2034</v>
      </c>
      <c r="S4" s="232">
        <v>2035</v>
      </c>
      <c r="T4" s="232">
        <v>2036</v>
      </c>
      <c r="U4" s="232">
        <v>2037</v>
      </c>
      <c r="V4" s="232">
        <v>2038</v>
      </c>
      <c r="W4" s="232">
        <v>2039</v>
      </c>
      <c r="X4" s="232">
        <v>2040</v>
      </c>
      <c r="Y4" s="232">
        <v>2041</v>
      </c>
      <c r="Z4" s="232">
        <v>2042</v>
      </c>
      <c r="AA4" s="232">
        <v>2043</v>
      </c>
      <c r="AB4" s="232">
        <v>2044</v>
      </c>
      <c r="AC4" s="232">
        <v>2045</v>
      </c>
      <c r="AD4" s="232">
        <v>2046</v>
      </c>
      <c r="AE4" s="232">
        <v>2047</v>
      </c>
      <c r="AF4" s="232">
        <v>2048</v>
      </c>
      <c r="AG4" s="232">
        <v>2049</v>
      </c>
      <c r="AH4" s="232">
        <v>2050</v>
      </c>
      <c r="AI4" s="232">
        <v>2051</v>
      </c>
    </row>
    <row r="5" spans="1:35" x14ac:dyDescent="0.2">
      <c r="A5" s="228" t="s">
        <v>146</v>
      </c>
      <c r="B5" s="233">
        <v>1734.768</v>
      </c>
      <c r="C5" s="233">
        <f t="shared" ref="C5:AI5" si="0">B12</f>
        <v>1746.57</v>
      </c>
      <c r="D5" s="233">
        <f t="shared" si="0"/>
        <v>1699.614</v>
      </c>
      <c r="E5" s="233">
        <f t="shared" si="0"/>
        <v>1622.3340000000001</v>
      </c>
      <c r="F5" s="233">
        <f t="shared" si="0"/>
        <v>1503.5160000000001</v>
      </c>
      <c r="G5" s="233">
        <f t="shared" si="0"/>
        <v>1471.6379999999999</v>
      </c>
      <c r="H5" s="233">
        <f t="shared" si="0"/>
        <v>1670.0039999999999</v>
      </c>
      <c r="I5" s="234">
        <f>H12</f>
        <v>1843.086</v>
      </c>
      <c r="J5" s="234">
        <f t="shared" si="0"/>
        <v>1950</v>
      </c>
      <c r="K5" s="234">
        <f t="shared" si="0"/>
        <v>2000</v>
      </c>
      <c r="L5" s="234">
        <f t="shared" si="0"/>
        <v>2100</v>
      </c>
      <c r="M5" s="234">
        <f t="shared" si="0"/>
        <v>2100</v>
      </c>
      <c r="N5" s="234">
        <f t="shared" si="0"/>
        <v>2100</v>
      </c>
      <c r="O5" s="234">
        <f t="shared" si="0"/>
        <v>2150</v>
      </c>
      <c r="P5" s="234">
        <f t="shared" si="0"/>
        <v>2200</v>
      </c>
      <c r="Q5" s="234">
        <f t="shared" si="0"/>
        <v>2250</v>
      </c>
      <c r="R5" s="234">
        <f t="shared" si="0"/>
        <v>2250</v>
      </c>
      <c r="S5" s="234">
        <f t="shared" si="0"/>
        <v>2300</v>
      </c>
      <c r="T5" s="234">
        <f t="shared" si="0"/>
        <v>2350</v>
      </c>
      <c r="U5" s="234">
        <f t="shared" si="0"/>
        <v>2400</v>
      </c>
      <c r="V5" s="234">
        <f t="shared" si="0"/>
        <v>2450</v>
      </c>
      <c r="W5" s="234">
        <f t="shared" si="0"/>
        <v>2500</v>
      </c>
      <c r="X5" s="234">
        <f t="shared" si="0"/>
        <v>2600</v>
      </c>
      <c r="Y5" s="234">
        <f t="shared" si="0"/>
        <v>2700</v>
      </c>
      <c r="Z5" s="234">
        <f t="shared" si="0"/>
        <v>2750</v>
      </c>
      <c r="AA5" s="234">
        <f t="shared" si="0"/>
        <v>2800</v>
      </c>
      <c r="AB5" s="234">
        <f t="shared" si="0"/>
        <v>2850</v>
      </c>
      <c r="AC5" s="234">
        <f t="shared" si="0"/>
        <v>2900</v>
      </c>
      <c r="AD5" s="234">
        <f t="shared" si="0"/>
        <v>3000</v>
      </c>
      <c r="AE5" s="234">
        <f t="shared" si="0"/>
        <v>3100</v>
      </c>
      <c r="AF5" s="234">
        <f t="shared" si="0"/>
        <v>3200</v>
      </c>
      <c r="AG5" s="234">
        <f t="shared" si="0"/>
        <v>3250</v>
      </c>
      <c r="AH5" s="234">
        <f t="shared" si="0"/>
        <v>3300</v>
      </c>
      <c r="AI5" s="234">
        <f t="shared" si="0"/>
        <v>3400</v>
      </c>
    </row>
    <row r="6" spans="1:35" x14ac:dyDescent="0.2">
      <c r="A6" s="228" t="s">
        <v>216</v>
      </c>
      <c r="B6" s="233">
        <f t="shared" ref="B6:H6" si="1">B33</f>
        <v>27691.985999999997</v>
      </c>
      <c r="C6" s="233">
        <f t="shared" si="1"/>
        <v>27540.156000000003</v>
      </c>
      <c r="D6" s="233">
        <f t="shared" si="1"/>
        <v>15651.090000000002</v>
      </c>
      <c r="E6" s="233">
        <f t="shared" si="1"/>
        <v>20095.824000000001</v>
      </c>
      <c r="F6" s="233">
        <f t="shared" si="1"/>
        <v>24762.276000000002</v>
      </c>
      <c r="G6" s="233">
        <f t="shared" si="1"/>
        <v>26244.875999999997</v>
      </c>
      <c r="H6" s="233">
        <f t="shared" si="1"/>
        <v>27753.095999999998</v>
      </c>
      <c r="I6" s="234">
        <f>MROUND(FORECAST(I17,C6:H6,C17:H17),100)</f>
        <v>27700</v>
      </c>
      <c r="J6" s="234">
        <f>MROUND(FORECAST(J17,D6:I6,D17:I17),100)+550</f>
        <v>28450</v>
      </c>
      <c r="K6" s="234">
        <f t="shared" ref="K6:AI6" si="2">MROUND(FORECAST(K17,E6:J6,E17:J17),100)</f>
        <v>29300</v>
      </c>
      <c r="L6" s="234">
        <f>MROUND(FORECAST(L17,F6:K6,F17:K17),100)+550</f>
        <v>30550</v>
      </c>
      <c r="M6" s="234">
        <f t="shared" si="2"/>
        <v>31200</v>
      </c>
      <c r="N6" s="234">
        <f t="shared" si="2"/>
        <v>31900</v>
      </c>
      <c r="O6" s="234">
        <f>MROUND(FORECAST(O17,I6:N6,I17:N17),100)-100</f>
        <v>32900</v>
      </c>
      <c r="P6" s="234">
        <f>MROUND(FORECAST(P17,J6:O6,J17:O17),100)-200</f>
        <v>33700</v>
      </c>
      <c r="Q6" s="234">
        <f>MROUND(FORECAST(Q17,K6:P6,K17:P17),100)</f>
        <v>34700</v>
      </c>
      <c r="R6" s="234">
        <f t="shared" si="2"/>
        <v>35500</v>
      </c>
      <c r="S6" s="234">
        <f t="shared" si="2"/>
        <v>36500</v>
      </c>
      <c r="T6" s="234">
        <f t="shared" si="2"/>
        <v>37500</v>
      </c>
      <c r="U6" s="234">
        <f t="shared" si="2"/>
        <v>38500</v>
      </c>
      <c r="V6" s="234">
        <f t="shared" si="2"/>
        <v>39500</v>
      </c>
      <c r="W6" s="234">
        <f t="shared" si="2"/>
        <v>40600</v>
      </c>
      <c r="X6" s="234">
        <f t="shared" si="2"/>
        <v>41700</v>
      </c>
      <c r="Y6" s="234">
        <f t="shared" si="2"/>
        <v>42800</v>
      </c>
      <c r="Z6" s="234">
        <f t="shared" si="2"/>
        <v>44000</v>
      </c>
      <c r="AA6" s="234">
        <f t="shared" si="2"/>
        <v>45200</v>
      </c>
      <c r="AB6" s="234">
        <f t="shared" si="2"/>
        <v>46400</v>
      </c>
      <c r="AC6" s="234">
        <f t="shared" si="2"/>
        <v>47700</v>
      </c>
      <c r="AD6" s="234">
        <f t="shared" si="2"/>
        <v>49000</v>
      </c>
      <c r="AE6" s="234">
        <f t="shared" si="2"/>
        <v>50300</v>
      </c>
      <c r="AF6" s="234">
        <f t="shared" si="2"/>
        <v>51700</v>
      </c>
      <c r="AG6" s="234">
        <f t="shared" si="2"/>
        <v>53100</v>
      </c>
      <c r="AH6" s="234">
        <f t="shared" si="2"/>
        <v>54600</v>
      </c>
      <c r="AI6" s="234" t="e">
        <f t="shared" si="2"/>
        <v>#NUM!</v>
      </c>
    </row>
    <row r="7" spans="1:35" x14ac:dyDescent="0.2">
      <c r="A7" s="228" t="s">
        <v>217</v>
      </c>
      <c r="B7" s="233">
        <f>B49</f>
        <v>1904.7839999999999</v>
      </c>
      <c r="C7" s="233">
        <f t="shared" ref="C7:H7" si="3">C49</f>
        <v>2515.8000000000002</v>
      </c>
      <c r="D7" s="233">
        <f t="shared" si="3"/>
        <v>2301.0540000000001</v>
      </c>
      <c r="E7" s="233">
        <f t="shared" si="3"/>
        <v>2428.1879999999992</v>
      </c>
      <c r="F7" s="233">
        <f t="shared" si="3"/>
        <v>1835.6940000000002</v>
      </c>
      <c r="G7" s="233">
        <f t="shared" si="3"/>
        <v>1948.9260000000002</v>
      </c>
      <c r="H7" s="233">
        <f t="shared" si="3"/>
        <v>1676.3039999999994</v>
      </c>
      <c r="I7" s="234">
        <f>AVERAGE(C7:H7)-250</f>
        <v>1867.6609999999996</v>
      </c>
      <c r="J7" s="234">
        <f>AVERAGE(D7:I7)-250</f>
        <v>1759.6378333333332</v>
      </c>
      <c r="K7" s="234">
        <f>MROUND(FORECAST(K6,B6:J6,B7:J7)+193500,25)</f>
        <v>1625</v>
      </c>
      <c r="L7" s="234">
        <f>MROUND((FORECAST(L6,C6:K6,C7:K7))+211000,25)</f>
        <v>1875</v>
      </c>
      <c r="M7" s="234">
        <f>MROUND(FORECAST(M6,D6:L6,D7:L7)+420000,25)</f>
        <v>2325</v>
      </c>
      <c r="N7" s="234">
        <f>MROUND(FORECAST(N6,E6:M6,E7:M7)+121000,25)</f>
        <v>2475</v>
      </c>
      <c r="O7" s="234">
        <f>MROUND((FORECAST(O6,F6:N6,F7:N7)-173500),25)</f>
        <v>2425</v>
      </c>
      <c r="P7" s="234">
        <f>MROUND((FORECAST(P6,G6:O6,G7:O7)-187500),25)</f>
        <v>2475</v>
      </c>
      <c r="Q7" s="234">
        <f>MROUND((FORECAST(Q6,H6:P6,H7:P7)-205000),25)</f>
        <v>2925</v>
      </c>
      <c r="R7" s="234">
        <f>MROUND((FORECAST(R6,I6:Q6,I7:Q7)-196000),25)</f>
        <v>3000</v>
      </c>
      <c r="S7" s="234">
        <f>MROUND(FORECAST(S6,J6:R6,J7:R7)-189800,25)</f>
        <v>3125</v>
      </c>
      <c r="T7" s="234">
        <f>MROUND((FORECAST(T6,K6:S6,K7:S7)-191000),25)</f>
        <v>3100</v>
      </c>
      <c r="U7" s="234">
        <f>MROUND(FORECAST(U6,L6:T6,L7:T7)-222400,25)</f>
        <v>3100</v>
      </c>
      <c r="V7" s="234">
        <f>MROUND(FORECAST(V6,M6:U6,M7:U7)-285250,25)</f>
        <v>3250</v>
      </c>
      <c r="W7" s="234">
        <f>MROUND(FORECAST(W6,N6:V6,N7:V7)-307500,25)</f>
        <v>3375</v>
      </c>
      <c r="X7" s="234">
        <f>MROUND(AVERAGE(R7:W7),25)+250</f>
        <v>3400</v>
      </c>
      <c r="Y7" s="234">
        <f t="shared" ref="Y7:AI7" si="4">MROUND(AVERAGE(S7:X7),25)+250</f>
        <v>3475</v>
      </c>
      <c r="Z7" s="234">
        <f t="shared" si="4"/>
        <v>3525</v>
      </c>
      <c r="AA7" s="234">
        <f t="shared" si="4"/>
        <v>3600</v>
      </c>
      <c r="AB7" s="234">
        <f t="shared" si="4"/>
        <v>3700</v>
      </c>
      <c r="AC7" s="234">
        <f t="shared" si="4"/>
        <v>3775</v>
      </c>
      <c r="AD7" s="234">
        <f t="shared" si="4"/>
        <v>3825</v>
      </c>
      <c r="AE7" s="234">
        <f t="shared" si="4"/>
        <v>3900</v>
      </c>
      <c r="AF7" s="234">
        <f t="shared" si="4"/>
        <v>3975</v>
      </c>
      <c r="AG7" s="234">
        <f t="shared" si="4"/>
        <v>4050</v>
      </c>
      <c r="AH7" s="234">
        <f t="shared" si="4"/>
        <v>4125</v>
      </c>
      <c r="AI7" s="234">
        <f t="shared" si="4"/>
        <v>4200</v>
      </c>
    </row>
    <row r="8" spans="1:35" x14ac:dyDescent="0.2">
      <c r="A8" s="228" t="s">
        <v>218</v>
      </c>
      <c r="B8" s="233">
        <f t="shared" ref="B8:AI8" si="5">SUM(B5:B7)</f>
        <v>31331.537999999997</v>
      </c>
      <c r="C8" s="233">
        <f t="shared" si="5"/>
        <v>31802.526000000002</v>
      </c>
      <c r="D8" s="233">
        <f t="shared" si="5"/>
        <v>19651.758000000002</v>
      </c>
      <c r="E8" s="233">
        <f t="shared" si="5"/>
        <v>24146.345999999998</v>
      </c>
      <c r="F8" s="233">
        <f t="shared" si="5"/>
        <v>28101.486000000001</v>
      </c>
      <c r="G8" s="233">
        <f t="shared" si="5"/>
        <v>29665.439999999995</v>
      </c>
      <c r="H8" s="233">
        <f t="shared" si="5"/>
        <v>31099.403999999999</v>
      </c>
      <c r="I8" s="234">
        <f t="shared" si="5"/>
        <v>31410.746999999999</v>
      </c>
      <c r="J8" s="234">
        <f t="shared" si="5"/>
        <v>32159.637833333334</v>
      </c>
      <c r="K8" s="234">
        <f t="shared" si="5"/>
        <v>32925</v>
      </c>
      <c r="L8" s="234">
        <f t="shared" si="5"/>
        <v>34525</v>
      </c>
      <c r="M8" s="234">
        <f t="shared" si="5"/>
        <v>35625</v>
      </c>
      <c r="N8" s="234">
        <f t="shared" si="5"/>
        <v>36475</v>
      </c>
      <c r="O8" s="234">
        <f t="shared" si="5"/>
        <v>37475</v>
      </c>
      <c r="P8" s="234">
        <f t="shared" si="5"/>
        <v>38375</v>
      </c>
      <c r="Q8" s="234">
        <f t="shared" si="5"/>
        <v>39875</v>
      </c>
      <c r="R8" s="234">
        <f t="shared" si="5"/>
        <v>40750</v>
      </c>
      <c r="S8" s="234">
        <f t="shared" si="5"/>
        <v>41925</v>
      </c>
      <c r="T8" s="234">
        <f t="shared" si="5"/>
        <v>42950</v>
      </c>
      <c r="U8" s="234">
        <f t="shared" si="5"/>
        <v>44000</v>
      </c>
      <c r="V8" s="234">
        <f t="shared" si="5"/>
        <v>45200</v>
      </c>
      <c r="W8" s="234">
        <f t="shared" si="5"/>
        <v>46475</v>
      </c>
      <c r="X8" s="234">
        <f t="shared" si="5"/>
        <v>47700</v>
      </c>
      <c r="Y8" s="234">
        <f t="shared" si="5"/>
        <v>48975</v>
      </c>
      <c r="Z8" s="234">
        <f t="shared" si="5"/>
        <v>50275</v>
      </c>
      <c r="AA8" s="234">
        <f t="shared" si="5"/>
        <v>51600</v>
      </c>
      <c r="AB8" s="234">
        <f t="shared" si="5"/>
        <v>52950</v>
      </c>
      <c r="AC8" s="234">
        <f t="shared" si="5"/>
        <v>54375</v>
      </c>
      <c r="AD8" s="234">
        <f t="shared" si="5"/>
        <v>55825</v>
      </c>
      <c r="AE8" s="234">
        <f t="shared" si="5"/>
        <v>57300</v>
      </c>
      <c r="AF8" s="234">
        <f t="shared" si="5"/>
        <v>58875</v>
      </c>
      <c r="AG8" s="234">
        <f t="shared" si="5"/>
        <v>60400</v>
      </c>
      <c r="AH8" s="234">
        <f t="shared" si="5"/>
        <v>62025</v>
      </c>
      <c r="AI8" s="234" t="e">
        <f t="shared" si="5"/>
        <v>#NUM!</v>
      </c>
    </row>
    <row r="9" spans="1:35" x14ac:dyDescent="0.2">
      <c r="A9" s="228" t="s">
        <v>232</v>
      </c>
      <c r="B9" s="233">
        <f>B11-B10</f>
        <v>26168.603999999996</v>
      </c>
      <c r="C9" s="233">
        <f t="shared" ref="C9:J9" si="6">C81</f>
        <v>26726.112000000001</v>
      </c>
      <c r="D9" s="233">
        <f t="shared" si="6"/>
        <v>16546.95</v>
      </c>
      <c r="E9" s="233">
        <f t="shared" si="6"/>
        <v>21000.316932000002</v>
      </c>
      <c r="F9" s="233">
        <f t="shared" si="6"/>
        <v>23910.361187999995</v>
      </c>
      <c r="G9" s="233">
        <f t="shared" si="6"/>
        <v>25344.602723999997</v>
      </c>
      <c r="H9" s="233">
        <f t="shared" si="6"/>
        <v>26068.448741970598</v>
      </c>
      <c r="I9" s="234">
        <f t="shared" si="6"/>
        <v>26600.370636029398</v>
      </c>
      <c r="J9" s="234">
        <f t="shared" si="6"/>
        <v>26929.386581999999</v>
      </c>
      <c r="K9" s="234">
        <f>J9*1.02</f>
        <v>27467.974313639999</v>
      </c>
      <c r="L9" s="234">
        <f>K9*1.025</f>
        <v>28154.673671480996</v>
      </c>
      <c r="M9" s="234">
        <f t="shared" ref="M9:AI9" si="7">L9*1.025</f>
        <v>28858.540513268017</v>
      </c>
      <c r="N9" s="234">
        <f t="shared" si="7"/>
        <v>29580.004026099716</v>
      </c>
      <c r="O9" s="234">
        <f t="shared" si="7"/>
        <v>30319.504126752207</v>
      </c>
      <c r="P9" s="234">
        <f t="shared" si="7"/>
        <v>31077.49172992101</v>
      </c>
      <c r="Q9" s="234">
        <f t="shared" si="7"/>
        <v>31854.429023169032</v>
      </c>
      <c r="R9" s="234">
        <f t="shared" si="7"/>
        <v>32650.789748748255</v>
      </c>
      <c r="S9" s="234">
        <f t="shared" si="7"/>
        <v>33467.059492466957</v>
      </c>
      <c r="T9" s="234">
        <f t="shared" si="7"/>
        <v>34303.735979778627</v>
      </c>
      <c r="U9" s="234">
        <f t="shared" si="7"/>
        <v>35161.329379273091</v>
      </c>
      <c r="V9" s="234">
        <f t="shared" si="7"/>
        <v>36040.362613754914</v>
      </c>
      <c r="W9" s="234">
        <f t="shared" si="7"/>
        <v>36941.371679098782</v>
      </c>
      <c r="X9" s="234">
        <f t="shared" si="7"/>
        <v>37864.905971076245</v>
      </c>
      <c r="Y9" s="234">
        <f t="shared" si="7"/>
        <v>38811.52862035315</v>
      </c>
      <c r="Z9" s="234">
        <f t="shared" si="7"/>
        <v>39781.816835861973</v>
      </c>
      <c r="AA9" s="234">
        <f t="shared" si="7"/>
        <v>40776.362256758519</v>
      </c>
      <c r="AB9" s="234">
        <f t="shared" si="7"/>
        <v>41795.77131317748</v>
      </c>
      <c r="AC9" s="234">
        <f t="shared" si="7"/>
        <v>42840.665596006911</v>
      </c>
      <c r="AD9" s="234">
        <f t="shared" si="7"/>
        <v>43911.682235907079</v>
      </c>
      <c r="AE9" s="234">
        <f t="shared" si="7"/>
        <v>45009.474291804756</v>
      </c>
      <c r="AF9" s="234">
        <f t="shared" si="7"/>
        <v>46134.711149099872</v>
      </c>
      <c r="AG9" s="234">
        <f t="shared" si="7"/>
        <v>47288.078927827366</v>
      </c>
      <c r="AH9" s="234">
        <f t="shared" si="7"/>
        <v>48470.280901023049</v>
      </c>
      <c r="AI9" s="234">
        <f t="shared" si="7"/>
        <v>49682.037923548618</v>
      </c>
    </row>
    <row r="10" spans="1:35" x14ac:dyDescent="0.2">
      <c r="A10" s="228" t="s">
        <v>151</v>
      </c>
      <c r="B10" s="233">
        <f>B65</f>
        <v>3416.364</v>
      </c>
      <c r="C10" s="233">
        <f t="shared" ref="C10:H10" si="8">C65</f>
        <v>3033.1140000000005</v>
      </c>
      <c r="D10" s="233">
        <f t="shared" si="8"/>
        <v>1482.4740000000002</v>
      </c>
      <c r="E10" s="233">
        <f t="shared" si="8"/>
        <v>1646.3579999999999</v>
      </c>
      <c r="F10" s="233">
        <f t="shared" si="8"/>
        <v>2723.07</v>
      </c>
      <c r="G10" s="233">
        <f t="shared" si="8"/>
        <v>2676.828</v>
      </c>
      <c r="H10" s="233">
        <f t="shared" si="8"/>
        <v>3212.7480000000005</v>
      </c>
      <c r="I10" s="234">
        <f>I11-I9</f>
        <v>2860.3763639706012</v>
      </c>
      <c r="J10" s="234">
        <f t="shared" ref="J10:AI10" si="9">J11-J9</f>
        <v>3230.2512513333349</v>
      </c>
      <c r="K10" s="234">
        <f t="shared" si="9"/>
        <v>3357.0256863600007</v>
      </c>
      <c r="L10" s="234">
        <f t="shared" si="9"/>
        <v>4270.3263285190042</v>
      </c>
      <c r="M10" s="234">
        <f t="shared" si="9"/>
        <v>4666.4594867319829</v>
      </c>
      <c r="N10" s="234">
        <f t="shared" si="9"/>
        <v>4744.9959739002843</v>
      </c>
      <c r="O10" s="234">
        <f t="shared" si="9"/>
        <v>4955.4958732477935</v>
      </c>
      <c r="P10" s="234">
        <f t="shared" si="9"/>
        <v>5047.5082700789899</v>
      </c>
      <c r="Q10" s="234">
        <f t="shared" si="9"/>
        <v>5770.570976830968</v>
      </c>
      <c r="R10" s="234">
        <f t="shared" si="9"/>
        <v>5799.2102512517449</v>
      </c>
      <c r="S10" s="234">
        <f t="shared" si="9"/>
        <v>6107.9405075330433</v>
      </c>
      <c r="T10" s="234">
        <f t="shared" si="9"/>
        <v>6246.2640202213734</v>
      </c>
      <c r="U10" s="234">
        <f t="shared" si="9"/>
        <v>6388.670620726909</v>
      </c>
      <c r="V10" s="234">
        <f t="shared" si="9"/>
        <v>6659.6373862450855</v>
      </c>
      <c r="W10" s="234">
        <f t="shared" si="9"/>
        <v>6933.6283209012181</v>
      </c>
      <c r="X10" s="234">
        <f t="shared" si="9"/>
        <v>7135.0940289237551</v>
      </c>
      <c r="Y10" s="234">
        <f t="shared" si="9"/>
        <v>7413.4713796468495</v>
      </c>
      <c r="Z10" s="234">
        <f t="shared" si="9"/>
        <v>7693.1831641380268</v>
      </c>
      <c r="AA10" s="234">
        <f t="shared" si="9"/>
        <v>7973.6377432414811</v>
      </c>
      <c r="AB10" s="234">
        <f t="shared" si="9"/>
        <v>8254.2286868225201</v>
      </c>
      <c r="AC10" s="234">
        <f t="shared" si="9"/>
        <v>8534.3344039930889</v>
      </c>
      <c r="AD10" s="234">
        <f t="shared" si="9"/>
        <v>8813.3177640929207</v>
      </c>
      <c r="AE10" s="234">
        <f t="shared" si="9"/>
        <v>9090.5257081952441</v>
      </c>
      <c r="AF10" s="234">
        <f t="shared" si="9"/>
        <v>9490.2888509001277</v>
      </c>
      <c r="AG10" s="234">
        <f t="shared" si="9"/>
        <v>9811.921072172634</v>
      </c>
      <c r="AH10" s="234">
        <f t="shared" si="9"/>
        <v>10154.719098976951</v>
      </c>
      <c r="AI10" s="234" t="e">
        <f t="shared" si="9"/>
        <v>#NUM!</v>
      </c>
    </row>
    <row r="11" spans="1:35" x14ac:dyDescent="0.2">
      <c r="A11" s="228" t="s">
        <v>219</v>
      </c>
      <c r="B11" s="233">
        <f t="shared" ref="B11:AH11" si="10">B8-B12</f>
        <v>29584.967999999997</v>
      </c>
      <c r="C11" s="233">
        <f t="shared" si="10"/>
        <v>30102.912</v>
      </c>
      <c r="D11" s="233">
        <f t="shared" si="10"/>
        <v>18029.424000000003</v>
      </c>
      <c r="E11" s="233">
        <f t="shared" si="10"/>
        <v>22642.829999999998</v>
      </c>
      <c r="F11" s="233">
        <f t="shared" si="10"/>
        <v>26629.848000000002</v>
      </c>
      <c r="G11" s="233">
        <f t="shared" si="10"/>
        <v>27995.435999999994</v>
      </c>
      <c r="H11" s="233">
        <f t="shared" si="10"/>
        <v>29256.317999999999</v>
      </c>
      <c r="I11" s="234">
        <f t="shared" si="10"/>
        <v>29460.746999999999</v>
      </c>
      <c r="J11" s="234">
        <f t="shared" si="10"/>
        <v>30159.637833333334</v>
      </c>
      <c r="K11" s="234">
        <f t="shared" si="10"/>
        <v>30825</v>
      </c>
      <c r="L11" s="234">
        <f t="shared" si="10"/>
        <v>32425</v>
      </c>
      <c r="M11" s="234">
        <f t="shared" si="10"/>
        <v>33525</v>
      </c>
      <c r="N11" s="234">
        <f t="shared" si="10"/>
        <v>34325</v>
      </c>
      <c r="O11" s="234">
        <f t="shared" si="10"/>
        <v>35275</v>
      </c>
      <c r="P11" s="234">
        <f t="shared" si="10"/>
        <v>36125</v>
      </c>
      <c r="Q11" s="234">
        <f t="shared" si="10"/>
        <v>37625</v>
      </c>
      <c r="R11" s="234">
        <f t="shared" si="10"/>
        <v>38450</v>
      </c>
      <c r="S11" s="234">
        <f t="shared" si="10"/>
        <v>39575</v>
      </c>
      <c r="T11" s="234">
        <f t="shared" si="10"/>
        <v>40550</v>
      </c>
      <c r="U11" s="234">
        <f t="shared" si="10"/>
        <v>41550</v>
      </c>
      <c r="V11" s="234">
        <f t="shared" si="10"/>
        <v>42700</v>
      </c>
      <c r="W11" s="234">
        <f t="shared" si="10"/>
        <v>43875</v>
      </c>
      <c r="X11" s="234">
        <f t="shared" si="10"/>
        <v>45000</v>
      </c>
      <c r="Y11" s="234">
        <f t="shared" si="10"/>
        <v>46225</v>
      </c>
      <c r="Z11" s="234">
        <f t="shared" si="10"/>
        <v>47475</v>
      </c>
      <c r="AA11" s="234">
        <f t="shared" si="10"/>
        <v>48750</v>
      </c>
      <c r="AB11" s="234">
        <f t="shared" si="10"/>
        <v>50050</v>
      </c>
      <c r="AC11" s="234">
        <f t="shared" si="10"/>
        <v>51375</v>
      </c>
      <c r="AD11" s="234">
        <f t="shared" si="10"/>
        <v>52725</v>
      </c>
      <c r="AE11" s="234">
        <f t="shared" si="10"/>
        <v>54100</v>
      </c>
      <c r="AF11" s="234">
        <f t="shared" si="10"/>
        <v>55625</v>
      </c>
      <c r="AG11" s="234">
        <f t="shared" si="10"/>
        <v>57100</v>
      </c>
      <c r="AH11" s="234">
        <f t="shared" si="10"/>
        <v>58625</v>
      </c>
      <c r="AI11" s="234" t="e">
        <f>AI8-AI12</f>
        <v>#NUM!</v>
      </c>
    </row>
    <row r="12" spans="1:35" x14ac:dyDescent="0.2">
      <c r="A12" s="228" t="s">
        <v>220</v>
      </c>
      <c r="B12" s="233">
        <f>B96</f>
        <v>1746.57</v>
      </c>
      <c r="C12" s="233">
        <f t="shared" ref="C12:H12" si="11">C96</f>
        <v>1699.614</v>
      </c>
      <c r="D12" s="233">
        <f t="shared" si="11"/>
        <v>1622.3340000000001</v>
      </c>
      <c r="E12" s="233">
        <f t="shared" si="11"/>
        <v>1503.5160000000001</v>
      </c>
      <c r="F12" s="233">
        <f t="shared" si="11"/>
        <v>1471.6379999999999</v>
      </c>
      <c r="G12" s="233">
        <f t="shared" si="11"/>
        <v>1670.0039999999999</v>
      </c>
      <c r="H12" s="233">
        <f t="shared" si="11"/>
        <v>1843.086</v>
      </c>
      <c r="I12" s="234">
        <v>1950</v>
      </c>
      <c r="J12" s="234">
        <v>2000</v>
      </c>
      <c r="K12" s="234">
        <v>2100</v>
      </c>
      <c r="L12" s="234">
        <v>2100</v>
      </c>
      <c r="M12" s="234">
        <v>2100</v>
      </c>
      <c r="N12" s="234">
        <v>2150</v>
      </c>
      <c r="O12" s="234">
        <v>2200</v>
      </c>
      <c r="P12" s="234">
        <v>2250</v>
      </c>
      <c r="Q12" s="234">
        <v>2250</v>
      </c>
      <c r="R12" s="234">
        <v>2300</v>
      </c>
      <c r="S12" s="234">
        <v>2350</v>
      </c>
      <c r="T12" s="234">
        <v>2400</v>
      </c>
      <c r="U12" s="234">
        <v>2450</v>
      </c>
      <c r="V12" s="234">
        <v>2500</v>
      </c>
      <c r="W12" s="234">
        <v>2600</v>
      </c>
      <c r="X12" s="234">
        <v>2700</v>
      </c>
      <c r="Y12" s="234">
        <v>2750</v>
      </c>
      <c r="Z12" s="234">
        <v>2800</v>
      </c>
      <c r="AA12" s="234">
        <v>2850</v>
      </c>
      <c r="AB12" s="234">
        <v>2900</v>
      </c>
      <c r="AC12" s="234">
        <v>3000</v>
      </c>
      <c r="AD12" s="234">
        <v>3100</v>
      </c>
      <c r="AE12" s="234">
        <v>3200</v>
      </c>
      <c r="AF12" s="234">
        <v>3250</v>
      </c>
      <c r="AG12" s="234">
        <v>3300</v>
      </c>
      <c r="AH12" s="234">
        <v>3400</v>
      </c>
      <c r="AI12" s="234">
        <v>3450</v>
      </c>
    </row>
    <row r="13" spans="1:35" x14ac:dyDescent="0.2">
      <c r="B13" s="235"/>
      <c r="C13" s="233"/>
      <c r="D13" s="233"/>
      <c r="E13" s="233"/>
      <c r="F13" s="233"/>
      <c r="G13" s="233"/>
      <c r="H13" s="233"/>
      <c r="I13" s="233"/>
      <c r="J13" s="233"/>
      <c r="K13" s="233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33"/>
      <c r="AC13" s="233"/>
      <c r="AD13" s="233"/>
      <c r="AE13" s="233"/>
      <c r="AF13" s="233"/>
      <c r="AG13" s="233"/>
      <c r="AH13" s="233"/>
      <c r="AI13" s="233"/>
    </row>
    <row r="14" spans="1:35" x14ac:dyDescent="0.2">
      <c r="A14" s="228" t="s">
        <v>233</v>
      </c>
      <c r="B14" s="236">
        <f>B12/(C11/365)</f>
        <v>21.177288429770513</v>
      </c>
      <c r="C14" s="236">
        <f t="shared" ref="C14:AH14" si="12">C12/(D11/365)</f>
        <v>34.408149145530103</v>
      </c>
      <c r="D14" s="236">
        <f t="shared" si="12"/>
        <v>26.151850718306857</v>
      </c>
      <c r="E14" s="236">
        <f t="shared" si="12"/>
        <v>20.60782847878065</v>
      </c>
      <c r="F14" s="236">
        <f t="shared" si="12"/>
        <v>19.186979977736371</v>
      </c>
      <c r="G14" s="236">
        <f t="shared" si="12"/>
        <v>20.834865822828419</v>
      </c>
      <c r="H14" s="236">
        <f t="shared" si="12"/>
        <v>22.834668448834648</v>
      </c>
      <c r="I14" s="237">
        <f t="shared" si="12"/>
        <v>23.599421317100585</v>
      </c>
      <c r="J14" s="237">
        <f t="shared" si="12"/>
        <v>23.682076236820762</v>
      </c>
      <c r="K14" s="237">
        <f t="shared" si="12"/>
        <v>23.639167309175019</v>
      </c>
      <c r="L14" s="237">
        <f t="shared" si="12"/>
        <v>22.863534675615213</v>
      </c>
      <c r="M14" s="237">
        <f t="shared" si="12"/>
        <v>22.330662782228696</v>
      </c>
      <c r="N14" s="237">
        <f t="shared" si="12"/>
        <v>22.246633593196314</v>
      </c>
      <c r="O14" s="237">
        <f t="shared" si="12"/>
        <v>22.228373702422147</v>
      </c>
      <c r="P14" s="237">
        <f t="shared" si="12"/>
        <v>21.827242524916944</v>
      </c>
      <c r="Q14" s="237">
        <f t="shared" si="12"/>
        <v>21.35890767230169</v>
      </c>
      <c r="R14" s="237">
        <f t="shared" si="12"/>
        <v>21.212886923562856</v>
      </c>
      <c r="S14" s="237">
        <f t="shared" si="12"/>
        <v>21.152897657213316</v>
      </c>
      <c r="T14" s="237">
        <f t="shared" si="12"/>
        <v>21.083032490974727</v>
      </c>
      <c r="U14" s="237">
        <f t="shared" si="12"/>
        <v>20.942622950819672</v>
      </c>
      <c r="V14" s="237">
        <f t="shared" si="12"/>
        <v>20.7977207977208</v>
      </c>
      <c r="W14" s="237">
        <f t="shared" si="12"/>
        <v>21.088888888888889</v>
      </c>
      <c r="X14" s="237">
        <f t="shared" si="12"/>
        <v>21.319632233639805</v>
      </c>
      <c r="Y14" s="237">
        <f t="shared" si="12"/>
        <v>21.142706687730385</v>
      </c>
      <c r="Z14" s="237">
        <f t="shared" si="12"/>
        <v>20.964102564102561</v>
      </c>
      <c r="AA14" s="237">
        <f t="shared" si="12"/>
        <v>20.784215784215785</v>
      </c>
      <c r="AB14" s="237">
        <f t="shared" si="12"/>
        <v>20.603406326034062</v>
      </c>
      <c r="AC14" s="237">
        <f t="shared" si="12"/>
        <v>20.768136557610244</v>
      </c>
      <c r="AD14" s="237">
        <f t="shared" si="12"/>
        <v>20.914972273567468</v>
      </c>
      <c r="AE14" s="237">
        <f t="shared" si="12"/>
        <v>20.997752808988764</v>
      </c>
      <c r="AF14" s="237">
        <f t="shared" si="12"/>
        <v>20.774956217162874</v>
      </c>
      <c r="AG14" s="237">
        <f t="shared" si="12"/>
        <v>20.545842217484008</v>
      </c>
      <c r="AH14" s="237" t="e">
        <f t="shared" si="12"/>
        <v>#NUM!</v>
      </c>
      <c r="AI14" s="237"/>
    </row>
    <row r="15" spans="1:35" ht="12" thickBot="1" x14ac:dyDescent="0.25">
      <c r="A15" s="228" t="s">
        <v>234</v>
      </c>
      <c r="B15" s="235">
        <v>2.0270000000000001</v>
      </c>
      <c r="C15" s="235">
        <v>1.879</v>
      </c>
      <c r="D15" s="235">
        <v>1.099</v>
      </c>
      <c r="E15" s="235">
        <v>1.8580000000000001</v>
      </c>
      <c r="F15" s="235">
        <v>3.3740000000000001</v>
      </c>
      <c r="G15" s="235">
        <v>2.6989999999999998</v>
      </c>
      <c r="H15" s="235"/>
      <c r="I15" s="235"/>
      <c r="J15" s="235"/>
      <c r="K15" s="235"/>
      <c r="L15" s="235"/>
      <c r="M15" s="235"/>
      <c r="N15" s="235"/>
      <c r="O15" s="235"/>
      <c r="P15" s="235"/>
      <c r="Q15" s="235"/>
      <c r="R15" s="235"/>
      <c r="S15" s="235"/>
      <c r="T15" s="235"/>
      <c r="U15" s="235"/>
      <c r="V15" s="235"/>
      <c r="W15" s="235"/>
      <c r="X15" s="235"/>
      <c r="Y15" s="235"/>
      <c r="Z15" s="235"/>
      <c r="AA15" s="235"/>
      <c r="AB15" s="235"/>
      <c r="AC15" s="235"/>
      <c r="AD15" s="235"/>
      <c r="AE15" s="235"/>
      <c r="AF15" s="235"/>
      <c r="AG15" s="235"/>
      <c r="AH15" s="235"/>
      <c r="AI15" s="235"/>
    </row>
    <row r="16" spans="1:35" ht="12" thickTop="1" x14ac:dyDescent="0.2">
      <c r="A16" s="238"/>
      <c r="B16" s="238"/>
      <c r="C16" s="238"/>
      <c r="D16" s="238"/>
      <c r="E16" s="238"/>
      <c r="F16" s="238"/>
      <c r="G16" s="238"/>
      <c r="H16" s="238"/>
      <c r="I16" s="238">
        <f>I9/H9-1</f>
        <v>2.0404815772654628E-2</v>
      </c>
      <c r="J16" s="238">
        <f>J9/I9-1</f>
        <v>1.2368848181572245E-2</v>
      </c>
      <c r="K16" s="238"/>
      <c r="L16" s="238"/>
      <c r="M16" s="238"/>
      <c r="N16" s="238"/>
      <c r="O16" s="238"/>
      <c r="P16" s="238"/>
      <c r="Q16" s="238"/>
      <c r="R16" s="238"/>
      <c r="S16" s="238"/>
      <c r="T16" s="238"/>
      <c r="U16" s="238"/>
      <c r="V16" s="238"/>
      <c r="W16" s="238"/>
      <c r="X16" s="238"/>
      <c r="Y16" s="238"/>
      <c r="Z16" s="238"/>
      <c r="AA16" s="238"/>
      <c r="AB16" s="238"/>
      <c r="AC16" s="238"/>
      <c r="AD16" s="238"/>
      <c r="AE16" s="238"/>
      <c r="AF16" s="238"/>
      <c r="AG16" s="238"/>
      <c r="AH16" s="238"/>
      <c r="AI16" s="238"/>
    </row>
    <row r="17" spans="1:35" x14ac:dyDescent="0.2">
      <c r="A17" s="228" t="s">
        <v>235</v>
      </c>
      <c r="B17" s="239">
        <f>[8]Assumptions!BC$20</f>
        <v>722415.33364099998</v>
      </c>
      <c r="C17" s="239">
        <f>[8]Assumptions!BD$20</f>
        <v>754450.05571900005</v>
      </c>
      <c r="D17" s="239">
        <f>[8]Assumptions!BE$20</f>
        <v>306058.02996800002</v>
      </c>
      <c r="E17" s="239">
        <f>[8]Assumptions!BF$20</f>
        <v>573403.84113099996</v>
      </c>
      <c r="F17" s="239">
        <f>[8]Assumptions!BG$20</f>
        <v>708959.95827800001</v>
      </c>
      <c r="G17" s="239">
        <f>[8]Assumptions!BH$20</f>
        <v>773411.55941999995</v>
      </c>
      <c r="H17" s="240">
        <f>[8]Assumptions!BI$20</f>
        <v>785786.14437071991</v>
      </c>
      <c r="I17" s="240">
        <f>[8]Assumptions!BJ$20</f>
        <v>807002.37026872928</v>
      </c>
      <c r="J17" s="240">
        <f>[8]Assumptions!BK$20</f>
        <v>828791.43426598492</v>
      </c>
      <c r="K17" s="240">
        <f>[8]Assumptions!BL$20</f>
        <v>851168.80299116648</v>
      </c>
      <c r="L17" s="240">
        <f>[8]Assumptions!BM$20</f>
        <v>874150.36067192792</v>
      </c>
      <c r="M17" s="240">
        <f>[8]Assumptions!BN$20</f>
        <v>897752.42041006987</v>
      </c>
      <c r="N17" s="240">
        <f>[8]Assumptions!BO$20</f>
        <v>921991.73576114164</v>
      </c>
      <c r="O17" s="240">
        <f>[8]Assumptions!BP$20</f>
        <v>946885.51262669242</v>
      </c>
      <c r="P17" s="240">
        <f>[8]Assumptions!BQ$20</f>
        <v>972451.42146761308</v>
      </c>
      <c r="Q17" s="240">
        <f>[8]Assumptions!BR$20</f>
        <v>998707.60984723852</v>
      </c>
      <c r="R17" s="240">
        <f>[8]Assumptions!BS$20</f>
        <v>1025672.7153131139</v>
      </c>
      <c r="S17" s="240">
        <f>[8]Assumptions!BT$20</f>
        <v>1053365.8786265678</v>
      </c>
      <c r="T17" s="240">
        <f>[8]Assumptions!BU$20</f>
        <v>1081806.7573494851</v>
      </c>
      <c r="U17" s="240">
        <f>[8]Assumptions!BV$20</f>
        <v>1111015.539797921</v>
      </c>
      <c r="V17" s="240">
        <f>[8]Assumptions!BW$20</f>
        <v>1141012.9593724648</v>
      </c>
      <c r="W17" s="240">
        <f>[8]Assumptions!BX$20</f>
        <v>1171820.3092755212</v>
      </c>
      <c r="X17" s="240">
        <f>[8]Assumptions!BY$20</f>
        <v>1203459.4576259602</v>
      </c>
      <c r="Y17" s="240">
        <f>[8]Assumptions!BZ$20</f>
        <v>1235952.862981861</v>
      </c>
      <c r="Z17" s="240">
        <f>[8]Assumptions!CA$20</f>
        <v>1269323.590282371</v>
      </c>
      <c r="AA17" s="240">
        <f>[8]Assumptions!CB$20</f>
        <v>1303595.327219995</v>
      </c>
      <c r="AB17" s="240">
        <f>[8]Assumptions!CC$20</f>
        <v>1338792.4010549348</v>
      </c>
      <c r="AC17" s="240">
        <f>[8]Assumptions!CD$20</f>
        <v>1374939.7958834181</v>
      </c>
      <c r="AD17" s="240">
        <f>[8]Assumptions!CE$20</f>
        <v>1412063.1703722703</v>
      </c>
      <c r="AE17" s="240">
        <f>[8]Assumptions!CF$20</f>
        <v>1450188.8759723215</v>
      </c>
      <c r="AF17" s="240">
        <f>[8]Assumptions!CG$20</f>
        <v>1489343.9756235741</v>
      </c>
      <c r="AG17" s="240">
        <f>[8]Assumptions!CH$20</f>
        <v>1529556.2629654105</v>
      </c>
      <c r="AH17" s="240">
        <f>[8]Assumptions!CI$20</f>
        <v>1570854.2820654765</v>
      </c>
      <c r="AI17" s="240">
        <f>[8]Assumptions!CJ$20</f>
        <v>0</v>
      </c>
    </row>
    <row r="19" spans="1:35" ht="12" thickBot="1" x14ac:dyDescent="0.25">
      <c r="A19" s="228" t="s">
        <v>236</v>
      </c>
    </row>
    <row r="20" spans="1:35" ht="12" thickBot="1" x14ac:dyDescent="0.25">
      <c r="A20" s="231" t="s">
        <v>197</v>
      </c>
      <c r="B20" s="241">
        <f t="shared" ref="B20:AI20" si="13">B4</f>
        <v>2018</v>
      </c>
      <c r="C20" s="241">
        <f t="shared" si="13"/>
        <v>2019</v>
      </c>
      <c r="D20" s="241">
        <f t="shared" si="13"/>
        <v>2020</v>
      </c>
      <c r="E20" s="241">
        <f t="shared" si="13"/>
        <v>2021</v>
      </c>
      <c r="F20" s="241">
        <f t="shared" si="13"/>
        <v>2022</v>
      </c>
      <c r="G20" s="241">
        <f t="shared" si="13"/>
        <v>2023</v>
      </c>
      <c r="H20" s="241">
        <f t="shared" si="13"/>
        <v>2024</v>
      </c>
      <c r="I20" s="241">
        <f t="shared" si="13"/>
        <v>2025</v>
      </c>
      <c r="J20" s="241">
        <f t="shared" si="13"/>
        <v>2026</v>
      </c>
      <c r="K20" s="241">
        <f t="shared" si="13"/>
        <v>2027</v>
      </c>
      <c r="L20" s="241">
        <f t="shared" si="13"/>
        <v>2028</v>
      </c>
      <c r="M20" s="241">
        <f t="shared" si="13"/>
        <v>2029</v>
      </c>
      <c r="N20" s="241">
        <f t="shared" si="13"/>
        <v>2030</v>
      </c>
      <c r="O20" s="241">
        <f t="shared" si="13"/>
        <v>2031</v>
      </c>
      <c r="P20" s="241">
        <f t="shared" si="13"/>
        <v>2032</v>
      </c>
      <c r="Q20" s="241">
        <f t="shared" si="13"/>
        <v>2033</v>
      </c>
      <c r="R20" s="241">
        <f t="shared" si="13"/>
        <v>2034</v>
      </c>
      <c r="S20" s="241">
        <f t="shared" si="13"/>
        <v>2035</v>
      </c>
      <c r="T20" s="241">
        <f t="shared" si="13"/>
        <v>2036</v>
      </c>
      <c r="U20" s="241">
        <f t="shared" si="13"/>
        <v>2037</v>
      </c>
      <c r="V20" s="241">
        <f t="shared" si="13"/>
        <v>2038</v>
      </c>
      <c r="W20" s="241">
        <f t="shared" si="13"/>
        <v>2039</v>
      </c>
      <c r="X20" s="241">
        <f t="shared" si="13"/>
        <v>2040</v>
      </c>
      <c r="Y20" s="241">
        <f t="shared" si="13"/>
        <v>2041</v>
      </c>
      <c r="Z20" s="241">
        <f t="shared" si="13"/>
        <v>2042</v>
      </c>
      <c r="AA20" s="241">
        <f t="shared" si="13"/>
        <v>2043</v>
      </c>
      <c r="AB20" s="241">
        <f t="shared" si="13"/>
        <v>2044</v>
      </c>
      <c r="AC20" s="241">
        <f t="shared" si="13"/>
        <v>2045</v>
      </c>
      <c r="AD20" s="241">
        <f t="shared" si="13"/>
        <v>2046</v>
      </c>
      <c r="AE20" s="241">
        <f t="shared" si="13"/>
        <v>2047</v>
      </c>
      <c r="AF20" s="241">
        <f t="shared" si="13"/>
        <v>2048</v>
      </c>
      <c r="AG20" s="241">
        <f t="shared" si="13"/>
        <v>2049</v>
      </c>
      <c r="AH20" s="241">
        <f t="shared" si="13"/>
        <v>2050</v>
      </c>
      <c r="AI20" s="241">
        <f t="shared" si="13"/>
        <v>2051</v>
      </c>
    </row>
    <row r="21" spans="1:35" x14ac:dyDescent="0.2">
      <c r="A21" s="228" t="s">
        <v>162</v>
      </c>
      <c r="B21" s="242">
        <f>'Monthly Data'!$AZ543*42/1000</f>
        <v>2196.39</v>
      </c>
      <c r="C21" s="242">
        <f>'Monthly Data'!$AZ555*42/1000</f>
        <v>2305.884</v>
      </c>
      <c r="D21" s="242">
        <f>'Monthly Data'!$AZ567*42/1000</f>
        <v>2414.4540000000002</v>
      </c>
      <c r="E21" s="242">
        <f>'Monthly Data'!$AZ579*42/1000</f>
        <v>1596.7139999999999</v>
      </c>
      <c r="F21" s="242">
        <f>'Monthly Data'!$AZ591*42/1000</f>
        <v>1974.546</v>
      </c>
      <c r="G21" s="242">
        <f>'Monthly Data'!$AZ603*42/1000</f>
        <v>2113.2719999999999</v>
      </c>
      <c r="H21" s="242">
        <f>'Monthly Data'!$AZ615*42/1000</f>
        <v>2202.3539999999998</v>
      </c>
      <c r="I21" s="243">
        <f t="shared" ref="I21:I31" si="14">I$33*(SUM(D21:H21)/SUM(D$33:H$33))</f>
        <v>2491.958695125114</v>
      </c>
      <c r="J21" s="243">
        <f t="shared" ref="J21:J31" si="15">J$33*(SUM(E21:I21)/SUM(E$33:I$33))</f>
        <v>2333.1802805661473</v>
      </c>
      <c r="K21" s="243">
        <f t="shared" ref="K21:Z31" si="16">K$33*(SUM(F21:J21)/SUM(F$33:J$33))</f>
        <v>2414.0390846198279</v>
      </c>
      <c r="L21" s="243">
        <f t="shared" si="16"/>
        <v>2531.4047883213661</v>
      </c>
      <c r="M21" s="243">
        <f t="shared" si="16"/>
        <v>2598.5918917345098</v>
      </c>
      <c r="N21" s="243">
        <f t="shared" si="16"/>
        <v>2680.5480585441996</v>
      </c>
      <c r="O21" s="243">
        <f t="shared" si="16"/>
        <v>2728.8668362916846</v>
      </c>
      <c r="P21" s="243">
        <f t="shared" si="16"/>
        <v>2800.970723295095</v>
      </c>
      <c r="Q21" s="243">
        <f t="shared" si="16"/>
        <v>2888.6818455356251</v>
      </c>
      <c r="R21" s="243">
        <f t="shared" si="16"/>
        <v>2957.8279021699491</v>
      </c>
      <c r="S21" s="243">
        <f t="shared" si="16"/>
        <v>3041.3555474394439</v>
      </c>
      <c r="T21" s="243">
        <f t="shared" si="16"/>
        <v>3119.8145242495234</v>
      </c>
      <c r="U21" s="243">
        <f t="shared" si="16"/>
        <v>3204.795086529235</v>
      </c>
      <c r="V21" s="243">
        <f t="shared" si="16"/>
        <v>3288.9587235029512</v>
      </c>
      <c r="W21" s="243">
        <f t="shared" si="16"/>
        <v>3380.6811862718864</v>
      </c>
      <c r="X21" s="243">
        <f t="shared" si="16"/>
        <v>3471.883340266405</v>
      </c>
      <c r="Y21" s="243">
        <f t="shared" si="16"/>
        <v>3562.9448252937113</v>
      </c>
      <c r="Z21" s="243">
        <f t="shared" si="16"/>
        <v>3663.2574058199134</v>
      </c>
      <c r="AA21" s="243">
        <f t="shared" ref="AA21:AI31" si="17">AA$33*(SUM(V21:Z21)/SUM(V$33:Z$33))</f>
        <v>3763.2847159549378</v>
      </c>
      <c r="AB21" s="243">
        <f t="shared" si="17"/>
        <v>3863.141336329249</v>
      </c>
      <c r="AC21" s="243">
        <f t="shared" si="17"/>
        <v>3971.2821646923362</v>
      </c>
      <c r="AD21" s="243">
        <f t="shared" si="17"/>
        <v>4079.4852364282056</v>
      </c>
      <c r="AE21" s="243">
        <f t="shared" si="17"/>
        <v>4187.7945683125245</v>
      </c>
      <c r="AF21" s="243">
        <f t="shared" si="17"/>
        <v>4304.3582595254902</v>
      </c>
      <c r="AG21" s="243">
        <f t="shared" si="17"/>
        <v>4420.8970588200018</v>
      </c>
      <c r="AH21" s="243">
        <f t="shared" si="17"/>
        <v>4545.7681648638181</v>
      </c>
      <c r="AI21" s="243" t="e">
        <f t="shared" si="17"/>
        <v>#NUM!</v>
      </c>
    </row>
    <row r="22" spans="1:35" x14ac:dyDescent="0.2">
      <c r="A22" s="228" t="s">
        <v>163</v>
      </c>
      <c r="B22" s="242">
        <f>'Monthly Data'!$AZ544*42/1000</f>
        <v>1985.2560000000001</v>
      </c>
      <c r="C22" s="242">
        <f>'Monthly Data'!$AZ556*42/1000</f>
        <v>1986.7260000000001</v>
      </c>
      <c r="D22" s="242">
        <f>'Monthly Data'!$AZ568*42/1000</f>
        <v>2029.6079999999999</v>
      </c>
      <c r="E22" s="242">
        <f>'Monthly Data'!$AZ580*42/1000</f>
        <v>1116.192</v>
      </c>
      <c r="F22" s="242">
        <f>'Monthly Data'!$AZ592*42/1000</f>
        <v>1768.326</v>
      </c>
      <c r="G22" s="242">
        <f>'Monthly Data'!$AZ604*42/1000</f>
        <v>1841.07</v>
      </c>
      <c r="H22" s="242">
        <f>'Monthly Data'!$AZ616*42/1000</f>
        <v>2002.8119999999999</v>
      </c>
      <c r="I22" s="243">
        <f t="shared" si="14"/>
        <v>2118.6170136676692</v>
      </c>
      <c r="J22" s="243">
        <f t="shared" si="15"/>
        <v>1988.8230573310241</v>
      </c>
      <c r="K22" s="243">
        <f t="shared" si="16"/>
        <v>2110.9270252046513</v>
      </c>
      <c r="L22" s="243">
        <f t="shared" si="16"/>
        <v>2204.4186479026898</v>
      </c>
      <c r="M22" s="243">
        <f t="shared" si="16"/>
        <v>2262.7592633977661</v>
      </c>
      <c r="N22" s="243">
        <f t="shared" si="16"/>
        <v>2315.68536507725</v>
      </c>
      <c r="O22" s="243">
        <f t="shared" si="16"/>
        <v>2364.8479491958401</v>
      </c>
      <c r="P22" s="243">
        <f t="shared" si="16"/>
        <v>2434.4954061676308</v>
      </c>
      <c r="Q22" s="243">
        <f t="shared" si="16"/>
        <v>2507.9723564519118</v>
      </c>
      <c r="R22" s="243">
        <f t="shared" si="16"/>
        <v>2566.572336254922</v>
      </c>
      <c r="S22" s="243">
        <f t="shared" si="16"/>
        <v>2637.3410170710476</v>
      </c>
      <c r="T22" s="243">
        <f t="shared" si="16"/>
        <v>2707.2769183081405</v>
      </c>
      <c r="U22" s="243">
        <f t="shared" si="16"/>
        <v>2781.7078938660234</v>
      </c>
      <c r="V22" s="243">
        <f t="shared" si="16"/>
        <v>2854.046992978138</v>
      </c>
      <c r="W22" s="243">
        <f t="shared" si="16"/>
        <v>2933.3651916491617</v>
      </c>
      <c r="X22" s="243">
        <f t="shared" si="16"/>
        <v>3012.4759874272258</v>
      </c>
      <c r="Y22" s="243">
        <f t="shared" si="16"/>
        <v>3091.8289369311824</v>
      </c>
      <c r="Z22" s="243">
        <f t="shared" si="16"/>
        <v>3178.8808474912662</v>
      </c>
      <c r="AA22" s="243">
        <f t="shared" si="17"/>
        <v>3265.5370452193629</v>
      </c>
      <c r="AB22" s="243">
        <f t="shared" si="17"/>
        <v>3352.1646458447244</v>
      </c>
      <c r="AC22" s="243">
        <f t="shared" si="17"/>
        <v>3446.0351294002103</v>
      </c>
      <c r="AD22" s="243">
        <f t="shared" si="17"/>
        <v>3539.9729484274681</v>
      </c>
      <c r="AE22" s="243">
        <f t="shared" si="17"/>
        <v>3633.9401980373077</v>
      </c>
      <c r="AF22" s="243">
        <f t="shared" si="17"/>
        <v>3735.0649760697111</v>
      </c>
      <c r="AG22" s="243">
        <f t="shared" si="17"/>
        <v>3836.1939876462156</v>
      </c>
      <c r="AH22" s="243">
        <f t="shared" si="17"/>
        <v>3944.5588374945105</v>
      </c>
      <c r="AI22" s="243" t="e">
        <f t="shared" si="17"/>
        <v>#NUM!</v>
      </c>
    </row>
    <row r="23" spans="1:35" x14ac:dyDescent="0.2">
      <c r="A23" s="228" t="s">
        <v>164</v>
      </c>
      <c r="B23" s="242">
        <f>'Monthly Data'!$AZ545*42/1000</f>
        <v>2318.4</v>
      </c>
      <c r="C23" s="242">
        <f>'Monthly Data'!$AZ557*42/1000</f>
        <v>2249.8139999999999</v>
      </c>
      <c r="D23" s="242">
        <f>'Monthly Data'!$AZ569*42/1000</f>
        <v>1769.7539999999999</v>
      </c>
      <c r="E23" s="242">
        <f>'Monthly Data'!$AZ581*42/1000</f>
        <v>1433.502</v>
      </c>
      <c r="F23" s="242">
        <f>'Monthly Data'!$AZ593*42/1000</f>
        <v>1869.588</v>
      </c>
      <c r="G23" s="242">
        <f>'Monthly Data'!$AZ605*42/1000</f>
        <v>2186.3939999999998</v>
      </c>
      <c r="H23" s="242">
        <f>'Monthly Data'!$AZ617*42/1000</f>
        <v>2288.79</v>
      </c>
      <c r="I23" s="243">
        <f t="shared" si="14"/>
        <v>2309.7278020042099</v>
      </c>
      <c r="J23" s="243">
        <f t="shared" si="15"/>
        <v>2267.7983500232199</v>
      </c>
      <c r="K23" s="243">
        <f t="shared" si="16"/>
        <v>2372.1202844012537</v>
      </c>
      <c r="L23" s="243">
        <f t="shared" si="16"/>
        <v>2502.9304107262042</v>
      </c>
      <c r="M23" s="243">
        <f t="shared" si="16"/>
        <v>2548.3322156152558</v>
      </c>
      <c r="N23" s="243">
        <f t="shared" si="16"/>
        <v>2600.7404830323885</v>
      </c>
      <c r="O23" s="243">
        <f t="shared" si="16"/>
        <v>2671.0979218689881</v>
      </c>
      <c r="P23" s="243">
        <f t="shared" si="16"/>
        <v>2745.1328735143138</v>
      </c>
      <c r="Q23" s="243">
        <f t="shared" si="16"/>
        <v>2829.7517409988964</v>
      </c>
      <c r="R23" s="243">
        <f t="shared" si="16"/>
        <v>2892.4845550094856</v>
      </c>
      <c r="S23" s="243">
        <f t="shared" si="16"/>
        <v>2972.6204888350835</v>
      </c>
      <c r="T23" s="243">
        <f t="shared" si="16"/>
        <v>3053.4667297086194</v>
      </c>
      <c r="U23" s="243">
        <f t="shared" si="16"/>
        <v>3136.5827484011038</v>
      </c>
      <c r="V23" s="243">
        <f t="shared" si="16"/>
        <v>3218.1379167304376</v>
      </c>
      <c r="W23" s="243">
        <f t="shared" si="16"/>
        <v>3307.1769227231998</v>
      </c>
      <c r="X23" s="243">
        <f t="shared" si="16"/>
        <v>3396.6197633791016</v>
      </c>
      <c r="Y23" s="243">
        <f t="shared" si="16"/>
        <v>3486.3140478480154</v>
      </c>
      <c r="Z23" s="243">
        <f t="shared" si="16"/>
        <v>3584.3061622826276</v>
      </c>
      <c r="AA23" s="243">
        <f t="shared" si="17"/>
        <v>3681.9917427897644</v>
      </c>
      <c r="AB23" s="243">
        <f t="shared" si="17"/>
        <v>3779.6423744780855</v>
      </c>
      <c r="AC23" s="243">
        <f t="shared" si="17"/>
        <v>3885.5397279876929</v>
      </c>
      <c r="AD23" s="243">
        <f t="shared" si="17"/>
        <v>3991.4723959041276</v>
      </c>
      <c r="AE23" s="243">
        <f t="shared" si="17"/>
        <v>4097.3934821056719</v>
      </c>
      <c r="AF23" s="243">
        <f t="shared" si="17"/>
        <v>4211.4134689556504</v>
      </c>
      <c r="AG23" s="243">
        <f t="shared" si="17"/>
        <v>4325.4426885548673</v>
      </c>
      <c r="AH23" s="243">
        <f t="shared" si="17"/>
        <v>4447.6365857328728</v>
      </c>
      <c r="AI23" s="243" t="e">
        <f t="shared" si="17"/>
        <v>#NUM!</v>
      </c>
    </row>
    <row r="24" spans="1:35" x14ac:dyDescent="0.2">
      <c r="A24" s="228" t="s">
        <v>165</v>
      </c>
      <c r="B24" s="242">
        <f>'Monthly Data'!$AZ546*42/1000</f>
        <v>2262.288</v>
      </c>
      <c r="C24" s="242">
        <f>'Monthly Data'!$AZ558*42/1000</f>
        <v>2176.7759999999998</v>
      </c>
      <c r="D24" s="242">
        <f>'Monthly Data'!$AZ570*42/1000</f>
        <v>779.98199999999997</v>
      </c>
      <c r="E24" s="242">
        <f>'Monthly Data'!$AZ582*42/1000</f>
        <v>1590.9179999999999</v>
      </c>
      <c r="F24" s="242">
        <f>'Monthly Data'!$AZ594*42/1000</f>
        <v>2141.0340000000001</v>
      </c>
      <c r="G24" s="242">
        <f>'Monthly Data'!$AZ606*42/1000</f>
        <v>2144.0160000000001</v>
      </c>
      <c r="H24" s="242">
        <f>'Monthly Data'!$AZ618*42/1000</f>
        <v>2209.8719999999998</v>
      </c>
      <c r="I24" s="243">
        <f t="shared" si="14"/>
        <v>2144.6978958399122</v>
      </c>
      <c r="J24" s="243">
        <f t="shared" si="15"/>
        <v>2299.8406835560254</v>
      </c>
      <c r="K24" s="243">
        <f t="shared" si="16"/>
        <v>2375.8476448453421</v>
      </c>
      <c r="L24" s="243">
        <f t="shared" si="16"/>
        <v>2448.0390259857713</v>
      </c>
      <c r="M24" s="243">
        <f t="shared" si="16"/>
        <v>2491.2359049789366</v>
      </c>
      <c r="N24" s="243">
        <f t="shared" si="16"/>
        <v>2548.4591769773842</v>
      </c>
      <c r="O24" s="243">
        <f t="shared" si="16"/>
        <v>2643.1743603414779</v>
      </c>
      <c r="P24" s="243">
        <f t="shared" si="16"/>
        <v>2704.3803722325592</v>
      </c>
      <c r="Q24" s="243">
        <f t="shared" si="16"/>
        <v>2779.3105944830559</v>
      </c>
      <c r="R24" s="243">
        <f t="shared" si="16"/>
        <v>2843.1441272504635</v>
      </c>
      <c r="S24" s="243">
        <f t="shared" si="16"/>
        <v>2924.8613221215196</v>
      </c>
      <c r="T24" s="243">
        <f t="shared" si="16"/>
        <v>3006.6800583732856</v>
      </c>
      <c r="U24" s="243">
        <f t="shared" si="16"/>
        <v>3085.7082308417312</v>
      </c>
      <c r="V24" s="243">
        <f t="shared" si="16"/>
        <v>3165.1249105433344</v>
      </c>
      <c r="W24" s="243">
        <f t="shared" si="16"/>
        <v>3253.5256381583554</v>
      </c>
      <c r="X24" s="243">
        <f t="shared" si="16"/>
        <v>3342.040688855629</v>
      </c>
      <c r="Y24" s="243">
        <f t="shared" si="16"/>
        <v>3430.2922332955313</v>
      </c>
      <c r="Z24" s="243">
        <f t="shared" si="16"/>
        <v>3526.2158290229522</v>
      </c>
      <c r="AA24" s="243">
        <f t="shared" si="17"/>
        <v>3622.3269815646513</v>
      </c>
      <c r="AB24" s="243">
        <f t="shared" si="17"/>
        <v>3718.5824713468337</v>
      </c>
      <c r="AC24" s="243">
        <f t="shared" si="17"/>
        <v>3822.8176116986956</v>
      </c>
      <c r="AD24" s="243">
        <f t="shared" si="17"/>
        <v>3926.9859408204534</v>
      </c>
      <c r="AE24" s="243">
        <f t="shared" si="17"/>
        <v>4031.130092006093</v>
      </c>
      <c r="AF24" s="243">
        <f t="shared" si="17"/>
        <v>4143.3331439123176</v>
      </c>
      <c r="AG24" s="243">
        <f t="shared" si="17"/>
        <v>4255.5499620340734</v>
      </c>
      <c r="AH24" s="243">
        <f t="shared" si="17"/>
        <v>4375.7664597924986</v>
      </c>
      <c r="AI24" s="243" t="e">
        <f t="shared" si="17"/>
        <v>#NUM!</v>
      </c>
    </row>
    <row r="25" spans="1:35" x14ac:dyDescent="0.2">
      <c r="A25" s="228" t="s">
        <v>166</v>
      </c>
      <c r="B25" s="242">
        <f>'Monthly Data'!$AZ547*42/1000</f>
        <v>2348.4720000000002</v>
      </c>
      <c r="C25" s="242">
        <f>'Monthly Data'!$AZ559*42/1000</f>
        <v>2250.6120000000001</v>
      </c>
      <c r="D25" s="242">
        <f>'Monthly Data'!$AZ571*42/1000</f>
        <v>658.05600000000004</v>
      </c>
      <c r="E25" s="242">
        <f>'Monthly Data'!$AZ583*42/1000</f>
        <v>1703.1</v>
      </c>
      <c r="F25" s="242">
        <f>'Monthly Data'!$AZ595*42/1000</f>
        <v>2266.3620000000001</v>
      </c>
      <c r="G25" s="242">
        <f>'Monthly Data'!$AZ607*42/1000</f>
        <v>2201.0520000000001</v>
      </c>
      <c r="H25" s="242">
        <f>'Monthly Data'!$AZ619*42/1000</f>
        <v>2389.0439999999999</v>
      </c>
      <c r="I25" s="243">
        <f t="shared" si="14"/>
        <v>2229.7985850002992</v>
      </c>
      <c r="J25" s="243">
        <f t="shared" si="15"/>
        <v>2425.4639859813174</v>
      </c>
      <c r="K25" s="243">
        <f t="shared" si="16"/>
        <v>2500.1318856797402</v>
      </c>
      <c r="L25" s="243">
        <f t="shared" si="16"/>
        <v>2573.1800061674935</v>
      </c>
      <c r="M25" s="243">
        <f t="shared" si="16"/>
        <v>2629.9934162131726</v>
      </c>
      <c r="N25" s="243">
        <f t="shared" si="16"/>
        <v>2678.2494248739167</v>
      </c>
      <c r="O25" s="243">
        <f t="shared" si="16"/>
        <v>2783.0311482980487</v>
      </c>
      <c r="P25" s="243">
        <f t="shared" si="16"/>
        <v>2846.6252434875259</v>
      </c>
      <c r="Q25" s="243">
        <f t="shared" si="16"/>
        <v>2925.6439912305359</v>
      </c>
      <c r="R25" s="243">
        <f t="shared" si="16"/>
        <v>2993.6483239395593</v>
      </c>
      <c r="S25" s="243">
        <f t="shared" si="16"/>
        <v>3078.2023225357439</v>
      </c>
      <c r="T25" s="243">
        <f t="shared" si="16"/>
        <v>3165.1365470624814</v>
      </c>
      <c r="U25" s="243">
        <f t="shared" si="16"/>
        <v>3248.2089515899384</v>
      </c>
      <c r="V25" s="243">
        <f t="shared" si="16"/>
        <v>3331.8455686160441</v>
      </c>
      <c r="W25" s="243">
        <f t="shared" si="16"/>
        <v>3424.9167657493172</v>
      </c>
      <c r="X25" s="243">
        <f t="shared" si="16"/>
        <v>3517.9363109376013</v>
      </c>
      <c r="Y25" s="243">
        <f t="shared" si="16"/>
        <v>3610.962029126847</v>
      </c>
      <c r="Z25" s="243">
        <f t="shared" si="16"/>
        <v>3711.916610265233</v>
      </c>
      <c r="AA25" s="243">
        <f t="shared" si="17"/>
        <v>3813.0896129828184</v>
      </c>
      <c r="AB25" s="243">
        <f t="shared" si="17"/>
        <v>3914.4064846872066</v>
      </c>
      <c r="AC25" s="243">
        <f t="shared" si="17"/>
        <v>4024.1182961816717</v>
      </c>
      <c r="AD25" s="243">
        <f t="shared" si="17"/>
        <v>4133.7910598361132</v>
      </c>
      <c r="AE25" s="243">
        <f t="shared" si="17"/>
        <v>4243.4149798400267</v>
      </c>
      <c r="AF25" s="243">
        <f t="shared" si="17"/>
        <v>4361.5256345909011</v>
      </c>
      <c r="AG25" s="243">
        <f t="shared" si="17"/>
        <v>4479.6504192889324</v>
      </c>
      <c r="AH25" s="243">
        <f t="shared" si="17"/>
        <v>4606.1974633823484</v>
      </c>
      <c r="AI25" s="243" t="e">
        <f t="shared" si="17"/>
        <v>#NUM!</v>
      </c>
    </row>
    <row r="26" spans="1:35" x14ac:dyDescent="0.2">
      <c r="A26" s="228" t="s">
        <v>167</v>
      </c>
      <c r="B26" s="242">
        <f>'Monthly Data'!$AZ548*42/1000</f>
        <v>2385.39</v>
      </c>
      <c r="C26" s="242">
        <f>'Monthly Data'!$AZ560*42/1000</f>
        <v>2372.0340000000001</v>
      </c>
      <c r="D26" s="242">
        <f>'Monthly Data'!$AZ572*42/1000</f>
        <v>923.74800000000005</v>
      </c>
      <c r="E26" s="242">
        <f>'Monthly Data'!$AZ584*42/1000</f>
        <v>1742.748</v>
      </c>
      <c r="F26" s="242">
        <f>'Monthly Data'!$AZ596*42/1000</f>
        <v>2124.654</v>
      </c>
      <c r="G26" s="242">
        <f>'Monthly Data'!$AZ608*42/1000</f>
        <v>2242.5059999999999</v>
      </c>
      <c r="H26" s="242">
        <f>'Monthly Data'!$AZ620*42/1000</f>
        <v>2432.6819999999998</v>
      </c>
      <c r="I26" s="243">
        <f t="shared" si="14"/>
        <v>2289.9664791273058</v>
      </c>
      <c r="J26" s="243">
        <f t="shared" si="15"/>
        <v>2435.1753887492009</v>
      </c>
      <c r="K26" s="243">
        <f t="shared" si="16"/>
        <v>2503.0124274086402</v>
      </c>
      <c r="L26" s="243">
        <f t="shared" si="16"/>
        <v>2607.7618907284013</v>
      </c>
      <c r="M26" s="243">
        <f t="shared" si="16"/>
        <v>2662.7618747329288</v>
      </c>
      <c r="N26" s="243">
        <f t="shared" si="16"/>
        <v>2708.6129764797051</v>
      </c>
      <c r="O26" s="243">
        <f t="shared" si="16"/>
        <v>2807.0011754389238</v>
      </c>
      <c r="P26" s="243">
        <f t="shared" si="16"/>
        <v>2873.5602606312209</v>
      </c>
      <c r="Q26" s="243">
        <f t="shared" si="16"/>
        <v>2957.825440106009</v>
      </c>
      <c r="R26" s="243">
        <f t="shared" si="16"/>
        <v>3025.222270816922</v>
      </c>
      <c r="S26" s="243">
        <f t="shared" si="16"/>
        <v>3109.5797718242825</v>
      </c>
      <c r="T26" s="243">
        <f t="shared" si="16"/>
        <v>3196.7373598133349</v>
      </c>
      <c r="U26" s="243">
        <f t="shared" si="16"/>
        <v>3281.4649604996243</v>
      </c>
      <c r="V26" s="243">
        <f t="shared" si="16"/>
        <v>3366.435562237968</v>
      </c>
      <c r="W26" s="243">
        <f t="shared" si="16"/>
        <v>3460.0813918016029</v>
      </c>
      <c r="X26" s="243">
        <f t="shared" si="16"/>
        <v>3553.87471560526</v>
      </c>
      <c r="Y26" s="243">
        <f t="shared" si="16"/>
        <v>3647.8656358452649</v>
      </c>
      <c r="Z26" s="243">
        <f t="shared" si="16"/>
        <v>3750.0136863788662</v>
      </c>
      <c r="AA26" s="243">
        <f t="shared" si="17"/>
        <v>3852.2428036072724</v>
      </c>
      <c r="AB26" s="243">
        <f t="shared" si="17"/>
        <v>3954.518105563488</v>
      </c>
      <c r="AC26" s="243">
        <f t="shared" si="17"/>
        <v>4065.3392229527813</v>
      </c>
      <c r="AD26" s="243">
        <f t="shared" si="17"/>
        <v>4176.1565380939219</v>
      </c>
      <c r="AE26" s="243">
        <f t="shared" si="17"/>
        <v>4286.9263837141434</v>
      </c>
      <c r="AF26" s="243">
        <f t="shared" si="17"/>
        <v>4406.2404186431859</v>
      </c>
      <c r="AG26" s="243">
        <f t="shared" si="17"/>
        <v>4525.5630090664035</v>
      </c>
      <c r="AH26" s="243">
        <f t="shared" si="17"/>
        <v>4653.4087222275057</v>
      </c>
      <c r="AI26" s="243" t="e">
        <f t="shared" si="17"/>
        <v>#NUM!</v>
      </c>
    </row>
    <row r="27" spans="1:35" x14ac:dyDescent="0.2">
      <c r="A27" s="228" t="s">
        <v>168</v>
      </c>
      <c r="B27" s="242">
        <f>'Monthly Data'!$AZ549*42/1000</f>
        <v>2466.2399999999998</v>
      </c>
      <c r="C27" s="242">
        <f>'Monthly Data'!$AZ561*42/1000</f>
        <v>2502.864</v>
      </c>
      <c r="D27" s="242">
        <f>'Monthly Data'!$AZ573*42/1000</f>
        <v>1088.0940000000001</v>
      </c>
      <c r="E27" s="242">
        <f>'Monthly Data'!$AZ585*42/1000</f>
        <v>1853.25</v>
      </c>
      <c r="F27" s="242">
        <f>'Monthly Data'!$AZ597*42/1000</f>
        <v>2244.06</v>
      </c>
      <c r="G27" s="242">
        <f>'Monthly Data'!$AZ609*42/1000</f>
        <v>2317.2660000000001</v>
      </c>
      <c r="H27" s="242">
        <f>'Monthly Data'!$AZ621*42/1000</f>
        <v>2503.1579999999999</v>
      </c>
      <c r="I27" s="243">
        <f t="shared" si="14"/>
        <v>2420.472490620281</v>
      </c>
      <c r="J27" s="243">
        <f t="shared" si="15"/>
        <v>2548.8462905055003</v>
      </c>
      <c r="K27" s="243">
        <f t="shared" si="16"/>
        <v>2613.5184444030183</v>
      </c>
      <c r="L27" s="243">
        <f t="shared" si="16"/>
        <v>2717.2831917548774</v>
      </c>
      <c r="M27" s="243">
        <f t="shared" si="16"/>
        <v>2778.808232549306</v>
      </c>
      <c r="N27" s="243">
        <f t="shared" si="16"/>
        <v>2834.3602169135333</v>
      </c>
      <c r="O27" s="243">
        <f t="shared" si="16"/>
        <v>2932.0585123814608</v>
      </c>
      <c r="P27" s="243">
        <f t="shared" si="16"/>
        <v>3000.4630333825726</v>
      </c>
      <c r="Q27" s="243">
        <f t="shared" si="16"/>
        <v>3088.4565964946446</v>
      </c>
      <c r="R27" s="243">
        <f t="shared" si="16"/>
        <v>3160.0499027135879</v>
      </c>
      <c r="S27" s="243">
        <f t="shared" si="16"/>
        <v>3248.7354567802709</v>
      </c>
      <c r="T27" s="243">
        <f t="shared" si="16"/>
        <v>3338.8120676036938</v>
      </c>
      <c r="U27" s="243">
        <f t="shared" si="16"/>
        <v>3427.239497996226</v>
      </c>
      <c r="V27" s="243">
        <f t="shared" si="16"/>
        <v>3516.1472036274918</v>
      </c>
      <c r="W27" s="243">
        <f t="shared" si="16"/>
        <v>3614.154430005779</v>
      </c>
      <c r="X27" s="243">
        <f t="shared" si="16"/>
        <v>3712.098634245905</v>
      </c>
      <c r="Y27" s="243">
        <f t="shared" si="16"/>
        <v>3810.1200125020487</v>
      </c>
      <c r="Z27" s="243">
        <f t="shared" si="16"/>
        <v>3916.8361902934898</v>
      </c>
      <c r="AA27" s="243">
        <f t="shared" si="17"/>
        <v>4023.6572985354601</v>
      </c>
      <c r="AB27" s="243">
        <f t="shared" si="17"/>
        <v>4130.502140191491</v>
      </c>
      <c r="AC27" s="243">
        <f t="shared" si="17"/>
        <v>4246.2349884332234</v>
      </c>
      <c r="AD27" s="243">
        <f t="shared" si="17"/>
        <v>4361.9645328077395</v>
      </c>
      <c r="AE27" s="243">
        <f t="shared" si="17"/>
        <v>4477.6733364535021</v>
      </c>
      <c r="AF27" s="243">
        <f t="shared" si="17"/>
        <v>4602.3037289395943</v>
      </c>
      <c r="AG27" s="243">
        <f t="shared" si="17"/>
        <v>4726.9352933269547</v>
      </c>
      <c r="AH27" s="243">
        <f t="shared" si="17"/>
        <v>4860.4650859645408</v>
      </c>
      <c r="AI27" s="243" t="e">
        <f t="shared" si="17"/>
        <v>#NUM!</v>
      </c>
    </row>
    <row r="28" spans="1:35" x14ac:dyDescent="0.2">
      <c r="A28" s="228" t="s">
        <v>169</v>
      </c>
      <c r="B28" s="242">
        <f>'Monthly Data'!$AZ550*42/1000</f>
        <v>2545.0320000000002</v>
      </c>
      <c r="C28" s="242">
        <f>'Monthly Data'!$AZ562*42/1000</f>
        <v>2505.384</v>
      </c>
      <c r="D28" s="242">
        <f>'Monthly Data'!$AZ574*42/1000</f>
        <v>1108.002</v>
      </c>
      <c r="E28" s="242">
        <f>'Monthly Data'!$AZ586*42/1000</f>
        <v>1868.7059999999999</v>
      </c>
      <c r="F28" s="242">
        <f>'Monthly Data'!$AZ598*42/1000</f>
        <v>2191.6860000000001</v>
      </c>
      <c r="G28" s="242">
        <f>'Monthly Data'!$AZ610*42/1000</f>
        <v>2374.4699999999998</v>
      </c>
      <c r="H28" s="242">
        <f>'Monthly Data'!$AZ622*42/1000</f>
        <v>2485.14</v>
      </c>
      <c r="I28" s="243">
        <f t="shared" si="14"/>
        <v>2425.8370039770962</v>
      </c>
      <c r="J28" s="243">
        <f t="shared" si="15"/>
        <v>2550.5620912693025</v>
      </c>
      <c r="K28" s="243">
        <f t="shared" si="16"/>
        <v>2612.1919684761051</v>
      </c>
      <c r="L28" s="243">
        <f t="shared" si="16"/>
        <v>2727.1285271665506</v>
      </c>
      <c r="M28" s="243">
        <f t="shared" si="16"/>
        <v>2778.2832533619908</v>
      </c>
      <c r="N28" s="243">
        <f t="shared" si="16"/>
        <v>2837.6269750788615</v>
      </c>
      <c r="O28" s="243">
        <f t="shared" si="16"/>
        <v>2934.8783594789134</v>
      </c>
      <c r="P28" s="243">
        <f t="shared" si="16"/>
        <v>3003.5077068723363</v>
      </c>
      <c r="Q28" s="243">
        <f t="shared" si="16"/>
        <v>3092.4520519311404</v>
      </c>
      <c r="R28" s="243">
        <f t="shared" si="16"/>
        <v>3162.7710846026471</v>
      </c>
      <c r="S28" s="243">
        <f t="shared" si="16"/>
        <v>3252.1643182909447</v>
      </c>
      <c r="T28" s="243">
        <f t="shared" si="16"/>
        <v>3342.2764399544103</v>
      </c>
      <c r="U28" s="243">
        <f t="shared" si="16"/>
        <v>3430.8437698908483</v>
      </c>
      <c r="V28" s="243">
        <f t="shared" si="16"/>
        <v>3519.8689258591389</v>
      </c>
      <c r="W28" s="243">
        <f t="shared" si="16"/>
        <v>3617.8225934244188</v>
      </c>
      <c r="X28" s="243">
        <f t="shared" si="16"/>
        <v>3715.971449519232</v>
      </c>
      <c r="Y28" s="243">
        <f t="shared" si="16"/>
        <v>3814.0865523060488</v>
      </c>
      <c r="Z28" s="243">
        <f t="shared" si="16"/>
        <v>3920.9163210437528</v>
      </c>
      <c r="AA28" s="243">
        <f t="shared" si="17"/>
        <v>4027.8413042439947</v>
      </c>
      <c r="AB28" s="243">
        <f t="shared" si="17"/>
        <v>4134.7830771485651</v>
      </c>
      <c r="AC28" s="243">
        <f t="shared" si="17"/>
        <v>4250.6526951080332</v>
      </c>
      <c r="AD28" s="243">
        <f t="shared" si="17"/>
        <v>4366.5002987291873</v>
      </c>
      <c r="AE28" s="243">
        <f t="shared" si="17"/>
        <v>4482.3284241177735</v>
      </c>
      <c r="AF28" s="243">
        <f t="shared" si="17"/>
        <v>4607.0866296155427</v>
      </c>
      <c r="AG28" s="243">
        <f t="shared" si="17"/>
        <v>4731.8471836906756</v>
      </c>
      <c r="AH28" s="243">
        <f t="shared" si="17"/>
        <v>4865.5181557857914</v>
      </c>
      <c r="AI28" s="243" t="e">
        <f t="shared" si="17"/>
        <v>#NUM!</v>
      </c>
    </row>
    <row r="29" spans="1:35" x14ac:dyDescent="0.2">
      <c r="A29" s="228" t="s">
        <v>170</v>
      </c>
      <c r="B29" s="242">
        <f>'Monthly Data'!$AZ551*42/1000</f>
        <v>2338.35</v>
      </c>
      <c r="C29" s="242">
        <f>'Monthly Data'!$AZ563*42/1000</f>
        <v>2266.3620000000001</v>
      </c>
      <c r="D29" s="242">
        <f>'Monthly Data'!$AZ575*42/1000</f>
        <v>1007.37</v>
      </c>
      <c r="E29" s="242">
        <f>'Monthly Data'!$AZ587*42/1000</f>
        <v>1708.14</v>
      </c>
      <c r="F29" s="242">
        <f>'Monthly Data'!$AZ599*42/1000</f>
        <v>2017.5119999999999</v>
      </c>
      <c r="G29" s="242">
        <f>'Monthly Data'!$AZ611*42/1000</f>
        <v>2204.58</v>
      </c>
      <c r="H29" s="242">
        <f>'Monthly Data'!$AZ623*42/1000</f>
        <v>2254.098</v>
      </c>
      <c r="I29" s="243">
        <f t="shared" si="14"/>
        <v>2223.5298260208392</v>
      </c>
      <c r="J29" s="243">
        <f t="shared" si="15"/>
        <v>2339.702926701872</v>
      </c>
      <c r="K29" s="243">
        <f t="shared" si="16"/>
        <v>2397.5575721629052</v>
      </c>
      <c r="L29" s="243">
        <f t="shared" si="16"/>
        <v>2501.755689392568</v>
      </c>
      <c r="M29" s="243">
        <f t="shared" si="16"/>
        <v>2542.9664015408712</v>
      </c>
      <c r="N29" s="243">
        <f t="shared" si="16"/>
        <v>2601.7380846781784</v>
      </c>
      <c r="O29" s="243">
        <f t="shared" si="16"/>
        <v>2691.0463024456631</v>
      </c>
      <c r="P29" s="243">
        <f t="shared" si="16"/>
        <v>2753.7482097684974</v>
      </c>
      <c r="Q29" s="243">
        <f t="shared" si="16"/>
        <v>2834.7365845089203</v>
      </c>
      <c r="R29" s="243">
        <f t="shared" si="16"/>
        <v>2898.785664199791</v>
      </c>
      <c r="S29" s="243">
        <f t="shared" si="16"/>
        <v>2981.4582208917509</v>
      </c>
      <c r="T29" s="243">
        <f t="shared" si="16"/>
        <v>3064.00208781332</v>
      </c>
      <c r="U29" s="243">
        <f t="shared" si="16"/>
        <v>3145.082262712298</v>
      </c>
      <c r="V29" s="243">
        <f t="shared" si="16"/>
        <v>3226.60405251768</v>
      </c>
      <c r="W29" s="243">
        <f t="shared" si="16"/>
        <v>3316.4098714574643</v>
      </c>
      <c r="X29" s="243">
        <f t="shared" si="16"/>
        <v>3406.4865309338934</v>
      </c>
      <c r="Y29" s="243">
        <f t="shared" si="16"/>
        <v>3496.3975210950616</v>
      </c>
      <c r="Z29" s="243">
        <f t="shared" si="16"/>
        <v>3594.3039414255122</v>
      </c>
      <c r="AA29" s="243">
        <f t="shared" si="17"/>
        <v>3692.3160434698866</v>
      </c>
      <c r="AB29" s="243">
        <f t="shared" si="17"/>
        <v>3790.3612008815512</v>
      </c>
      <c r="AC29" s="243">
        <f t="shared" si="17"/>
        <v>3896.5905126912389</v>
      </c>
      <c r="AD29" s="243">
        <f t="shared" si="17"/>
        <v>4002.7797070260922</v>
      </c>
      <c r="AE29" s="243">
        <f t="shared" si="17"/>
        <v>4108.9559866395275</v>
      </c>
      <c r="AF29" s="243">
        <f t="shared" si="17"/>
        <v>4223.3230444326027</v>
      </c>
      <c r="AG29" s="243">
        <f t="shared" si="17"/>
        <v>4337.693818783071</v>
      </c>
      <c r="AH29" s="243">
        <f t="shared" si="17"/>
        <v>4460.2308641725986</v>
      </c>
      <c r="AI29" s="243" t="e">
        <f t="shared" si="17"/>
        <v>#NUM!</v>
      </c>
    </row>
    <row r="30" spans="1:35" x14ac:dyDescent="0.2">
      <c r="A30" s="228" t="s">
        <v>171</v>
      </c>
      <c r="B30" s="242">
        <f>'Monthly Data'!$AZ552*42/1000</f>
        <v>2201.5140000000001</v>
      </c>
      <c r="C30" s="242">
        <f>'Monthly Data'!$AZ564*42/1000</f>
        <v>2152.71</v>
      </c>
      <c r="D30" s="242">
        <f>'Monthly Data'!$AZ576*42/1000</f>
        <v>1069.278</v>
      </c>
      <c r="E30" s="242">
        <f>'Monthly Data'!$AZ588*42/1000</f>
        <v>1720.068</v>
      </c>
      <c r="F30" s="242">
        <f>'Monthly Data'!$AZ600*42/1000</f>
        <v>2041.326</v>
      </c>
      <c r="G30" s="242">
        <f>'Monthly Data'!$AZ612*42/1000</f>
        <v>2098.404</v>
      </c>
      <c r="H30" s="242">
        <f>'Monthly Data'!$AZ624*42/1000</f>
        <v>2294.5439999999999</v>
      </c>
      <c r="I30" s="243">
        <f t="shared" si="14"/>
        <v>2231.2514740344373</v>
      </c>
      <c r="J30" s="243">
        <f t="shared" si="15"/>
        <v>2334.697416464378</v>
      </c>
      <c r="K30" s="243">
        <f t="shared" si="16"/>
        <v>2389.0440901985098</v>
      </c>
      <c r="L30" s="243">
        <f t="shared" si="16"/>
        <v>2486.0856130650882</v>
      </c>
      <c r="M30" s="243">
        <f t="shared" si="16"/>
        <v>2547.0854897301642</v>
      </c>
      <c r="N30" s="243">
        <f t="shared" si="16"/>
        <v>2597.9784936373185</v>
      </c>
      <c r="O30" s="243">
        <f t="shared" si="16"/>
        <v>2684.7814880570713</v>
      </c>
      <c r="P30" s="243">
        <f t="shared" si="16"/>
        <v>2747.241985158747</v>
      </c>
      <c r="Q30" s="243">
        <f t="shared" si="16"/>
        <v>2828.6558846602129</v>
      </c>
      <c r="R30" s="243">
        <f t="shared" si="16"/>
        <v>2894.7925098183991</v>
      </c>
      <c r="S30" s="243">
        <f t="shared" si="16"/>
        <v>2975.7020639514453</v>
      </c>
      <c r="T30" s="243">
        <f t="shared" si="16"/>
        <v>3057.8131704369321</v>
      </c>
      <c r="U30" s="243">
        <f t="shared" si="16"/>
        <v>3138.9090283304713</v>
      </c>
      <c r="V30" s="243">
        <f t="shared" si="16"/>
        <v>3220.5088667723021</v>
      </c>
      <c r="W30" s="243">
        <f t="shared" si="16"/>
        <v>3310.3021917651618</v>
      </c>
      <c r="X30" s="243">
        <f t="shared" si="16"/>
        <v>3399.9216661287028</v>
      </c>
      <c r="Y30" s="243">
        <f t="shared" si="16"/>
        <v>3489.6616315619658</v>
      </c>
      <c r="Z30" s="243">
        <f t="shared" si="16"/>
        <v>3587.4414028585843</v>
      </c>
      <c r="AA30" s="243">
        <f t="shared" si="17"/>
        <v>3685.3028586324044</v>
      </c>
      <c r="AB30" s="243">
        <f t="shared" si="17"/>
        <v>3783.1545517682334</v>
      </c>
      <c r="AC30" s="243">
        <f t="shared" si="17"/>
        <v>3889.1390126865499</v>
      </c>
      <c r="AD30" s="243">
        <f t="shared" si="17"/>
        <v>3995.1361053422338</v>
      </c>
      <c r="AE30" s="243">
        <f t="shared" si="17"/>
        <v>4101.1224655350261</v>
      </c>
      <c r="AF30" s="243">
        <f t="shared" si="17"/>
        <v>4215.2736931599411</v>
      </c>
      <c r="AG30" s="243">
        <f t="shared" si="17"/>
        <v>4329.42126272103</v>
      </c>
      <c r="AH30" s="243">
        <f t="shared" si="17"/>
        <v>4451.71982785419</v>
      </c>
      <c r="AI30" s="243" t="e">
        <f t="shared" si="17"/>
        <v>#NUM!</v>
      </c>
    </row>
    <row r="31" spans="1:35" x14ac:dyDescent="0.2">
      <c r="A31" s="228" t="s">
        <v>172</v>
      </c>
      <c r="B31" s="242">
        <f>'Monthly Data'!$AZ553*42/1000</f>
        <v>2228.52</v>
      </c>
      <c r="C31" s="242">
        <f>'Monthly Data'!$AZ565*42/1000</f>
        <v>2310.1680000000001</v>
      </c>
      <c r="D31" s="242">
        <f>'Monthly Data'!$AZ577*42/1000</f>
        <v>1337.742</v>
      </c>
      <c r="E31" s="242">
        <f>'Monthly Data'!$AZ589*42/1000</f>
        <v>1793.694</v>
      </c>
      <c r="F31" s="242">
        <f>'Monthly Data'!$AZ601*42/1000</f>
        <v>2090.0880000000002</v>
      </c>
      <c r="G31" s="242">
        <f>'Monthly Data'!$AZ613*42/1000</f>
        <v>2141.7060000000001</v>
      </c>
      <c r="H31" s="242">
        <f>'Monthly Data'!$AZ625*42/1000</f>
        <v>2295.09</v>
      </c>
      <c r="I31" s="243">
        <f t="shared" si="14"/>
        <v>2336.4081279038251</v>
      </c>
      <c r="J31" s="243">
        <f t="shared" si="15"/>
        <v>2395.7069032520535</v>
      </c>
      <c r="K31" s="243">
        <f t="shared" si="16"/>
        <v>2445.2454613593718</v>
      </c>
      <c r="L31" s="243">
        <f t="shared" si="16"/>
        <v>2544.4076077803479</v>
      </c>
      <c r="M31" s="243">
        <f t="shared" si="16"/>
        <v>2608.1245076573705</v>
      </c>
      <c r="N31" s="243">
        <f t="shared" si="16"/>
        <v>2672.0351507724163</v>
      </c>
      <c r="O31" s="243">
        <f t="shared" si="16"/>
        <v>2752.2826674638659</v>
      </c>
      <c r="P31" s="243">
        <f t="shared" si="16"/>
        <v>2815.8140186886408</v>
      </c>
      <c r="Q31" s="243">
        <f t="shared" si="16"/>
        <v>2900.0027403867934</v>
      </c>
      <c r="R31" s="243">
        <f t="shared" si="16"/>
        <v>2968.7542428005027</v>
      </c>
      <c r="S31" s="243">
        <f t="shared" si="16"/>
        <v>3052.6048721641732</v>
      </c>
      <c r="T31" s="243">
        <f t="shared" si="16"/>
        <v>3135.3415770709694</v>
      </c>
      <c r="U31" s="243">
        <f t="shared" si="16"/>
        <v>3218.6167614827241</v>
      </c>
      <c r="V31" s="243">
        <f t="shared" si="16"/>
        <v>3302.545964199529</v>
      </c>
      <c r="W31" s="243">
        <f t="shared" si="16"/>
        <v>3394.7800253831829</v>
      </c>
      <c r="X31" s="243">
        <f t="shared" si="16"/>
        <v>3486.6675994420252</v>
      </c>
      <c r="Y31" s="243">
        <f t="shared" si="16"/>
        <v>3578.4850480301152</v>
      </c>
      <c r="Z31" s="243">
        <f t="shared" si="16"/>
        <v>3678.8192887033642</v>
      </c>
      <c r="AA31" s="243">
        <f t="shared" si="17"/>
        <v>3779.2265879399397</v>
      </c>
      <c r="AB31" s="243">
        <f t="shared" si="17"/>
        <v>3879.5809831858905</v>
      </c>
      <c r="AC31" s="243">
        <f t="shared" si="17"/>
        <v>3988.2443548308665</v>
      </c>
      <c r="AD31" s="243">
        <f t="shared" si="17"/>
        <v>4096.9193138957035</v>
      </c>
      <c r="AE31" s="243">
        <f t="shared" si="17"/>
        <v>4205.6236056235684</v>
      </c>
      <c r="AF31" s="243">
        <f t="shared" si="17"/>
        <v>4322.6909199962602</v>
      </c>
      <c r="AG31" s="243">
        <f t="shared" si="17"/>
        <v>4439.744766735882</v>
      </c>
      <c r="AH31" s="243">
        <f t="shared" si="17"/>
        <v>4565.1547802823379</v>
      </c>
      <c r="AI31" s="243" t="e">
        <f t="shared" si="17"/>
        <v>#NUM!</v>
      </c>
    </row>
    <row r="32" spans="1:35" x14ac:dyDescent="0.2">
      <c r="A32" s="228" t="s">
        <v>173</v>
      </c>
      <c r="B32" s="242">
        <f>'Monthly Data'!$AZ554*42/1000</f>
        <v>2416.134</v>
      </c>
      <c r="C32" s="242">
        <f>'Monthly Data'!$AZ566*42/1000</f>
        <v>2460.8220000000001</v>
      </c>
      <c r="D32" s="242">
        <f>'Monthly Data'!$AZ578*42/1000</f>
        <v>1465.002</v>
      </c>
      <c r="E32" s="242">
        <f>'Monthly Data'!$AZ590*42/1000</f>
        <v>1968.7919999999999</v>
      </c>
      <c r="F32" s="242">
        <f>'Monthly Data'!$AZ602*42/1000</f>
        <v>2033.0940000000001</v>
      </c>
      <c r="G32" s="242">
        <f>'Monthly Data'!$AZ614*42/1000</f>
        <v>2380.14</v>
      </c>
      <c r="H32" s="242">
        <f>'Monthly Data'!$AZ626*42/1000</f>
        <v>2395.5120000000002</v>
      </c>
      <c r="I32" s="243">
        <f t="shared" ref="I32:Q32" si="18">I33-SUM(I21:I31)</f>
        <v>2477.7346066790087</v>
      </c>
      <c r="J32" s="243">
        <f t="shared" si="18"/>
        <v>2530.202625599959</v>
      </c>
      <c r="K32" s="243">
        <f t="shared" si="18"/>
        <v>2566.3641112406331</v>
      </c>
      <c r="L32" s="243">
        <f t="shared" si="18"/>
        <v>2705.6046010086429</v>
      </c>
      <c r="M32" s="243">
        <f t="shared" si="18"/>
        <v>2751.0575484877263</v>
      </c>
      <c r="N32" s="243">
        <f t="shared" si="18"/>
        <v>2823.9655939348522</v>
      </c>
      <c r="O32" s="243">
        <f t="shared" si="18"/>
        <v>2906.933278738059</v>
      </c>
      <c r="P32" s="243">
        <f t="shared" si="18"/>
        <v>2974.0601668008567</v>
      </c>
      <c r="Q32" s="243">
        <f t="shared" si="18"/>
        <v>3066.5101732122566</v>
      </c>
      <c r="R32" s="243">
        <f>R33-SUM(R21:R31)</f>
        <v>3135.9470804237753</v>
      </c>
      <c r="S32" s="243">
        <f t="shared" ref="S32:AI32" si="19">S33-SUM(S21:S31)</f>
        <v>3225.3745980942986</v>
      </c>
      <c r="T32" s="243">
        <f t="shared" si="19"/>
        <v>3312.6425196052878</v>
      </c>
      <c r="U32" s="243">
        <f t="shared" si="19"/>
        <v>3400.8408078597786</v>
      </c>
      <c r="V32" s="243">
        <f t="shared" si="19"/>
        <v>3489.7753124149822</v>
      </c>
      <c r="W32" s="243">
        <f t="shared" si="19"/>
        <v>3586.7837916104691</v>
      </c>
      <c r="X32" s="243">
        <f t="shared" si="19"/>
        <v>3684.023313259022</v>
      </c>
      <c r="Y32" s="243">
        <f t="shared" si="19"/>
        <v>3781.0415261642047</v>
      </c>
      <c r="Z32" s="243">
        <f t="shared" si="19"/>
        <v>3887.0923144144399</v>
      </c>
      <c r="AA32" s="243">
        <f t="shared" si="19"/>
        <v>3993.1830050595017</v>
      </c>
      <c r="AB32" s="243">
        <f t="shared" si="19"/>
        <v>4099.1626285746825</v>
      </c>
      <c r="AC32" s="243">
        <f t="shared" si="19"/>
        <v>4214.0062833366974</v>
      </c>
      <c r="AD32" s="243">
        <f t="shared" si="19"/>
        <v>4328.8359226887478</v>
      </c>
      <c r="AE32" s="243">
        <f t="shared" si="19"/>
        <v>4443.6964776148379</v>
      </c>
      <c r="AF32" s="243">
        <f t="shared" si="19"/>
        <v>4567.3860821588023</v>
      </c>
      <c r="AG32" s="243">
        <f t="shared" si="19"/>
        <v>4691.0605493318944</v>
      </c>
      <c r="AH32" s="243">
        <f t="shared" si="19"/>
        <v>4823.575052446984</v>
      </c>
      <c r="AI32" s="243" t="e">
        <f t="shared" si="19"/>
        <v>#NUM!</v>
      </c>
    </row>
    <row r="33" spans="1:35" ht="12" thickBot="1" x14ac:dyDescent="0.25">
      <c r="A33" s="228" t="s">
        <v>226</v>
      </c>
      <c r="B33" s="239">
        <f t="shared" ref="B33:H33" si="20">SUM(B21:B32)</f>
        <v>27691.985999999997</v>
      </c>
      <c r="C33" s="239">
        <f t="shared" si="20"/>
        <v>27540.156000000003</v>
      </c>
      <c r="D33" s="239">
        <f t="shared" si="20"/>
        <v>15651.090000000002</v>
      </c>
      <c r="E33" s="239">
        <f t="shared" si="20"/>
        <v>20095.824000000001</v>
      </c>
      <c r="F33" s="239">
        <f t="shared" si="20"/>
        <v>24762.276000000002</v>
      </c>
      <c r="G33" s="239">
        <f t="shared" si="20"/>
        <v>26244.875999999997</v>
      </c>
      <c r="H33" s="239">
        <f t="shared" si="20"/>
        <v>27753.095999999998</v>
      </c>
      <c r="I33" s="244">
        <f t="shared" ref="I33:AI33" si="21">I6</f>
        <v>27700</v>
      </c>
      <c r="J33" s="244">
        <f t="shared" si="21"/>
        <v>28450</v>
      </c>
      <c r="K33" s="244">
        <f t="shared" si="21"/>
        <v>29300</v>
      </c>
      <c r="L33" s="244">
        <f t="shared" si="21"/>
        <v>30550</v>
      </c>
      <c r="M33" s="244">
        <f t="shared" si="21"/>
        <v>31200</v>
      </c>
      <c r="N33" s="244">
        <f t="shared" si="21"/>
        <v>31900</v>
      </c>
      <c r="O33" s="244">
        <f t="shared" si="21"/>
        <v>32900</v>
      </c>
      <c r="P33" s="244">
        <f t="shared" si="21"/>
        <v>33700</v>
      </c>
      <c r="Q33" s="244">
        <f t="shared" si="21"/>
        <v>34700</v>
      </c>
      <c r="R33" s="244">
        <f t="shared" si="21"/>
        <v>35500</v>
      </c>
      <c r="S33" s="244">
        <f t="shared" si="21"/>
        <v>36500</v>
      </c>
      <c r="T33" s="244">
        <f t="shared" si="21"/>
        <v>37500</v>
      </c>
      <c r="U33" s="244">
        <f t="shared" si="21"/>
        <v>38500</v>
      </c>
      <c r="V33" s="244">
        <f t="shared" si="21"/>
        <v>39500</v>
      </c>
      <c r="W33" s="244">
        <f t="shared" si="21"/>
        <v>40600</v>
      </c>
      <c r="X33" s="244">
        <f t="shared" si="21"/>
        <v>41700</v>
      </c>
      <c r="Y33" s="244">
        <f t="shared" si="21"/>
        <v>42800</v>
      </c>
      <c r="Z33" s="244">
        <f t="shared" si="21"/>
        <v>44000</v>
      </c>
      <c r="AA33" s="244">
        <f t="shared" si="21"/>
        <v>45200</v>
      </c>
      <c r="AB33" s="244">
        <f t="shared" si="21"/>
        <v>46400</v>
      </c>
      <c r="AC33" s="244">
        <f t="shared" si="21"/>
        <v>47700</v>
      </c>
      <c r="AD33" s="244">
        <f t="shared" si="21"/>
        <v>49000</v>
      </c>
      <c r="AE33" s="244">
        <f t="shared" si="21"/>
        <v>50300</v>
      </c>
      <c r="AF33" s="244">
        <f t="shared" si="21"/>
        <v>51700</v>
      </c>
      <c r="AG33" s="244">
        <f t="shared" si="21"/>
        <v>53100</v>
      </c>
      <c r="AH33" s="244">
        <f t="shared" si="21"/>
        <v>54600</v>
      </c>
      <c r="AI33" s="244" t="e">
        <f t="shared" si="21"/>
        <v>#NUM!</v>
      </c>
    </row>
    <row r="34" spans="1:35" x14ac:dyDescent="0.2">
      <c r="A34" s="245"/>
      <c r="B34" s="245"/>
      <c r="C34" s="245"/>
      <c r="D34" s="245"/>
      <c r="E34" s="245"/>
      <c r="F34" s="245"/>
      <c r="G34" s="245"/>
      <c r="H34" s="245"/>
      <c r="I34" s="245"/>
      <c r="J34" s="245"/>
      <c r="K34" s="245"/>
      <c r="L34" s="245"/>
      <c r="M34" s="245"/>
      <c r="N34" s="245"/>
      <c r="O34" s="245"/>
      <c r="P34" s="245"/>
      <c r="Q34" s="245"/>
      <c r="R34" s="245"/>
      <c r="S34" s="245"/>
      <c r="T34" s="245"/>
      <c r="U34" s="245"/>
      <c r="V34" s="245"/>
      <c r="W34" s="245"/>
      <c r="X34" s="245"/>
      <c r="Y34" s="245"/>
      <c r="Z34" s="245"/>
      <c r="AA34" s="245"/>
      <c r="AB34" s="245"/>
      <c r="AC34" s="245"/>
      <c r="AD34" s="245"/>
      <c r="AE34" s="245"/>
      <c r="AF34" s="245"/>
      <c r="AG34" s="245"/>
      <c r="AH34" s="245"/>
      <c r="AI34" s="245"/>
    </row>
    <row r="35" spans="1:35" ht="12" thickBot="1" x14ac:dyDescent="0.25">
      <c r="A35" s="228" t="s">
        <v>237</v>
      </c>
    </row>
    <row r="36" spans="1:35" ht="12" thickBot="1" x14ac:dyDescent="0.25">
      <c r="A36" s="231" t="s">
        <v>197</v>
      </c>
      <c r="B36" s="241">
        <f t="shared" ref="B36:AI36" si="22">B20</f>
        <v>2018</v>
      </c>
      <c r="C36" s="241">
        <f t="shared" si="22"/>
        <v>2019</v>
      </c>
      <c r="D36" s="241">
        <f t="shared" si="22"/>
        <v>2020</v>
      </c>
      <c r="E36" s="241">
        <f t="shared" si="22"/>
        <v>2021</v>
      </c>
      <c r="F36" s="241">
        <f t="shared" si="22"/>
        <v>2022</v>
      </c>
      <c r="G36" s="241">
        <f t="shared" si="22"/>
        <v>2023</v>
      </c>
      <c r="H36" s="241">
        <f t="shared" si="22"/>
        <v>2024</v>
      </c>
      <c r="I36" s="241">
        <f t="shared" si="22"/>
        <v>2025</v>
      </c>
      <c r="J36" s="241">
        <f t="shared" si="22"/>
        <v>2026</v>
      </c>
      <c r="K36" s="241">
        <f t="shared" si="22"/>
        <v>2027</v>
      </c>
      <c r="L36" s="241">
        <f t="shared" si="22"/>
        <v>2028</v>
      </c>
      <c r="M36" s="241">
        <f t="shared" si="22"/>
        <v>2029</v>
      </c>
      <c r="N36" s="241">
        <f t="shared" si="22"/>
        <v>2030</v>
      </c>
      <c r="O36" s="241">
        <f t="shared" si="22"/>
        <v>2031</v>
      </c>
      <c r="P36" s="241">
        <f t="shared" si="22"/>
        <v>2032</v>
      </c>
      <c r="Q36" s="241">
        <f t="shared" si="22"/>
        <v>2033</v>
      </c>
      <c r="R36" s="241">
        <f t="shared" si="22"/>
        <v>2034</v>
      </c>
      <c r="S36" s="241">
        <f t="shared" si="22"/>
        <v>2035</v>
      </c>
      <c r="T36" s="241">
        <f t="shared" si="22"/>
        <v>2036</v>
      </c>
      <c r="U36" s="241">
        <f t="shared" si="22"/>
        <v>2037</v>
      </c>
      <c r="V36" s="241">
        <f t="shared" si="22"/>
        <v>2038</v>
      </c>
      <c r="W36" s="241">
        <f t="shared" si="22"/>
        <v>2039</v>
      </c>
      <c r="X36" s="241">
        <f t="shared" si="22"/>
        <v>2040</v>
      </c>
      <c r="Y36" s="241">
        <f t="shared" si="22"/>
        <v>2041</v>
      </c>
      <c r="Z36" s="241">
        <f t="shared" si="22"/>
        <v>2042</v>
      </c>
      <c r="AA36" s="241">
        <f t="shared" si="22"/>
        <v>2043</v>
      </c>
      <c r="AB36" s="241">
        <f t="shared" si="22"/>
        <v>2044</v>
      </c>
      <c r="AC36" s="241">
        <f t="shared" si="22"/>
        <v>2045</v>
      </c>
      <c r="AD36" s="241">
        <f t="shared" si="22"/>
        <v>2046</v>
      </c>
      <c r="AE36" s="241">
        <f t="shared" si="22"/>
        <v>2047</v>
      </c>
      <c r="AF36" s="241">
        <f t="shared" si="22"/>
        <v>2048</v>
      </c>
      <c r="AG36" s="241">
        <f t="shared" si="22"/>
        <v>2049</v>
      </c>
      <c r="AH36" s="241">
        <f t="shared" si="22"/>
        <v>2050</v>
      </c>
      <c r="AI36" s="241">
        <f t="shared" si="22"/>
        <v>2051</v>
      </c>
    </row>
    <row r="37" spans="1:35" x14ac:dyDescent="0.2">
      <c r="A37" s="228" t="s">
        <v>162</v>
      </c>
      <c r="B37" s="242">
        <f>'Monthly Data'!$BC543*42/1000</f>
        <v>157.542</v>
      </c>
      <c r="C37" s="242">
        <f>'Monthly Data'!$BC555*42/1000</f>
        <v>130.452</v>
      </c>
      <c r="D37" s="242">
        <f>'Monthly Data'!$BC567*42/1000</f>
        <v>192.066</v>
      </c>
      <c r="E37" s="242">
        <f>'Monthly Data'!$BC579*42/1000</f>
        <v>161.82599999999999</v>
      </c>
      <c r="F37" s="242">
        <f>'Monthly Data'!$BC591*42/1000</f>
        <v>166.02600000000001</v>
      </c>
      <c r="G37" s="242">
        <f>'Monthly Data'!$BC603*42/1000</f>
        <v>150.23400000000001</v>
      </c>
      <c r="H37" s="242">
        <f>'Monthly Data'!$BC615*42/1000</f>
        <v>159.6</v>
      </c>
      <c r="I37" s="244">
        <f t="shared" ref="I37:I47" si="23">I$49*(SUM(D37:H37)/SUM(D$49:H$49))</f>
        <v>152.07754712455124</v>
      </c>
      <c r="J37" s="244">
        <f t="shared" ref="J37:J47" si="24">J$49*(SUM(E37:I37)/SUM(E$49:I$49))</f>
        <v>142.43416515971964</v>
      </c>
      <c r="K37" s="244">
        <f t="shared" ref="K37:Z47" si="25">K$49*(SUM(F37:J37)/SUM(F$49:J$49))</f>
        <v>137.74464550653974</v>
      </c>
      <c r="L37" s="244">
        <f t="shared" si="25"/>
        <v>156.73499314733513</v>
      </c>
      <c r="M37" s="244">
        <f t="shared" si="25"/>
        <v>197.70029655826582</v>
      </c>
      <c r="N37" s="244">
        <f t="shared" si="25"/>
        <v>205.98817937149278</v>
      </c>
      <c r="O37" s="244">
        <f t="shared" si="25"/>
        <v>202.63756629717281</v>
      </c>
      <c r="P37" s="244">
        <f t="shared" si="25"/>
        <v>207.87823404941687</v>
      </c>
      <c r="Q37" s="244">
        <f t="shared" si="25"/>
        <v>245.3561436772591</v>
      </c>
      <c r="R37" s="244">
        <f t="shared" si="25"/>
        <v>251.77673345432254</v>
      </c>
      <c r="S37" s="244">
        <f t="shared" si="25"/>
        <v>261.66279531242111</v>
      </c>
      <c r="T37" s="244">
        <f t="shared" si="25"/>
        <v>259.84699395346502</v>
      </c>
      <c r="U37" s="244">
        <f t="shared" si="25"/>
        <v>259.98049855626277</v>
      </c>
      <c r="V37" s="244">
        <f t="shared" si="25"/>
        <v>272.49346138358192</v>
      </c>
      <c r="W37" s="244">
        <f t="shared" si="25"/>
        <v>282.94970330514803</v>
      </c>
      <c r="X37" s="244">
        <f t="shared" si="25"/>
        <v>284.9889491245761</v>
      </c>
      <c r="Y37" s="244">
        <f t="shared" si="25"/>
        <v>291.33449195516437</v>
      </c>
      <c r="Z37" s="244">
        <f t="shared" si="25"/>
        <v>295.536659201487</v>
      </c>
      <c r="AA37" s="244">
        <f t="shared" ref="AA37:AI47" si="26">AA$49*(SUM(V37:Z37)/SUM(V$49:Z$49))</f>
        <v>301.80861990554166</v>
      </c>
      <c r="AB37" s="244">
        <f t="shared" si="26"/>
        <v>310.18636931914205</v>
      </c>
      <c r="AC37" s="244">
        <f t="shared" si="26"/>
        <v>316.47191880705168</v>
      </c>
      <c r="AD37" s="244">
        <f t="shared" si="26"/>
        <v>320.67319924733499</v>
      </c>
      <c r="AE37" s="244">
        <f t="shared" si="26"/>
        <v>326.96007540158337</v>
      </c>
      <c r="AF37" s="244">
        <f t="shared" si="26"/>
        <v>333.24458649763824</v>
      </c>
      <c r="AG37" s="244">
        <f t="shared" si="26"/>
        <v>339.53175512670867</v>
      </c>
      <c r="AH37" s="244">
        <f t="shared" si="26"/>
        <v>345.82004262260216</v>
      </c>
      <c r="AI37" s="244">
        <f t="shared" si="26"/>
        <v>352.10890904969278</v>
      </c>
    </row>
    <row r="38" spans="1:35" x14ac:dyDescent="0.2">
      <c r="A38" s="228" t="s">
        <v>163</v>
      </c>
      <c r="B38" s="242">
        <f>'Monthly Data'!$BC544*42/1000</f>
        <v>108.99</v>
      </c>
      <c r="C38" s="242">
        <f>'Monthly Data'!$BC556*42/1000</f>
        <v>164.262</v>
      </c>
      <c r="D38" s="242">
        <f>'Monthly Data'!$BC568*42/1000</f>
        <v>200.46600000000001</v>
      </c>
      <c r="E38" s="242">
        <f>'Monthly Data'!$BC580*42/1000</f>
        <v>132.55199999999999</v>
      </c>
      <c r="F38" s="242">
        <f>'Monthly Data'!$BC592*42/1000</f>
        <v>128.43600000000001</v>
      </c>
      <c r="G38" s="242">
        <f>'Monthly Data'!$BC604*42/1000</f>
        <v>221.13</v>
      </c>
      <c r="H38" s="242">
        <f>'Monthly Data'!$BC616*42/1000</f>
        <v>110.208</v>
      </c>
      <c r="I38" s="244">
        <f t="shared" si="23"/>
        <v>145.30349157334629</v>
      </c>
      <c r="J38" s="244">
        <f t="shared" si="24"/>
        <v>133.03176781451114</v>
      </c>
      <c r="K38" s="244">
        <f t="shared" si="25"/>
        <v>131.97602749198307</v>
      </c>
      <c r="L38" s="244">
        <f t="shared" si="25"/>
        <v>156.64183569624763</v>
      </c>
      <c r="M38" s="244">
        <f t="shared" si="25"/>
        <v>178.83582889816554</v>
      </c>
      <c r="N38" s="244">
        <f t="shared" si="25"/>
        <v>195.27817385433329</v>
      </c>
      <c r="O38" s="244">
        <f t="shared" si="25"/>
        <v>191.82865664031863</v>
      </c>
      <c r="P38" s="244">
        <f t="shared" si="25"/>
        <v>197.20627444178035</v>
      </c>
      <c r="Q38" s="244">
        <f t="shared" si="25"/>
        <v>232.43092880153111</v>
      </c>
      <c r="R38" s="244">
        <f t="shared" si="25"/>
        <v>236.57343270561478</v>
      </c>
      <c r="S38" s="244">
        <f t="shared" si="25"/>
        <v>247.4900062132468</v>
      </c>
      <c r="T38" s="244">
        <f t="shared" si="25"/>
        <v>245.67317751166482</v>
      </c>
      <c r="U38" s="244">
        <f t="shared" si="25"/>
        <v>245.74761305906992</v>
      </c>
      <c r="V38" s="244">
        <f t="shared" si="25"/>
        <v>257.42454193089605</v>
      </c>
      <c r="W38" s="244">
        <f t="shared" si="25"/>
        <v>267.16321692097353</v>
      </c>
      <c r="X38" s="244">
        <f t="shared" si="25"/>
        <v>269.33511530795573</v>
      </c>
      <c r="Y38" s="244">
        <f t="shared" si="25"/>
        <v>275.28932110562073</v>
      </c>
      <c r="Z38" s="244">
        <f t="shared" si="25"/>
        <v>279.23092315324811</v>
      </c>
      <c r="AA38" s="244">
        <f t="shared" si="26"/>
        <v>285.13334662597936</v>
      </c>
      <c r="AB38" s="244">
        <f t="shared" si="26"/>
        <v>293.05105700840153</v>
      </c>
      <c r="AC38" s="244">
        <f t="shared" si="26"/>
        <v>299.02260486353396</v>
      </c>
      <c r="AD38" s="244">
        <f t="shared" si="26"/>
        <v>302.97962610205798</v>
      </c>
      <c r="AE38" s="244">
        <f t="shared" si="26"/>
        <v>308.91335008073605</v>
      </c>
      <c r="AF38" s="244">
        <f t="shared" si="26"/>
        <v>314.84959782477756</v>
      </c>
      <c r="AG38" s="244">
        <f t="shared" si="26"/>
        <v>320.7929989732466</v>
      </c>
      <c r="AH38" s="244">
        <f t="shared" si="26"/>
        <v>326.73764320655323</v>
      </c>
      <c r="AI38" s="244">
        <f t="shared" si="26"/>
        <v>332.67660417544448</v>
      </c>
    </row>
    <row r="39" spans="1:35" x14ac:dyDescent="0.2">
      <c r="A39" s="228" t="s">
        <v>164</v>
      </c>
      <c r="B39" s="242">
        <f>'Monthly Data'!$BC545*42/1000</f>
        <v>111.17400000000001</v>
      </c>
      <c r="C39" s="242">
        <f>'Monthly Data'!$BC557*42/1000</f>
        <v>187.99199999999999</v>
      </c>
      <c r="D39" s="242">
        <f>'Monthly Data'!$BC569*42/1000</f>
        <v>195.72</v>
      </c>
      <c r="E39" s="242">
        <f>'Monthly Data'!$BC581*42/1000</f>
        <v>121.38</v>
      </c>
      <c r="F39" s="242">
        <f>'Monthly Data'!$BC593*42/1000</f>
        <v>161.82599999999999</v>
      </c>
      <c r="G39" s="242">
        <f>'Monthly Data'!$BC605*42/1000</f>
        <v>188.41200000000001</v>
      </c>
      <c r="H39" s="242">
        <f>'Monthly Data'!$BC617*42/1000</f>
        <v>193.91399999999999</v>
      </c>
      <c r="I39" s="244">
        <f t="shared" si="23"/>
        <v>157.85088992387367</v>
      </c>
      <c r="J39" s="244">
        <f t="shared" si="24"/>
        <v>148.49742680591049</v>
      </c>
      <c r="K39" s="244">
        <f t="shared" si="25"/>
        <v>152.07186707799866</v>
      </c>
      <c r="L39" s="244">
        <f t="shared" si="25"/>
        <v>177.571836063267</v>
      </c>
      <c r="M39" s="244">
        <f t="shared" si="25"/>
        <v>219.17520959650187</v>
      </c>
      <c r="N39" s="244">
        <f t="shared" si="25"/>
        <v>223.9178987304401</v>
      </c>
      <c r="O39" s="244">
        <f t="shared" si="25"/>
        <v>222.07489621666497</v>
      </c>
      <c r="P39" s="244">
        <f t="shared" si="25"/>
        <v>229.57193254266289</v>
      </c>
      <c r="Q39" s="244">
        <f t="shared" si="25"/>
        <v>270.97295347407299</v>
      </c>
      <c r="R39" s="244">
        <f t="shared" si="25"/>
        <v>277.00108290542801</v>
      </c>
      <c r="S39" s="244">
        <f t="shared" si="25"/>
        <v>287.48561181138842</v>
      </c>
      <c r="T39" s="244">
        <f t="shared" si="25"/>
        <v>286.02366154449277</v>
      </c>
      <c r="U39" s="244">
        <f t="shared" si="25"/>
        <v>286.37752144013263</v>
      </c>
      <c r="V39" s="244">
        <f t="shared" si="25"/>
        <v>300.03591484068352</v>
      </c>
      <c r="W39" s="244">
        <f t="shared" si="25"/>
        <v>311.37192936306087</v>
      </c>
      <c r="X39" s="244">
        <f t="shared" si="25"/>
        <v>313.63020517863185</v>
      </c>
      <c r="Y39" s="244">
        <f t="shared" si="25"/>
        <v>320.71502819570605</v>
      </c>
      <c r="Z39" s="244">
        <f t="shared" si="25"/>
        <v>325.34700973127758</v>
      </c>
      <c r="AA39" s="244">
        <f t="shared" si="26"/>
        <v>332.21499643545934</v>
      </c>
      <c r="AB39" s="244">
        <f t="shared" si="26"/>
        <v>341.41772229901022</v>
      </c>
      <c r="AC39" s="244">
        <f t="shared" si="26"/>
        <v>348.35038027945319</v>
      </c>
      <c r="AD39" s="244">
        <f t="shared" si="26"/>
        <v>352.9888049128059</v>
      </c>
      <c r="AE39" s="244">
        <f t="shared" si="26"/>
        <v>359.90468185976795</v>
      </c>
      <c r="AF39" s="244">
        <f t="shared" si="26"/>
        <v>366.81566109049601</v>
      </c>
      <c r="AG39" s="244">
        <f t="shared" si="26"/>
        <v>373.73574259651684</v>
      </c>
      <c r="AH39" s="244">
        <f t="shared" si="26"/>
        <v>380.66097269134639</v>
      </c>
      <c r="AI39" s="244">
        <f t="shared" si="26"/>
        <v>387.58463523189528</v>
      </c>
    </row>
    <row r="40" spans="1:35" x14ac:dyDescent="0.2">
      <c r="A40" s="228" t="s">
        <v>165</v>
      </c>
      <c r="B40" s="242">
        <f>'Monthly Data'!$BC546*42/1000</f>
        <v>111.3</v>
      </c>
      <c r="C40" s="242">
        <f>'Monthly Data'!$BC558*42/1000</f>
        <v>248.22</v>
      </c>
      <c r="D40" s="242">
        <f>'Monthly Data'!$BC570*42/1000</f>
        <v>179.76</v>
      </c>
      <c r="E40" s="242">
        <f>'Monthly Data'!$BC582*42/1000</f>
        <v>177.99600000000001</v>
      </c>
      <c r="F40" s="242">
        <f>'Monthly Data'!$BC594*42/1000</f>
        <v>154.81200000000001</v>
      </c>
      <c r="G40" s="242">
        <f>'Monthly Data'!$BC606*42/1000</f>
        <v>174.17400000000001</v>
      </c>
      <c r="H40" s="242">
        <f>'Monthly Data'!$BC618*42/1000</f>
        <v>159.81</v>
      </c>
      <c r="I40" s="244">
        <f t="shared" si="23"/>
        <v>155.15666328418985</v>
      </c>
      <c r="J40" s="244">
        <f t="shared" si="24"/>
        <v>148.23876346950178</v>
      </c>
      <c r="K40" s="244">
        <f t="shared" si="25"/>
        <v>141.64607229404777</v>
      </c>
      <c r="L40" s="244">
        <f t="shared" si="25"/>
        <v>164.535969202373</v>
      </c>
      <c r="M40" s="244">
        <f t="shared" si="25"/>
        <v>203.1924767106064</v>
      </c>
      <c r="N40" s="244">
        <f t="shared" si="25"/>
        <v>212.81654857164418</v>
      </c>
      <c r="O40" s="244">
        <f t="shared" si="25"/>
        <v>209.82786590562509</v>
      </c>
      <c r="P40" s="244">
        <f t="shared" si="25"/>
        <v>215.08129215791459</v>
      </c>
      <c r="Q40" s="244">
        <f t="shared" si="25"/>
        <v>254.07804718819676</v>
      </c>
      <c r="R40" s="244">
        <f t="shared" si="25"/>
        <v>260.19712408728407</v>
      </c>
      <c r="S40" s="244">
        <f t="shared" si="25"/>
        <v>270.67689800532537</v>
      </c>
      <c r="T40" s="244">
        <f t="shared" si="25"/>
        <v>268.85805052096578</v>
      </c>
      <c r="U40" s="244">
        <f t="shared" si="25"/>
        <v>268.96159843248057</v>
      </c>
      <c r="V40" s="244">
        <f t="shared" si="25"/>
        <v>281.90216945975874</v>
      </c>
      <c r="W40" s="244">
        <f t="shared" si="25"/>
        <v>292.66523028617172</v>
      </c>
      <c r="X40" s="244">
        <f t="shared" si="25"/>
        <v>294.82240870194278</v>
      </c>
      <c r="Y40" s="244">
        <f t="shared" si="25"/>
        <v>301.39000705513627</v>
      </c>
      <c r="Z40" s="244">
        <f t="shared" si="25"/>
        <v>305.72822193509654</v>
      </c>
      <c r="AA40" s="244">
        <f t="shared" si="26"/>
        <v>312.21315329087707</v>
      </c>
      <c r="AB40" s="244">
        <f t="shared" si="26"/>
        <v>320.87656855805062</v>
      </c>
      <c r="AC40" s="244">
        <f t="shared" si="26"/>
        <v>327.3864184896986</v>
      </c>
      <c r="AD40" s="244">
        <f t="shared" si="26"/>
        <v>331.7315885301735</v>
      </c>
      <c r="AE40" s="244">
        <f t="shared" si="26"/>
        <v>338.23338985808385</v>
      </c>
      <c r="AF40" s="244">
        <f t="shared" si="26"/>
        <v>344.7342259010299</v>
      </c>
      <c r="AG40" s="244">
        <f t="shared" si="26"/>
        <v>351.23842893950444</v>
      </c>
      <c r="AH40" s="244">
        <f t="shared" si="26"/>
        <v>357.74451796869516</v>
      </c>
      <c r="AI40" s="244">
        <f t="shared" si="26"/>
        <v>364.24981308324254</v>
      </c>
    </row>
    <row r="41" spans="1:35" x14ac:dyDescent="0.2">
      <c r="A41" s="228" t="s">
        <v>166</v>
      </c>
      <c r="B41" s="242">
        <f>'Monthly Data'!$BC547*42/1000</f>
        <v>182.238</v>
      </c>
      <c r="C41" s="242">
        <f>'Monthly Data'!$BC559*42/1000</f>
        <v>244.23</v>
      </c>
      <c r="D41" s="242">
        <f>'Monthly Data'!$BC571*42/1000</f>
        <v>162.792</v>
      </c>
      <c r="E41" s="242">
        <f>'Monthly Data'!$BC583*42/1000</f>
        <v>244.44</v>
      </c>
      <c r="F41" s="242">
        <f>'Monthly Data'!$BC595*42/1000</f>
        <v>161.07</v>
      </c>
      <c r="G41" s="242">
        <f>'Monthly Data'!$BC607*42/1000</f>
        <v>198.786</v>
      </c>
      <c r="H41" s="242">
        <f>'Monthly Data'!$BC619*42/1000</f>
        <v>149.898</v>
      </c>
      <c r="I41" s="244">
        <f t="shared" si="23"/>
        <v>168.06585778347474</v>
      </c>
      <c r="J41" s="244">
        <f t="shared" si="24"/>
        <v>166.32992670019297</v>
      </c>
      <c r="K41" s="244">
        <f t="shared" si="25"/>
        <v>150.93637391402282</v>
      </c>
      <c r="L41" s="244">
        <f t="shared" si="25"/>
        <v>176.15040473019806</v>
      </c>
      <c r="M41" s="244">
        <f t="shared" si="25"/>
        <v>214.28270277363993</v>
      </c>
      <c r="N41" s="244">
        <f t="shared" si="25"/>
        <v>229.31131054199989</v>
      </c>
      <c r="O41" s="244">
        <f t="shared" si="25"/>
        <v>225.87801175320277</v>
      </c>
      <c r="P41" s="244">
        <f t="shared" si="25"/>
        <v>229.97510854916851</v>
      </c>
      <c r="Q41" s="244">
        <f t="shared" si="25"/>
        <v>271.80326563010902</v>
      </c>
      <c r="R41" s="244">
        <f t="shared" si="25"/>
        <v>278.31692655400877</v>
      </c>
      <c r="S41" s="244">
        <f t="shared" si="25"/>
        <v>290.24544714015252</v>
      </c>
      <c r="T41" s="244">
        <f t="shared" si="25"/>
        <v>288.04861325036484</v>
      </c>
      <c r="U41" s="244">
        <f t="shared" si="25"/>
        <v>287.93210389632759</v>
      </c>
      <c r="V41" s="244">
        <f t="shared" si="25"/>
        <v>301.84430547741829</v>
      </c>
      <c r="W41" s="244">
        <f t="shared" si="25"/>
        <v>313.42263002081341</v>
      </c>
      <c r="X41" s="244">
        <f t="shared" si="25"/>
        <v>315.80417174101945</v>
      </c>
      <c r="Y41" s="244">
        <f t="shared" si="25"/>
        <v>322.77381138620359</v>
      </c>
      <c r="Z41" s="244">
        <f t="shared" si="25"/>
        <v>327.39542195116161</v>
      </c>
      <c r="AA41" s="244">
        <f t="shared" si="26"/>
        <v>334.35919095893206</v>
      </c>
      <c r="AB41" s="244">
        <f t="shared" si="26"/>
        <v>343.64859490158733</v>
      </c>
      <c r="AC41" s="244">
        <f t="shared" si="26"/>
        <v>350.6231071070261</v>
      </c>
      <c r="AD41" s="244">
        <f t="shared" si="26"/>
        <v>355.26475701888154</v>
      </c>
      <c r="AE41" s="244">
        <f t="shared" si="26"/>
        <v>362.22714684160627</v>
      </c>
      <c r="AF41" s="244">
        <f t="shared" si="26"/>
        <v>369.19351688252294</v>
      </c>
      <c r="AG41" s="244">
        <f t="shared" si="26"/>
        <v>376.16043531390233</v>
      </c>
      <c r="AH41" s="244">
        <f t="shared" si="26"/>
        <v>383.12724573886044</v>
      </c>
      <c r="AI41" s="244">
        <f t="shared" si="26"/>
        <v>390.09242905872946</v>
      </c>
    </row>
    <row r="42" spans="1:35" x14ac:dyDescent="0.2">
      <c r="A42" s="228" t="s">
        <v>167</v>
      </c>
      <c r="B42" s="242">
        <f>'Monthly Data'!$BC548*42/1000</f>
        <v>194.166</v>
      </c>
      <c r="C42" s="242">
        <f>'Monthly Data'!$BC560*42/1000</f>
        <v>219.53399999999999</v>
      </c>
      <c r="D42" s="242">
        <f>'Monthly Data'!$BC572*42/1000</f>
        <v>172.87200000000001</v>
      </c>
      <c r="E42" s="242">
        <f>'Monthly Data'!$BC584*42/1000</f>
        <v>224.994</v>
      </c>
      <c r="F42" s="242">
        <f>'Monthly Data'!$BC596*42/1000</f>
        <v>159.684</v>
      </c>
      <c r="G42" s="242">
        <f>'Monthly Data'!$BC608*42/1000</f>
        <v>181.608</v>
      </c>
      <c r="H42" s="242">
        <f>'Monthly Data'!$BC620*42/1000</f>
        <v>147.58799999999999</v>
      </c>
      <c r="I42" s="244">
        <f t="shared" si="23"/>
        <v>162.5234486961252</v>
      </c>
      <c r="J42" s="244">
        <f t="shared" si="24"/>
        <v>158.05862325202307</v>
      </c>
      <c r="K42" s="244">
        <f t="shared" si="25"/>
        <v>144.73411260244086</v>
      </c>
      <c r="L42" s="244">
        <f t="shared" si="25"/>
        <v>167.80687216005342</v>
      </c>
      <c r="M42" s="244">
        <f t="shared" si="25"/>
        <v>206.18299589566644</v>
      </c>
      <c r="N42" s="244">
        <f t="shared" si="25"/>
        <v>219.76479127755906</v>
      </c>
      <c r="O42" s="244">
        <f t="shared" si="25"/>
        <v>216.12382765174195</v>
      </c>
      <c r="P42" s="244">
        <f t="shared" si="25"/>
        <v>220.29521528941424</v>
      </c>
      <c r="Q42" s="244">
        <f t="shared" si="25"/>
        <v>260.32467206503003</v>
      </c>
      <c r="R42" s="244">
        <f t="shared" si="25"/>
        <v>266.77817873570183</v>
      </c>
      <c r="S42" s="244">
        <f t="shared" si="25"/>
        <v>278.02788651772727</v>
      </c>
      <c r="T42" s="244">
        <f t="shared" si="25"/>
        <v>275.8999511688034</v>
      </c>
      <c r="U42" s="244">
        <f t="shared" si="25"/>
        <v>275.8366018261674</v>
      </c>
      <c r="V42" s="244">
        <f t="shared" si="25"/>
        <v>289.16843891925555</v>
      </c>
      <c r="W42" s="244">
        <f t="shared" si="25"/>
        <v>300.27446664146629</v>
      </c>
      <c r="X42" s="244">
        <f t="shared" si="25"/>
        <v>302.52695757050958</v>
      </c>
      <c r="Y42" s="244">
        <f t="shared" si="25"/>
        <v>309.20676709020358</v>
      </c>
      <c r="Z42" s="244">
        <f t="shared" si="25"/>
        <v>313.64287005830113</v>
      </c>
      <c r="AA42" s="244">
        <f t="shared" si="26"/>
        <v>320.3142555657592</v>
      </c>
      <c r="AB42" s="244">
        <f t="shared" si="26"/>
        <v>329.21275813681075</v>
      </c>
      <c r="AC42" s="244">
        <f t="shared" si="26"/>
        <v>335.89045885827574</v>
      </c>
      <c r="AD42" s="244">
        <f t="shared" si="26"/>
        <v>340.33868296753894</v>
      </c>
      <c r="AE42" s="244">
        <f t="shared" si="26"/>
        <v>347.00983445254138</v>
      </c>
      <c r="AF42" s="244">
        <f t="shared" si="26"/>
        <v>353.683234583733</v>
      </c>
      <c r="AG42" s="244">
        <f t="shared" si="26"/>
        <v>360.35705994500876</v>
      </c>
      <c r="AH42" s="244">
        <f t="shared" si="26"/>
        <v>367.03083186065442</v>
      </c>
      <c r="AI42" s="244">
        <f t="shared" si="26"/>
        <v>373.70377378615359</v>
      </c>
    </row>
    <row r="43" spans="1:35" x14ac:dyDescent="0.2">
      <c r="A43" s="228" t="s">
        <v>168</v>
      </c>
      <c r="B43" s="242">
        <f>'Monthly Data'!$BC549*42/1000</f>
        <v>196.09800000000001</v>
      </c>
      <c r="C43" s="242">
        <f>'Monthly Data'!$BC561*42/1000</f>
        <v>278.20800000000003</v>
      </c>
      <c r="D43" s="242">
        <f>'Monthly Data'!$BC573*42/1000</f>
        <v>216.25800000000001</v>
      </c>
      <c r="E43" s="242">
        <f>'Monthly Data'!$BC585*42/1000</f>
        <v>181.398</v>
      </c>
      <c r="F43" s="242">
        <f>'Monthly Data'!$BC597*42/1000</f>
        <v>180.51599999999999</v>
      </c>
      <c r="G43" s="242">
        <f>'Monthly Data'!$BC609*42/1000</f>
        <v>166.36199999999999</v>
      </c>
      <c r="H43" s="242">
        <f>'Monthly Data'!$BC621*42/1000</f>
        <v>112.98</v>
      </c>
      <c r="I43" s="244">
        <f t="shared" si="23"/>
        <v>157.16578657835404</v>
      </c>
      <c r="J43" s="244">
        <f t="shared" si="24"/>
        <v>143.9956820375819</v>
      </c>
      <c r="K43" s="244">
        <f t="shared" si="25"/>
        <v>136.07243783296641</v>
      </c>
      <c r="L43" s="244">
        <f t="shared" si="25"/>
        <v>151.3461515942162</v>
      </c>
      <c r="M43" s="244">
        <f t="shared" si="25"/>
        <v>185.27950043069498</v>
      </c>
      <c r="N43" s="244">
        <f t="shared" si="25"/>
        <v>202.6282115064343</v>
      </c>
      <c r="O43" s="244">
        <f t="shared" si="25"/>
        <v>197.50768791755132</v>
      </c>
      <c r="P43" s="244">
        <f t="shared" si="25"/>
        <v>201.42322829581454</v>
      </c>
      <c r="Q43" s="244">
        <f t="shared" si="25"/>
        <v>237.07909120978667</v>
      </c>
      <c r="R43" s="244">
        <f t="shared" si="25"/>
        <v>243.30718083808674</v>
      </c>
      <c r="S43" s="244">
        <f t="shared" si="25"/>
        <v>254.21649430631427</v>
      </c>
      <c r="T43" s="244">
        <f t="shared" si="25"/>
        <v>251.89637390390081</v>
      </c>
      <c r="U43" s="244">
        <f t="shared" si="25"/>
        <v>251.79892940287866</v>
      </c>
      <c r="V43" s="244">
        <f t="shared" si="25"/>
        <v>263.89958861627167</v>
      </c>
      <c r="W43" s="244">
        <f t="shared" si="25"/>
        <v>274.14286766309158</v>
      </c>
      <c r="X43" s="244">
        <f t="shared" si="25"/>
        <v>276.25357136265546</v>
      </c>
      <c r="Y43" s="244">
        <f t="shared" si="25"/>
        <v>282.28165639735431</v>
      </c>
      <c r="Z43" s="244">
        <f t="shared" si="25"/>
        <v>286.32696158939382</v>
      </c>
      <c r="AA43" s="244">
        <f t="shared" si="26"/>
        <v>292.42036559551019</v>
      </c>
      <c r="AB43" s="244">
        <f t="shared" si="26"/>
        <v>300.56253603738816</v>
      </c>
      <c r="AC43" s="244">
        <f t="shared" si="26"/>
        <v>306.6590518902932</v>
      </c>
      <c r="AD43" s="244">
        <f t="shared" si="26"/>
        <v>310.70862716600385</v>
      </c>
      <c r="AE43" s="244">
        <f t="shared" si="26"/>
        <v>316.80013106575296</v>
      </c>
      <c r="AF43" s="244">
        <f t="shared" si="26"/>
        <v>322.89489783116596</v>
      </c>
      <c r="AG43" s="244">
        <f t="shared" si="26"/>
        <v>328.98994723139231</v>
      </c>
      <c r="AH43" s="244">
        <f t="shared" si="26"/>
        <v>335.08154686998768</v>
      </c>
      <c r="AI43" s="244">
        <f t="shared" si="26"/>
        <v>341.17210720453193</v>
      </c>
    </row>
    <row r="44" spans="1:35" x14ac:dyDescent="0.2">
      <c r="A44" s="228" t="s">
        <v>169</v>
      </c>
      <c r="B44" s="242">
        <f>'Monthly Data'!$BC550*42/1000</f>
        <v>197.4</v>
      </c>
      <c r="C44" s="242">
        <f>'Monthly Data'!$BC562*42/1000</f>
        <v>228.43799999999999</v>
      </c>
      <c r="D44" s="242">
        <f>'Monthly Data'!$BC574*42/1000</f>
        <v>215.922</v>
      </c>
      <c r="E44" s="242">
        <f>'Monthly Data'!$BC586*42/1000</f>
        <v>291.98399999999998</v>
      </c>
      <c r="F44" s="242">
        <f>'Monthly Data'!$BC598*42/1000</f>
        <v>111.13200000000001</v>
      </c>
      <c r="G44" s="242">
        <f>'Monthly Data'!$BC610*42/1000</f>
        <v>122.262</v>
      </c>
      <c r="H44" s="242">
        <f>'Monthly Data'!$BC622*42/1000</f>
        <v>157.20599999999999</v>
      </c>
      <c r="I44" s="244">
        <f t="shared" si="23"/>
        <v>164.67883000787225</v>
      </c>
      <c r="J44" s="244">
        <f t="shared" si="24"/>
        <v>152.80418335641514</v>
      </c>
      <c r="K44" s="244">
        <f t="shared" si="25"/>
        <v>126.60724960403979</v>
      </c>
      <c r="L44" s="244">
        <f t="shared" si="25"/>
        <v>152.82087713098537</v>
      </c>
      <c r="M44" s="244">
        <f t="shared" si="25"/>
        <v>199.15963769881205</v>
      </c>
      <c r="N44" s="244">
        <f t="shared" si="25"/>
        <v>208.44402084519638</v>
      </c>
      <c r="O44" s="244">
        <f t="shared" si="25"/>
        <v>202.45283753581418</v>
      </c>
      <c r="P44" s="244">
        <f t="shared" si="25"/>
        <v>205.26568218804178</v>
      </c>
      <c r="Q44" s="244">
        <f t="shared" si="25"/>
        <v>244.64954099711753</v>
      </c>
      <c r="R44" s="244">
        <f t="shared" si="25"/>
        <v>251.87446794415411</v>
      </c>
      <c r="S44" s="244">
        <f t="shared" si="25"/>
        <v>261.43950881351594</v>
      </c>
      <c r="T44" s="244">
        <f t="shared" si="25"/>
        <v>259.04045277303192</v>
      </c>
      <c r="U44" s="244">
        <f t="shared" si="25"/>
        <v>259.07937937908855</v>
      </c>
      <c r="V44" s="244">
        <f t="shared" si="25"/>
        <v>271.95218932442305</v>
      </c>
      <c r="W44" s="244">
        <f t="shared" si="25"/>
        <v>282.43516815669153</v>
      </c>
      <c r="X44" s="244">
        <f t="shared" si="25"/>
        <v>284.35227427705036</v>
      </c>
      <c r="Y44" s="244">
        <f t="shared" si="25"/>
        <v>290.60626422731843</v>
      </c>
      <c r="Z44" s="244">
        <f t="shared" si="25"/>
        <v>294.83127082289855</v>
      </c>
      <c r="AA44" s="244">
        <f t="shared" si="26"/>
        <v>301.14759474362268</v>
      </c>
      <c r="AB44" s="244">
        <f t="shared" si="26"/>
        <v>309.4951664599742</v>
      </c>
      <c r="AC44" s="244">
        <f t="shared" si="26"/>
        <v>315.7419747883622</v>
      </c>
      <c r="AD44" s="244">
        <f t="shared" si="26"/>
        <v>319.92919428693352</v>
      </c>
      <c r="AE44" s="244">
        <f t="shared" si="26"/>
        <v>326.21255274339137</v>
      </c>
      <c r="AF44" s="244">
        <f t="shared" si="26"/>
        <v>332.48897712838186</v>
      </c>
      <c r="AG44" s="244">
        <f t="shared" si="26"/>
        <v>338.75696766094001</v>
      </c>
      <c r="AH44" s="244">
        <f t="shared" si="26"/>
        <v>345.02739435380465</v>
      </c>
      <c r="AI44" s="244">
        <f t="shared" si="26"/>
        <v>351.30281066306901</v>
      </c>
    </row>
    <row r="45" spans="1:35" x14ac:dyDescent="0.2">
      <c r="A45" s="228" t="s">
        <v>170</v>
      </c>
      <c r="B45" s="242">
        <f>'Monthly Data'!$BC551*42/1000</f>
        <v>228.27</v>
      </c>
      <c r="C45" s="242">
        <f>'Monthly Data'!$BC563*42/1000</f>
        <v>234.066</v>
      </c>
      <c r="D45" s="242">
        <f>'Monthly Data'!$BC575*42/1000</f>
        <v>212.52</v>
      </c>
      <c r="E45" s="242">
        <f>'Monthly Data'!$BC587*42/1000</f>
        <v>279.21600000000001</v>
      </c>
      <c r="F45" s="242">
        <f>'Monthly Data'!$BC599*42/1000</f>
        <v>102.438</v>
      </c>
      <c r="G45" s="242">
        <f>'Monthly Data'!$BC611*42/1000</f>
        <v>137.84399999999999</v>
      </c>
      <c r="H45" s="242">
        <f>'Monthly Data'!$BC623*42/1000</f>
        <v>91.896000000000001</v>
      </c>
      <c r="I45" s="244">
        <f t="shared" si="23"/>
        <v>151.00755425907681</v>
      </c>
      <c r="J45" s="244">
        <f t="shared" si="24"/>
        <v>137.49941902577908</v>
      </c>
      <c r="K45" s="244">
        <f t="shared" si="25"/>
        <v>110.98023233855467</v>
      </c>
      <c r="L45" s="244">
        <f t="shared" si="25"/>
        <v>132.89745746744066</v>
      </c>
      <c r="M45" s="244">
        <f t="shared" si="25"/>
        <v>164.87028880841297</v>
      </c>
      <c r="N45" s="244">
        <f t="shared" si="25"/>
        <v>182.56997968208677</v>
      </c>
      <c r="O45" s="244">
        <f t="shared" si="25"/>
        <v>175.69043431664775</v>
      </c>
      <c r="P45" s="244">
        <f t="shared" si="25"/>
        <v>177.0019367568791</v>
      </c>
      <c r="Q45" s="244">
        <f t="shared" si="25"/>
        <v>210.50652559974441</v>
      </c>
      <c r="R45" s="244">
        <f t="shared" si="25"/>
        <v>216.38950459337133</v>
      </c>
      <c r="S45" s="244">
        <f t="shared" si="25"/>
        <v>226.07104815524659</v>
      </c>
      <c r="T45" s="244">
        <f t="shared" si="25"/>
        <v>223.47987764930872</v>
      </c>
      <c r="U45" s="244">
        <f t="shared" si="25"/>
        <v>223.29514991720379</v>
      </c>
      <c r="V45" s="244">
        <f t="shared" si="25"/>
        <v>234.37126847366184</v>
      </c>
      <c r="W45" s="244">
        <f t="shared" si="25"/>
        <v>243.4782096091283</v>
      </c>
      <c r="X45" s="244">
        <f t="shared" si="25"/>
        <v>245.28933435332087</v>
      </c>
      <c r="Y45" s="244">
        <f t="shared" si="25"/>
        <v>250.5670628048762</v>
      </c>
      <c r="Z45" s="244">
        <f t="shared" si="25"/>
        <v>254.18244660738694</v>
      </c>
      <c r="AA45" s="244">
        <f t="shared" si="26"/>
        <v>259.64158347454605</v>
      </c>
      <c r="AB45" s="244">
        <f t="shared" si="26"/>
        <v>266.85968094056147</v>
      </c>
      <c r="AC45" s="244">
        <f t="shared" si="26"/>
        <v>272.25643550181417</v>
      </c>
      <c r="AD45" s="244">
        <f t="shared" si="26"/>
        <v>275.84592396592706</v>
      </c>
      <c r="AE45" s="244">
        <f t="shared" si="26"/>
        <v>281.26272319739047</v>
      </c>
      <c r="AF45" s="244">
        <f t="shared" si="26"/>
        <v>286.67918774701866</v>
      </c>
      <c r="AG45" s="244">
        <f t="shared" si="26"/>
        <v>292.08662336263274</v>
      </c>
      <c r="AH45" s="244">
        <f t="shared" si="26"/>
        <v>297.4924423467852</v>
      </c>
      <c r="AI45" s="244">
        <f t="shared" si="26"/>
        <v>302.90017522530655</v>
      </c>
    </row>
    <row r="46" spans="1:35" x14ac:dyDescent="0.2">
      <c r="A46" s="228" t="s">
        <v>171</v>
      </c>
      <c r="B46" s="242">
        <f>'Monthly Data'!$BC552*42/1000</f>
        <v>150.822</v>
      </c>
      <c r="C46" s="242">
        <f>'Monthly Data'!$BC564*42/1000</f>
        <v>192.94800000000001</v>
      </c>
      <c r="D46" s="242">
        <f>'Monthly Data'!$BC576*42/1000</f>
        <v>188.37</v>
      </c>
      <c r="E46" s="242">
        <f>'Monthly Data'!$BC588*42/1000</f>
        <v>284.214</v>
      </c>
      <c r="F46" s="242">
        <f>'Monthly Data'!$BC600*42/1000</f>
        <v>170.60400000000001</v>
      </c>
      <c r="G46" s="242">
        <f>'Monthly Data'!$BC612*42/1000</f>
        <v>132.846</v>
      </c>
      <c r="H46" s="242">
        <f>'Monthly Data'!$BC624*42/1000</f>
        <v>134.148</v>
      </c>
      <c r="I46" s="244">
        <f t="shared" si="23"/>
        <v>166.81881573882112</v>
      </c>
      <c r="J46" s="244">
        <f t="shared" si="24"/>
        <v>160.26491579130641</v>
      </c>
      <c r="K46" s="244">
        <f t="shared" si="25"/>
        <v>136.72726082143168</v>
      </c>
      <c r="L46" s="244">
        <f t="shared" si="25"/>
        <v>154.35144017940277</v>
      </c>
      <c r="M46" s="244">
        <f t="shared" si="25"/>
        <v>198.68249269625576</v>
      </c>
      <c r="N46" s="244">
        <f t="shared" si="25"/>
        <v>213.88354574740194</v>
      </c>
      <c r="O46" s="244">
        <f t="shared" si="25"/>
        <v>208.25609715341258</v>
      </c>
      <c r="P46" s="244">
        <f t="shared" si="25"/>
        <v>210.4386545995165</v>
      </c>
      <c r="Q46" s="244">
        <f t="shared" si="25"/>
        <v>249.06399774080083</v>
      </c>
      <c r="R46" s="244">
        <f t="shared" si="25"/>
        <v>256.71084069799309</v>
      </c>
      <c r="S46" s="244">
        <f t="shared" si="25"/>
        <v>267.47019171501995</v>
      </c>
      <c r="T46" s="244">
        <f t="shared" si="25"/>
        <v>264.87550709038737</v>
      </c>
      <c r="U46" s="244">
        <f t="shared" si="25"/>
        <v>264.6518628865316</v>
      </c>
      <c r="V46" s="244">
        <f t="shared" si="25"/>
        <v>277.64001969999225</v>
      </c>
      <c r="W46" s="244">
        <f t="shared" si="25"/>
        <v>288.49444138385195</v>
      </c>
      <c r="X46" s="244">
        <f t="shared" si="25"/>
        <v>290.57359733151492</v>
      </c>
      <c r="Y46" s="244">
        <f t="shared" si="25"/>
        <v>296.89788065720597</v>
      </c>
      <c r="Z46" s="244">
        <f t="shared" si="25"/>
        <v>301.1661898738443</v>
      </c>
      <c r="AA46" s="244">
        <f t="shared" si="26"/>
        <v>307.61701405034205</v>
      </c>
      <c r="AB46" s="244">
        <f t="shared" si="26"/>
        <v>316.17679172362642</v>
      </c>
      <c r="AC46" s="244">
        <f t="shared" si="26"/>
        <v>322.56659960327198</v>
      </c>
      <c r="AD46" s="244">
        <f t="shared" si="26"/>
        <v>326.82841606358016</v>
      </c>
      <c r="AE46" s="244">
        <f t="shared" si="26"/>
        <v>333.24203767311769</v>
      </c>
      <c r="AF46" s="244">
        <f t="shared" si="26"/>
        <v>339.65758856265444</v>
      </c>
      <c r="AG46" s="244">
        <f t="shared" si="26"/>
        <v>346.06567437738278</v>
      </c>
      <c r="AH46" s="244">
        <f t="shared" si="26"/>
        <v>352.47048935493103</v>
      </c>
      <c r="AI46" s="244">
        <f t="shared" si="26"/>
        <v>358.87847372744642</v>
      </c>
    </row>
    <row r="47" spans="1:35" x14ac:dyDescent="0.2">
      <c r="A47" s="228" t="s">
        <v>172</v>
      </c>
      <c r="B47" s="242">
        <f>'Monthly Data'!$BC553*42/1000</f>
        <v>130.03200000000001</v>
      </c>
      <c r="C47" s="242">
        <f>'Monthly Data'!$BC565*42/1000</f>
        <v>165.27</v>
      </c>
      <c r="D47" s="242">
        <f>'Monthly Data'!$BC577*42/1000</f>
        <v>186.35400000000001</v>
      </c>
      <c r="E47" s="242">
        <f>'Monthly Data'!$BC589*42/1000</f>
        <v>141.834</v>
      </c>
      <c r="F47" s="242">
        <f>'Monthly Data'!$BC601*42/1000</f>
        <v>181.06200000000001</v>
      </c>
      <c r="G47" s="242">
        <f>'Monthly Data'!$BC613*42/1000</f>
        <v>111.342</v>
      </c>
      <c r="H47" s="242">
        <f>'Monthly Data'!$BC625*42/1000</f>
        <v>118.398</v>
      </c>
      <c r="I47" s="244">
        <f t="shared" si="23"/>
        <v>135.44262207210363</v>
      </c>
      <c r="J47" s="244">
        <f t="shared" si="24"/>
        <v>124.09524908552672</v>
      </c>
      <c r="K47" s="244">
        <f t="shared" si="25"/>
        <v>119.85866880770797</v>
      </c>
      <c r="L47" s="244">
        <f t="shared" si="25"/>
        <v>128.65415971914811</v>
      </c>
      <c r="M47" s="244">
        <f t="shared" si="25"/>
        <v>165.44285951334254</v>
      </c>
      <c r="N47" s="244">
        <f t="shared" si="25"/>
        <v>176.34827129421163</v>
      </c>
      <c r="O47" s="244">
        <f t="shared" si="25"/>
        <v>172.21475654698574</v>
      </c>
      <c r="P47" s="244">
        <f t="shared" si="25"/>
        <v>175.9658575110914</v>
      </c>
      <c r="Q47" s="244">
        <f t="shared" si="25"/>
        <v>206.86658927952311</v>
      </c>
      <c r="R47" s="244">
        <f t="shared" si="25"/>
        <v>213.11009920280901</v>
      </c>
      <c r="S47" s="244">
        <f t="shared" si="25"/>
        <v>221.92330212279623</v>
      </c>
      <c r="T47" s="244">
        <f t="shared" si="25"/>
        <v>220.01791214737898</v>
      </c>
      <c r="U47" s="244">
        <f t="shared" si="25"/>
        <v>219.99587397040386</v>
      </c>
      <c r="V47" s="244">
        <f t="shared" si="25"/>
        <v>230.57178848193189</v>
      </c>
      <c r="W47" s="244">
        <f t="shared" si="25"/>
        <v>239.58035593887351</v>
      </c>
      <c r="X47" s="244">
        <f t="shared" si="25"/>
        <v>241.32309661747385</v>
      </c>
      <c r="Y47" s="244">
        <f t="shared" si="25"/>
        <v>246.62091644790851</v>
      </c>
      <c r="Z47" s="244">
        <f t="shared" si="25"/>
        <v>250.16713318581242</v>
      </c>
      <c r="AA47" s="244">
        <f t="shared" si="26"/>
        <v>255.49179714650222</v>
      </c>
      <c r="AB47" s="244">
        <f t="shared" si="26"/>
        <v>262.60594000260784</v>
      </c>
      <c r="AC47" s="244">
        <f t="shared" si="26"/>
        <v>267.92025620543228</v>
      </c>
      <c r="AD47" s="244">
        <f t="shared" si="26"/>
        <v>271.46517922158267</v>
      </c>
      <c r="AE47" s="244">
        <f t="shared" si="26"/>
        <v>276.78893853305595</v>
      </c>
      <c r="AF47" s="244">
        <f t="shared" si="26"/>
        <v>282.11338519462737</v>
      </c>
      <c r="AG47" s="244">
        <f t="shared" si="26"/>
        <v>287.43778261210377</v>
      </c>
      <c r="AH47" s="244">
        <f t="shared" si="26"/>
        <v>292.75891727467643</v>
      </c>
      <c r="AI47" s="244">
        <f t="shared" si="26"/>
        <v>298.08149192007016</v>
      </c>
    </row>
    <row r="48" spans="1:35" x14ac:dyDescent="0.2">
      <c r="A48" s="228" t="s">
        <v>173</v>
      </c>
      <c r="B48" s="242">
        <f>'Monthly Data'!$BC554*42/1000</f>
        <v>136.75200000000001</v>
      </c>
      <c r="C48" s="242">
        <f>'Monthly Data'!$BC566*42/1000</f>
        <v>222.18</v>
      </c>
      <c r="D48" s="242">
        <f>'Monthly Data'!$BC578*42/1000</f>
        <v>177.95400000000001</v>
      </c>
      <c r="E48" s="242">
        <f>'Monthly Data'!$BC590*42/1000</f>
        <v>186.35400000000001</v>
      </c>
      <c r="F48" s="242">
        <f>'Monthly Data'!$BC602*42/1000</f>
        <v>158.08799999999999</v>
      </c>
      <c r="G48" s="242">
        <f>'Monthly Data'!$BC614*42/1000</f>
        <v>163.92599999999999</v>
      </c>
      <c r="H48" s="242">
        <f>'Monthly Data'!$BC626*42/1000</f>
        <v>140.65799999999999</v>
      </c>
      <c r="I48" s="244">
        <f t="shared" ref="I48:Q48" si="27">I49-SUM(I37:I47)</f>
        <v>151.56949295821096</v>
      </c>
      <c r="J48" s="244">
        <f t="shared" si="27"/>
        <v>144.38771083486495</v>
      </c>
      <c r="K48" s="244">
        <f t="shared" si="27"/>
        <v>135.64505170826646</v>
      </c>
      <c r="L48" s="244">
        <f t="shared" si="27"/>
        <v>155.48800290933264</v>
      </c>
      <c r="M48" s="244">
        <f t="shared" si="27"/>
        <v>192.19571041963536</v>
      </c>
      <c r="N48" s="244">
        <f t="shared" si="27"/>
        <v>204.04906857719971</v>
      </c>
      <c r="O48" s="244">
        <f t="shared" si="27"/>
        <v>200.50736206486226</v>
      </c>
      <c r="P48" s="244">
        <f t="shared" si="27"/>
        <v>204.89658361829879</v>
      </c>
      <c r="Q48" s="244">
        <f t="shared" si="27"/>
        <v>241.86824433682841</v>
      </c>
      <c r="R48" s="244">
        <f>R49-SUM(R37:R47)</f>
        <v>247.96442828122508</v>
      </c>
      <c r="S48" s="244">
        <f t="shared" ref="S48:AI48" si="28">S49-SUM(S37:S47)</f>
        <v>258.29080988684564</v>
      </c>
      <c r="T48" s="244">
        <f t="shared" si="28"/>
        <v>256.33942848623565</v>
      </c>
      <c r="U48" s="244">
        <f t="shared" si="28"/>
        <v>256.34286723345303</v>
      </c>
      <c r="V48" s="244">
        <f t="shared" si="28"/>
        <v>268.69631339212492</v>
      </c>
      <c r="W48" s="244">
        <f t="shared" si="28"/>
        <v>279.02178071072922</v>
      </c>
      <c r="X48" s="244">
        <f t="shared" si="28"/>
        <v>281.10031843334946</v>
      </c>
      <c r="Y48" s="244">
        <f t="shared" si="28"/>
        <v>287.31679267730169</v>
      </c>
      <c r="Z48" s="244">
        <f t="shared" si="28"/>
        <v>291.44489189009209</v>
      </c>
      <c r="AA48" s="244">
        <f t="shared" si="28"/>
        <v>297.63808220692772</v>
      </c>
      <c r="AB48" s="244">
        <f t="shared" si="28"/>
        <v>305.9068146128393</v>
      </c>
      <c r="AC48" s="244">
        <f t="shared" si="28"/>
        <v>312.11079360578697</v>
      </c>
      <c r="AD48" s="244">
        <f t="shared" si="28"/>
        <v>316.24600051717971</v>
      </c>
      <c r="AE48" s="244">
        <f t="shared" si="28"/>
        <v>322.44513829297239</v>
      </c>
      <c r="AF48" s="244">
        <f t="shared" si="28"/>
        <v>328.64514075595389</v>
      </c>
      <c r="AG48" s="244">
        <f t="shared" si="28"/>
        <v>334.84658386066076</v>
      </c>
      <c r="AH48" s="244">
        <f t="shared" si="28"/>
        <v>341.04795571110344</v>
      </c>
      <c r="AI48" s="244">
        <f t="shared" si="28"/>
        <v>347.24877687441767</v>
      </c>
    </row>
    <row r="49" spans="1:35" ht="12" thickBot="1" x14ac:dyDescent="0.25">
      <c r="A49" s="228" t="s">
        <v>226</v>
      </c>
      <c r="B49" s="239">
        <f t="shared" ref="B49:H49" si="29">SUM(B37:B48)</f>
        <v>1904.7839999999999</v>
      </c>
      <c r="C49" s="239">
        <f t="shared" si="29"/>
        <v>2515.8000000000002</v>
      </c>
      <c r="D49" s="239">
        <f t="shared" si="29"/>
        <v>2301.0540000000001</v>
      </c>
      <c r="E49" s="239">
        <f t="shared" si="29"/>
        <v>2428.1879999999992</v>
      </c>
      <c r="F49" s="239">
        <f t="shared" si="29"/>
        <v>1835.6940000000002</v>
      </c>
      <c r="G49" s="239">
        <f t="shared" si="29"/>
        <v>1948.9260000000002</v>
      </c>
      <c r="H49" s="239">
        <f t="shared" si="29"/>
        <v>1676.3039999999994</v>
      </c>
      <c r="I49" s="244">
        <f t="shared" ref="I49:AI49" si="30">I7</f>
        <v>1867.6609999999996</v>
      </c>
      <c r="J49" s="244">
        <f t="shared" si="30"/>
        <v>1759.6378333333332</v>
      </c>
      <c r="K49" s="244">
        <f t="shared" si="30"/>
        <v>1625</v>
      </c>
      <c r="L49" s="244">
        <f t="shared" si="30"/>
        <v>1875</v>
      </c>
      <c r="M49" s="244">
        <f t="shared" si="30"/>
        <v>2325</v>
      </c>
      <c r="N49" s="244">
        <f t="shared" si="30"/>
        <v>2475</v>
      </c>
      <c r="O49" s="244">
        <f t="shared" si="30"/>
        <v>2425</v>
      </c>
      <c r="P49" s="244">
        <f t="shared" si="30"/>
        <v>2475</v>
      </c>
      <c r="Q49" s="244">
        <f t="shared" si="30"/>
        <v>2925</v>
      </c>
      <c r="R49" s="244">
        <f t="shared" si="30"/>
        <v>3000</v>
      </c>
      <c r="S49" s="244">
        <f t="shared" si="30"/>
        <v>3125</v>
      </c>
      <c r="T49" s="244">
        <f t="shared" si="30"/>
        <v>3100</v>
      </c>
      <c r="U49" s="244">
        <f t="shared" si="30"/>
        <v>3100</v>
      </c>
      <c r="V49" s="244">
        <f t="shared" si="30"/>
        <v>3250</v>
      </c>
      <c r="W49" s="244">
        <f t="shared" si="30"/>
        <v>3375</v>
      </c>
      <c r="X49" s="244">
        <f t="shared" si="30"/>
        <v>3400</v>
      </c>
      <c r="Y49" s="244">
        <f t="shared" si="30"/>
        <v>3475</v>
      </c>
      <c r="Z49" s="244">
        <f t="shared" si="30"/>
        <v>3525</v>
      </c>
      <c r="AA49" s="244">
        <f t="shared" si="30"/>
        <v>3600</v>
      </c>
      <c r="AB49" s="244">
        <f t="shared" si="30"/>
        <v>3700</v>
      </c>
      <c r="AC49" s="244">
        <f t="shared" si="30"/>
        <v>3775</v>
      </c>
      <c r="AD49" s="244">
        <f t="shared" si="30"/>
        <v>3825</v>
      </c>
      <c r="AE49" s="244">
        <f t="shared" si="30"/>
        <v>3900</v>
      </c>
      <c r="AF49" s="244">
        <f t="shared" si="30"/>
        <v>3975</v>
      </c>
      <c r="AG49" s="244">
        <f t="shared" si="30"/>
        <v>4050</v>
      </c>
      <c r="AH49" s="244">
        <f t="shared" si="30"/>
        <v>4125</v>
      </c>
      <c r="AI49" s="244">
        <f t="shared" si="30"/>
        <v>4200</v>
      </c>
    </row>
    <row r="50" spans="1:35" x14ac:dyDescent="0.2">
      <c r="A50" s="245"/>
      <c r="B50" s="245"/>
      <c r="C50" s="245"/>
      <c r="D50" s="245"/>
      <c r="E50" s="245"/>
      <c r="F50" s="245"/>
      <c r="G50" s="245"/>
      <c r="H50" s="245"/>
      <c r="I50" s="245"/>
      <c r="J50" s="245"/>
      <c r="K50" s="245"/>
      <c r="L50" s="245"/>
      <c r="M50" s="245"/>
      <c r="N50" s="245"/>
      <c r="O50" s="245"/>
      <c r="P50" s="245"/>
      <c r="Q50" s="245"/>
      <c r="R50" s="245"/>
      <c r="S50" s="245"/>
      <c r="T50" s="245"/>
      <c r="U50" s="245"/>
      <c r="V50" s="245"/>
      <c r="W50" s="245"/>
      <c r="X50" s="245"/>
      <c r="Y50" s="245"/>
      <c r="Z50" s="245"/>
      <c r="AA50" s="245"/>
      <c r="AB50" s="245"/>
      <c r="AC50" s="245"/>
      <c r="AD50" s="245"/>
      <c r="AE50" s="245"/>
      <c r="AF50" s="245"/>
      <c r="AG50" s="245"/>
      <c r="AH50" s="245"/>
      <c r="AI50" s="245"/>
    </row>
    <row r="51" spans="1:35" ht="12" thickBot="1" x14ac:dyDescent="0.25">
      <c r="A51" s="228" t="s">
        <v>238</v>
      </c>
    </row>
    <row r="52" spans="1:35" ht="12" thickBot="1" x14ac:dyDescent="0.25">
      <c r="A52" s="231" t="s">
        <v>197</v>
      </c>
      <c r="B52" s="241">
        <f t="shared" ref="B52:AI52" si="31">B4</f>
        <v>2018</v>
      </c>
      <c r="C52" s="241">
        <f t="shared" si="31"/>
        <v>2019</v>
      </c>
      <c r="D52" s="241">
        <f t="shared" si="31"/>
        <v>2020</v>
      </c>
      <c r="E52" s="241">
        <f t="shared" si="31"/>
        <v>2021</v>
      </c>
      <c r="F52" s="241">
        <f t="shared" si="31"/>
        <v>2022</v>
      </c>
      <c r="G52" s="241">
        <f t="shared" si="31"/>
        <v>2023</v>
      </c>
      <c r="H52" s="241">
        <f t="shared" si="31"/>
        <v>2024</v>
      </c>
      <c r="I52" s="241">
        <f t="shared" si="31"/>
        <v>2025</v>
      </c>
      <c r="J52" s="241">
        <f t="shared" si="31"/>
        <v>2026</v>
      </c>
      <c r="K52" s="241">
        <f t="shared" si="31"/>
        <v>2027</v>
      </c>
      <c r="L52" s="241">
        <f t="shared" si="31"/>
        <v>2028</v>
      </c>
      <c r="M52" s="241">
        <f t="shared" si="31"/>
        <v>2029</v>
      </c>
      <c r="N52" s="241">
        <f t="shared" si="31"/>
        <v>2030</v>
      </c>
      <c r="O52" s="241">
        <f t="shared" si="31"/>
        <v>2031</v>
      </c>
      <c r="P52" s="241">
        <f t="shared" si="31"/>
        <v>2032</v>
      </c>
      <c r="Q52" s="241">
        <f t="shared" si="31"/>
        <v>2033</v>
      </c>
      <c r="R52" s="241">
        <f t="shared" si="31"/>
        <v>2034</v>
      </c>
      <c r="S52" s="241">
        <f t="shared" si="31"/>
        <v>2035</v>
      </c>
      <c r="T52" s="241">
        <f t="shared" si="31"/>
        <v>2036</v>
      </c>
      <c r="U52" s="241">
        <f t="shared" si="31"/>
        <v>2037</v>
      </c>
      <c r="V52" s="241">
        <f t="shared" si="31"/>
        <v>2038</v>
      </c>
      <c r="W52" s="241">
        <f t="shared" si="31"/>
        <v>2039</v>
      </c>
      <c r="X52" s="241">
        <f t="shared" si="31"/>
        <v>2040</v>
      </c>
      <c r="Y52" s="241">
        <f t="shared" si="31"/>
        <v>2041</v>
      </c>
      <c r="Z52" s="241">
        <f t="shared" si="31"/>
        <v>2042</v>
      </c>
      <c r="AA52" s="241">
        <f t="shared" si="31"/>
        <v>2043</v>
      </c>
      <c r="AB52" s="241">
        <f t="shared" si="31"/>
        <v>2044</v>
      </c>
      <c r="AC52" s="241">
        <f t="shared" si="31"/>
        <v>2045</v>
      </c>
      <c r="AD52" s="241">
        <f t="shared" si="31"/>
        <v>2046</v>
      </c>
      <c r="AE52" s="241">
        <f t="shared" si="31"/>
        <v>2047</v>
      </c>
      <c r="AF52" s="241">
        <f t="shared" si="31"/>
        <v>2048</v>
      </c>
      <c r="AG52" s="241">
        <f t="shared" si="31"/>
        <v>2049</v>
      </c>
      <c r="AH52" s="241">
        <f t="shared" si="31"/>
        <v>2050</v>
      </c>
      <c r="AI52" s="241">
        <f t="shared" si="31"/>
        <v>2051</v>
      </c>
    </row>
    <row r="53" spans="1:35" x14ac:dyDescent="0.2">
      <c r="A53" s="228" t="s">
        <v>162</v>
      </c>
      <c r="B53" s="242">
        <f>'Monthly Data'!$BD543*42/1000</f>
        <v>256.2</v>
      </c>
      <c r="C53" s="242">
        <f>'Monthly Data'!$BD555*42/1000</f>
        <v>343.68599999999998</v>
      </c>
      <c r="D53" s="242">
        <f>'Monthly Data'!$BD567*42/1000</f>
        <v>295.63799999999998</v>
      </c>
      <c r="E53" s="242">
        <f>'Monthly Data'!$BD579*42/1000</f>
        <v>119.78400000000001</v>
      </c>
      <c r="F53" s="242">
        <f>'Monthly Data'!$BD591*42/1000</f>
        <v>177.32400000000001</v>
      </c>
      <c r="G53" s="242">
        <f>'Monthly Data'!$BD603*42/1000</f>
        <v>263.17200000000003</v>
      </c>
      <c r="H53" s="242">
        <f>'Monthly Data'!$BD615*42/1000</f>
        <v>286.06200000000001</v>
      </c>
      <c r="I53" s="244">
        <f t="shared" ref="I53:I63" si="32">I$65*(SUM(D53:H53)/SUM(D$65:H$65))</f>
        <v>278.20114300151545</v>
      </c>
      <c r="J53" s="244">
        <f t="shared" ref="J53:J63" si="33">J$65*(SUM(E53:I53)/SUM(E$65:I$65))</f>
        <v>276.88479136064683</v>
      </c>
      <c r="K53" s="244">
        <f t="shared" ref="K53:Z63" si="34">K$65*(SUM(F53:J53)/SUM(F$65:J$65))</f>
        <v>292.62269893032465</v>
      </c>
      <c r="L53" s="244">
        <f t="shared" si="34"/>
        <v>388.9490591193279</v>
      </c>
      <c r="M53" s="244">
        <f t="shared" si="34"/>
        <v>419.69311121756795</v>
      </c>
      <c r="N53" s="244">
        <f t="shared" si="34"/>
        <v>427.50164117635575</v>
      </c>
      <c r="O53" s="244">
        <f t="shared" si="34"/>
        <v>441.45599927462933</v>
      </c>
      <c r="P53" s="244">
        <f t="shared" si="34"/>
        <v>452.14955227302141</v>
      </c>
      <c r="Q53" s="244">
        <f t="shared" si="34"/>
        <v>518.89300994487132</v>
      </c>
      <c r="R53" s="244">
        <f t="shared" si="34"/>
        <v>520.32641328499165</v>
      </c>
      <c r="S53" s="244">
        <f t="shared" si="34"/>
        <v>547.79444967013922</v>
      </c>
      <c r="T53" s="244">
        <f t="shared" si="34"/>
        <v>559.76147181085241</v>
      </c>
      <c r="U53" s="244">
        <f t="shared" si="34"/>
        <v>573.10386271360289</v>
      </c>
      <c r="V53" s="244">
        <f t="shared" si="34"/>
        <v>597.55268660119111</v>
      </c>
      <c r="W53" s="244">
        <f t="shared" si="34"/>
        <v>621.88965003322846</v>
      </c>
      <c r="X53" s="244">
        <f t="shared" si="34"/>
        <v>639.91870328567643</v>
      </c>
      <c r="Y53" s="244">
        <f t="shared" si="34"/>
        <v>664.88591737059744</v>
      </c>
      <c r="Z53" s="244">
        <f t="shared" si="34"/>
        <v>690.0706906536883</v>
      </c>
      <c r="AA53" s="244">
        <f t="shared" ref="AA53:AI63" si="35">AA$65*(SUM(V53:Z53)/SUM(V$65:Z$65))</f>
        <v>715.21680768031945</v>
      </c>
      <c r="AB53" s="244">
        <f t="shared" si="35"/>
        <v>740.34102305801025</v>
      </c>
      <c r="AC53" s="244">
        <f t="shared" si="35"/>
        <v>765.46516700877714</v>
      </c>
      <c r="AD53" s="244">
        <f t="shared" si="35"/>
        <v>790.4978531461652</v>
      </c>
      <c r="AE53" s="244">
        <f t="shared" si="35"/>
        <v>815.37367624246531</v>
      </c>
      <c r="AF53" s="244">
        <f t="shared" si="35"/>
        <v>851.22338043992931</v>
      </c>
      <c r="AG53" s="244">
        <f t="shared" si="35"/>
        <v>880.06565567466293</v>
      </c>
      <c r="AH53" s="244">
        <f t="shared" si="35"/>
        <v>910.81457517686988</v>
      </c>
      <c r="AI53" s="244" t="e">
        <f t="shared" si="35"/>
        <v>#NUM!</v>
      </c>
    </row>
    <row r="54" spans="1:35" x14ac:dyDescent="0.2">
      <c r="A54" s="228" t="s">
        <v>163</v>
      </c>
      <c r="B54" s="242">
        <f>'Monthly Data'!$BD544*42/1000</f>
        <v>207.43799999999999</v>
      </c>
      <c r="C54" s="242">
        <f>'Monthly Data'!$BD556*42/1000</f>
        <v>225.37200000000001</v>
      </c>
      <c r="D54" s="242">
        <f>'Monthly Data'!$BD568*42/1000</f>
        <v>300.25799999999998</v>
      </c>
      <c r="E54" s="242">
        <f>'Monthly Data'!$BD580*42/1000</f>
        <v>79.841999999999999</v>
      </c>
      <c r="F54" s="242">
        <f>'Monthly Data'!$BD592*42/1000</f>
        <v>175.85400000000001</v>
      </c>
      <c r="G54" s="242">
        <f>'Monthly Data'!$BD604*42/1000</f>
        <v>204.75</v>
      </c>
      <c r="H54" s="242">
        <f>'Monthly Data'!$BD616*42/1000</f>
        <v>280.392</v>
      </c>
      <c r="I54" s="244">
        <f t="shared" si="32"/>
        <v>253.62449182499316</v>
      </c>
      <c r="J54" s="244">
        <f t="shared" si="33"/>
        <v>244.85635902773103</v>
      </c>
      <c r="K54" s="244">
        <f t="shared" si="34"/>
        <v>264.72972433846246</v>
      </c>
      <c r="L54" s="244">
        <f t="shared" si="34"/>
        <v>347.57730775630228</v>
      </c>
      <c r="M54" s="244">
        <f t="shared" si="34"/>
        <v>383.43801308088564</v>
      </c>
      <c r="N54" s="244">
        <f t="shared" si="34"/>
        <v>385.65744734789411</v>
      </c>
      <c r="O54" s="244">
        <f t="shared" si="34"/>
        <v>397.59710286998694</v>
      </c>
      <c r="P54" s="244">
        <f t="shared" si="34"/>
        <v>408.2654961982534</v>
      </c>
      <c r="Q54" s="244">
        <f t="shared" si="34"/>
        <v>468.40730686065143</v>
      </c>
      <c r="R54" s="244">
        <f t="shared" si="34"/>
        <v>470.51383724237957</v>
      </c>
      <c r="S54" s="244">
        <f t="shared" si="34"/>
        <v>494.44168092109982</v>
      </c>
      <c r="T54" s="244">
        <f t="shared" si="34"/>
        <v>505.28997183246736</v>
      </c>
      <c r="U54" s="244">
        <f t="shared" si="34"/>
        <v>517.53243842632492</v>
      </c>
      <c r="V54" s="244">
        <f t="shared" si="34"/>
        <v>539.61958388707365</v>
      </c>
      <c r="W54" s="244">
        <f t="shared" si="34"/>
        <v>561.63677530647578</v>
      </c>
      <c r="X54" s="244">
        <f t="shared" si="34"/>
        <v>577.78662313139671</v>
      </c>
      <c r="Y54" s="244">
        <f t="shared" si="34"/>
        <v>600.36642464705938</v>
      </c>
      <c r="Z54" s="244">
        <f t="shared" si="34"/>
        <v>623.14142088998165</v>
      </c>
      <c r="AA54" s="244">
        <f t="shared" si="35"/>
        <v>645.84567071674792</v>
      </c>
      <c r="AB54" s="244">
        <f t="shared" si="35"/>
        <v>668.52736106925283</v>
      </c>
      <c r="AC54" s="244">
        <f t="shared" si="35"/>
        <v>691.19871198646069</v>
      </c>
      <c r="AD54" s="244">
        <f t="shared" si="35"/>
        <v>713.81293083091623</v>
      </c>
      <c r="AE54" s="244">
        <f t="shared" si="35"/>
        <v>736.27999195173174</v>
      </c>
      <c r="AF54" s="244">
        <f t="shared" si="35"/>
        <v>768.65002112652348</v>
      </c>
      <c r="AG54" s="244">
        <f t="shared" si="35"/>
        <v>794.69247461407372</v>
      </c>
      <c r="AH54" s="244">
        <f t="shared" si="35"/>
        <v>822.45736797929112</v>
      </c>
      <c r="AI54" s="244" t="e">
        <f t="shared" si="35"/>
        <v>#NUM!</v>
      </c>
    </row>
    <row r="55" spans="1:35" x14ac:dyDescent="0.2">
      <c r="A55" s="228" t="s">
        <v>164</v>
      </c>
      <c r="B55" s="242">
        <f>'Monthly Data'!$BD545*42/1000</f>
        <v>322.14</v>
      </c>
      <c r="C55" s="242">
        <f>'Monthly Data'!$BD557*42/1000</f>
        <v>225.33</v>
      </c>
      <c r="D55" s="242">
        <f>'Monthly Data'!$BD569*42/1000</f>
        <v>274.47000000000003</v>
      </c>
      <c r="E55" s="242">
        <f>'Monthly Data'!$BD581*42/1000</f>
        <v>94.668000000000006</v>
      </c>
      <c r="F55" s="242">
        <f>'Monthly Data'!$BD593*42/1000</f>
        <v>231.16800000000001</v>
      </c>
      <c r="G55" s="242">
        <f>'Monthly Data'!$BD605*42/1000</f>
        <v>274.26</v>
      </c>
      <c r="H55" s="242">
        <f>'Monthly Data'!$BD617*42/1000</f>
        <v>236.922</v>
      </c>
      <c r="I55" s="244">
        <f t="shared" si="32"/>
        <v>270.77289622626353</v>
      </c>
      <c r="J55" s="244">
        <f t="shared" si="33"/>
        <v>272.76005645647297</v>
      </c>
      <c r="K55" s="244">
        <f t="shared" si="34"/>
        <v>293.59054417074145</v>
      </c>
      <c r="L55" s="244">
        <f t="shared" si="34"/>
        <v>375.40707965262345</v>
      </c>
      <c r="M55" s="244">
        <f t="shared" si="34"/>
        <v>399.49917534240836</v>
      </c>
      <c r="N55" s="244">
        <f t="shared" si="34"/>
        <v>416.06244464053231</v>
      </c>
      <c r="O55" s="244">
        <f t="shared" si="34"/>
        <v>429.63951398973421</v>
      </c>
      <c r="P55" s="244">
        <f t="shared" si="34"/>
        <v>439.29257077813168</v>
      </c>
      <c r="Q55" s="244">
        <f t="shared" si="34"/>
        <v>501.87507353950167</v>
      </c>
      <c r="R55" s="244">
        <f t="shared" si="34"/>
        <v>503.44239969869352</v>
      </c>
      <c r="S55" s="244">
        <f t="shared" si="34"/>
        <v>531.54516607256937</v>
      </c>
      <c r="T55" s="244">
        <f t="shared" si="34"/>
        <v>542.87698562422338</v>
      </c>
      <c r="U55" s="244">
        <f t="shared" si="34"/>
        <v>555.48626408501946</v>
      </c>
      <c r="V55" s="244">
        <f t="shared" si="34"/>
        <v>578.95450117288101</v>
      </c>
      <c r="W55" s="244">
        <f t="shared" si="34"/>
        <v>602.72687785464882</v>
      </c>
      <c r="X55" s="244">
        <f t="shared" si="34"/>
        <v>620.3881176264664</v>
      </c>
      <c r="Y55" s="244">
        <f t="shared" si="34"/>
        <v>644.48896774911429</v>
      </c>
      <c r="Z55" s="244">
        <f t="shared" si="34"/>
        <v>668.83708031439403</v>
      </c>
      <c r="AA55" s="244">
        <f t="shared" si="35"/>
        <v>693.20568164111262</v>
      </c>
      <c r="AB55" s="244">
        <f t="shared" si="35"/>
        <v>717.60295415442567</v>
      </c>
      <c r="AC55" s="244">
        <f t="shared" si="35"/>
        <v>741.96937004958215</v>
      </c>
      <c r="AD55" s="244">
        <f t="shared" si="35"/>
        <v>766.20901555867306</v>
      </c>
      <c r="AE55" s="244">
        <f t="shared" si="35"/>
        <v>790.31338133723318</v>
      </c>
      <c r="AF55" s="244">
        <f t="shared" si="35"/>
        <v>825.06669716126601</v>
      </c>
      <c r="AG55" s="244">
        <f t="shared" si="35"/>
        <v>853.03018089538375</v>
      </c>
      <c r="AH55" s="244">
        <f t="shared" si="35"/>
        <v>882.83336904171119</v>
      </c>
      <c r="AI55" s="244" t="e">
        <f t="shared" si="35"/>
        <v>#NUM!</v>
      </c>
    </row>
    <row r="56" spans="1:35" x14ac:dyDescent="0.2">
      <c r="A56" s="228" t="s">
        <v>165</v>
      </c>
      <c r="B56" s="242">
        <f>'Monthly Data'!$BD546*42/1000</f>
        <v>284.80200000000002</v>
      </c>
      <c r="C56" s="242">
        <f>'Monthly Data'!$BD558*42/1000</f>
        <v>245.40600000000001</v>
      </c>
      <c r="D56" s="242">
        <f>'Monthly Data'!$BD570*42/1000</f>
        <v>100.422</v>
      </c>
      <c r="E56" s="242">
        <f>'Monthly Data'!$BD582*42/1000</f>
        <v>81.858000000000004</v>
      </c>
      <c r="F56" s="242">
        <f>'Monthly Data'!$BD594*42/1000</f>
        <v>258.72000000000003</v>
      </c>
      <c r="G56" s="242">
        <f>'Monthly Data'!$BD606*42/1000</f>
        <v>140.196</v>
      </c>
      <c r="H56" s="242">
        <f>'Monthly Data'!$BD618*42/1000</f>
        <v>242.928</v>
      </c>
      <c r="I56" s="244">
        <f t="shared" si="32"/>
        <v>200.76729782919222</v>
      </c>
      <c r="J56" s="244">
        <f t="shared" si="33"/>
        <v>227.62264857668922</v>
      </c>
      <c r="K56" s="244">
        <f t="shared" si="34"/>
        <v>244.35394065981328</v>
      </c>
      <c r="L56" s="244">
        <f t="shared" si="34"/>
        <v>293.98402729006568</v>
      </c>
      <c r="M56" s="244">
        <f t="shared" si="34"/>
        <v>333.406244582407</v>
      </c>
      <c r="N56" s="244">
        <f t="shared" si="34"/>
        <v>335.56266310109066</v>
      </c>
      <c r="O56" s="244">
        <f t="shared" si="34"/>
        <v>350.81981020691313</v>
      </c>
      <c r="P56" s="244">
        <f t="shared" si="34"/>
        <v>357.57701473428853</v>
      </c>
      <c r="Q56" s="244">
        <f t="shared" si="34"/>
        <v>407.20834227478554</v>
      </c>
      <c r="R56" s="244">
        <f t="shared" si="34"/>
        <v>410.92347440582523</v>
      </c>
      <c r="S56" s="244">
        <f t="shared" si="34"/>
        <v>432.16191971550865</v>
      </c>
      <c r="T56" s="244">
        <f t="shared" si="34"/>
        <v>441.98618322128681</v>
      </c>
      <c r="U56" s="244">
        <f t="shared" si="34"/>
        <v>452.02573127472294</v>
      </c>
      <c r="V56" s="244">
        <f t="shared" si="34"/>
        <v>471.10018676088424</v>
      </c>
      <c r="W56" s="244">
        <f t="shared" si="34"/>
        <v>490.70433697264298</v>
      </c>
      <c r="X56" s="244">
        <f t="shared" si="34"/>
        <v>504.85123728793252</v>
      </c>
      <c r="Y56" s="244">
        <f t="shared" si="34"/>
        <v>524.5507848098257</v>
      </c>
      <c r="Z56" s="244">
        <f t="shared" si="34"/>
        <v>544.33710705317776</v>
      </c>
      <c r="AA56" s="244">
        <f t="shared" si="35"/>
        <v>564.18301978022191</v>
      </c>
      <c r="AB56" s="244">
        <f t="shared" si="35"/>
        <v>584.06082527328226</v>
      </c>
      <c r="AC56" s="244">
        <f t="shared" si="35"/>
        <v>603.86133165518027</v>
      </c>
      <c r="AD56" s="244">
        <f t="shared" si="35"/>
        <v>623.60226016028685</v>
      </c>
      <c r="AE56" s="244">
        <f t="shared" si="35"/>
        <v>643.21722908803827</v>
      </c>
      <c r="AF56" s="244">
        <f t="shared" si="35"/>
        <v>671.5051175901566</v>
      </c>
      <c r="AG56" s="244">
        <f t="shared" si="35"/>
        <v>694.2647163281481</v>
      </c>
      <c r="AH56" s="244">
        <f t="shared" si="35"/>
        <v>718.5170231083971</v>
      </c>
      <c r="AI56" s="244" t="e">
        <f t="shared" si="35"/>
        <v>#NUM!</v>
      </c>
    </row>
    <row r="57" spans="1:35" x14ac:dyDescent="0.2">
      <c r="A57" s="228" t="s">
        <v>166</v>
      </c>
      <c r="B57" s="242">
        <f>'Monthly Data'!$BD547*42/1000</f>
        <v>318.86399999999998</v>
      </c>
      <c r="C57" s="242">
        <f>'Monthly Data'!$BD559*42/1000</f>
        <v>252.58799999999999</v>
      </c>
      <c r="D57" s="242">
        <f>'Monthly Data'!$BD571*42/1000</f>
        <v>28.265999999999998</v>
      </c>
      <c r="E57" s="242">
        <f>'Monthly Data'!$BD583*42/1000</f>
        <v>143.72399999999999</v>
      </c>
      <c r="F57" s="242">
        <f>'Monthly Data'!$BD595*42/1000</f>
        <v>203.322</v>
      </c>
      <c r="G57" s="242">
        <f>'Monthly Data'!$BD607*42/1000</f>
        <v>166.19399999999999</v>
      </c>
      <c r="H57" s="242">
        <f>'Monthly Data'!$BD619*42/1000</f>
        <v>205.59</v>
      </c>
      <c r="I57" s="244">
        <f t="shared" si="32"/>
        <v>182.00227773854198</v>
      </c>
      <c r="J57" s="244">
        <f t="shared" si="33"/>
        <v>221.80274614171589</v>
      </c>
      <c r="K57" s="244">
        <f t="shared" si="34"/>
        <v>223.50325089553627</v>
      </c>
      <c r="L57" s="244">
        <f t="shared" si="34"/>
        <v>278.1760617696541</v>
      </c>
      <c r="M57" s="244">
        <f t="shared" si="34"/>
        <v>306.23511827063322</v>
      </c>
      <c r="N57" s="244">
        <f t="shared" si="34"/>
        <v>312.74296148142645</v>
      </c>
      <c r="O57" s="244">
        <f t="shared" si="34"/>
        <v>328.21236379456946</v>
      </c>
      <c r="P57" s="244">
        <f t="shared" si="34"/>
        <v>332.50346513744449</v>
      </c>
      <c r="Q57" s="244">
        <f t="shared" si="34"/>
        <v>379.56007974086964</v>
      </c>
      <c r="R57" s="244">
        <f t="shared" si="34"/>
        <v>382.06674827084669</v>
      </c>
      <c r="S57" s="244">
        <f t="shared" si="34"/>
        <v>402.68591009879026</v>
      </c>
      <c r="T57" s="244">
        <f t="shared" si="34"/>
        <v>411.82483161924057</v>
      </c>
      <c r="U57" s="244">
        <f t="shared" si="34"/>
        <v>420.88540183885982</v>
      </c>
      <c r="V57" s="244">
        <f t="shared" si="34"/>
        <v>438.74244069651712</v>
      </c>
      <c r="W57" s="244">
        <f t="shared" si="34"/>
        <v>456.92872874267243</v>
      </c>
      <c r="X57" s="244">
        <f t="shared" si="34"/>
        <v>470.2282108455949</v>
      </c>
      <c r="Y57" s="244">
        <f t="shared" si="34"/>
        <v>488.54076765652877</v>
      </c>
      <c r="Z57" s="244">
        <f t="shared" si="34"/>
        <v>506.92852209637948</v>
      </c>
      <c r="AA57" s="244">
        <f t="shared" si="35"/>
        <v>525.42739919334304</v>
      </c>
      <c r="AB57" s="244">
        <f t="shared" si="35"/>
        <v>543.9389088798257</v>
      </c>
      <c r="AC57" s="244">
        <f t="shared" si="35"/>
        <v>562.39404207983603</v>
      </c>
      <c r="AD57" s="244">
        <f t="shared" si="35"/>
        <v>580.76936085310695</v>
      </c>
      <c r="AE57" s="244">
        <f t="shared" si="35"/>
        <v>599.03277604366303</v>
      </c>
      <c r="AF57" s="244">
        <f t="shared" si="35"/>
        <v>625.3811563330072</v>
      </c>
      <c r="AG57" s="244">
        <f t="shared" si="35"/>
        <v>646.57819810786521</v>
      </c>
      <c r="AH57" s="244">
        <f t="shared" si="35"/>
        <v>669.16579056449984</v>
      </c>
      <c r="AI57" s="244" t="e">
        <f t="shared" si="35"/>
        <v>#NUM!</v>
      </c>
    </row>
    <row r="58" spans="1:35" x14ac:dyDescent="0.2">
      <c r="A58" s="228" t="s">
        <v>167</v>
      </c>
      <c r="B58" s="242">
        <f>'Monthly Data'!$BD548*42/1000</f>
        <v>270.81599999999997</v>
      </c>
      <c r="C58" s="242">
        <f>'Monthly Data'!$BD560*42/1000</f>
        <v>268.75799999999998</v>
      </c>
      <c r="D58" s="242">
        <f>'Monthly Data'!$BD572*42/1000</f>
        <v>55.902000000000001</v>
      </c>
      <c r="E58" s="242">
        <f>'Monthly Data'!$BD584*42/1000</f>
        <v>117.22199999999999</v>
      </c>
      <c r="F58" s="242">
        <f>'Monthly Data'!$BD596*42/1000</f>
        <v>243.054</v>
      </c>
      <c r="G58" s="242">
        <f>'Monthly Data'!$BD608*42/1000</f>
        <v>228.06</v>
      </c>
      <c r="H58" s="242">
        <f>'Monthly Data'!$BD620*42/1000</f>
        <v>303.53399999999999</v>
      </c>
      <c r="I58" s="244">
        <f t="shared" si="32"/>
        <v>230.88955472497966</v>
      </c>
      <c r="J58" s="244">
        <f t="shared" si="33"/>
        <v>276.4456366062069</v>
      </c>
      <c r="K58" s="244">
        <f t="shared" si="34"/>
        <v>292.70015748745209</v>
      </c>
      <c r="L58" s="244">
        <f t="shared" si="34"/>
        <v>370.76395978978564</v>
      </c>
      <c r="M58" s="244">
        <f t="shared" si="34"/>
        <v>406.35682085486332</v>
      </c>
      <c r="N58" s="244">
        <f t="shared" si="34"/>
        <v>407.06161536524871</v>
      </c>
      <c r="O58" s="244">
        <f t="shared" si="34"/>
        <v>428.66374445893177</v>
      </c>
      <c r="P58" s="244">
        <f t="shared" si="34"/>
        <v>437.3069037667612</v>
      </c>
      <c r="Q58" s="244">
        <f t="shared" si="34"/>
        <v>499.50013011959555</v>
      </c>
      <c r="R58" s="244">
        <f t="shared" si="34"/>
        <v>501.72012413943889</v>
      </c>
      <c r="S58" s="244">
        <f t="shared" si="34"/>
        <v>527.81801383156744</v>
      </c>
      <c r="T58" s="244">
        <f t="shared" si="34"/>
        <v>540.44312593248185</v>
      </c>
      <c r="U58" s="244">
        <f t="shared" si="34"/>
        <v>552.78629179930874</v>
      </c>
      <c r="V58" s="244">
        <f t="shared" si="34"/>
        <v>576.10760668097782</v>
      </c>
      <c r="W58" s="244">
        <f t="shared" si="34"/>
        <v>599.74243694295342</v>
      </c>
      <c r="X58" s="244">
        <f t="shared" si="34"/>
        <v>617.14620071144589</v>
      </c>
      <c r="Y58" s="244">
        <f t="shared" si="34"/>
        <v>641.33209086438728</v>
      </c>
      <c r="Z58" s="244">
        <f t="shared" si="34"/>
        <v>665.51074563524105</v>
      </c>
      <c r="AA58" s="244">
        <f t="shared" si="35"/>
        <v>689.74421776122813</v>
      </c>
      <c r="AB58" s="244">
        <f t="shared" si="35"/>
        <v>714.00987347593173</v>
      </c>
      <c r="AC58" s="244">
        <f t="shared" si="35"/>
        <v>738.24686487557699</v>
      </c>
      <c r="AD58" s="244">
        <f t="shared" si="35"/>
        <v>762.39350176843311</v>
      </c>
      <c r="AE58" s="244">
        <f t="shared" si="35"/>
        <v>786.36626892977097</v>
      </c>
      <c r="AF58" s="244">
        <f t="shared" si="35"/>
        <v>820.94288201413667</v>
      </c>
      <c r="AG58" s="244">
        <f t="shared" si="35"/>
        <v>848.76586941505252</v>
      </c>
      <c r="AH58" s="244">
        <f t="shared" si="35"/>
        <v>878.42135239138656</v>
      </c>
      <c r="AI58" s="244" t="e">
        <f t="shared" si="35"/>
        <v>#NUM!</v>
      </c>
    </row>
    <row r="59" spans="1:35" x14ac:dyDescent="0.2">
      <c r="A59" s="228" t="s">
        <v>168</v>
      </c>
      <c r="B59" s="242">
        <f>'Monthly Data'!$BD549*42/1000</f>
        <v>349.86</v>
      </c>
      <c r="C59" s="242">
        <f>'Monthly Data'!$BD561*42/1000</f>
        <v>272.07600000000002</v>
      </c>
      <c r="D59" s="242">
        <f>'Monthly Data'!$BD573*42/1000</f>
        <v>70.518000000000001</v>
      </c>
      <c r="E59" s="242">
        <f>'Monthly Data'!$BD585*42/1000</f>
        <v>118.524</v>
      </c>
      <c r="F59" s="242">
        <f>'Monthly Data'!$BD597*42/1000</f>
        <v>260.69400000000002</v>
      </c>
      <c r="G59" s="242">
        <f>'Monthly Data'!$BD609*42/1000</f>
        <v>182.53200000000001</v>
      </c>
      <c r="H59" s="242">
        <f>'Monthly Data'!$BD621*42/1000</f>
        <v>226.17</v>
      </c>
      <c r="I59" s="244">
        <f t="shared" si="32"/>
        <v>209.12663338756801</v>
      </c>
      <c r="J59" s="244">
        <f t="shared" si="33"/>
        <v>245.49262585471121</v>
      </c>
      <c r="K59" s="244">
        <f t="shared" si="34"/>
        <v>256.63319583534297</v>
      </c>
      <c r="L59" s="244">
        <f t="shared" si="34"/>
        <v>311.82757342887629</v>
      </c>
      <c r="M59" s="244">
        <f t="shared" si="34"/>
        <v>344.31920317658319</v>
      </c>
      <c r="N59" s="244">
        <f t="shared" si="34"/>
        <v>352.92367680017435</v>
      </c>
      <c r="O59" s="244">
        <f t="shared" si="34"/>
        <v>369.46594342765172</v>
      </c>
      <c r="P59" s="244">
        <f t="shared" si="34"/>
        <v>375.2577161050325</v>
      </c>
      <c r="Q59" s="244">
        <f t="shared" si="34"/>
        <v>427.29511832239768</v>
      </c>
      <c r="R59" s="244">
        <f t="shared" si="34"/>
        <v>430.42399069543603</v>
      </c>
      <c r="S59" s="244">
        <f t="shared" si="34"/>
        <v>453.80960354991544</v>
      </c>
      <c r="T59" s="244">
        <f t="shared" si="34"/>
        <v>464.00138726551535</v>
      </c>
      <c r="U59" s="244">
        <f t="shared" si="34"/>
        <v>474.28257993221979</v>
      </c>
      <c r="V59" s="244">
        <f t="shared" si="34"/>
        <v>494.27989576652175</v>
      </c>
      <c r="W59" s="244">
        <f t="shared" si="34"/>
        <v>514.83735604238609</v>
      </c>
      <c r="X59" s="244">
        <f t="shared" si="34"/>
        <v>529.83641674200203</v>
      </c>
      <c r="Y59" s="244">
        <f t="shared" si="34"/>
        <v>550.45314487459416</v>
      </c>
      <c r="Z59" s="244">
        <f t="shared" si="34"/>
        <v>571.17421083526006</v>
      </c>
      <c r="AA59" s="244">
        <f t="shared" si="35"/>
        <v>592.00504591186075</v>
      </c>
      <c r="AB59" s="244">
        <f t="shared" si="35"/>
        <v>612.87466637775344</v>
      </c>
      <c r="AC59" s="244">
        <f t="shared" si="35"/>
        <v>633.66868812421717</v>
      </c>
      <c r="AD59" s="244">
        <f t="shared" si="35"/>
        <v>654.369665971941</v>
      </c>
      <c r="AE59" s="244">
        <f t="shared" si="35"/>
        <v>674.94756144265</v>
      </c>
      <c r="AF59" s="244">
        <f t="shared" si="35"/>
        <v>704.63433715739916</v>
      </c>
      <c r="AG59" s="244">
        <f t="shared" si="35"/>
        <v>728.51954644249565</v>
      </c>
      <c r="AH59" s="244">
        <f t="shared" si="35"/>
        <v>753.96924556893646</v>
      </c>
      <c r="AI59" s="244" t="e">
        <f t="shared" si="35"/>
        <v>#NUM!</v>
      </c>
    </row>
    <row r="60" spans="1:35" x14ac:dyDescent="0.2">
      <c r="A60" s="228" t="s">
        <v>169</v>
      </c>
      <c r="B60" s="242">
        <f>'Monthly Data'!$BD550*42/1000</f>
        <v>290.43</v>
      </c>
      <c r="C60" s="242">
        <f>'Monthly Data'!$BD562*42/1000</f>
        <v>331.17</v>
      </c>
      <c r="D60" s="242">
        <f>'Monthly Data'!$BD574*42/1000</f>
        <v>39.438000000000002</v>
      </c>
      <c r="E60" s="242">
        <f>'Monthly Data'!$BD586*42/1000</f>
        <v>181.608</v>
      </c>
      <c r="F60" s="242">
        <f>'Monthly Data'!$BD598*42/1000</f>
        <v>268.63200000000001</v>
      </c>
      <c r="G60" s="242">
        <f>'Monthly Data'!$BD610*42/1000</f>
        <v>273.58800000000002</v>
      </c>
      <c r="H60" s="242">
        <f>'Monthly Data'!$BD622*42/1000</f>
        <v>287.02800000000002</v>
      </c>
      <c r="I60" s="244">
        <f t="shared" si="32"/>
        <v>255.86524395141217</v>
      </c>
      <c r="J60" s="244">
        <f t="shared" si="33"/>
        <v>311.89185539599447</v>
      </c>
      <c r="K60" s="244">
        <f t="shared" si="34"/>
        <v>318.96175812193133</v>
      </c>
      <c r="L60" s="244">
        <f t="shared" si="34"/>
        <v>402.97970555634066</v>
      </c>
      <c r="M60" s="244">
        <f t="shared" si="34"/>
        <v>434.57852425058411</v>
      </c>
      <c r="N60" s="244">
        <f t="shared" si="34"/>
        <v>445.03331241074801</v>
      </c>
      <c r="O60" s="244">
        <f t="shared" si="34"/>
        <v>467.81005969337701</v>
      </c>
      <c r="P60" s="244">
        <f t="shared" si="34"/>
        <v>474.90154645676654</v>
      </c>
      <c r="Q60" s="244">
        <f t="shared" si="34"/>
        <v>542.17377346075784</v>
      </c>
      <c r="R60" s="244">
        <f t="shared" si="34"/>
        <v>544.45899724740445</v>
      </c>
      <c r="S60" s="244">
        <f t="shared" si="34"/>
        <v>574.26389865177168</v>
      </c>
      <c r="T60" s="244">
        <f t="shared" si="34"/>
        <v>587.51438691283658</v>
      </c>
      <c r="U60" s="244">
        <f t="shared" si="34"/>
        <v>600.53331045164714</v>
      </c>
      <c r="V60" s="244">
        <f t="shared" si="34"/>
        <v>625.9080755007343</v>
      </c>
      <c r="W60" s="244">
        <f t="shared" si="34"/>
        <v>651.69811338063982</v>
      </c>
      <c r="X60" s="244">
        <f t="shared" si="34"/>
        <v>670.76956809047795</v>
      </c>
      <c r="Y60" s="244">
        <f t="shared" si="34"/>
        <v>696.92714545575802</v>
      </c>
      <c r="Z60" s="244">
        <f t="shared" si="34"/>
        <v>723.15232188236075</v>
      </c>
      <c r="AA60" s="244">
        <f t="shared" si="35"/>
        <v>749.51391126069507</v>
      </c>
      <c r="AB60" s="244">
        <f t="shared" si="35"/>
        <v>775.90942478382181</v>
      </c>
      <c r="AC60" s="244">
        <f t="shared" si="35"/>
        <v>802.25595478011178</v>
      </c>
      <c r="AD60" s="244">
        <f t="shared" si="35"/>
        <v>828.47095874259423</v>
      </c>
      <c r="AE60" s="244">
        <f t="shared" si="35"/>
        <v>854.51924217921373</v>
      </c>
      <c r="AF60" s="244">
        <f t="shared" si="35"/>
        <v>892.10079305397153</v>
      </c>
      <c r="AG60" s="244">
        <f t="shared" si="35"/>
        <v>922.33901412798969</v>
      </c>
      <c r="AH60" s="244">
        <f t="shared" si="35"/>
        <v>954.56346715793882</v>
      </c>
      <c r="AI60" s="244" t="e">
        <f t="shared" si="35"/>
        <v>#NUM!</v>
      </c>
    </row>
    <row r="61" spans="1:35" x14ac:dyDescent="0.2">
      <c r="A61" s="228" t="s">
        <v>170</v>
      </c>
      <c r="B61" s="242">
        <f>'Monthly Data'!$BD551*42/1000</f>
        <v>209.74799999999999</v>
      </c>
      <c r="C61" s="242">
        <f>'Monthly Data'!$BD563*42/1000</f>
        <v>305.71800000000002</v>
      </c>
      <c r="D61" s="242">
        <f>'Monthly Data'!$BD575*42/1000</f>
        <v>57.414000000000001</v>
      </c>
      <c r="E61" s="242">
        <f>'Monthly Data'!$BD587*42/1000</f>
        <v>137.42400000000001</v>
      </c>
      <c r="F61" s="242">
        <f>'Monthly Data'!$BD599*42/1000</f>
        <v>266.53199999999998</v>
      </c>
      <c r="G61" s="242">
        <f>'Monthly Data'!$BD611*42/1000</f>
        <v>174.46799999999999</v>
      </c>
      <c r="H61" s="242">
        <f>'Monthly Data'!$BD623*42/1000</f>
        <v>259.26600000000002</v>
      </c>
      <c r="I61" s="244">
        <f t="shared" si="32"/>
        <v>218.05894665863539</v>
      </c>
      <c r="J61" s="244">
        <f t="shared" si="33"/>
        <v>259.94629787574542</v>
      </c>
      <c r="K61" s="244">
        <f t="shared" si="34"/>
        <v>269.02082739480579</v>
      </c>
      <c r="L61" s="244">
        <f t="shared" si="34"/>
        <v>328.757608277798</v>
      </c>
      <c r="M61" s="244">
        <f t="shared" si="34"/>
        <v>367.96736569986786</v>
      </c>
      <c r="N61" s="244">
        <f t="shared" si="34"/>
        <v>372.62996475314452</v>
      </c>
      <c r="O61" s="244">
        <f t="shared" si="34"/>
        <v>390.76695662190059</v>
      </c>
      <c r="P61" s="244">
        <f t="shared" si="34"/>
        <v>396.82376180864236</v>
      </c>
      <c r="Q61" s="244">
        <f t="shared" si="34"/>
        <v>452.42700294257946</v>
      </c>
      <c r="R61" s="244">
        <f t="shared" si="34"/>
        <v>456.06468792992541</v>
      </c>
      <c r="S61" s="244">
        <f t="shared" si="34"/>
        <v>480.11539962826362</v>
      </c>
      <c r="T61" s="244">
        <f t="shared" si="34"/>
        <v>491.06754404706101</v>
      </c>
      <c r="U61" s="244">
        <f t="shared" si="34"/>
        <v>502.00374236566898</v>
      </c>
      <c r="V61" s="244">
        <f t="shared" si="34"/>
        <v>523.2505579144007</v>
      </c>
      <c r="W61" s="244">
        <f t="shared" si="34"/>
        <v>544.99352387127863</v>
      </c>
      <c r="X61" s="244">
        <f t="shared" si="34"/>
        <v>560.77648775108446</v>
      </c>
      <c r="Y61" s="244">
        <f t="shared" si="34"/>
        <v>582.64039243908428</v>
      </c>
      <c r="Z61" s="244">
        <f t="shared" si="34"/>
        <v>604.58778664435874</v>
      </c>
      <c r="AA61" s="244">
        <f t="shared" si="35"/>
        <v>626.64262224051708</v>
      </c>
      <c r="AB61" s="244">
        <f t="shared" si="35"/>
        <v>648.72199677493188</v>
      </c>
      <c r="AC61" s="244">
        <f t="shared" si="35"/>
        <v>670.72271220665471</v>
      </c>
      <c r="AD61" s="244">
        <f t="shared" si="35"/>
        <v>692.64354308078202</v>
      </c>
      <c r="AE61" s="244">
        <f t="shared" si="35"/>
        <v>714.42692423517781</v>
      </c>
      <c r="AF61" s="244">
        <f t="shared" si="35"/>
        <v>745.84922479073123</v>
      </c>
      <c r="AG61" s="244">
        <f t="shared" si="35"/>
        <v>771.12917439847649</v>
      </c>
      <c r="AH61" s="244">
        <f t="shared" si="35"/>
        <v>798.06703360131996</v>
      </c>
      <c r="AI61" s="244" t="e">
        <f t="shared" si="35"/>
        <v>#NUM!</v>
      </c>
    </row>
    <row r="62" spans="1:35" x14ac:dyDescent="0.2">
      <c r="A62" s="228" t="s">
        <v>171</v>
      </c>
      <c r="B62" s="242">
        <f>'Monthly Data'!$BD552*42/1000</f>
        <v>360.44400000000002</v>
      </c>
      <c r="C62" s="242">
        <f>'Monthly Data'!$BD564*42/1000</f>
        <v>288.41399999999999</v>
      </c>
      <c r="D62" s="242">
        <f>'Monthly Data'!$BD576*42/1000</f>
        <v>53.13</v>
      </c>
      <c r="E62" s="242">
        <f>'Monthly Data'!$BD588*42/1000</f>
        <v>163.506</v>
      </c>
      <c r="F62" s="242">
        <f>'Monthly Data'!$BD600*42/1000</f>
        <v>185.72399999999999</v>
      </c>
      <c r="G62" s="242">
        <f>'Monthly Data'!$BD612*42/1000</f>
        <v>199.66800000000001</v>
      </c>
      <c r="H62" s="242">
        <f>'Monthly Data'!$BD624*42/1000</f>
        <v>263.214</v>
      </c>
      <c r="I62" s="244">
        <f t="shared" si="32"/>
        <v>210.78417605642585</v>
      </c>
      <c r="J62" s="244">
        <f t="shared" si="33"/>
        <v>251.85729516346825</v>
      </c>
      <c r="K62" s="244">
        <f t="shared" si="34"/>
        <v>253.71807683051583</v>
      </c>
      <c r="L62" s="244">
        <f t="shared" si="34"/>
        <v>328.33480749856471</v>
      </c>
      <c r="M62" s="244">
        <f t="shared" si="34"/>
        <v>360.48665401993668</v>
      </c>
      <c r="N62" s="244">
        <f t="shared" si="34"/>
        <v>362.67509661858537</v>
      </c>
      <c r="O62" s="244">
        <f t="shared" si="34"/>
        <v>380.68188701309759</v>
      </c>
      <c r="P62" s="244">
        <f t="shared" si="34"/>
        <v>386.89912120699682</v>
      </c>
      <c r="Q62" s="244">
        <f t="shared" si="34"/>
        <v>443.20080573879108</v>
      </c>
      <c r="R62" s="244">
        <f t="shared" si="34"/>
        <v>445.31791649719798</v>
      </c>
      <c r="S62" s="244">
        <f t="shared" si="34"/>
        <v>468.5256853566371</v>
      </c>
      <c r="T62" s="244">
        <f t="shared" si="34"/>
        <v>479.43003190297298</v>
      </c>
      <c r="U62" s="244">
        <f t="shared" si="34"/>
        <v>490.28887959506915</v>
      </c>
      <c r="V62" s="244">
        <f t="shared" si="34"/>
        <v>511.18581612464851</v>
      </c>
      <c r="W62" s="244">
        <f t="shared" si="34"/>
        <v>532.15955261775412</v>
      </c>
      <c r="X62" s="244">
        <f t="shared" si="34"/>
        <v>547.57238425027799</v>
      </c>
      <c r="Y62" s="244">
        <f t="shared" si="34"/>
        <v>568.9847774430981</v>
      </c>
      <c r="Z62" s="244">
        <f t="shared" si="34"/>
        <v>590.44632751091524</v>
      </c>
      <c r="AA62" s="244">
        <f t="shared" si="35"/>
        <v>611.97925831811995</v>
      </c>
      <c r="AB62" s="244">
        <f t="shared" si="35"/>
        <v>633.50214787890229</v>
      </c>
      <c r="AC62" s="244">
        <f t="shared" si="35"/>
        <v>654.99728599512366</v>
      </c>
      <c r="AD62" s="244">
        <f t="shared" si="35"/>
        <v>676.41664442411536</v>
      </c>
      <c r="AE62" s="244">
        <f t="shared" si="35"/>
        <v>697.69097632960427</v>
      </c>
      <c r="AF62" s="244">
        <f t="shared" si="35"/>
        <v>728.37242079267708</v>
      </c>
      <c r="AG62" s="244">
        <f t="shared" si="35"/>
        <v>753.05552679424886</v>
      </c>
      <c r="AH62" s="244">
        <f t="shared" si="35"/>
        <v>779.36538666628803</v>
      </c>
      <c r="AI62" s="244" t="e">
        <f t="shared" si="35"/>
        <v>#NUM!</v>
      </c>
    </row>
    <row r="63" spans="1:35" x14ac:dyDescent="0.2">
      <c r="A63" s="228" t="s">
        <v>172</v>
      </c>
      <c r="B63" s="242">
        <f>'Monthly Data'!$BD553*42/1000</f>
        <v>270.858</v>
      </c>
      <c r="C63" s="242">
        <f>'Monthly Data'!$BD565*42/1000</f>
        <v>284.38200000000001</v>
      </c>
      <c r="D63" s="242">
        <f>'Monthly Data'!$BD577*42/1000</f>
        <v>99.665999999999997</v>
      </c>
      <c r="E63" s="242">
        <f>'Monthly Data'!$BD589*42/1000</f>
        <v>187.32</v>
      </c>
      <c r="F63" s="242">
        <f>'Monthly Data'!$BD601*42/1000</f>
        <v>218.06399999999999</v>
      </c>
      <c r="G63" s="242">
        <f>'Monthly Data'!$BD613*42/1000</f>
        <v>241.29</v>
      </c>
      <c r="H63" s="242">
        <f>'Monthly Data'!$BD625*42/1000</f>
        <v>305.08800000000002</v>
      </c>
      <c r="I63" s="244">
        <f t="shared" si="32"/>
        <v>256.14150106288844</v>
      </c>
      <c r="J63" s="244">
        <f t="shared" si="33"/>
        <v>297.40976231726665</v>
      </c>
      <c r="K63" s="244">
        <f t="shared" si="34"/>
        <v>300.92191408390386</v>
      </c>
      <c r="L63" s="244">
        <f t="shared" si="34"/>
        <v>390.03731037734576</v>
      </c>
      <c r="M63" s="244">
        <f t="shared" si="34"/>
        <v>427.10146440025886</v>
      </c>
      <c r="N63" s="244">
        <f t="shared" si="34"/>
        <v>431.44052058746274</v>
      </c>
      <c r="O63" s="244">
        <f t="shared" si="34"/>
        <v>451.5434003218985</v>
      </c>
      <c r="P63" s="244">
        <f t="shared" si="34"/>
        <v>459.22296589518101</v>
      </c>
      <c r="Q63" s="244">
        <f t="shared" si="34"/>
        <v>526.1038642779107</v>
      </c>
      <c r="R63" s="244">
        <f t="shared" si="34"/>
        <v>528.55119663937523</v>
      </c>
      <c r="S63" s="244">
        <f t="shared" si="34"/>
        <v>556.27372191325492</v>
      </c>
      <c r="T63" s="244">
        <f t="shared" si="34"/>
        <v>569.03036966401442</v>
      </c>
      <c r="U63" s="244">
        <f t="shared" si="34"/>
        <v>581.98121392778785</v>
      </c>
      <c r="V63" s="244">
        <f t="shared" si="34"/>
        <v>606.79344938658937</v>
      </c>
      <c r="W63" s="244">
        <f t="shared" si="34"/>
        <v>631.6875408762678</v>
      </c>
      <c r="X63" s="244">
        <f t="shared" si="34"/>
        <v>649.99467937066981</v>
      </c>
      <c r="Y63" s="244">
        <f t="shared" si="34"/>
        <v>675.38749339180731</v>
      </c>
      <c r="Z63" s="244">
        <f t="shared" si="34"/>
        <v>700.87475654115644</v>
      </c>
      <c r="AA63" s="244">
        <f t="shared" si="35"/>
        <v>726.43580644200097</v>
      </c>
      <c r="AB63" s="244">
        <f t="shared" si="35"/>
        <v>751.98357317120463</v>
      </c>
      <c r="AC63" s="244">
        <f t="shared" si="35"/>
        <v>777.4988025196709</v>
      </c>
      <c r="AD63" s="244">
        <f t="shared" si="35"/>
        <v>802.92147895742528</v>
      </c>
      <c r="AE63" s="244">
        <f t="shared" si="35"/>
        <v>828.17678069493456</v>
      </c>
      <c r="AF63" s="244">
        <f t="shared" si="35"/>
        <v>864.59641151344863</v>
      </c>
      <c r="AG63" s="244">
        <f t="shared" si="35"/>
        <v>893.89565564532495</v>
      </c>
      <c r="AH63" s="244">
        <f t="shared" si="35"/>
        <v>925.12594677547463</v>
      </c>
      <c r="AI63" s="244" t="e">
        <f t="shared" si="35"/>
        <v>#NUM!</v>
      </c>
    </row>
    <row r="64" spans="1:35" x14ac:dyDescent="0.2">
      <c r="A64" s="228" t="s">
        <v>173</v>
      </c>
      <c r="B64" s="242">
        <f>'Monthly Data'!$BD554*42/1000</f>
        <v>274.76400000000001</v>
      </c>
      <c r="C64" s="242">
        <f>'Monthly Data'!$BD566*42/1000</f>
        <v>333.9</v>
      </c>
      <c r="D64" s="242">
        <f>'Monthly Data'!$BD578*42/1000</f>
        <v>107.352</v>
      </c>
      <c r="E64" s="242">
        <f>'Monthly Data'!$BD590*42/1000</f>
        <v>220.87799999999999</v>
      </c>
      <c r="F64" s="242">
        <f>'Monthly Data'!$BD602*42/1000</f>
        <v>233.982</v>
      </c>
      <c r="G64" s="242">
        <f>'Monthly Data'!$BD614*42/1000</f>
        <v>328.65</v>
      </c>
      <c r="H64" s="242">
        <f>'Monthly Data'!$BD626*42/1000</f>
        <v>316.55399999999997</v>
      </c>
      <c r="I64" s="244">
        <f t="shared" ref="I64:Q64" si="36">I65-SUM(I53:I63)</f>
        <v>294.14220150818574</v>
      </c>
      <c r="J64" s="244">
        <f t="shared" si="36"/>
        <v>343.28117655668621</v>
      </c>
      <c r="K64" s="244">
        <f t="shared" si="36"/>
        <v>346.26959761117087</v>
      </c>
      <c r="L64" s="244">
        <f t="shared" si="36"/>
        <v>453.53182800231934</v>
      </c>
      <c r="M64" s="244">
        <f t="shared" si="36"/>
        <v>483.37779183598741</v>
      </c>
      <c r="N64" s="244">
        <f t="shared" si="36"/>
        <v>495.70462961762132</v>
      </c>
      <c r="O64" s="244">
        <f t="shared" si="36"/>
        <v>518.83909157510243</v>
      </c>
      <c r="P64" s="244">
        <f t="shared" si="36"/>
        <v>527.30815571847052</v>
      </c>
      <c r="Q64" s="244">
        <f t="shared" si="36"/>
        <v>603.92646960825641</v>
      </c>
      <c r="R64" s="244">
        <f>R65-SUM(R53:R63)</f>
        <v>605.40046520023043</v>
      </c>
      <c r="S64" s="244">
        <f t="shared" ref="S64:AI64" si="37">S65-SUM(S53:S63)</f>
        <v>638.50505812352549</v>
      </c>
      <c r="T64" s="244">
        <f t="shared" si="37"/>
        <v>653.03773038842155</v>
      </c>
      <c r="U64" s="244">
        <f t="shared" si="37"/>
        <v>667.76090431667762</v>
      </c>
      <c r="V64" s="244">
        <f t="shared" si="37"/>
        <v>696.14258575266649</v>
      </c>
      <c r="W64" s="244">
        <f t="shared" si="37"/>
        <v>724.62342826026997</v>
      </c>
      <c r="X64" s="244">
        <f t="shared" si="37"/>
        <v>745.82539983073002</v>
      </c>
      <c r="Y64" s="244">
        <f t="shared" si="37"/>
        <v>774.91347294499428</v>
      </c>
      <c r="Z64" s="244">
        <f t="shared" si="37"/>
        <v>804.12219408111287</v>
      </c>
      <c r="AA64" s="244">
        <f t="shared" si="37"/>
        <v>833.43830229531341</v>
      </c>
      <c r="AB64" s="244">
        <f t="shared" si="37"/>
        <v>862.75593192517772</v>
      </c>
      <c r="AC64" s="244">
        <f t="shared" si="37"/>
        <v>892.05547271189698</v>
      </c>
      <c r="AD64" s="244">
        <f t="shared" si="37"/>
        <v>921.21055059848095</v>
      </c>
      <c r="AE64" s="244">
        <f t="shared" si="37"/>
        <v>950.18089972076177</v>
      </c>
      <c r="AF64" s="244">
        <f t="shared" si="37"/>
        <v>991.96640892687901</v>
      </c>
      <c r="AG64" s="244">
        <f t="shared" si="37"/>
        <v>1025.5850597289118</v>
      </c>
      <c r="AH64" s="244">
        <f t="shared" si="37"/>
        <v>1061.4185409448382</v>
      </c>
      <c r="AI64" s="244" t="e">
        <f t="shared" si="37"/>
        <v>#NUM!</v>
      </c>
    </row>
    <row r="65" spans="1:35" ht="12" thickBot="1" x14ac:dyDescent="0.25">
      <c r="A65" s="228" t="s">
        <v>226</v>
      </c>
      <c r="B65" s="239">
        <f>SUM(B53:B64)</f>
        <v>3416.364</v>
      </c>
      <c r="C65" s="239">
        <f>SUM(C54:C64)</f>
        <v>3033.1140000000005</v>
      </c>
      <c r="D65" s="239">
        <f>SUM(D53:D64)</f>
        <v>1482.4740000000002</v>
      </c>
      <c r="E65" s="239">
        <f>SUM(E53:E64)</f>
        <v>1646.3579999999999</v>
      </c>
      <c r="F65" s="239">
        <f>SUM(F53:F64)</f>
        <v>2723.07</v>
      </c>
      <c r="G65" s="239">
        <f>SUM(G53:G64)</f>
        <v>2676.828</v>
      </c>
      <c r="H65" s="239">
        <f>SUM(H53:H64)</f>
        <v>3212.7480000000005</v>
      </c>
      <c r="I65" s="244">
        <f t="shared" ref="I65:AI65" si="38">I10</f>
        <v>2860.3763639706012</v>
      </c>
      <c r="J65" s="244">
        <f t="shared" si="38"/>
        <v>3230.2512513333349</v>
      </c>
      <c r="K65" s="244">
        <f t="shared" si="38"/>
        <v>3357.0256863600007</v>
      </c>
      <c r="L65" s="244">
        <f t="shared" si="38"/>
        <v>4270.3263285190042</v>
      </c>
      <c r="M65" s="244">
        <f t="shared" si="38"/>
        <v>4666.4594867319829</v>
      </c>
      <c r="N65" s="244">
        <f t="shared" si="38"/>
        <v>4744.9959739002843</v>
      </c>
      <c r="O65" s="244">
        <f t="shared" si="38"/>
        <v>4955.4958732477935</v>
      </c>
      <c r="P65" s="244">
        <f t="shared" si="38"/>
        <v>5047.5082700789899</v>
      </c>
      <c r="Q65" s="244">
        <f t="shared" si="38"/>
        <v>5770.570976830968</v>
      </c>
      <c r="R65" s="244">
        <f t="shared" si="38"/>
        <v>5799.2102512517449</v>
      </c>
      <c r="S65" s="244">
        <f t="shared" si="38"/>
        <v>6107.9405075330433</v>
      </c>
      <c r="T65" s="244">
        <f t="shared" si="38"/>
        <v>6246.2640202213734</v>
      </c>
      <c r="U65" s="244">
        <f t="shared" si="38"/>
        <v>6388.670620726909</v>
      </c>
      <c r="V65" s="244">
        <f t="shared" si="38"/>
        <v>6659.6373862450855</v>
      </c>
      <c r="W65" s="244">
        <f t="shared" si="38"/>
        <v>6933.6283209012181</v>
      </c>
      <c r="X65" s="244">
        <f t="shared" si="38"/>
        <v>7135.0940289237551</v>
      </c>
      <c r="Y65" s="244">
        <f t="shared" si="38"/>
        <v>7413.4713796468495</v>
      </c>
      <c r="Z65" s="244">
        <f t="shared" si="38"/>
        <v>7693.1831641380268</v>
      </c>
      <c r="AA65" s="244">
        <f t="shared" si="38"/>
        <v>7973.6377432414811</v>
      </c>
      <c r="AB65" s="244">
        <f t="shared" si="38"/>
        <v>8254.2286868225201</v>
      </c>
      <c r="AC65" s="244">
        <f t="shared" si="38"/>
        <v>8534.3344039930889</v>
      </c>
      <c r="AD65" s="244">
        <f t="shared" si="38"/>
        <v>8813.3177640929207</v>
      </c>
      <c r="AE65" s="244">
        <f t="shared" si="38"/>
        <v>9090.5257081952441</v>
      </c>
      <c r="AF65" s="244">
        <f t="shared" si="38"/>
        <v>9490.2888509001277</v>
      </c>
      <c r="AG65" s="244">
        <f t="shared" si="38"/>
        <v>9811.921072172634</v>
      </c>
      <c r="AH65" s="244">
        <f t="shared" si="38"/>
        <v>10154.719098976951</v>
      </c>
      <c r="AI65" s="244" t="e">
        <f t="shared" si="38"/>
        <v>#NUM!</v>
      </c>
    </row>
    <row r="66" spans="1:35" x14ac:dyDescent="0.2">
      <c r="A66" s="245"/>
      <c r="B66" s="245"/>
      <c r="C66" s="245"/>
      <c r="D66" s="245"/>
      <c r="E66" s="245"/>
      <c r="F66" s="245"/>
      <c r="G66" s="245"/>
      <c r="H66" s="245"/>
      <c r="I66" s="245"/>
      <c r="J66" s="245"/>
      <c r="K66" s="245"/>
      <c r="L66" s="245"/>
      <c r="M66" s="245"/>
      <c r="N66" s="245"/>
      <c r="O66" s="245"/>
      <c r="P66" s="245"/>
      <c r="Q66" s="245"/>
      <c r="R66" s="245"/>
      <c r="S66" s="245"/>
      <c r="T66" s="245"/>
      <c r="U66" s="245"/>
      <c r="V66" s="245"/>
      <c r="W66" s="245"/>
      <c r="X66" s="245"/>
      <c r="Y66" s="245"/>
      <c r="Z66" s="245"/>
      <c r="AA66" s="245"/>
      <c r="AB66" s="245"/>
      <c r="AC66" s="245"/>
      <c r="AD66" s="245"/>
      <c r="AE66" s="245"/>
      <c r="AF66" s="245"/>
      <c r="AG66" s="245"/>
      <c r="AH66" s="245"/>
      <c r="AI66" s="245"/>
    </row>
    <row r="67" spans="1:35" ht="12" thickBot="1" x14ac:dyDescent="0.25">
      <c r="A67" s="228" t="s">
        <v>239</v>
      </c>
    </row>
    <row r="68" spans="1:35" ht="12" thickBot="1" x14ac:dyDescent="0.25">
      <c r="A68" s="231" t="s">
        <v>197</v>
      </c>
      <c r="B68" s="241">
        <f t="shared" ref="B68:AI68" si="39">B4</f>
        <v>2018</v>
      </c>
      <c r="C68" s="241">
        <f t="shared" si="39"/>
        <v>2019</v>
      </c>
      <c r="D68" s="241">
        <f t="shared" si="39"/>
        <v>2020</v>
      </c>
      <c r="E68" s="241">
        <f t="shared" si="39"/>
        <v>2021</v>
      </c>
      <c r="F68" s="241">
        <f t="shared" si="39"/>
        <v>2022</v>
      </c>
      <c r="G68" s="241">
        <f t="shared" si="39"/>
        <v>2023</v>
      </c>
      <c r="H68" s="241">
        <f t="shared" si="39"/>
        <v>2024</v>
      </c>
      <c r="I68" s="241">
        <f t="shared" si="39"/>
        <v>2025</v>
      </c>
      <c r="J68" s="241">
        <f t="shared" si="39"/>
        <v>2026</v>
      </c>
      <c r="K68" s="241">
        <f t="shared" si="39"/>
        <v>2027</v>
      </c>
      <c r="L68" s="241">
        <f t="shared" si="39"/>
        <v>2028</v>
      </c>
      <c r="M68" s="241">
        <f t="shared" si="39"/>
        <v>2029</v>
      </c>
      <c r="N68" s="241">
        <f t="shared" si="39"/>
        <v>2030</v>
      </c>
      <c r="O68" s="241">
        <f t="shared" si="39"/>
        <v>2031</v>
      </c>
      <c r="P68" s="241">
        <f t="shared" si="39"/>
        <v>2032</v>
      </c>
      <c r="Q68" s="241">
        <f t="shared" si="39"/>
        <v>2033</v>
      </c>
      <c r="R68" s="241">
        <f t="shared" si="39"/>
        <v>2034</v>
      </c>
      <c r="S68" s="241">
        <f t="shared" si="39"/>
        <v>2035</v>
      </c>
      <c r="T68" s="241">
        <f t="shared" si="39"/>
        <v>2036</v>
      </c>
      <c r="U68" s="241">
        <f t="shared" si="39"/>
        <v>2037</v>
      </c>
      <c r="V68" s="241">
        <f t="shared" si="39"/>
        <v>2038</v>
      </c>
      <c r="W68" s="241">
        <f t="shared" si="39"/>
        <v>2039</v>
      </c>
      <c r="X68" s="241">
        <f t="shared" si="39"/>
        <v>2040</v>
      </c>
      <c r="Y68" s="241">
        <f t="shared" si="39"/>
        <v>2041</v>
      </c>
      <c r="Z68" s="241">
        <f t="shared" si="39"/>
        <v>2042</v>
      </c>
      <c r="AA68" s="241">
        <f t="shared" si="39"/>
        <v>2043</v>
      </c>
      <c r="AB68" s="241">
        <f t="shared" si="39"/>
        <v>2044</v>
      </c>
      <c r="AC68" s="241">
        <f t="shared" si="39"/>
        <v>2045</v>
      </c>
      <c r="AD68" s="241">
        <f t="shared" si="39"/>
        <v>2046</v>
      </c>
      <c r="AE68" s="241">
        <f t="shared" si="39"/>
        <v>2047</v>
      </c>
      <c r="AF68" s="241">
        <f t="shared" si="39"/>
        <v>2048</v>
      </c>
      <c r="AG68" s="241">
        <f t="shared" si="39"/>
        <v>2049</v>
      </c>
      <c r="AH68" s="241">
        <f t="shared" si="39"/>
        <v>2050</v>
      </c>
      <c r="AI68" s="241">
        <f t="shared" si="39"/>
        <v>2051</v>
      </c>
    </row>
    <row r="69" spans="1:35" x14ac:dyDescent="0.2">
      <c r="A69" s="228" t="s">
        <v>162</v>
      </c>
      <c r="B69" s="239">
        <f>B5+B21+B37-B53-B85</f>
        <v>2041.578</v>
      </c>
      <c r="C69" s="239">
        <f>B96+C21+C37-C53-C85</f>
        <v>2110.5839999999998</v>
      </c>
      <c r="D69" s="239">
        <f>C96+D21+D37-D53-D85</f>
        <v>2177.8680000000004</v>
      </c>
      <c r="E69" s="239">
        <f>'Monthly Data'!$BH579*42*31</f>
        <v>1472.6414220000001</v>
      </c>
      <c r="F69" s="239">
        <f>'Monthly Data'!$BH591*42*31</f>
        <v>1846.669566</v>
      </c>
      <c r="G69" s="239">
        <f>'Monthly Data'!$BH603*42*31</f>
        <v>1989.0120180000004</v>
      </c>
      <c r="H69" s="239">
        <f>'Monthly Data'!$BH615*42*31</f>
        <v>2000.1324</v>
      </c>
      <c r="I69" s="244">
        <f>'Monthly Data'!$BH627*42*31</f>
        <v>2097.9434700294</v>
      </c>
      <c r="J69" s="244">
        <f>'Monthly Data'!$BH639*42*31</f>
        <v>2068.4275079999998</v>
      </c>
      <c r="K69" s="244">
        <f t="shared" ref="K69:K79" si="40">K$81*(SUM(F69:J69)/SUM(F$81:J$81))</f>
        <v>2132.1924783862164</v>
      </c>
      <c r="L69" s="244">
        <f t="shared" ref="L69:L79" si="41">L$81*(SUM(G69:K69)/SUM(G$81:K$81))</f>
        <v>2187.4884467442471</v>
      </c>
      <c r="M69" s="244">
        <f t="shared" ref="M69:AB79" si="42">M$81*(SUM(H69:L69)/SUM(H$81:L$81))</f>
        <v>2237.9386441765105</v>
      </c>
      <c r="N69" s="244">
        <f t="shared" si="42"/>
        <v>2298.4820654578548</v>
      </c>
      <c r="O69" s="244">
        <f t="shared" si="42"/>
        <v>2349.2797073818042</v>
      </c>
      <c r="P69" s="244">
        <f t="shared" si="42"/>
        <v>2411.9231591765574</v>
      </c>
      <c r="Q69" s="244">
        <f t="shared" si="42"/>
        <v>2472.1343101163961</v>
      </c>
      <c r="R69" s="244">
        <f t="shared" si="42"/>
        <v>2533.4034386777603</v>
      </c>
      <c r="S69" s="244">
        <f t="shared" si="42"/>
        <v>2597.0013082030459</v>
      </c>
      <c r="T69" s="244">
        <f t="shared" si="42"/>
        <v>2661.2566381246452</v>
      </c>
      <c r="U69" s="244">
        <f t="shared" si="42"/>
        <v>2728.4086931428214</v>
      </c>
      <c r="V69" s="244">
        <f t="shared" si="42"/>
        <v>2796.5312108519206</v>
      </c>
      <c r="W69" s="244">
        <f t="shared" si="42"/>
        <v>2866.3566254235966</v>
      </c>
      <c r="X69" s="244">
        <f t="shared" si="42"/>
        <v>2938.0237537000248</v>
      </c>
      <c r="Y69" s="244">
        <f t="shared" si="42"/>
        <v>3011.4277645924931</v>
      </c>
      <c r="Z69" s="244">
        <f t="shared" si="42"/>
        <v>3086.8010003453905</v>
      </c>
      <c r="AA69" s="244">
        <f t="shared" si="42"/>
        <v>3163.9438194443974</v>
      </c>
      <c r="AB69" s="244">
        <f t="shared" si="42"/>
        <v>3243.0282301020275</v>
      </c>
      <c r="AC69" s="244">
        <f t="shared" ref="AC69:AI79" si="43">AC$81*(SUM(X69:AB69)/SUM(X$81:AB$81))</f>
        <v>3324.1056106023193</v>
      </c>
      <c r="AD69" s="244">
        <f t="shared" si="43"/>
        <v>3407.2085183541535</v>
      </c>
      <c r="AE69" s="244">
        <f t="shared" si="43"/>
        <v>3492.3990832092395</v>
      </c>
      <c r="AF69" s="244">
        <f t="shared" si="43"/>
        <v>3579.7027973360728</v>
      </c>
      <c r="AG69" s="244">
        <f t="shared" si="43"/>
        <v>3669.1936122216653</v>
      </c>
      <c r="AH69" s="244">
        <f t="shared" si="43"/>
        <v>3760.9243729506679</v>
      </c>
      <c r="AI69" s="244">
        <f t="shared" si="43"/>
        <v>3854.9482403319616</v>
      </c>
    </row>
    <row r="70" spans="1:35" x14ac:dyDescent="0.2">
      <c r="A70" s="228" t="s">
        <v>163</v>
      </c>
      <c r="B70" s="239">
        <f t="shared" ref="B70:D80" si="44">B85+B22+B38-B54-B86</f>
        <v>1869.5039999999995</v>
      </c>
      <c r="C70" s="239">
        <f t="shared" si="44"/>
        <v>1889.4540000000004</v>
      </c>
      <c r="D70" s="239">
        <f t="shared" si="44"/>
        <v>1971.942</v>
      </c>
      <c r="E70" s="239">
        <f>'Monthly Data'!$BH580*42*28</f>
        <v>1278.0756240000001</v>
      </c>
      <c r="F70" s="239">
        <f>'Monthly Data'!$BH592*42*28</f>
        <v>1667.65032</v>
      </c>
      <c r="G70" s="239">
        <f>'Monthly Data'!$BH604*42*28</f>
        <v>1782.5478719999999</v>
      </c>
      <c r="H70" s="239">
        <f>'Monthly Data'!$BH616*42*28</f>
        <v>1839.2428319999999</v>
      </c>
      <c r="I70" s="244">
        <f>'Monthly Data'!$BH628*42*28</f>
        <v>1867.4386080000002</v>
      </c>
      <c r="J70" s="244">
        <f>'Monthly Data'!$BH640*42*28</f>
        <v>1897.9640400000001</v>
      </c>
      <c r="K70" s="244">
        <f t="shared" si="40"/>
        <v>1930.2452057919343</v>
      </c>
      <c r="L70" s="244">
        <f t="shared" si="41"/>
        <v>1981.1788444252461</v>
      </c>
      <c r="M70" s="244">
        <f t="shared" si="42"/>
        <v>2030.8988595523999</v>
      </c>
      <c r="N70" s="244">
        <f t="shared" si="42"/>
        <v>2080.6651211066524</v>
      </c>
      <c r="O70" s="244">
        <f t="shared" si="42"/>
        <v>2133.4641588148443</v>
      </c>
      <c r="P70" s="244">
        <f t="shared" si="42"/>
        <v>2186.1444517953832</v>
      </c>
      <c r="Q70" s="244">
        <f t="shared" si="42"/>
        <v>2241.2259612064045</v>
      </c>
      <c r="R70" s="244">
        <f t="shared" si="42"/>
        <v>2297.200286781781</v>
      </c>
      <c r="S70" s="244">
        <f t="shared" si="42"/>
        <v>2354.5208330482833</v>
      </c>
      <c r="T70" s="244">
        <f t="shared" si="42"/>
        <v>2413.4674153855035</v>
      </c>
      <c r="U70" s="244">
        <f t="shared" si="42"/>
        <v>2473.7372374064162</v>
      </c>
      <c r="V70" s="244">
        <f t="shared" si="42"/>
        <v>2535.6406817290404</v>
      </c>
      <c r="W70" s="244">
        <f t="shared" si="42"/>
        <v>2599.0125261267081</v>
      </c>
      <c r="X70" s="244">
        <f t="shared" si="42"/>
        <v>2663.9766632293822</v>
      </c>
      <c r="Y70" s="244">
        <f t="shared" si="42"/>
        <v>2730.5860592656095</v>
      </c>
      <c r="Z70" s="244">
        <f t="shared" si="42"/>
        <v>2798.8448518962732</v>
      </c>
      <c r="AA70" s="244">
        <f t="shared" si="42"/>
        <v>2868.8232453725732</v>
      </c>
      <c r="AB70" s="244">
        <f t="shared" si="42"/>
        <v>2940.5397463061959</v>
      </c>
      <c r="AC70" s="244">
        <f t="shared" si="43"/>
        <v>3014.05240836454</v>
      </c>
      <c r="AD70" s="244">
        <f t="shared" si="43"/>
        <v>3089.4051135849868</v>
      </c>
      <c r="AE70" s="244">
        <f t="shared" si="43"/>
        <v>3166.6397886612881</v>
      </c>
      <c r="AF70" s="244">
        <f t="shared" si="43"/>
        <v>3245.8064942578931</v>
      </c>
      <c r="AG70" s="244">
        <f t="shared" si="43"/>
        <v>3326.9509551954402</v>
      </c>
      <c r="AH70" s="244">
        <f t="shared" si="43"/>
        <v>3410.1247549285986</v>
      </c>
      <c r="AI70" s="244">
        <f t="shared" si="43"/>
        <v>3495.3780842190631</v>
      </c>
    </row>
    <row r="71" spans="1:35" x14ac:dyDescent="0.2">
      <c r="A71" s="228" t="s">
        <v>164</v>
      </c>
      <c r="B71" s="239">
        <f t="shared" si="44"/>
        <v>2221.1280000000006</v>
      </c>
      <c r="C71" s="239">
        <f t="shared" si="44"/>
        <v>2228.1420000000003</v>
      </c>
      <c r="D71" s="239">
        <f t="shared" si="44"/>
        <v>1806.8399999999995</v>
      </c>
      <c r="E71" s="239">
        <f>'Monthly Data'!$BH581*42*31</f>
        <v>1497.3742140000002</v>
      </c>
      <c r="F71" s="239">
        <f>'Monthly Data'!$BH593*42*31</f>
        <v>1979.1064020000001</v>
      </c>
      <c r="G71" s="239">
        <f>'Monthly Data'!$BH605*42*31</f>
        <v>2100.109074</v>
      </c>
      <c r="H71" s="239">
        <f>'Monthly Data'!$BH617*42*31</f>
        <v>2149.42623</v>
      </c>
      <c r="I71" s="244">
        <f>'Monthly Data'!$BH629*42*31</f>
        <v>2188.745328</v>
      </c>
      <c r="J71" s="244">
        <f>'Monthly Data'!$BH641*42*31</f>
        <v>2222.714508</v>
      </c>
      <c r="K71" s="244">
        <f t="shared" si="40"/>
        <v>2268.178859243465</v>
      </c>
      <c r="L71" s="244">
        <f t="shared" si="41"/>
        <v>2323.884207021259</v>
      </c>
      <c r="M71" s="244">
        <f t="shared" si="42"/>
        <v>2380.2381436409505</v>
      </c>
      <c r="N71" s="244">
        <f t="shared" si="42"/>
        <v>2439.8912406698182</v>
      </c>
      <c r="O71" s="244">
        <f t="shared" si="42"/>
        <v>2502.0438371167206</v>
      </c>
      <c r="P71" s="244">
        <f t="shared" si="42"/>
        <v>2564.5019610445074</v>
      </c>
      <c r="Q71" s="244">
        <f t="shared" si="42"/>
        <v>2628.2845785217678</v>
      </c>
      <c r="R71" s="244">
        <f t="shared" si="42"/>
        <v>2693.8058029465469</v>
      </c>
      <c r="S71" s="244">
        <f t="shared" si="42"/>
        <v>2761.3002572944138</v>
      </c>
      <c r="T71" s="244">
        <f t="shared" si="42"/>
        <v>2830.4825391904542</v>
      </c>
      <c r="U71" s="244">
        <f t="shared" si="42"/>
        <v>2901.1779388125947</v>
      </c>
      <c r="V71" s="244">
        <f t="shared" si="42"/>
        <v>2973.6463861703792</v>
      </c>
      <c r="W71" s="244">
        <f t="shared" si="42"/>
        <v>3047.9844311443308</v>
      </c>
      <c r="X71" s="244">
        <f t="shared" si="42"/>
        <v>3124.2202690646809</v>
      </c>
      <c r="Y71" s="244">
        <f t="shared" si="42"/>
        <v>3202.3376623590038</v>
      </c>
      <c r="Z71" s="244">
        <f t="shared" si="42"/>
        <v>3282.3783103336723</v>
      </c>
      <c r="AA71" s="244">
        <f t="shared" si="42"/>
        <v>3364.4304936806302</v>
      </c>
      <c r="AB71" s="244">
        <f t="shared" si="42"/>
        <v>3448.5455461150304</v>
      </c>
      <c r="AC71" s="244">
        <f t="shared" si="43"/>
        <v>3534.7650687143687</v>
      </c>
      <c r="AD71" s="244">
        <f t="shared" si="43"/>
        <v>3623.1335481011565</v>
      </c>
      <c r="AE71" s="244">
        <f t="shared" si="43"/>
        <v>3713.7085415902488</v>
      </c>
      <c r="AF71" s="244">
        <f t="shared" si="43"/>
        <v>3806.5510198830398</v>
      </c>
      <c r="AG71" s="244">
        <f t="shared" si="43"/>
        <v>3901.7160752911986</v>
      </c>
      <c r="AH71" s="244">
        <f t="shared" si="43"/>
        <v>3999.2596091524842</v>
      </c>
      <c r="AI71" s="244">
        <f t="shared" si="43"/>
        <v>4099.2406008907919</v>
      </c>
    </row>
    <row r="72" spans="1:35" x14ac:dyDescent="0.2">
      <c r="A72" s="228" t="s">
        <v>165</v>
      </c>
      <c r="B72" s="239">
        <f t="shared" si="44"/>
        <v>2053.3379999999997</v>
      </c>
      <c r="C72" s="239">
        <f t="shared" si="44"/>
        <v>2212.1399999999994</v>
      </c>
      <c r="D72" s="239">
        <f t="shared" si="44"/>
        <v>854.28000000000043</v>
      </c>
      <c r="E72" s="239">
        <f>'Monthly Data'!$BH582*42*30</f>
        <v>1627.9842600000002</v>
      </c>
      <c r="F72" s="239">
        <f>'Monthly Data'!$BH594*42*30</f>
        <v>1949.2426800000001</v>
      </c>
      <c r="G72" s="239">
        <f>'Monthly Data'!$BH606*42*30</f>
        <v>2023.2701999999999</v>
      </c>
      <c r="H72" s="239">
        <f>'Monthly Data'!$BH618*42*30</f>
        <v>2152.67724</v>
      </c>
      <c r="I72" s="244">
        <f>'Monthly Data'!$BH630*42*30</f>
        <v>2180.8798200000001</v>
      </c>
      <c r="J72" s="244">
        <f>'Monthly Data'!$BH642*42*30</f>
        <v>2213.6549400000004</v>
      </c>
      <c r="K72" s="244">
        <f t="shared" si="40"/>
        <v>2242.5178447487319</v>
      </c>
      <c r="L72" s="244">
        <f t="shared" si="41"/>
        <v>2299.1819909035357</v>
      </c>
      <c r="M72" s="244">
        <f t="shared" si="42"/>
        <v>2366.5714430934095</v>
      </c>
      <c r="N72" s="244">
        <f t="shared" si="42"/>
        <v>2422.540084750301</v>
      </c>
      <c r="O72" s="244">
        <f t="shared" si="42"/>
        <v>2482.5949077464934</v>
      </c>
      <c r="P72" s="244">
        <f t="shared" si="42"/>
        <v>2542.798616518377</v>
      </c>
      <c r="Q72" s="244">
        <f t="shared" si="42"/>
        <v>2607.4331100328895</v>
      </c>
      <c r="R72" s="244">
        <f t="shared" si="42"/>
        <v>2673.7831957969274</v>
      </c>
      <c r="S72" s="244">
        <f t="shared" si="42"/>
        <v>2739.9095612004712</v>
      </c>
      <c r="T72" s="244">
        <f t="shared" si="42"/>
        <v>2808.2223447544534</v>
      </c>
      <c r="U72" s="244">
        <f t="shared" si="42"/>
        <v>2878.312628396005</v>
      </c>
      <c r="V72" s="244">
        <f t="shared" si="42"/>
        <v>2950.5309662433865</v>
      </c>
      <c r="W72" s="244">
        <f t="shared" si="42"/>
        <v>3024.3817027770347</v>
      </c>
      <c r="X72" s="244">
        <f t="shared" si="42"/>
        <v>3099.8469308436097</v>
      </c>
      <c r="Y72" s="244">
        <f t="shared" si="42"/>
        <v>3177.3223197828556</v>
      </c>
      <c r="Z72" s="244">
        <f t="shared" si="42"/>
        <v>3256.76993076902</v>
      </c>
      <c r="AA72" s="244">
        <f t="shared" si="42"/>
        <v>3338.2316770926036</v>
      </c>
      <c r="AB72" s="244">
        <f t="shared" si="42"/>
        <v>3421.6830380747815</v>
      </c>
      <c r="AC72" s="244">
        <f t="shared" si="43"/>
        <v>3507.2009033322643</v>
      </c>
      <c r="AD72" s="244">
        <f t="shared" si="43"/>
        <v>3594.8825671889394</v>
      </c>
      <c r="AE72" s="244">
        <f t="shared" si="43"/>
        <v>3684.7610996831572</v>
      </c>
      <c r="AF72" s="244">
        <f t="shared" si="43"/>
        <v>3776.8848552883619</v>
      </c>
      <c r="AG72" s="244">
        <f t="shared" si="43"/>
        <v>3871.3035749224123</v>
      </c>
      <c r="AH72" s="244">
        <f t="shared" si="43"/>
        <v>3968.0829840787319</v>
      </c>
      <c r="AI72" s="244">
        <f t="shared" si="43"/>
        <v>4067.2864052082559</v>
      </c>
    </row>
    <row r="73" spans="1:35" x14ac:dyDescent="0.2">
      <c r="A73" s="228" t="s">
        <v>166</v>
      </c>
      <c r="B73" s="239">
        <f t="shared" si="44"/>
        <v>2193.2820000000002</v>
      </c>
      <c r="C73" s="239">
        <f t="shared" si="44"/>
        <v>2308.5299999999997</v>
      </c>
      <c r="D73" s="239">
        <f t="shared" si="44"/>
        <v>777.37799999999947</v>
      </c>
      <c r="E73" s="239">
        <f>'Monthly Data'!$BH583*42*31</f>
        <v>1681.805118</v>
      </c>
      <c r="F73" s="239">
        <f>'Monthly Data'!$BH595*42*31</f>
        <v>2071.7215679999999</v>
      </c>
      <c r="G73" s="239">
        <f>'Monthly Data'!$BH607*42*31</f>
        <v>2173.9129440000002</v>
      </c>
      <c r="H73" s="239">
        <f>'Monthly Data'!$BH619*42*31</f>
        <v>2302.1339039999998</v>
      </c>
      <c r="I73" s="244">
        <f>'Monthly Data'!$BH631*42*31</f>
        <v>2338.062594</v>
      </c>
      <c r="J73" s="244">
        <f>'Monthly Data'!$BH643*42*31</f>
        <v>2372.5148159999999</v>
      </c>
      <c r="K73" s="244">
        <f t="shared" si="40"/>
        <v>2399.9716442353765</v>
      </c>
      <c r="L73" s="244">
        <f t="shared" si="41"/>
        <v>2463.6726647600158</v>
      </c>
      <c r="M73" s="244">
        <f t="shared" si="42"/>
        <v>2534.6259833212457</v>
      </c>
      <c r="N73" s="244">
        <f t="shared" si="42"/>
        <v>2595.2996838521321</v>
      </c>
      <c r="O73" s="244">
        <f t="shared" si="42"/>
        <v>2659.2809339746404</v>
      </c>
      <c r="P73" s="244">
        <f t="shared" si="42"/>
        <v>2723.4864399480352</v>
      </c>
      <c r="Q73" s="244">
        <f t="shared" si="42"/>
        <v>2793.1219841825477</v>
      </c>
      <c r="R73" s="244">
        <f t="shared" si="42"/>
        <v>2864.0349160165961</v>
      </c>
      <c r="S73" s="244">
        <f t="shared" si="42"/>
        <v>2934.9391547343957</v>
      </c>
      <c r="T73" s="244">
        <f t="shared" si="42"/>
        <v>3008.04548468233</v>
      </c>
      <c r="U73" s="244">
        <f t="shared" si="42"/>
        <v>3083.1159594182254</v>
      </c>
      <c r="V73" s="244">
        <f t="shared" si="42"/>
        <v>3160.5250845741134</v>
      </c>
      <c r="W73" s="244">
        <f t="shared" si="42"/>
        <v>3239.6074486213442</v>
      </c>
      <c r="X73" s="244">
        <f t="shared" si="42"/>
        <v>3320.4482573078644</v>
      </c>
      <c r="Y73" s="244">
        <f t="shared" si="42"/>
        <v>3403.4278814883473</v>
      </c>
      <c r="Z73" s="244">
        <f t="shared" si="42"/>
        <v>3488.5327012592093</v>
      </c>
      <c r="AA73" s="244">
        <f t="shared" si="42"/>
        <v>3575.7973823001184</v>
      </c>
      <c r="AB73" s="244">
        <f t="shared" si="42"/>
        <v>3665.183440807783</v>
      </c>
      <c r="AC73" s="244">
        <f t="shared" si="43"/>
        <v>3756.7873372038139</v>
      </c>
      <c r="AD73" s="244">
        <f t="shared" si="43"/>
        <v>3850.7079544429962</v>
      </c>
      <c r="AE73" s="244">
        <f t="shared" si="43"/>
        <v>3946.9835860932826</v>
      </c>
      <c r="AF73" s="244">
        <f t="shared" si="43"/>
        <v>4045.66369993441</v>
      </c>
      <c r="AG73" s="244">
        <f t="shared" si="43"/>
        <v>4146.8009498516958</v>
      </c>
      <c r="AH73" s="244">
        <f t="shared" si="43"/>
        <v>4250.4676068318322</v>
      </c>
      <c r="AI73" s="244">
        <f t="shared" si="43"/>
        <v>4356.7307351615846</v>
      </c>
    </row>
    <row r="74" spans="1:35" x14ac:dyDescent="0.2">
      <c r="A74" s="228" t="s">
        <v>167</v>
      </c>
      <c r="B74" s="239">
        <f t="shared" si="44"/>
        <v>2339.7360000000008</v>
      </c>
      <c r="C74" s="239">
        <f t="shared" si="44"/>
        <v>2270.1419999999998</v>
      </c>
      <c r="D74" s="239">
        <f t="shared" si="44"/>
        <v>987.96600000000012</v>
      </c>
      <c r="E74" s="239">
        <f>'Monthly Data'!$BH584*42*30</f>
        <v>1796.8532399999999</v>
      </c>
      <c r="F74" s="239">
        <f>'Monthly Data'!$BH596*42*30</f>
        <v>2124.0361799999996</v>
      </c>
      <c r="G74" s="239">
        <f>'Monthly Data'!$BH608*42*30</f>
        <v>2211.8405399999997</v>
      </c>
      <c r="H74" s="239">
        <f>'Monthly Data'!$BH620*42*30</f>
        <v>2154.8154600000003</v>
      </c>
      <c r="I74" s="244">
        <f>'Monthly Data'!$BH632*42*30</f>
        <v>2324.1455999999998</v>
      </c>
      <c r="J74" s="244">
        <f>'Monthly Data'!$BH644*42*30</f>
        <v>2357.7838200000001</v>
      </c>
      <c r="K74" s="244">
        <f t="shared" si="40"/>
        <v>2381.6975820593066</v>
      </c>
      <c r="L74" s="244">
        <f t="shared" si="41"/>
        <v>2430.435653427046</v>
      </c>
      <c r="M74" s="244">
        <f t="shared" si="42"/>
        <v>2486.0782284832903</v>
      </c>
      <c r="N74" s="244">
        <f t="shared" si="42"/>
        <v>2567.7138414022634</v>
      </c>
      <c r="O74" s="244">
        <f t="shared" si="42"/>
        <v>2628.663571847655</v>
      </c>
      <c r="P74" s="244">
        <f t="shared" si="42"/>
        <v>2689.4210341602238</v>
      </c>
      <c r="Q74" s="244">
        <f t="shared" si="42"/>
        <v>2755.6575412527859</v>
      </c>
      <c r="R74" s="244">
        <f t="shared" si="42"/>
        <v>2825.6605317059207</v>
      </c>
      <c r="S74" s="244">
        <f t="shared" si="42"/>
        <v>2898.754556494574</v>
      </c>
      <c r="T74" s="244">
        <f t="shared" si="42"/>
        <v>2970.010031251004</v>
      </c>
      <c r="U74" s="244">
        <f t="shared" si="42"/>
        <v>3043.4837851197094</v>
      </c>
      <c r="V74" s="244">
        <f t="shared" si="42"/>
        <v>3119.6946808282655</v>
      </c>
      <c r="W74" s="244">
        <f t="shared" si="42"/>
        <v>3198.0525323758943</v>
      </c>
      <c r="X74" s="244">
        <f t="shared" si="42"/>
        <v>3278.2087415474361</v>
      </c>
      <c r="Y74" s="244">
        <f t="shared" si="42"/>
        <v>3359.8850637385499</v>
      </c>
      <c r="Z74" s="244">
        <f t="shared" si="42"/>
        <v>3443.8044406279828</v>
      </c>
      <c r="AA74" s="244">
        <f t="shared" si="42"/>
        <v>3529.9722050828586</v>
      </c>
      <c r="AB74" s="244">
        <f t="shared" si="42"/>
        <v>3618.2831542798544</v>
      </c>
      <c r="AC74" s="244">
        <f t="shared" si="43"/>
        <v>3708.7364765021894</v>
      </c>
      <c r="AD74" s="244">
        <f t="shared" si="43"/>
        <v>3801.4062199851246</v>
      </c>
      <c r="AE74" s="244">
        <f t="shared" si="43"/>
        <v>3896.4422628917664</v>
      </c>
      <c r="AF74" s="244">
        <f t="shared" si="43"/>
        <v>3993.8711332623757</v>
      </c>
      <c r="AG74" s="244">
        <f t="shared" si="43"/>
        <v>4093.7239213317039</v>
      </c>
      <c r="AH74" s="244">
        <f t="shared" si="43"/>
        <v>4196.0610539874097</v>
      </c>
      <c r="AI74" s="244">
        <f t="shared" si="43"/>
        <v>4300.9561395345254</v>
      </c>
    </row>
    <row r="75" spans="1:35" x14ac:dyDescent="0.2">
      <c r="A75" s="228" t="s">
        <v>168</v>
      </c>
      <c r="B75" s="239">
        <f t="shared" si="44"/>
        <v>2308.6139999999996</v>
      </c>
      <c r="C75" s="239">
        <f t="shared" si="44"/>
        <v>2404.7519999999995</v>
      </c>
      <c r="D75" s="239">
        <f t="shared" si="44"/>
        <v>1259.7900000000002</v>
      </c>
      <c r="E75" s="239">
        <f>'Monthly Data'!$BH585*42*31</f>
        <v>1954.7850420000002</v>
      </c>
      <c r="F75" s="239">
        <f>'Monthly Data'!$BH597*42*31</f>
        <v>2086.5109860000002</v>
      </c>
      <c r="G75" s="239">
        <f>'Monthly Data'!$BH609*42*31</f>
        <v>2282.3851680000002</v>
      </c>
      <c r="H75" s="239">
        <f>'Monthly Data'!$BH621*42*31</f>
        <v>2384.8473600000002</v>
      </c>
      <c r="I75" s="244">
        <f>'Monthly Data'!$BH633*42*31</f>
        <v>2427.6454020000001</v>
      </c>
      <c r="J75" s="244">
        <f>'Monthly Data'!$BH645*42*31</f>
        <v>2462.5650419999997</v>
      </c>
      <c r="K75" s="244">
        <f t="shared" si="40"/>
        <v>2482.1727594693161</v>
      </c>
      <c r="L75" s="244">
        <f t="shared" si="41"/>
        <v>2559.9988488519789</v>
      </c>
      <c r="M75" s="244">
        <f t="shared" si="42"/>
        <v>2628.7163084397612</v>
      </c>
      <c r="N75" s="244">
        <f t="shared" si="42"/>
        <v>2692.2309542535404</v>
      </c>
      <c r="O75" s="244">
        <f t="shared" si="42"/>
        <v>2758.1160301168575</v>
      </c>
      <c r="P75" s="244">
        <f t="shared" si="42"/>
        <v>2824.3046237078743</v>
      </c>
      <c r="Q75" s="244">
        <f t="shared" si="42"/>
        <v>2897.9474335018995</v>
      </c>
      <c r="R75" s="244">
        <f t="shared" si="42"/>
        <v>2970.6898054961694</v>
      </c>
      <c r="S75" s="244">
        <f t="shared" si="42"/>
        <v>3044.2985272513665</v>
      </c>
      <c r="T75" s="244">
        <f t="shared" si="42"/>
        <v>3120.0799671667219</v>
      </c>
      <c r="U75" s="244">
        <f t="shared" si="42"/>
        <v>3197.9915683786849</v>
      </c>
      <c r="V75" s="244">
        <f t="shared" si="42"/>
        <v>3278.4265101814585</v>
      </c>
      <c r="W75" s="244">
        <f t="shared" si="42"/>
        <v>3360.323437077991</v>
      </c>
      <c r="X75" s="244">
        <f t="shared" si="42"/>
        <v>3444.190853180246</v>
      </c>
      <c r="Y75" s="244">
        <f t="shared" si="42"/>
        <v>3530.2664210377225</v>
      </c>
      <c r="Z75" s="244">
        <f t="shared" si="42"/>
        <v>3618.5577676205285</v>
      </c>
      <c r="AA75" s="244">
        <f t="shared" si="42"/>
        <v>3709.083321811434</v>
      </c>
      <c r="AB75" s="244">
        <f t="shared" si="42"/>
        <v>3801.7808486435283</v>
      </c>
      <c r="AC75" s="244">
        <f t="shared" si="43"/>
        <v>3896.8031707076757</v>
      </c>
      <c r="AD75" s="244">
        <f t="shared" si="43"/>
        <v>3994.2265512638487</v>
      </c>
      <c r="AE75" s="244">
        <f t="shared" si="43"/>
        <v>4094.0925128815893</v>
      </c>
      <c r="AF75" s="244">
        <f t="shared" si="43"/>
        <v>4196.4498740518211</v>
      </c>
      <c r="AG75" s="244">
        <f t="shared" si="43"/>
        <v>4301.353994533225</v>
      </c>
      <c r="AH75" s="244">
        <f t="shared" si="43"/>
        <v>4408.8855459800243</v>
      </c>
      <c r="AI75" s="244">
        <f t="shared" si="43"/>
        <v>4519.1096697838202</v>
      </c>
    </row>
    <row r="76" spans="1:35" x14ac:dyDescent="0.2">
      <c r="A76" s="228" t="s">
        <v>169</v>
      </c>
      <c r="B76" s="239">
        <f t="shared" si="44"/>
        <v>2418.7379999999998</v>
      </c>
      <c r="C76" s="239">
        <f t="shared" si="44"/>
        <v>2397.5699999999997</v>
      </c>
      <c r="D76" s="239">
        <f t="shared" si="44"/>
        <v>1322.4119999999996</v>
      </c>
      <c r="E76" s="239">
        <f>'Monthly Data'!$BH586*42*31</f>
        <v>2035.6392420000002</v>
      </c>
      <c r="F76" s="239">
        <f>'Monthly Data'!$BH598*42*31</f>
        <v>2153.0861519999999</v>
      </c>
      <c r="G76" s="239">
        <f>'Monthly Data'!$BH610*42*31</f>
        <v>2223.1702079999995</v>
      </c>
      <c r="H76" s="239">
        <f>'Monthly Data'!$BH622*42*31</f>
        <v>2329.0892100000001</v>
      </c>
      <c r="I76" s="244">
        <f>'Monthly Data'!$BH634*42*31</f>
        <v>2365.6923359999996</v>
      </c>
      <c r="J76" s="244">
        <f>'Monthly Data'!$BH646*42*31</f>
        <v>2399.329506</v>
      </c>
      <c r="K76" s="244">
        <f t="shared" si="40"/>
        <v>2445.1688519095878</v>
      </c>
      <c r="L76" s="244">
        <f t="shared" si="41"/>
        <v>2501.0647696554447</v>
      </c>
      <c r="M76" s="244">
        <f t="shared" si="42"/>
        <v>2569.6241697808359</v>
      </c>
      <c r="N76" s="244">
        <f t="shared" si="42"/>
        <v>2632.1714347559955</v>
      </c>
      <c r="O76" s="244">
        <f t="shared" si="42"/>
        <v>2698.2632263001642</v>
      </c>
      <c r="P76" s="244">
        <f t="shared" si="42"/>
        <v>2765.1241246884465</v>
      </c>
      <c r="Q76" s="244">
        <f t="shared" si="42"/>
        <v>2833.9934927851277</v>
      </c>
      <c r="R76" s="244">
        <f t="shared" si="42"/>
        <v>2905.6553553449726</v>
      </c>
      <c r="S76" s="244">
        <f t="shared" si="42"/>
        <v>2977.9850132049196</v>
      </c>
      <c r="T76" s="244">
        <f t="shared" si="42"/>
        <v>3052.4203004254873</v>
      </c>
      <c r="U76" s="244">
        <f t="shared" si="42"/>
        <v>3128.6514988994013</v>
      </c>
      <c r="V76" s="244">
        <f t="shared" si="42"/>
        <v>3206.8996250525161</v>
      </c>
      <c r="W76" s="244">
        <f t="shared" si="42"/>
        <v>3287.1664994364955</v>
      </c>
      <c r="X76" s="244">
        <f t="shared" si="42"/>
        <v>3369.2855756036975</v>
      </c>
      <c r="Y76" s="244">
        <f t="shared" si="42"/>
        <v>3453.5117933316542</v>
      </c>
      <c r="Z76" s="244">
        <f t="shared" si="42"/>
        <v>3539.8454781166961</v>
      </c>
      <c r="AA76" s="244">
        <f t="shared" si="42"/>
        <v>3628.3536913675775</v>
      </c>
      <c r="AB76" s="244">
        <f t="shared" si="42"/>
        <v>3719.070356158898</v>
      </c>
      <c r="AC76" s="244">
        <f t="shared" si="43"/>
        <v>3812.0363055325465</v>
      </c>
      <c r="AD76" s="244">
        <f t="shared" si="43"/>
        <v>3907.3370103145539</v>
      </c>
      <c r="AE76" s="244">
        <f t="shared" si="43"/>
        <v>4005.0214636711135</v>
      </c>
      <c r="AF76" s="244">
        <f t="shared" si="43"/>
        <v>4105.1491343315874</v>
      </c>
      <c r="AG76" s="244">
        <f t="shared" si="43"/>
        <v>4207.7778567249334</v>
      </c>
      <c r="AH76" s="244">
        <f t="shared" si="43"/>
        <v>4312.9706121240715</v>
      </c>
      <c r="AI76" s="244">
        <f t="shared" si="43"/>
        <v>4420.7951491391314</v>
      </c>
    </row>
    <row r="77" spans="1:35" x14ac:dyDescent="0.2">
      <c r="A77" s="228" t="s">
        <v>170</v>
      </c>
      <c r="B77" s="239">
        <f t="shared" si="44"/>
        <v>2146.4940000000006</v>
      </c>
      <c r="C77" s="239">
        <f t="shared" si="44"/>
        <v>2145.1080000000002</v>
      </c>
      <c r="D77" s="239">
        <f t="shared" si="44"/>
        <v>1160.5859999999998</v>
      </c>
      <c r="E77" s="239">
        <f>'Monthly Data'!$BH587*42*30</f>
        <v>1870.8983999999998</v>
      </c>
      <c r="F77" s="239">
        <f>'Monthly Data'!$BH599*42*30</f>
        <v>1933.1348400000004</v>
      </c>
      <c r="G77" s="239">
        <f>'Monthly Data'!$BH611*42*30</f>
        <v>2131.1387999999997</v>
      </c>
      <c r="H77" s="239">
        <f>'Monthly Data'!$BH623*42*30</f>
        <v>2104.9723800000002</v>
      </c>
      <c r="I77" s="244">
        <f>'Monthly Data'!$BH635*42*30</f>
        <v>2146.1403600000003</v>
      </c>
      <c r="J77" s="244">
        <f>'Monthly Data'!$BH647*42*30</f>
        <v>2176.5114000000003</v>
      </c>
      <c r="K77" s="244">
        <f t="shared" si="40"/>
        <v>2236.585867531699</v>
      </c>
      <c r="L77" s="244">
        <f t="shared" si="41"/>
        <v>2295.4287858208927</v>
      </c>
      <c r="M77" s="244">
        <f t="shared" si="42"/>
        <v>2338.9822716036874</v>
      </c>
      <c r="N77" s="244">
        <f t="shared" si="42"/>
        <v>2399.1442957582926</v>
      </c>
      <c r="O77" s="244">
        <f t="shared" si="42"/>
        <v>2461.5604359573981</v>
      </c>
      <c r="P77" s="244">
        <f t="shared" si="42"/>
        <v>2525.2119547103607</v>
      </c>
      <c r="Q77" s="244">
        <f t="shared" si="42"/>
        <v>2587.3378139517895</v>
      </c>
      <c r="R77" s="244">
        <f t="shared" si="42"/>
        <v>2650.1703159277322</v>
      </c>
      <c r="S77" s="244">
        <f t="shared" si="42"/>
        <v>2717.1525656206504</v>
      </c>
      <c r="T77" s="244">
        <f t="shared" si="42"/>
        <v>2785.6028474513746</v>
      </c>
      <c r="U77" s="244">
        <f t="shared" si="42"/>
        <v>2855.3519593265823</v>
      </c>
      <c r="V77" s="244">
        <f t="shared" si="42"/>
        <v>2926.4135589804478</v>
      </c>
      <c r="W77" s="244">
        <f t="shared" si="42"/>
        <v>2999.3985487079813</v>
      </c>
      <c r="X77" s="244">
        <f t="shared" si="42"/>
        <v>3074.5688295544533</v>
      </c>
      <c r="Y77" s="244">
        <f t="shared" si="42"/>
        <v>3151.5015584037465</v>
      </c>
      <c r="Z77" s="244">
        <f t="shared" si="42"/>
        <v>3230.2601073466076</v>
      </c>
      <c r="AA77" s="244">
        <f t="shared" si="42"/>
        <v>3310.9579093368311</v>
      </c>
      <c r="AB77" s="244">
        <f t="shared" si="42"/>
        <v>3393.7298736310318</v>
      </c>
      <c r="AC77" s="244">
        <f t="shared" si="43"/>
        <v>3478.6084534784959</v>
      </c>
      <c r="AD77" s="244">
        <f t="shared" si="43"/>
        <v>3565.5767142106829</v>
      </c>
      <c r="AE77" s="244">
        <f t="shared" si="43"/>
        <v>3654.7050916782068</v>
      </c>
      <c r="AF77" s="244">
        <f t="shared" si="43"/>
        <v>3746.0655421838205</v>
      </c>
      <c r="AG77" s="244">
        <f t="shared" si="43"/>
        <v>3839.7210943113396</v>
      </c>
      <c r="AH77" s="244">
        <f t="shared" si="43"/>
        <v>3935.719304555399</v>
      </c>
      <c r="AI77" s="244">
        <f t="shared" si="43"/>
        <v>4034.1109803367858</v>
      </c>
    </row>
    <row r="78" spans="1:35" x14ac:dyDescent="0.2">
      <c r="A78" s="228" t="s">
        <v>171</v>
      </c>
      <c r="B78" s="239">
        <f t="shared" si="44"/>
        <v>2180.7660000000005</v>
      </c>
      <c r="C78" s="239">
        <f t="shared" si="44"/>
        <v>2248.3020000000006</v>
      </c>
      <c r="D78" s="239">
        <f t="shared" si="44"/>
        <v>1309.4760000000001</v>
      </c>
      <c r="E78" s="239">
        <f>'Monthly Data'!$BH588*42*31</f>
        <v>1909.7124059999999</v>
      </c>
      <c r="F78" s="239">
        <f>'Monthly Data'!$BH600*42*31</f>
        <v>2028.9599820000001</v>
      </c>
      <c r="G78" s="239">
        <f>'Monthly Data'!$BH612*42*31</f>
        <v>2209.641126</v>
      </c>
      <c r="H78" s="239">
        <f>'Monthly Data'!$BH624*42*31</f>
        <v>2252.1253860000002</v>
      </c>
      <c r="I78" s="244">
        <f>'Monthly Data'!$BH636*42*31</f>
        <v>2292.8154900000004</v>
      </c>
      <c r="J78" s="244">
        <f>'Monthly Data'!$BH648*42*31</f>
        <v>2325.1688880000002</v>
      </c>
      <c r="K78" s="244">
        <f t="shared" si="40"/>
        <v>2368.0735615030881</v>
      </c>
      <c r="L78" s="244">
        <f t="shared" si="41"/>
        <v>2434.1655141954343</v>
      </c>
      <c r="M78" s="244">
        <f t="shared" si="42"/>
        <v>2491.0872993905596</v>
      </c>
      <c r="N78" s="244">
        <f t="shared" si="42"/>
        <v>2552.9614205852399</v>
      </c>
      <c r="O78" s="244">
        <f t="shared" si="42"/>
        <v>2617.4268769441883</v>
      </c>
      <c r="P78" s="244">
        <f t="shared" si="42"/>
        <v>2682.7754585368093</v>
      </c>
      <c r="Q78" s="244">
        <f t="shared" si="42"/>
        <v>2750.5140539951785</v>
      </c>
      <c r="R78" s="244">
        <f t="shared" si="42"/>
        <v>2818.6070841399714</v>
      </c>
      <c r="S78" s="244">
        <f t="shared" si="42"/>
        <v>2889.1046896926173</v>
      </c>
      <c r="T78" s="244">
        <f t="shared" si="42"/>
        <v>2961.4584731834052</v>
      </c>
      <c r="U78" s="244">
        <f t="shared" si="42"/>
        <v>3035.5101943271397</v>
      </c>
      <c r="V78" s="244">
        <f t="shared" si="42"/>
        <v>3111.4352389392975</v>
      </c>
      <c r="W78" s="244">
        <f t="shared" si="42"/>
        <v>3189.1223910337931</v>
      </c>
      <c r="X78" s="244">
        <f t="shared" si="42"/>
        <v>3268.8746477611321</v>
      </c>
      <c r="Y78" s="244">
        <f t="shared" si="42"/>
        <v>3350.6189391026246</v>
      </c>
      <c r="Z78" s="244">
        <f t="shared" si="42"/>
        <v>3434.3845077813148</v>
      </c>
      <c r="AA78" s="244">
        <f t="shared" si="42"/>
        <v>3520.2409516492471</v>
      </c>
      <c r="AB78" s="244">
        <f t="shared" si="42"/>
        <v>3608.2350980314091</v>
      </c>
      <c r="AC78" s="244">
        <f t="shared" si="43"/>
        <v>3698.4477925793913</v>
      </c>
      <c r="AD78" s="244">
        <f t="shared" si="43"/>
        <v>3790.9120635319919</v>
      </c>
      <c r="AE78" s="244">
        <f t="shared" si="43"/>
        <v>3885.6837764448842</v>
      </c>
      <c r="AF78" s="244">
        <f t="shared" si="43"/>
        <v>3982.8245273548905</v>
      </c>
      <c r="AG78" s="244">
        <f t="shared" si="43"/>
        <v>4082.3941899332299</v>
      </c>
      <c r="AH78" s="244">
        <f t="shared" si="43"/>
        <v>4184.4554460361878</v>
      </c>
      <c r="AI78" s="244">
        <f t="shared" si="43"/>
        <v>4289.0670678201304</v>
      </c>
    </row>
    <row r="79" spans="1:35" x14ac:dyDescent="0.2">
      <c r="A79" s="228" t="s">
        <v>172</v>
      </c>
      <c r="B79" s="239">
        <f t="shared" si="44"/>
        <v>2212.6439999999998</v>
      </c>
      <c r="C79" s="239">
        <f t="shared" si="44"/>
        <v>2155.7759999999998</v>
      </c>
      <c r="D79" s="239">
        <f t="shared" si="44"/>
        <v>1423.2959999999994</v>
      </c>
      <c r="E79" s="239">
        <f>'Monthly Data'!$BH589*42*30</f>
        <v>1898.8515000000002</v>
      </c>
      <c r="F79" s="239">
        <f>'Monthly Data'!$BH601*42*30</f>
        <v>1996.4611799999998</v>
      </c>
      <c r="G79" s="239">
        <f>'Monthly Data'!$BH613*42*30</f>
        <v>2045.5822800000001</v>
      </c>
      <c r="H79" s="239">
        <f>'Monthly Data'!$BH625*42*30</f>
        <v>2104.6523400000001</v>
      </c>
      <c r="I79" s="244">
        <f>'Monthly Data'!$BH637*42*30</f>
        <v>2104.1785799999998</v>
      </c>
      <c r="J79" s="244">
        <f>'Monthly Data'!$BH649*42*30</f>
        <v>2133.8667</v>
      </c>
      <c r="K79" s="244">
        <f t="shared" si="40"/>
        <v>2213.7429876393512</v>
      </c>
      <c r="L79" s="244">
        <f t="shared" si="41"/>
        <v>2254.3216488975731</v>
      </c>
      <c r="M79" s="244">
        <f t="shared" si="42"/>
        <v>2307.2093649563617</v>
      </c>
      <c r="N79" s="244">
        <f t="shared" si="42"/>
        <v>2360.4941404914775</v>
      </c>
      <c r="O79" s="244">
        <f t="shared" si="42"/>
        <v>2423.4934154038247</v>
      </c>
      <c r="P79" s="244">
        <f t="shared" si="42"/>
        <v>2488.0947646449122</v>
      </c>
      <c r="Q79" s="244">
        <f t="shared" si="42"/>
        <v>2547.1481234299499</v>
      </c>
      <c r="R79" s="244">
        <f t="shared" si="42"/>
        <v>2610.1781028638638</v>
      </c>
      <c r="S79" s="244">
        <f t="shared" si="42"/>
        <v>2675.3911726517777</v>
      </c>
      <c r="T79" s="244">
        <f t="shared" si="42"/>
        <v>2743.1717703335948</v>
      </c>
      <c r="U79" s="244">
        <f t="shared" si="42"/>
        <v>2811.9815327325314</v>
      </c>
      <c r="V79" s="244">
        <f t="shared" si="42"/>
        <v>2881.6971428530983</v>
      </c>
      <c r="W79" s="244">
        <f t="shared" si="42"/>
        <v>2953.707769103853</v>
      </c>
      <c r="X79" s="244">
        <f t="shared" si="42"/>
        <v>3027.6514513908573</v>
      </c>
      <c r="Y79" s="244">
        <f t="shared" si="42"/>
        <v>3103.4743706120976</v>
      </c>
      <c r="Z79" s="244">
        <f t="shared" si="42"/>
        <v>3181.0283742991132</v>
      </c>
      <c r="AA79" s="244">
        <f t="shared" si="42"/>
        <v>3260.4645484744119</v>
      </c>
      <c r="AB79" s="244">
        <f t="shared" si="42"/>
        <v>3341.993043548749</v>
      </c>
      <c r="AC79" s="244">
        <f t="shared" si="43"/>
        <v>3425.5702300098978</v>
      </c>
      <c r="AD79" s="244">
        <f t="shared" si="43"/>
        <v>3511.220998004078</v>
      </c>
      <c r="AE79" s="244">
        <f t="shared" si="43"/>
        <v>3598.9871795961135</v>
      </c>
      <c r="AF79" s="244">
        <f t="shared" si="43"/>
        <v>3688.9515004252416</v>
      </c>
      <c r="AG79" s="244">
        <f t="shared" si="43"/>
        <v>3781.1819717727881</v>
      </c>
      <c r="AH79" s="244">
        <f t="shared" si="43"/>
        <v>3875.7160099186558</v>
      </c>
      <c r="AI79" s="244">
        <f t="shared" si="43"/>
        <v>3972.6084759950963</v>
      </c>
    </row>
    <row r="80" spans="1:35" x14ac:dyDescent="0.2">
      <c r="A80" s="228" t="s">
        <v>173</v>
      </c>
      <c r="B80" s="239">
        <f t="shared" si="44"/>
        <v>2182.7820000000002</v>
      </c>
      <c r="C80" s="239">
        <f t="shared" si="44"/>
        <v>2355.6120000000001</v>
      </c>
      <c r="D80" s="239">
        <f t="shared" si="44"/>
        <v>1495.1160000000002</v>
      </c>
      <c r="E80" s="239">
        <f>'Monthly Data'!$BH590*42*31</f>
        <v>1975.6964639999999</v>
      </c>
      <c r="F80" s="239">
        <f>'Monthly Data'!$BH602*42*31</f>
        <v>2073.7813319999996</v>
      </c>
      <c r="G80" s="239">
        <f>'Monthly Data'!$BH614*42*31</f>
        <v>2171.9924940000001</v>
      </c>
      <c r="H80" s="239">
        <f>'Monthly Data'!$BH626*42*31</f>
        <v>2294.3339999706</v>
      </c>
      <c r="I80" s="244">
        <f>'Monthly Data'!$BH638*42*31</f>
        <v>2266.6830479999999</v>
      </c>
      <c r="J80" s="244">
        <f>'Monthly Data'!$BH650*42*31</f>
        <v>2298.8854140000003</v>
      </c>
      <c r="K80" s="244">
        <f t="shared" ref="K80:Q80" si="45">K81-SUM(K69:K79)</f>
        <v>2367.4266711219243</v>
      </c>
      <c r="L80" s="244">
        <f t="shared" si="45"/>
        <v>2423.852296778321</v>
      </c>
      <c r="M80" s="244">
        <f t="shared" si="45"/>
        <v>2486.5697968290042</v>
      </c>
      <c r="N80" s="244">
        <f t="shared" si="45"/>
        <v>2538.4097430161455</v>
      </c>
      <c r="O80" s="244">
        <f t="shared" si="45"/>
        <v>2605.3170251476149</v>
      </c>
      <c r="P80" s="244">
        <f t="shared" si="45"/>
        <v>2673.7051409895212</v>
      </c>
      <c r="Q80" s="244">
        <f t="shared" si="45"/>
        <v>2739.6306201922962</v>
      </c>
      <c r="R80" s="244">
        <f>R81-SUM(R69:R79)</f>
        <v>2807.6009130500133</v>
      </c>
      <c r="S80" s="244">
        <f t="shared" ref="S80:AI80" si="46">S81-SUM(S69:S79)</f>
        <v>2876.7018530704408</v>
      </c>
      <c r="T80" s="244">
        <f t="shared" si="46"/>
        <v>2949.518167829654</v>
      </c>
      <c r="U80" s="244">
        <f t="shared" si="46"/>
        <v>3023.6063833129811</v>
      </c>
      <c r="V80" s="244">
        <f t="shared" si="46"/>
        <v>3098.9215273509908</v>
      </c>
      <c r="W80" s="244">
        <f t="shared" si="46"/>
        <v>3176.2577672697589</v>
      </c>
      <c r="X80" s="244">
        <f t="shared" si="46"/>
        <v>3255.6099978928614</v>
      </c>
      <c r="Y80" s="244">
        <f t="shared" si="46"/>
        <v>3337.1687866384455</v>
      </c>
      <c r="Z80" s="244">
        <f t="shared" si="46"/>
        <v>3420.6093654661672</v>
      </c>
      <c r="AA80" s="244">
        <f t="shared" si="46"/>
        <v>3506.0630111458377</v>
      </c>
      <c r="AB80" s="244">
        <f t="shared" si="46"/>
        <v>3593.6989374781915</v>
      </c>
      <c r="AC80" s="244">
        <f t="shared" si="46"/>
        <v>3683.5518389794015</v>
      </c>
      <c r="AD80" s="244">
        <f t="shared" si="46"/>
        <v>3775.6649769245705</v>
      </c>
      <c r="AE80" s="244">
        <f t="shared" si="46"/>
        <v>3870.0499054038592</v>
      </c>
      <c r="AF80" s="244">
        <f t="shared" si="46"/>
        <v>3966.7905707903628</v>
      </c>
      <c r="AG80" s="244">
        <f t="shared" si="46"/>
        <v>4065.9607317377377</v>
      </c>
      <c r="AH80" s="244">
        <f t="shared" si="46"/>
        <v>4167.6136004789805</v>
      </c>
      <c r="AI80" s="244">
        <f t="shared" si="46"/>
        <v>4271.8063751274749</v>
      </c>
    </row>
    <row r="81" spans="1:35" ht="12" thickBot="1" x14ac:dyDescent="0.25">
      <c r="A81" s="228" t="s">
        <v>226</v>
      </c>
      <c r="B81" s="239">
        <f t="shared" ref="B81:J81" si="47">SUM(B69:B80)</f>
        <v>26168.604000000003</v>
      </c>
      <c r="C81" s="239">
        <f t="shared" si="47"/>
        <v>26726.112000000001</v>
      </c>
      <c r="D81" s="239">
        <f t="shared" si="47"/>
        <v>16546.95</v>
      </c>
      <c r="E81" s="239">
        <f t="shared" si="47"/>
        <v>21000.316932000002</v>
      </c>
      <c r="F81" s="239">
        <f t="shared" si="47"/>
        <v>23910.361187999995</v>
      </c>
      <c r="G81" s="239">
        <f t="shared" si="47"/>
        <v>25344.602723999997</v>
      </c>
      <c r="H81" s="239">
        <f t="shared" si="47"/>
        <v>26068.448741970598</v>
      </c>
      <c r="I81" s="244">
        <f t="shared" si="47"/>
        <v>26600.370636029398</v>
      </c>
      <c r="J81" s="244">
        <f t="shared" si="47"/>
        <v>26929.386581999999</v>
      </c>
      <c r="K81" s="244">
        <f t="shared" ref="K81:AI81" si="48">K9</f>
        <v>27467.974313639999</v>
      </c>
      <c r="L81" s="244">
        <f t="shared" si="48"/>
        <v>28154.673671480996</v>
      </c>
      <c r="M81" s="244">
        <f t="shared" si="48"/>
        <v>28858.540513268017</v>
      </c>
      <c r="N81" s="244">
        <f t="shared" si="48"/>
        <v>29580.004026099716</v>
      </c>
      <c r="O81" s="244">
        <f t="shared" si="48"/>
        <v>30319.504126752207</v>
      </c>
      <c r="P81" s="244">
        <f t="shared" si="48"/>
        <v>31077.49172992101</v>
      </c>
      <c r="Q81" s="244">
        <f t="shared" si="48"/>
        <v>31854.429023169032</v>
      </c>
      <c r="R81" s="244">
        <f t="shared" si="48"/>
        <v>32650.789748748255</v>
      </c>
      <c r="S81" s="244">
        <f t="shared" si="48"/>
        <v>33467.059492466957</v>
      </c>
      <c r="T81" s="244">
        <f t="shared" si="48"/>
        <v>34303.735979778627</v>
      </c>
      <c r="U81" s="244">
        <f t="shared" si="48"/>
        <v>35161.329379273091</v>
      </c>
      <c r="V81" s="244">
        <f t="shared" si="48"/>
        <v>36040.362613754914</v>
      </c>
      <c r="W81" s="244">
        <f t="shared" si="48"/>
        <v>36941.371679098782</v>
      </c>
      <c r="X81" s="244">
        <f t="shared" si="48"/>
        <v>37864.905971076245</v>
      </c>
      <c r="Y81" s="244">
        <f t="shared" si="48"/>
        <v>38811.52862035315</v>
      </c>
      <c r="Z81" s="244">
        <f t="shared" si="48"/>
        <v>39781.816835861973</v>
      </c>
      <c r="AA81" s="244">
        <f t="shared" si="48"/>
        <v>40776.362256758519</v>
      </c>
      <c r="AB81" s="244">
        <f t="shared" si="48"/>
        <v>41795.77131317748</v>
      </c>
      <c r="AC81" s="244">
        <f t="shared" si="48"/>
        <v>42840.665596006911</v>
      </c>
      <c r="AD81" s="244">
        <f t="shared" si="48"/>
        <v>43911.682235907079</v>
      </c>
      <c r="AE81" s="244">
        <f t="shared" si="48"/>
        <v>45009.474291804756</v>
      </c>
      <c r="AF81" s="244">
        <f t="shared" si="48"/>
        <v>46134.711149099872</v>
      </c>
      <c r="AG81" s="244">
        <f t="shared" si="48"/>
        <v>47288.078927827366</v>
      </c>
      <c r="AH81" s="244">
        <f t="shared" si="48"/>
        <v>48470.280901023049</v>
      </c>
      <c r="AI81" s="244">
        <f t="shared" si="48"/>
        <v>49682.037923548618</v>
      </c>
    </row>
    <row r="82" spans="1:35" x14ac:dyDescent="0.2">
      <c r="A82" s="245"/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5"/>
      <c r="AH82" s="245"/>
      <c r="AI82" s="245"/>
    </row>
    <row r="83" spans="1:35" ht="12" thickBot="1" x14ac:dyDescent="0.25">
      <c r="A83" s="228" t="s">
        <v>240</v>
      </c>
    </row>
    <row r="84" spans="1:35" ht="12" thickBot="1" x14ac:dyDescent="0.25">
      <c r="A84" s="231" t="s">
        <v>197</v>
      </c>
      <c r="B84" s="241">
        <f t="shared" ref="B84:AI84" si="49">B4</f>
        <v>2018</v>
      </c>
      <c r="C84" s="241">
        <f t="shared" si="49"/>
        <v>2019</v>
      </c>
      <c r="D84" s="241">
        <f t="shared" si="49"/>
        <v>2020</v>
      </c>
      <c r="E84" s="241">
        <f t="shared" si="49"/>
        <v>2021</v>
      </c>
      <c r="F84" s="241">
        <f t="shared" si="49"/>
        <v>2022</v>
      </c>
      <c r="G84" s="241">
        <f t="shared" si="49"/>
        <v>2023</v>
      </c>
      <c r="H84" s="241">
        <f t="shared" si="49"/>
        <v>2024</v>
      </c>
      <c r="I84" s="241">
        <f t="shared" si="49"/>
        <v>2025</v>
      </c>
      <c r="J84" s="241">
        <f t="shared" si="49"/>
        <v>2026</v>
      </c>
      <c r="K84" s="241">
        <f t="shared" si="49"/>
        <v>2027</v>
      </c>
      <c r="L84" s="241">
        <f t="shared" si="49"/>
        <v>2028</v>
      </c>
      <c r="M84" s="241">
        <f t="shared" si="49"/>
        <v>2029</v>
      </c>
      <c r="N84" s="241">
        <f t="shared" si="49"/>
        <v>2030</v>
      </c>
      <c r="O84" s="241">
        <f t="shared" si="49"/>
        <v>2031</v>
      </c>
      <c r="P84" s="241">
        <f t="shared" si="49"/>
        <v>2032</v>
      </c>
      <c r="Q84" s="241">
        <f t="shared" si="49"/>
        <v>2033</v>
      </c>
      <c r="R84" s="241">
        <f t="shared" si="49"/>
        <v>2034</v>
      </c>
      <c r="S84" s="241">
        <f t="shared" si="49"/>
        <v>2035</v>
      </c>
      <c r="T84" s="241">
        <f t="shared" si="49"/>
        <v>2036</v>
      </c>
      <c r="U84" s="241">
        <f t="shared" si="49"/>
        <v>2037</v>
      </c>
      <c r="V84" s="241">
        <f t="shared" si="49"/>
        <v>2038</v>
      </c>
      <c r="W84" s="241">
        <f t="shared" si="49"/>
        <v>2039</v>
      </c>
      <c r="X84" s="241">
        <f t="shared" si="49"/>
        <v>2040</v>
      </c>
      <c r="Y84" s="241">
        <f t="shared" si="49"/>
        <v>2041</v>
      </c>
      <c r="Z84" s="241">
        <f t="shared" si="49"/>
        <v>2042</v>
      </c>
      <c r="AA84" s="241">
        <f t="shared" si="49"/>
        <v>2043</v>
      </c>
      <c r="AB84" s="241">
        <f t="shared" si="49"/>
        <v>2044</v>
      </c>
      <c r="AC84" s="241">
        <f t="shared" si="49"/>
        <v>2045</v>
      </c>
      <c r="AD84" s="241">
        <f t="shared" si="49"/>
        <v>2046</v>
      </c>
      <c r="AE84" s="241">
        <f t="shared" si="49"/>
        <v>2047</v>
      </c>
      <c r="AF84" s="241">
        <f t="shared" si="49"/>
        <v>2048</v>
      </c>
      <c r="AG84" s="241">
        <f t="shared" si="49"/>
        <v>2049</v>
      </c>
      <c r="AH84" s="241">
        <f t="shared" si="49"/>
        <v>2050</v>
      </c>
      <c r="AI84" s="241">
        <f t="shared" si="49"/>
        <v>2051</v>
      </c>
    </row>
    <row r="85" spans="1:35" x14ac:dyDescent="0.2">
      <c r="A85" s="228" t="s">
        <v>162</v>
      </c>
      <c r="B85" s="246">
        <f>'Monthly Data'!$BB543*42/1000</f>
        <v>1790.922</v>
      </c>
      <c r="C85" s="246">
        <f>'Monthly Data'!$BB555*42/1000</f>
        <v>1728.636</v>
      </c>
      <c r="D85" s="246">
        <f>'Monthly Data'!$BB567*42/1000</f>
        <v>1832.6279999999999</v>
      </c>
      <c r="E85" s="246">
        <f>'Monthly Data'!$BB579*42/1000</f>
        <v>1788.8219999999999</v>
      </c>
      <c r="F85" s="246">
        <f>'Monthly Data'!$BB591*42/1000</f>
        <v>1620.4860000000001</v>
      </c>
      <c r="G85" s="246">
        <f>'Monthly Data'!$BB603*42/1000</f>
        <v>1506.288</v>
      </c>
      <c r="H85" s="246">
        <f>'Monthly Data'!$BB615*42/1000</f>
        <v>1745.856</v>
      </c>
      <c r="I85" s="244">
        <f t="shared" ref="I85:AI85" si="50">H96+I21+I37-I53-I69</f>
        <v>2110.9776292187503</v>
      </c>
      <c r="J85" s="244">
        <f t="shared" si="50"/>
        <v>2080.3021463652158</v>
      </c>
      <c r="K85" s="244">
        <f t="shared" si="50"/>
        <v>2126.9685528098212</v>
      </c>
      <c r="L85" s="244">
        <f t="shared" si="50"/>
        <v>2211.7022756051165</v>
      </c>
      <c r="M85" s="244">
        <f t="shared" si="50"/>
        <v>2238.66043289869</v>
      </c>
      <c r="N85" s="244">
        <f t="shared" si="50"/>
        <v>2260.5525312814739</v>
      </c>
      <c r="O85" s="244">
        <f t="shared" si="50"/>
        <v>2290.7686959324233</v>
      </c>
      <c r="P85" s="244">
        <f t="shared" si="50"/>
        <v>2344.7762458949301</v>
      </c>
      <c r="Q85" s="244">
        <f t="shared" si="50"/>
        <v>2393.0106691516135</v>
      </c>
      <c r="R85" s="244">
        <f t="shared" si="50"/>
        <v>2405.8747836615184</v>
      </c>
      <c r="S85" s="244">
        <f t="shared" si="50"/>
        <v>2458.2225848786825</v>
      </c>
      <c r="T85" s="244">
        <f t="shared" si="50"/>
        <v>2508.6434082675014</v>
      </c>
      <c r="U85" s="244">
        <f t="shared" si="50"/>
        <v>2563.2630292290819</v>
      </c>
      <c r="V85" s="244">
        <f t="shared" si="50"/>
        <v>2617.368287433434</v>
      </c>
      <c r="W85" s="244">
        <f t="shared" si="50"/>
        <v>2675.3846141202166</v>
      </c>
      <c r="X85" s="244">
        <f t="shared" si="50"/>
        <v>2778.9298324052861</v>
      </c>
      <c r="Y85" s="244">
        <f t="shared" si="50"/>
        <v>2877.9656352857937</v>
      </c>
      <c r="Z85" s="244">
        <f t="shared" si="50"/>
        <v>2931.9223740223274</v>
      </c>
      <c r="AA85" s="244">
        <f t="shared" si="50"/>
        <v>2985.9327087357688</v>
      </c>
      <c r="AB85" s="244">
        <f t="shared" si="50"/>
        <v>3039.9584524883489</v>
      </c>
      <c r="AC85" s="244">
        <f t="shared" si="50"/>
        <v>3098.1833058882871</v>
      </c>
      <c r="AD85" s="244">
        <f t="shared" si="50"/>
        <v>3202.4520641752219</v>
      </c>
      <c r="AE85" s="244">
        <f t="shared" si="50"/>
        <v>3306.9818842623945</v>
      </c>
      <c r="AF85" s="244">
        <f t="shared" si="50"/>
        <v>3406.6766682471271</v>
      </c>
      <c r="AG85" s="244">
        <f t="shared" si="50"/>
        <v>3461.1695460503793</v>
      </c>
      <c r="AH85" s="244">
        <f t="shared" si="50"/>
        <v>3519.8492593588753</v>
      </c>
      <c r="AI85" s="244" t="e">
        <f t="shared" si="50"/>
        <v>#NUM!</v>
      </c>
    </row>
    <row r="86" spans="1:35" x14ac:dyDescent="0.2">
      <c r="A86" s="228" t="s">
        <v>163</v>
      </c>
      <c r="B86" s="246">
        <f>'Monthly Data'!$BB544*42/1000</f>
        <v>1808.2260000000001</v>
      </c>
      <c r="C86" s="246">
        <f>'Monthly Data'!$BB556*42/1000</f>
        <v>1764.798</v>
      </c>
      <c r="D86" s="246">
        <f>'Monthly Data'!$BB568*42/1000</f>
        <v>1790.502</v>
      </c>
      <c r="E86" s="246">
        <f>'Monthly Data'!$BB580*42/1000</f>
        <v>1679.874</v>
      </c>
      <c r="F86" s="246">
        <f>'Monthly Data'!$BB592*42/1000</f>
        <v>1674.0360000000001</v>
      </c>
      <c r="G86" s="246">
        <f>'Monthly Data'!$BB604*42/1000</f>
        <v>1576.008</v>
      </c>
      <c r="H86" s="246">
        <f>'Monthly Data'!$BB616*42/1000</f>
        <v>1673.9939999999999</v>
      </c>
      <c r="I86" s="244">
        <f t="shared" ref="I86:AI95" si="51">I85+I22+I38-I54-I70</f>
        <v>2253.8350346347715</v>
      </c>
      <c r="J86" s="244">
        <f t="shared" si="51"/>
        <v>2059.3365724830201</v>
      </c>
      <c r="K86" s="244">
        <f t="shared" si="51"/>
        <v>2174.8966753760578</v>
      </c>
      <c r="L86" s="244">
        <f t="shared" si="51"/>
        <v>2244.0066070225048</v>
      </c>
      <c r="M86" s="244">
        <f t="shared" si="51"/>
        <v>2265.9186525613359</v>
      </c>
      <c r="N86" s="244">
        <f t="shared" si="51"/>
        <v>2305.1935017585106</v>
      </c>
      <c r="O86" s="244">
        <f t="shared" si="51"/>
        <v>2316.3840400837507</v>
      </c>
      <c r="P86" s="244">
        <f t="shared" si="51"/>
        <v>2382.067978510705</v>
      </c>
      <c r="Q86" s="244">
        <f t="shared" si="51"/>
        <v>2423.780686338001</v>
      </c>
      <c r="R86" s="244">
        <f t="shared" si="51"/>
        <v>2441.3064285978935</v>
      </c>
      <c r="S86" s="244">
        <f t="shared" si="51"/>
        <v>2494.091094193594</v>
      </c>
      <c r="T86" s="244">
        <f t="shared" si="51"/>
        <v>2542.8361168693368</v>
      </c>
      <c r="U86" s="244">
        <f t="shared" si="51"/>
        <v>2599.448860321434</v>
      </c>
      <c r="V86" s="244">
        <f t="shared" si="51"/>
        <v>2653.5795567263544</v>
      </c>
      <c r="W86" s="244">
        <f t="shared" si="51"/>
        <v>2715.2637212571676</v>
      </c>
      <c r="X86" s="244">
        <f t="shared" si="51"/>
        <v>2818.9776487796889</v>
      </c>
      <c r="Y86" s="244">
        <f t="shared" si="51"/>
        <v>2914.1314094099275</v>
      </c>
      <c r="Z86" s="244">
        <f t="shared" si="51"/>
        <v>2968.0478718805871</v>
      </c>
      <c r="AA86" s="244">
        <f t="shared" si="51"/>
        <v>3021.9341844917899</v>
      </c>
      <c r="AB86" s="244">
        <f t="shared" si="51"/>
        <v>3076.1070479660261</v>
      </c>
      <c r="AC86" s="244">
        <f t="shared" si="51"/>
        <v>3137.9899198010312</v>
      </c>
      <c r="AD86" s="244">
        <f t="shared" si="51"/>
        <v>3242.1865942888453</v>
      </c>
      <c r="AE86" s="244">
        <f t="shared" si="51"/>
        <v>3346.9156517674178</v>
      </c>
      <c r="AF86" s="244">
        <f t="shared" si="51"/>
        <v>3442.1347267571991</v>
      </c>
      <c r="AG86" s="244">
        <f t="shared" si="51"/>
        <v>3496.5131028603269</v>
      </c>
      <c r="AH86" s="244">
        <f t="shared" si="51"/>
        <v>3558.5636171520487</v>
      </c>
      <c r="AI86" s="244" t="e">
        <f t="shared" si="51"/>
        <v>#NUM!</v>
      </c>
    </row>
    <row r="87" spans="1:35" x14ac:dyDescent="0.2">
      <c r="A87" s="228" t="s">
        <v>164</v>
      </c>
      <c r="B87" s="246">
        <f>'Monthly Data'!$BB545*42/1000</f>
        <v>1694.5319999999999</v>
      </c>
      <c r="C87" s="246">
        <f>'Monthly Data'!$BB557*42/1000</f>
        <v>1749.1320000000001</v>
      </c>
      <c r="D87" s="246">
        <f>'Monthly Data'!$BB569*42/1000</f>
        <v>1674.6659999999999</v>
      </c>
      <c r="E87" s="246">
        <f>'Monthly Data'!$BB581*42/1000</f>
        <v>1642.998</v>
      </c>
      <c r="F87" s="246">
        <f>'Monthly Data'!$BB593*42/1000</f>
        <v>1495.4939999999999</v>
      </c>
      <c r="G87" s="246">
        <f>'Monthly Data'!$BB605*42/1000</f>
        <v>1585.4580000000001</v>
      </c>
      <c r="H87" s="246">
        <f>'Monthly Data'!$BB617*42/1000</f>
        <v>1771.14</v>
      </c>
      <c r="I87" s="244">
        <f t="shared" si="51"/>
        <v>2261.8955023365916</v>
      </c>
      <c r="J87" s="244">
        <f t="shared" si="51"/>
        <v>1980.1577848556781</v>
      </c>
      <c r="K87" s="244">
        <f t="shared" si="51"/>
        <v>2137.319423441103</v>
      </c>
      <c r="L87" s="244">
        <f t="shared" si="51"/>
        <v>2225.2175671380942</v>
      </c>
      <c r="M87" s="244">
        <f t="shared" si="51"/>
        <v>2253.6887587897354</v>
      </c>
      <c r="N87" s="244">
        <f t="shared" si="51"/>
        <v>2273.898198210989</v>
      </c>
      <c r="O87" s="244">
        <f t="shared" si="51"/>
        <v>2277.8735070629496</v>
      </c>
      <c r="P87" s="244">
        <f t="shared" si="51"/>
        <v>2352.978252745042</v>
      </c>
      <c r="Q87" s="244">
        <f t="shared" si="51"/>
        <v>2394.3457287497004</v>
      </c>
      <c r="R87" s="244">
        <f t="shared" si="51"/>
        <v>2413.5438638675673</v>
      </c>
      <c r="S87" s="244">
        <f t="shared" si="51"/>
        <v>2461.3517714730829</v>
      </c>
      <c r="T87" s="244">
        <f t="shared" si="51"/>
        <v>2508.9669833077714</v>
      </c>
      <c r="U87" s="244">
        <f t="shared" si="51"/>
        <v>2565.744927265057</v>
      </c>
      <c r="V87" s="244">
        <f t="shared" si="51"/>
        <v>2619.1525009542152</v>
      </c>
      <c r="W87" s="244">
        <f t="shared" si="51"/>
        <v>2683.1012643444496</v>
      </c>
      <c r="X87" s="244">
        <f t="shared" si="51"/>
        <v>2784.6192306462744</v>
      </c>
      <c r="Y87" s="244">
        <f t="shared" si="51"/>
        <v>2874.3338553455305</v>
      </c>
      <c r="Z87" s="244">
        <f t="shared" si="51"/>
        <v>2926.485653246425</v>
      </c>
      <c r="AA87" s="244">
        <f t="shared" si="51"/>
        <v>2978.5047483952712</v>
      </c>
      <c r="AB87" s="244">
        <f t="shared" si="51"/>
        <v>3031.0186444736655</v>
      </c>
      <c r="AC87" s="244">
        <f t="shared" si="51"/>
        <v>3095.1455893042266</v>
      </c>
      <c r="AD87" s="244">
        <f t="shared" si="51"/>
        <v>3197.3052314459492</v>
      </c>
      <c r="AE87" s="244">
        <f t="shared" si="51"/>
        <v>3300.191892805376</v>
      </c>
      <c r="AF87" s="244">
        <f t="shared" si="51"/>
        <v>3388.7461397590396</v>
      </c>
      <c r="AG87" s="244">
        <f t="shared" si="51"/>
        <v>3440.945277825128</v>
      </c>
      <c r="AH87" s="244">
        <f t="shared" si="51"/>
        <v>3504.7681973820731</v>
      </c>
      <c r="AI87" s="244" t="e">
        <f t="shared" si="51"/>
        <v>#NUM!</v>
      </c>
    </row>
    <row r="88" spans="1:35" x14ac:dyDescent="0.2">
      <c r="A88" s="228" t="s">
        <v>165</v>
      </c>
      <c r="B88" s="246">
        <f>'Monthly Data'!$BB546*42/1000</f>
        <v>1729.98</v>
      </c>
      <c r="C88" s="246">
        <f>'Monthly Data'!$BB558*42/1000</f>
        <v>1716.5820000000001</v>
      </c>
      <c r="D88" s="246">
        <f>'Monthly Data'!$BB570*42/1000</f>
        <v>1679.7059999999999</v>
      </c>
      <c r="E88" s="246">
        <f>'Monthly Data'!$BB582*42/1000</f>
        <v>1702.3440000000001</v>
      </c>
      <c r="F88" s="246">
        <f>'Monthly Data'!$BB594*42/1000</f>
        <v>1583.778</v>
      </c>
      <c r="G88" s="246">
        <f>'Monthly Data'!$BB606*42/1000</f>
        <v>1729.14</v>
      </c>
      <c r="H88" s="246">
        <f>'Monthly Data'!$BB618*42/1000</f>
        <v>1746.0239999999999</v>
      </c>
      <c r="I88" s="244">
        <f t="shared" si="51"/>
        <v>2180.1029436315011</v>
      </c>
      <c r="J88" s="244">
        <f t="shared" si="51"/>
        <v>1986.9596433045153</v>
      </c>
      <c r="K88" s="244">
        <f t="shared" si="51"/>
        <v>2167.9413551719476</v>
      </c>
      <c r="L88" s="244">
        <f t="shared" si="51"/>
        <v>2244.6265441326377</v>
      </c>
      <c r="M88" s="244">
        <f t="shared" si="51"/>
        <v>2248.1394528034616</v>
      </c>
      <c r="N88" s="244">
        <f t="shared" si="51"/>
        <v>2277.0711759086257</v>
      </c>
      <c r="O88" s="244">
        <f t="shared" si="51"/>
        <v>2297.4610153566468</v>
      </c>
      <c r="P88" s="244">
        <f t="shared" si="51"/>
        <v>2372.064285882851</v>
      </c>
      <c r="Q88" s="244">
        <f t="shared" si="51"/>
        <v>2413.0929181132783</v>
      </c>
      <c r="R88" s="244">
        <f t="shared" si="51"/>
        <v>2432.1784450025634</v>
      </c>
      <c r="S88" s="244">
        <f t="shared" si="51"/>
        <v>2484.8185106839483</v>
      </c>
      <c r="T88" s="244">
        <f t="shared" si="51"/>
        <v>2534.296564226283</v>
      </c>
      <c r="U88" s="244">
        <f t="shared" si="51"/>
        <v>2590.076396868541</v>
      </c>
      <c r="V88" s="244">
        <f t="shared" si="51"/>
        <v>2644.5484279530374</v>
      </c>
      <c r="W88" s="244">
        <f t="shared" si="51"/>
        <v>2714.2060930393</v>
      </c>
      <c r="X88" s="244">
        <f t="shared" si="51"/>
        <v>2816.7841600723041</v>
      </c>
      <c r="Y88" s="244">
        <f t="shared" si="51"/>
        <v>2904.1429911035166</v>
      </c>
      <c r="Z88" s="244">
        <f t="shared" si="51"/>
        <v>2957.3226663822761</v>
      </c>
      <c r="AA88" s="244">
        <f t="shared" si="51"/>
        <v>3010.6301863779736</v>
      </c>
      <c r="AB88" s="244">
        <f t="shared" si="51"/>
        <v>3064.7338210304861</v>
      </c>
      <c r="AC88" s="244">
        <f t="shared" si="51"/>
        <v>3134.2873845051759</v>
      </c>
      <c r="AD88" s="244">
        <f t="shared" si="51"/>
        <v>3237.5379334473496</v>
      </c>
      <c r="AE88" s="244">
        <f t="shared" si="51"/>
        <v>3341.5770458983579</v>
      </c>
      <c r="AF88" s="244">
        <f t="shared" si="51"/>
        <v>3428.4235366938692</v>
      </c>
      <c r="AG88" s="244">
        <f t="shared" si="51"/>
        <v>3482.165377548145</v>
      </c>
      <c r="AH88" s="244">
        <f t="shared" si="51"/>
        <v>3551.6791679561375</v>
      </c>
      <c r="AI88" s="244" t="e">
        <f t="shared" si="51"/>
        <v>#NUM!</v>
      </c>
    </row>
    <row r="89" spans="1:35" x14ac:dyDescent="0.2">
      <c r="A89" s="228" t="s">
        <v>166</v>
      </c>
      <c r="B89" s="246">
        <f>'Monthly Data'!$BB547*42/1000</f>
        <v>1748.5440000000001</v>
      </c>
      <c r="C89" s="246">
        <f>'Monthly Data'!$BB559*42/1000</f>
        <v>1650.306</v>
      </c>
      <c r="D89" s="246">
        <f>'Monthly Data'!$BB571*42/1000</f>
        <v>1694.91</v>
      </c>
      <c r="E89" s="246">
        <f>'Monthly Data'!$BB583*42/1000</f>
        <v>1824.606</v>
      </c>
      <c r="F89" s="246">
        <f>'Monthly Data'!$BB595*42/1000</f>
        <v>1736.364</v>
      </c>
      <c r="G89" s="246">
        <f>'Monthly Data'!$BB607*42/1000</f>
        <v>1784.748</v>
      </c>
      <c r="H89" s="246">
        <f>'Monthly Data'!$BB619*42/1000</f>
        <v>1778.1959999999999</v>
      </c>
      <c r="I89" s="244">
        <f t="shared" si="51"/>
        <v>2057.9025146767335</v>
      </c>
      <c r="J89" s="244">
        <f t="shared" si="51"/>
        <v>1984.4359938443104</v>
      </c>
      <c r="K89" s="244">
        <f t="shared" si="51"/>
        <v>2195.5347196347975</v>
      </c>
      <c r="L89" s="244">
        <f t="shared" si="51"/>
        <v>2252.1082285006592</v>
      </c>
      <c r="M89" s="244">
        <f t="shared" si="51"/>
        <v>2251.5544701983949</v>
      </c>
      <c r="N89" s="244">
        <f t="shared" si="51"/>
        <v>2276.5892659909841</v>
      </c>
      <c r="O89" s="244">
        <f t="shared" si="51"/>
        <v>2318.8768776386873</v>
      </c>
      <c r="P89" s="244">
        <f t="shared" si="51"/>
        <v>2392.6747328340657</v>
      </c>
      <c r="Q89" s="244">
        <f t="shared" si="51"/>
        <v>2437.8581110505056</v>
      </c>
      <c r="R89" s="244">
        <f t="shared" si="51"/>
        <v>2458.042031208689</v>
      </c>
      <c r="S89" s="244">
        <f t="shared" si="51"/>
        <v>2515.6412155266589</v>
      </c>
      <c r="T89" s="244">
        <f t="shared" si="51"/>
        <v>2567.6114082375593</v>
      </c>
      <c r="U89" s="244">
        <f t="shared" si="51"/>
        <v>2622.2160910977218</v>
      </c>
      <c r="V89" s="244">
        <f t="shared" si="51"/>
        <v>2678.9707767758687</v>
      </c>
      <c r="W89" s="244">
        <f t="shared" si="51"/>
        <v>2756.0093114454144</v>
      </c>
      <c r="X89" s="244">
        <f t="shared" si="51"/>
        <v>2859.8481745974655</v>
      </c>
      <c r="Y89" s="244">
        <f t="shared" si="51"/>
        <v>2945.91018247169</v>
      </c>
      <c r="Z89" s="244">
        <f t="shared" si="51"/>
        <v>3001.1734752430825</v>
      </c>
      <c r="AA89" s="244">
        <f t="shared" si="51"/>
        <v>3056.854208826262</v>
      </c>
      <c r="AB89" s="244">
        <f t="shared" si="51"/>
        <v>3113.6665509316717</v>
      </c>
      <c r="AC89" s="244">
        <f t="shared" si="51"/>
        <v>3189.8474085102234</v>
      </c>
      <c r="AD89" s="244">
        <f t="shared" si="51"/>
        <v>3295.1164350062418</v>
      </c>
      <c r="AE89" s="244">
        <f t="shared" si="51"/>
        <v>3401.2028104430456</v>
      </c>
      <c r="AF89" s="244">
        <f t="shared" si="51"/>
        <v>3488.0978318998759</v>
      </c>
      <c r="AG89" s="244">
        <f t="shared" si="51"/>
        <v>3544.5970841914195</v>
      </c>
      <c r="AH89" s="244">
        <f t="shared" si="51"/>
        <v>3621.3704796810143</v>
      </c>
      <c r="AI89" s="244" t="e">
        <f t="shared" si="51"/>
        <v>#NUM!</v>
      </c>
    </row>
    <row r="90" spans="1:35" x14ac:dyDescent="0.2">
      <c r="A90" s="228" t="s">
        <v>167</v>
      </c>
      <c r="B90" s="246">
        <f>'Monthly Data'!$BB548*42/1000</f>
        <v>1717.548</v>
      </c>
      <c r="C90" s="246">
        <f>'Monthly Data'!$BB560*42/1000</f>
        <v>1702.9739999999999</v>
      </c>
      <c r="D90" s="246">
        <f>'Monthly Data'!$BB572*42/1000</f>
        <v>1747.662</v>
      </c>
      <c r="E90" s="246">
        <f>'Monthly Data'!$BB584*42/1000</f>
        <v>1878.66</v>
      </c>
      <c r="F90" s="246">
        <f>'Monthly Data'!$BB596*42/1000</f>
        <v>1653.7919999999999</v>
      </c>
      <c r="G90" s="246">
        <f>'Monthly Data'!$BB608*42/1000</f>
        <v>1795.29</v>
      </c>
      <c r="H90" s="246">
        <f>'Monthly Data'!$BB620*42/1000</f>
        <v>1900.71</v>
      </c>
      <c r="I90" s="244">
        <f t="shared" si="51"/>
        <v>1955.3572877751849</v>
      </c>
      <c r="J90" s="244">
        <f t="shared" si="51"/>
        <v>1943.4405492393275</v>
      </c>
      <c r="K90" s="244">
        <f t="shared" si="51"/>
        <v>2168.8835200991202</v>
      </c>
      <c r="L90" s="244">
        <f t="shared" si="51"/>
        <v>2226.477378172282</v>
      </c>
      <c r="M90" s="244">
        <f t="shared" si="51"/>
        <v>2228.0642914888367</v>
      </c>
      <c r="N90" s="244">
        <f t="shared" si="51"/>
        <v>2230.191576980736</v>
      </c>
      <c r="O90" s="244">
        <f t="shared" si="51"/>
        <v>2284.6745644227663</v>
      </c>
      <c r="P90" s="244">
        <f t="shared" si="51"/>
        <v>2359.8022708277158</v>
      </c>
      <c r="Q90" s="244">
        <f t="shared" si="51"/>
        <v>2400.8505518491643</v>
      </c>
      <c r="R90" s="244">
        <f t="shared" si="51"/>
        <v>2422.6618249159533</v>
      </c>
      <c r="S90" s="244">
        <f t="shared" si="51"/>
        <v>2476.6763035425274</v>
      </c>
      <c r="T90" s="244">
        <f t="shared" si="51"/>
        <v>2529.7955620362118</v>
      </c>
      <c r="U90" s="244">
        <f t="shared" si="51"/>
        <v>2583.247576504496</v>
      </c>
      <c r="V90" s="244">
        <f t="shared" si="51"/>
        <v>2638.7724904238485</v>
      </c>
      <c r="W90" s="244">
        <f t="shared" si="51"/>
        <v>2718.5702005696353</v>
      </c>
      <c r="X90" s="244">
        <f t="shared" si="51"/>
        <v>2820.894905514353</v>
      </c>
      <c r="Y90" s="244">
        <f t="shared" si="51"/>
        <v>2901.7654308042215</v>
      </c>
      <c r="Z90" s="244">
        <f t="shared" si="51"/>
        <v>2955.5148454170262</v>
      </c>
      <c r="AA90" s="244">
        <f t="shared" si="51"/>
        <v>3009.6948451552071</v>
      </c>
      <c r="AB90" s="244">
        <f t="shared" si="51"/>
        <v>3065.104386876184</v>
      </c>
      <c r="AC90" s="244">
        <f t="shared" si="51"/>
        <v>3144.0937489435137</v>
      </c>
      <c r="AD90" s="244">
        <f t="shared" si="51"/>
        <v>3247.8119343141448</v>
      </c>
      <c r="AE90" s="244">
        <f t="shared" si="51"/>
        <v>3352.3304967881932</v>
      </c>
      <c r="AF90" s="244">
        <f t="shared" si="51"/>
        <v>3433.2074698502834</v>
      </c>
      <c r="AG90" s="244">
        <f t="shared" si="51"/>
        <v>3488.0273624560764</v>
      </c>
      <c r="AH90" s="244">
        <f t="shared" si="51"/>
        <v>3567.3276273903793</v>
      </c>
      <c r="AI90" s="244" t="e">
        <f t="shared" si="51"/>
        <v>#NUM!</v>
      </c>
    </row>
    <row r="91" spans="1:35" x14ac:dyDescent="0.2">
      <c r="A91" s="228" t="s">
        <v>168</v>
      </c>
      <c r="B91" s="246">
        <f>'Monthly Data'!$BB549*42/1000</f>
        <v>1721.412</v>
      </c>
      <c r="C91" s="246">
        <f>'Monthly Data'!$BB561*42/1000</f>
        <v>1807.2180000000001</v>
      </c>
      <c r="D91" s="246">
        <f>'Monthly Data'!$BB573*42/1000</f>
        <v>1721.7059999999999</v>
      </c>
      <c r="E91" s="246">
        <f>'Monthly Data'!$BB585*42/1000</f>
        <v>1840.3979999999999</v>
      </c>
      <c r="F91" s="246">
        <f>'Monthly Data'!$BB597*42/1000</f>
        <v>1731.66</v>
      </c>
      <c r="G91" s="246">
        <f>'Monthly Data'!$BB609*42/1000</f>
        <v>1792.8119999999999</v>
      </c>
      <c r="H91" s="246">
        <f>'Monthly Data'!$BB621*42/1000</f>
        <v>1906.548</v>
      </c>
      <c r="I91" s="244">
        <f t="shared" si="51"/>
        <v>1896.2235295862511</v>
      </c>
      <c r="J91" s="244">
        <f t="shared" si="51"/>
        <v>1928.2248539276984</v>
      </c>
      <c r="K91" s="244">
        <f t="shared" si="51"/>
        <v>2179.6684470304449</v>
      </c>
      <c r="L91" s="244">
        <f t="shared" si="51"/>
        <v>2223.28029924052</v>
      </c>
      <c r="M91" s="244">
        <f t="shared" si="51"/>
        <v>2219.116512852494</v>
      </c>
      <c r="N91" s="244">
        <f t="shared" si="51"/>
        <v>2222.0253743469884</v>
      </c>
      <c r="O91" s="244">
        <f t="shared" si="51"/>
        <v>2286.6587911772685</v>
      </c>
      <c r="P91" s="244">
        <f t="shared" si="51"/>
        <v>2362.1261926931966</v>
      </c>
      <c r="Q91" s="244">
        <f t="shared" si="51"/>
        <v>2401.1436877292981</v>
      </c>
      <c r="R91" s="244">
        <f t="shared" si="51"/>
        <v>2424.905112276022</v>
      </c>
      <c r="S91" s="244">
        <f t="shared" si="51"/>
        <v>2481.520123827831</v>
      </c>
      <c r="T91" s="244">
        <f t="shared" si="51"/>
        <v>2536.4226491115696</v>
      </c>
      <c r="U91" s="244">
        <f t="shared" si="51"/>
        <v>2590.0118555926956</v>
      </c>
      <c r="V91" s="244">
        <f t="shared" si="51"/>
        <v>2646.1128767196319</v>
      </c>
      <c r="W91" s="244">
        <f t="shared" si="51"/>
        <v>2731.7067051181284</v>
      </c>
      <c r="X91" s="244">
        <f t="shared" si="51"/>
        <v>2835.219841200666</v>
      </c>
      <c r="Y91" s="244">
        <f t="shared" si="51"/>
        <v>2913.4475337913082</v>
      </c>
      <c r="Z91" s="244">
        <f t="shared" si="51"/>
        <v>2968.9460188441217</v>
      </c>
      <c r="AA91" s="244">
        <f t="shared" si="51"/>
        <v>3024.6841415628815</v>
      </c>
      <c r="AB91" s="244">
        <f t="shared" si="51"/>
        <v>3081.5135480837812</v>
      </c>
      <c r="AC91" s="244">
        <f t="shared" si="51"/>
        <v>3166.5159304351378</v>
      </c>
      <c r="AD91" s="244">
        <f t="shared" si="51"/>
        <v>3271.8888770520989</v>
      </c>
      <c r="AE91" s="244">
        <f t="shared" si="51"/>
        <v>3377.7638899832086</v>
      </c>
      <c r="AF91" s="244">
        <f t="shared" si="51"/>
        <v>3457.3218854118231</v>
      </c>
      <c r="AG91" s="244">
        <f t="shared" si="51"/>
        <v>3514.0790620387015</v>
      </c>
      <c r="AH91" s="244">
        <f t="shared" si="51"/>
        <v>3600.0194686759469</v>
      </c>
      <c r="AI91" s="244" t="e">
        <f t="shared" si="51"/>
        <v>#NUM!</v>
      </c>
    </row>
    <row r="92" spans="1:35" x14ac:dyDescent="0.2">
      <c r="A92" s="228" t="s">
        <v>169</v>
      </c>
      <c r="B92" s="246">
        <f>'Monthly Data'!$BB550*42/1000</f>
        <v>1754.6759999999999</v>
      </c>
      <c r="C92" s="246">
        <f>'Monthly Data'!$BB562*42/1000</f>
        <v>1812.3</v>
      </c>
      <c r="D92" s="246">
        <f>'Monthly Data'!$BB574*42/1000</f>
        <v>1683.78</v>
      </c>
      <c r="E92" s="246">
        <f>'Monthly Data'!$BB586*42/1000</f>
        <v>1784.0340000000001</v>
      </c>
      <c r="F92" s="246">
        <f>'Monthly Data'!$BB598*42/1000</f>
        <v>1613.1780000000001</v>
      </c>
      <c r="G92" s="246">
        <f>'Monthly Data'!$BB610*42/1000</f>
        <v>1790.3340000000001</v>
      </c>
      <c r="H92" s="246">
        <f>'Monthly Data'!$BB622*42/1000</f>
        <v>1933.848</v>
      </c>
      <c r="I92" s="244">
        <f t="shared" si="51"/>
        <v>1865.1817836198074</v>
      </c>
      <c r="J92" s="244">
        <f t="shared" si="51"/>
        <v>1920.3697671574209</v>
      </c>
      <c r="K92" s="244">
        <f t="shared" si="51"/>
        <v>2154.3370550790696</v>
      </c>
      <c r="L92" s="244">
        <f t="shared" si="51"/>
        <v>2199.185228326271</v>
      </c>
      <c r="M92" s="244">
        <f t="shared" si="51"/>
        <v>2192.3567098818762</v>
      </c>
      <c r="N92" s="244">
        <f t="shared" si="51"/>
        <v>2190.8916231043022</v>
      </c>
      <c r="O92" s="244">
        <f t="shared" si="51"/>
        <v>2257.9167021984549</v>
      </c>
      <c r="P92" s="244">
        <f t="shared" si="51"/>
        <v>2330.8739106083622</v>
      </c>
      <c r="Q92" s="244">
        <f t="shared" si="51"/>
        <v>2362.0780144116711</v>
      </c>
      <c r="R92" s="244">
        <f t="shared" si="51"/>
        <v>2389.4363122304462</v>
      </c>
      <c r="S92" s="244">
        <f t="shared" si="51"/>
        <v>2442.8750390756013</v>
      </c>
      <c r="T92" s="244">
        <f t="shared" si="51"/>
        <v>2497.8048545006873</v>
      </c>
      <c r="U92" s="244">
        <f t="shared" si="51"/>
        <v>2550.7501955115849</v>
      </c>
      <c r="V92" s="244">
        <f t="shared" si="51"/>
        <v>2605.1262913499431</v>
      </c>
      <c r="W92" s="244">
        <f t="shared" si="51"/>
        <v>2693.0998538821032</v>
      </c>
      <c r="X92" s="244">
        <f t="shared" si="51"/>
        <v>2795.4884213027731</v>
      </c>
      <c r="Y92" s="244">
        <f t="shared" si="51"/>
        <v>2867.7014115372631</v>
      </c>
      <c r="Z92" s="244">
        <f t="shared" si="51"/>
        <v>2921.6958107117166</v>
      </c>
      <c r="AA92" s="244">
        <f t="shared" si="51"/>
        <v>2975.8054379222262</v>
      </c>
      <c r="AB92" s="244">
        <f t="shared" si="51"/>
        <v>3030.8120107495997</v>
      </c>
      <c r="AC92" s="244">
        <f t="shared" si="51"/>
        <v>3118.6183400188743</v>
      </c>
      <c r="AD92" s="244">
        <f t="shared" si="51"/>
        <v>3222.5104010110713</v>
      </c>
      <c r="AE92" s="244">
        <f t="shared" si="51"/>
        <v>3326.7641609940465</v>
      </c>
      <c r="AF92" s="244">
        <f t="shared" si="51"/>
        <v>3399.6475647701882</v>
      </c>
      <c r="AG92" s="244">
        <f t="shared" si="51"/>
        <v>3454.5663425373941</v>
      </c>
      <c r="AH92" s="244">
        <f t="shared" si="51"/>
        <v>3543.0309395335325</v>
      </c>
      <c r="AI92" s="244" t="e">
        <f t="shared" si="51"/>
        <v>#NUM!</v>
      </c>
    </row>
    <row r="93" spans="1:35" x14ac:dyDescent="0.2">
      <c r="A93" s="228" t="s">
        <v>170</v>
      </c>
      <c r="B93" s="246">
        <f>'Monthly Data'!$BB551*42/1000</f>
        <v>1965.0540000000001</v>
      </c>
      <c r="C93" s="246">
        <f>'Monthly Data'!$BB563*42/1000</f>
        <v>1861.902</v>
      </c>
      <c r="D93" s="246">
        <f>'Monthly Data'!$BB575*42/1000</f>
        <v>1685.67</v>
      </c>
      <c r="E93" s="246">
        <f>'Monthly Data'!$BB587*42/1000</f>
        <v>1763.4960000000001</v>
      </c>
      <c r="F93" s="246">
        <f>'Monthly Data'!$BB599*42/1000</f>
        <v>1533.84</v>
      </c>
      <c r="G93" s="246">
        <f>'Monthly Data'!$BB611*42/1000</f>
        <v>1826.076</v>
      </c>
      <c r="H93" s="246">
        <f>'Monthly Data'!$BB623*42/1000</f>
        <v>1917.048</v>
      </c>
      <c r="I93" s="244">
        <f t="shared" si="51"/>
        <v>1875.5198572410882</v>
      </c>
      <c r="J93" s="244">
        <f t="shared" si="51"/>
        <v>1961.114415009326</v>
      </c>
      <c r="K93" s="244">
        <f t="shared" si="51"/>
        <v>2157.2681646540245</v>
      </c>
      <c r="L93" s="244">
        <f t="shared" si="51"/>
        <v>2209.6519810875889</v>
      </c>
      <c r="M93" s="244">
        <f t="shared" si="51"/>
        <v>2193.2437629276051</v>
      </c>
      <c r="N93" s="244">
        <f t="shared" si="51"/>
        <v>2203.4254269531298</v>
      </c>
      <c r="O93" s="244">
        <f t="shared" si="51"/>
        <v>2272.3260463814668</v>
      </c>
      <c r="P93" s="244">
        <f t="shared" si="51"/>
        <v>2339.5883406147364</v>
      </c>
      <c r="Q93" s="244">
        <f t="shared" si="51"/>
        <v>2367.5563076259664</v>
      </c>
      <c r="R93" s="244">
        <f t="shared" si="51"/>
        <v>2398.3764771659507</v>
      </c>
      <c r="S93" s="244">
        <f t="shared" si="51"/>
        <v>2453.136342873685</v>
      </c>
      <c r="T93" s="244">
        <f t="shared" si="51"/>
        <v>2508.6164284648808</v>
      </c>
      <c r="U93" s="244">
        <f t="shared" si="51"/>
        <v>2561.771906448836</v>
      </c>
      <c r="V93" s="244">
        <f t="shared" si="51"/>
        <v>2616.4374954464361</v>
      </c>
      <c r="W93" s="244">
        <f t="shared" si="51"/>
        <v>2708.5958623694355</v>
      </c>
      <c r="X93" s="244">
        <f t="shared" si="51"/>
        <v>2811.9189692844493</v>
      </c>
      <c r="Y93" s="244">
        <f t="shared" si="51"/>
        <v>2880.5240445943709</v>
      </c>
      <c r="Z93" s="244">
        <f t="shared" si="51"/>
        <v>2935.3343047536491</v>
      </c>
      <c r="AA93" s="244">
        <f t="shared" si="51"/>
        <v>2990.16253328931</v>
      </c>
      <c r="AB93" s="244">
        <f t="shared" si="51"/>
        <v>3045.5810221657489</v>
      </c>
      <c r="AC93" s="244">
        <f t="shared" si="51"/>
        <v>3138.1341225267761</v>
      </c>
      <c r="AD93" s="244">
        <f t="shared" si="51"/>
        <v>3242.9157747116246</v>
      </c>
      <c r="AE93" s="244">
        <f t="shared" si="51"/>
        <v>3347.8508549175799</v>
      </c>
      <c r="AF93" s="244">
        <f t="shared" si="51"/>
        <v>3417.7350299752575</v>
      </c>
      <c r="AG93" s="244">
        <f t="shared" si="51"/>
        <v>3473.4965159732819</v>
      </c>
      <c r="AH93" s="244">
        <f t="shared" si="51"/>
        <v>3566.9679078961976</v>
      </c>
      <c r="AI93" s="244" t="e">
        <f t="shared" si="51"/>
        <v>#NUM!</v>
      </c>
    </row>
    <row r="94" spans="1:35" x14ac:dyDescent="0.2">
      <c r="A94" s="228" t="s">
        <v>171</v>
      </c>
      <c r="B94" s="246">
        <f>'Monthly Data'!$BB552*42/1000</f>
        <v>1776.18</v>
      </c>
      <c r="C94" s="246">
        <f>'Monthly Data'!$BB564*42/1000</f>
        <v>1670.8440000000001</v>
      </c>
      <c r="D94" s="246">
        <f>'Monthly Data'!$BB576*42/1000</f>
        <v>1580.712</v>
      </c>
      <c r="E94" s="246">
        <f>'Monthly Data'!$BB588*42/1000</f>
        <v>1694.8679999999999</v>
      </c>
      <c r="F94" s="246">
        <f>'Monthly Data'!$BB600*42/1000</f>
        <v>1531.32</v>
      </c>
      <c r="G94" s="246">
        <f>'Monthly Data'!$BB612*42/1000</f>
        <v>1660.47</v>
      </c>
      <c r="H94" s="246">
        <f>'Monthly Data'!$BB624*42/1000</f>
        <v>1832.2080000000001</v>
      </c>
      <c r="I94" s="244">
        <f t="shared" si="51"/>
        <v>1769.9904809579207</v>
      </c>
      <c r="J94" s="244">
        <f t="shared" si="51"/>
        <v>1879.0505641015425</v>
      </c>
      <c r="K94" s="244">
        <f t="shared" si="51"/>
        <v>2061.2478773403618</v>
      </c>
      <c r="L94" s="244">
        <f t="shared" si="51"/>
        <v>2087.5887126380803</v>
      </c>
      <c r="M94" s="244">
        <f t="shared" si="51"/>
        <v>2087.4377919435292</v>
      </c>
      <c r="N94" s="244">
        <f t="shared" si="51"/>
        <v>2099.6509491340244</v>
      </c>
      <c r="O94" s="244">
        <f t="shared" si="51"/>
        <v>2167.2548676346646</v>
      </c>
      <c r="P94" s="244">
        <f t="shared" si="51"/>
        <v>2227.5944006291938</v>
      </c>
      <c r="Q94" s="244">
        <f t="shared" si="51"/>
        <v>2251.5613302930101</v>
      </c>
      <c r="R94" s="244">
        <f t="shared" si="51"/>
        <v>2285.9548270451742</v>
      </c>
      <c r="S94" s="244">
        <f t="shared" si="51"/>
        <v>2338.678223490896</v>
      </c>
      <c r="T94" s="244">
        <f t="shared" si="51"/>
        <v>2390.4166009058222</v>
      </c>
      <c r="U94" s="244">
        <f t="shared" si="51"/>
        <v>2439.5337237436302</v>
      </c>
      <c r="V94" s="244">
        <f t="shared" si="51"/>
        <v>2491.9653268547841</v>
      </c>
      <c r="W94" s="244">
        <f t="shared" si="51"/>
        <v>2586.1105518669019</v>
      </c>
      <c r="X94" s="244">
        <f t="shared" si="51"/>
        <v>2685.9672007332565</v>
      </c>
      <c r="Y94" s="244">
        <f t="shared" si="51"/>
        <v>2747.4798402678198</v>
      </c>
      <c r="Z94" s="244">
        <f t="shared" si="51"/>
        <v>2799.1110621938469</v>
      </c>
      <c r="AA94" s="244">
        <f t="shared" si="51"/>
        <v>2850.8621960046894</v>
      </c>
      <c r="AB94" s="244">
        <f t="shared" si="51"/>
        <v>2903.1751197472972</v>
      </c>
      <c r="AC94" s="244">
        <f t="shared" si="51"/>
        <v>2996.3946562420829</v>
      </c>
      <c r="AD94" s="244">
        <f t="shared" si="51"/>
        <v>3097.5515881613314</v>
      </c>
      <c r="AE94" s="244">
        <f t="shared" si="51"/>
        <v>3198.8406053512349</v>
      </c>
      <c r="AF94" s="244">
        <f t="shared" si="51"/>
        <v>3261.4693635502858</v>
      </c>
      <c r="AG94" s="244">
        <f t="shared" si="51"/>
        <v>3313.5337363442154</v>
      </c>
      <c r="AH94" s="244">
        <f t="shared" si="51"/>
        <v>3407.3373924028429</v>
      </c>
      <c r="AI94" s="244" t="e">
        <f t="shared" si="51"/>
        <v>#NUM!</v>
      </c>
    </row>
    <row r="95" spans="1:35" x14ac:dyDescent="0.2">
      <c r="A95" s="228" t="s">
        <v>172</v>
      </c>
      <c r="B95" s="246">
        <f>'Monthly Data'!$BB553*42/1000</f>
        <v>1651.23</v>
      </c>
      <c r="C95" s="246">
        <f>'Monthly Data'!$BB565*42/1000</f>
        <v>1706.124</v>
      </c>
      <c r="D95" s="246">
        <f>'Monthly Data'!$BB577*42/1000</f>
        <v>1581.846</v>
      </c>
      <c r="E95" s="246">
        <f>'Monthly Data'!$BB589*42/1000</f>
        <v>1544.5920000000001</v>
      </c>
      <c r="F95" s="246">
        <f>'Monthly Data'!$BB601*42/1000</f>
        <v>1588.104</v>
      </c>
      <c r="G95" s="246">
        <f>'Monthly Data'!$BB613*42/1000</f>
        <v>1634.136</v>
      </c>
      <c r="H95" s="246">
        <f>'Monthly Data'!$BB625*42/1000</f>
        <v>1837.8779999999999</v>
      </c>
      <c r="I95" s="244">
        <f t="shared" si="51"/>
        <v>1881.5211498709609</v>
      </c>
      <c r="J95" s="244">
        <f t="shared" si="51"/>
        <v>1967.5762541218569</v>
      </c>
      <c r="K95" s="244">
        <f t="shared" si="51"/>
        <v>2111.6871057841859</v>
      </c>
      <c r="L95" s="244">
        <f t="shared" si="51"/>
        <v>2116.2915208626573</v>
      </c>
      <c r="M95" s="244">
        <f t="shared" si="51"/>
        <v>2126.6943297576213</v>
      </c>
      <c r="N95" s="244">
        <f t="shared" si="51"/>
        <v>2156.0997101217122</v>
      </c>
      <c r="O95" s="244">
        <f t="shared" si="51"/>
        <v>2216.7154759197929</v>
      </c>
      <c r="P95" s="244">
        <f t="shared" si="51"/>
        <v>2272.0565462888335</v>
      </c>
      <c r="Q95" s="244">
        <f t="shared" si="51"/>
        <v>2285.1786722514671</v>
      </c>
      <c r="R95" s="244">
        <f t="shared" si="51"/>
        <v>2329.0898695452465</v>
      </c>
      <c r="S95" s="244">
        <f t="shared" si="51"/>
        <v>2381.5415032128335</v>
      </c>
      <c r="T95" s="244">
        <f t="shared" si="51"/>
        <v>2433.5739501265612</v>
      </c>
      <c r="U95" s="244">
        <f t="shared" ref="U95:AI96" si="52">U94+U31+U47-U63-U79</f>
        <v>2484.1836125364398</v>
      </c>
      <c r="V95" s="244">
        <f t="shared" si="52"/>
        <v>2536.5924872965575</v>
      </c>
      <c r="W95" s="244">
        <f t="shared" si="52"/>
        <v>2635.075623208837</v>
      </c>
      <c r="X95" s="244">
        <f t="shared" si="52"/>
        <v>2736.3117660312287</v>
      </c>
      <c r="Y95" s="244">
        <f t="shared" si="52"/>
        <v>2793.7239407419379</v>
      </c>
      <c r="Z95" s="244">
        <f t="shared" si="52"/>
        <v>2846.194353242754</v>
      </c>
      <c r="AA95" s="244">
        <f t="shared" si="52"/>
        <v>2898.6802261747184</v>
      </c>
      <c r="AB95" s="244">
        <f t="shared" si="52"/>
        <v>2951.3854262158425</v>
      </c>
      <c r="AC95" s="244">
        <f t="shared" si="52"/>
        <v>3049.4902347488137</v>
      </c>
      <c r="AD95" s="244">
        <f t="shared" si="52"/>
        <v>3151.7936043171148</v>
      </c>
      <c r="AE95" s="244">
        <f t="shared" si="52"/>
        <v>3254.089189216812</v>
      </c>
      <c r="AF95" s="244">
        <f t="shared" si="52"/>
        <v>3312.7257568024825</v>
      </c>
      <c r="AG95" s="244">
        <f t="shared" si="52"/>
        <v>3365.6386582740874</v>
      </c>
      <c r="AH95" s="244">
        <f t="shared" si="52"/>
        <v>3464.4091332657263</v>
      </c>
      <c r="AI95" s="244" t="e">
        <f t="shared" si="52"/>
        <v>#NUM!</v>
      </c>
    </row>
    <row r="96" spans="1:35" ht="12" thickBot="1" x14ac:dyDescent="0.25">
      <c r="A96" s="228" t="s">
        <v>173</v>
      </c>
      <c r="B96" s="246">
        <f>'Monthly Data'!$BB554*42/1000</f>
        <v>1746.57</v>
      </c>
      <c r="C96" s="246">
        <f>'Monthly Data'!$BB566*42/1000</f>
        <v>1699.614</v>
      </c>
      <c r="D96" s="246">
        <f>'Monthly Data'!$BB578*42/1000</f>
        <v>1622.3340000000001</v>
      </c>
      <c r="E96" s="246">
        <f>'Monthly Data'!$BB590*42/1000</f>
        <v>1503.5160000000001</v>
      </c>
      <c r="F96" s="246">
        <f>'Monthly Data'!$BB602*42/1000</f>
        <v>1471.6379999999999</v>
      </c>
      <c r="G96" s="246">
        <f>'Monthly Data'!$BB614*42/1000</f>
        <v>1670.0039999999999</v>
      </c>
      <c r="H96" s="246">
        <f>'Monthly Data'!$BB626*42/1000</f>
        <v>1843.086</v>
      </c>
      <c r="I96" s="244">
        <f t="shared" ref="I96:AG96" si="53">I95+I32+I48-I64-I80</f>
        <v>1949.9999999999955</v>
      </c>
      <c r="J96" s="244">
        <f t="shared" si="53"/>
        <v>1999.9999999999945</v>
      </c>
      <c r="K96" s="244">
        <f t="shared" si="53"/>
        <v>2099.99999999999</v>
      </c>
      <c r="L96" s="244">
        <f t="shared" si="53"/>
        <v>2099.9999999999927</v>
      </c>
      <c r="M96" s="244">
        <f t="shared" si="53"/>
        <v>2099.9999999999918</v>
      </c>
      <c r="N96" s="244">
        <f t="shared" si="53"/>
        <v>2149.9999999999982</v>
      </c>
      <c r="O96" s="244">
        <f t="shared" si="53"/>
        <v>2199.9999999999964</v>
      </c>
      <c r="P96" s="244">
        <f t="shared" si="53"/>
        <v>2249.9999999999973</v>
      </c>
      <c r="Q96" s="244">
        <f t="shared" si="53"/>
        <v>2249.9999999999991</v>
      </c>
      <c r="R96" s="244">
        <f t="shared" si="53"/>
        <v>2300.0000000000036</v>
      </c>
      <c r="S96" s="244">
        <f t="shared" si="53"/>
        <v>2350.0000000000109</v>
      </c>
      <c r="T96" s="244">
        <f t="shared" si="53"/>
        <v>2400.0000000000091</v>
      </c>
      <c r="U96" s="244">
        <f t="shared" si="53"/>
        <v>2450.0000000000127</v>
      </c>
      <c r="V96" s="244">
        <f t="shared" si="53"/>
        <v>2500.0000000000073</v>
      </c>
      <c r="W96" s="244">
        <f t="shared" si="53"/>
        <v>2600.0000000000064</v>
      </c>
      <c r="X96" s="244">
        <f t="shared" si="53"/>
        <v>2700.0000000000091</v>
      </c>
      <c r="Y96" s="244">
        <f t="shared" si="53"/>
        <v>2750.0000000000055</v>
      </c>
      <c r="Z96" s="244">
        <f t="shared" si="53"/>
        <v>2800.0000000000064</v>
      </c>
      <c r="AA96" s="244">
        <f t="shared" si="53"/>
        <v>2849.9999999999964</v>
      </c>
      <c r="AB96" s="244">
        <f t="shared" si="53"/>
        <v>2899.9999999999945</v>
      </c>
      <c r="AC96" s="244">
        <f t="shared" si="53"/>
        <v>2999.9999999999991</v>
      </c>
      <c r="AD96" s="244">
        <f t="shared" si="53"/>
        <v>3099.9999999999909</v>
      </c>
      <c r="AE96" s="244">
        <f t="shared" si="53"/>
        <v>3200.0000000000009</v>
      </c>
      <c r="AF96" s="244">
        <f t="shared" si="53"/>
        <v>3249.9999999999964</v>
      </c>
      <c r="AG96" s="244">
        <f t="shared" si="53"/>
        <v>3299.9999999999927</v>
      </c>
      <c r="AH96" s="244">
        <f t="shared" si="52"/>
        <v>3399.9999999999945</v>
      </c>
      <c r="AI96" s="244" t="e">
        <f t="shared" si="52"/>
        <v>#NUM!</v>
      </c>
    </row>
    <row r="97" spans="1:35" x14ac:dyDescent="0.2">
      <c r="A97" s="245"/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5"/>
      <c r="AH97" s="245"/>
      <c r="AI97" s="2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1E3ED-EC1E-43F2-BD98-61FCD61C8AAD}">
  <dimension ref="A1:AY160"/>
  <sheetViews>
    <sheetView zoomScaleNormal="100" workbookViewId="0">
      <pane xSplit="1" ySplit="3" topLeftCell="AG4" activePane="bottomRight" state="frozen"/>
      <selection activeCell="B9" sqref="B9"/>
      <selection pane="topRight" activeCell="B9" sqref="B9"/>
      <selection pane="bottomLeft" activeCell="B9" sqref="B9"/>
      <selection pane="bottomRight" activeCell="B9" sqref="B9"/>
    </sheetView>
  </sheetViews>
  <sheetFormatPr defaultColWidth="8.85546875" defaultRowHeight="11.25" x14ac:dyDescent="0.2"/>
  <cols>
    <col min="1" max="1" width="57.85546875" style="19" customWidth="1"/>
    <col min="2" max="11" width="9.140625" style="120" hidden="1" customWidth="1"/>
    <col min="12" max="15" width="9.5703125" style="120" hidden="1" customWidth="1"/>
    <col min="16" max="18" width="9.5703125" style="120" customWidth="1"/>
    <col min="19" max="23" width="9.7109375" style="120" bestFit="1" customWidth="1"/>
    <col min="24" max="24" width="11.140625" style="138" bestFit="1" customWidth="1"/>
    <col min="25" max="25" width="9.7109375" style="138" bestFit="1" customWidth="1"/>
    <col min="26" max="26" width="10.28515625" style="138" bestFit="1" customWidth="1"/>
    <col min="27" max="51" width="9.5703125" style="138" customWidth="1"/>
    <col min="52" max="16384" width="8.85546875" style="19"/>
  </cols>
  <sheetData>
    <row r="1" spans="1:51" ht="12" thickBot="1" x14ac:dyDescent="0.25">
      <c r="A1" s="80" t="s">
        <v>241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  <c r="AM1" s="149"/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</row>
    <row r="2" spans="1:51" ht="12" thickTop="1" x14ac:dyDescent="0.2">
      <c r="A2" s="247"/>
      <c r="B2" s="152">
        <v>2001</v>
      </c>
      <c r="C2" s="152">
        <v>2002</v>
      </c>
      <c r="D2" s="152">
        <v>2003</v>
      </c>
      <c r="E2" s="152">
        <v>2004</v>
      </c>
      <c r="F2" s="152">
        <v>2005</v>
      </c>
      <c r="G2" s="152">
        <v>2006</v>
      </c>
      <c r="H2" s="152">
        <v>2007</v>
      </c>
      <c r="I2" s="152">
        <v>2008</v>
      </c>
      <c r="J2" s="152">
        <v>2009</v>
      </c>
      <c r="K2" s="152">
        <v>2010</v>
      </c>
      <c r="L2" s="152">
        <v>2011</v>
      </c>
      <c r="M2" s="152">
        <v>2012</v>
      </c>
      <c r="N2" s="152">
        <v>2013</v>
      </c>
      <c r="O2" s="152">
        <v>2014</v>
      </c>
      <c r="P2" s="152">
        <v>2015</v>
      </c>
      <c r="Q2" s="152">
        <v>2016</v>
      </c>
      <c r="R2" s="152">
        <v>2017</v>
      </c>
      <c r="S2" s="152">
        <v>2018</v>
      </c>
      <c r="T2" s="152">
        <v>2019</v>
      </c>
      <c r="U2" s="152">
        <v>2020</v>
      </c>
      <c r="V2" s="152">
        <v>2021</v>
      </c>
      <c r="W2" s="152">
        <v>2022</v>
      </c>
      <c r="X2" s="152">
        <v>2023</v>
      </c>
      <c r="Y2" s="152">
        <v>2024</v>
      </c>
      <c r="Z2" s="152">
        <v>2025</v>
      </c>
      <c r="AA2" s="152">
        <v>2026</v>
      </c>
      <c r="AB2" s="152">
        <v>2027</v>
      </c>
      <c r="AC2" s="152">
        <v>2028</v>
      </c>
      <c r="AD2" s="152">
        <v>2029</v>
      </c>
      <c r="AE2" s="152">
        <v>2030</v>
      </c>
      <c r="AF2" s="152">
        <v>2031</v>
      </c>
      <c r="AG2" s="152">
        <v>2032</v>
      </c>
      <c r="AH2" s="152">
        <v>2033</v>
      </c>
      <c r="AI2" s="152">
        <v>2034</v>
      </c>
      <c r="AJ2" s="152">
        <v>2035</v>
      </c>
      <c r="AK2" s="152">
        <v>2036</v>
      </c>
      <c r="AL2" s="152">
        <v>2037</v>
      </c>
      <c r="AM2" s="152">
        <v>2038</v>
      </c>
      <c r="AN2" s="152">
        <v>2039</v>
      </c>
      <c r="AO2" s="152">
        <v>2040</v>
      </c>
      <c r="AP2" s="152">
        <v>2041</v>
      </c>
      <c r="AQ2" s="152">
        <v>2042</v>
      </c>
      <c r="AR2" s="152">
        <v>2043</v>
      </c>
      <c r="AS2" s="152">
        <v>2044</v>
      </c>
      <c r="AT2" s="152">
        <v>2045</v>
      </c>
      <c r="AU2" s="152">
        <v>2046</v>
      </c>
      <c r="AV2" s="152">
        <v>2047</v>
      </c>
      <c r="AW2" s="152">
        <v>2048</v>
      </c>
      <c r="AX2" s="152">
        <v>2049</v>
      </c>
      <c r="AY2" s="152">
        <v>2050</v>
      </c>
    </row>
    <row r="3" spans="1:51" hidden="1" x14ac:dyDescent="0.2">
      <c r="A3" s="80" t="s">
        <v>242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7"/>
      <c r="AU3" s="87"/>
      <c r="AV3" s="87"/>
      <c r="AW3" s="87"/>
      <c r="AX3" s="87"/>
      <c r="AY3" s="87"/>
    </row>
    <row r="4" spans="1:51" x14ac:dyDescent="0.2">
      <c r="A4" s="84" t="s">
        <v>146</v>
      </c>
      <c r="B4" s="88"/>
      <c r="C4" s="88">
        <f t="shared" ref="C4:L4" si="0">B13</f>
        <v>6069.5460000000003</v>
      </c>
      <c r="D4" s="88">
        <f t="shared" si="0"/>
        <v>5631.57</v>
      </c>
      <c r="E4" s="88">
        <f t="shared" si="0"/>
        <v>5734.7640000000001</v>
      </c>
      <c r="F4" s="88">
        <f t="shared" si="0"/>
        <v>5303.424</v>
      </c>
      <c r="G4" s="88">
        <f t="shared" si="0"/>
        <v>5712.924</v>
      </c>
      <c r="H4" s="88">
        <f t="shared" si="0"/>
        <v>6033.3419999999996</v>
      </c>
      <c r="I4" s="88">
        <f t="shared" si="0"/>
        <v>5625.6480000000001</v>
      </c>
      <c r="J4" s="88">
        <f t="shared" si="0"/>
        <v>6132.5460000000003</v>
      </c>
      <c r="K4" s="88">
        <f t="shared" si="0"/>
        <v>6970.4880000000003</v>
      </c>
      <c r="L4" s="88">
        <f t="shared" si="0"/>
        <v>6900.8519999999999</v>
      </c>
      <c r="M4" s="88">
        <f>L13</f>
        <v>6266.9040000000005</v>
      </c>
      <c r="N4" s="88">
        <f t="shared" ref="N4:AY4" si="1">M13</f>
        <v>5661.9780000000001</v>
      </c>
      <c r="O4" s="88">
        <f t="shared" si="1"/>
        <v>5356.8059999999996</v>
      </c>
      <c r="P4" s="88">
        <f t="shared" si="1"/>
        <v>5724.0119999999997</v>
      </c>
      <c r="Q4" s="88">
        <f t="shared" si="1"/>
        <v>6775.692</v>
      </c>
      <c r="R4" s="88">
        <f t="shared" si="1"/>
        <v>6975.99</v>
      </c>
      <c r="S4" s="88">
        <f t="shared" si="1"/>
        <v>6116.7960000000003</v>
      </c>
      <c r="T4" s="88">
        <f t="shared" si="1"/>
        <v>5886.8040000000001</v>
      </c>
      <c r="U4" s="88">
        <f t="shared" si="1"/>
        <v>5883.4859999999999</v>
      </c>
      <c r="V4" s="88">
        <f t="shared" si="1"/>
        <v>6769.8959999999997</v>
      </c>
      <c r="W4" s="88">
        <f t="shared" si="1"/>
        <v>5461.6379999999999</v>
      </c>
      <c r="X4" s="88">
        <f t="shared" si="1"/>
        <v>4993.7579999999998</v>
      </c>
      <c r="Y4" s="88">
        <f t="shared" si="1"/>
        <v>5489.9459999999999</v>
      </c>
      <c r="Z4" s="89">
        <f t="shared" si="1"/>
        <v>5474.1959999999999</v>
      </c>
      <c r="AA4" s="89">
        <f t="shared" si="1"/>
        <v>6186.7400786625358</v>
      </c>
      <c r="AB4" s="89">
        <f t="shared" si="1"/>
        <v>7811.4415908142328</v>
      </c>
      <c r="AC4" s="89">
        <f t="shared" si="1"/>
        <v>7496.7694875324596</v>
      </c>
      <c r="AD4" s="89">
        <f t="shared" si="1"/>
        <v>7583.4756955101693</v>
      </c>
      <c r="AE4" s="89">
        <f t="shared" si="1"/>
        <v>7188.2253661557006</v>
      </c>
      <c r="AF4" s="89">
        <f t="shared" si="1"/>
        <v>6977.7886163226249</v>
      </c>
      <c r="AG4" s="89">
        <f t="shared" si="1"/>
        <v>6782.7630621544231</v>
      </c>
      <c r="AH4" s="89">
        <f t="shared" si="1"/>
        <v>6923.8784098151064</v>
      </c>
      <c r="AI4" s="89">
        <f t="shared" si="1"/>
        <v>6319.3506704492102</v>
      </c>
      <c r="AJ4" s="89">
        <f t="shared" si="1"/>
        <v>5597.7698536034823</v>
      </c>
      <c r="AK4" s="89">
        <f t="shared" si="1"/>
        <v>5371.6628517857234</v>
      </c>
      <c r="AL4" s="89">
        <f t="shared" si="1"/>
        <v>4631.9523631792563</v>
      </c>
      <c r="AM4" s="89">
        <f t="shared" si="1"/>
        <v>5115.5942204749581</v>
      </c>
      <c r="AN4" s="89">
        <f t="shared" si="1"/>
        <v>5024.9528084148706</v>
      </c>
      <c r="AO4" s="89">
        <f t="shared" si="1"/>
        <v>4710.8178521024402</v>
      </c>
      <c r="AP4" s="89">
        <f t="shared" si="1"/>
        <v>4550.3254170204691</v>
      </c>
      <c r="AQ4" s="89">
        <f t="shared" si="1"/>
        <v>4353.3682604892056</v>
      </c>
      <c r="AR4" s="89">
        <f t="shared" si="1"/>
        <v>4026.4921516420609</v>
      </c>
      <c r="AS4" s="89">
        <f t="shared" si="1"/>
        <v>3886.4773667661675</v>
      </c>
      <c r="AT4" s="89">
        <f t="shared" si="1"/>
        <v>3840.9429234062409</v>
      </c>
      <c r="AU4" s="89">
        <f t="shared" si="1"/>
        <v>3733.4950169227304</v>
      </c>
      <c r="AV4" s="89">
        <f t="shared" si="1"/>
        <v>3561.8609041971531</v>
      </c>
      <c r="AW4" s="89">
        <f t="shared" si="1"/>
        <v>3461.3958784740444</v>
      </c>
      <c r="AX4" s="89">
        <f t="shared" si="1"/>
        <v>3296.0483107166501</v>
      </c>
      <c r="AY4" s="89">
        <f t="shared" si="1"/>
        <v>3111.8629875051029</v>
      </c>
    </row>
    <row r="5" spans="1:51" x14ac:dyDescent="0.2">
      <c r="A5" s="84" t="s">
        <v>147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>
        <f t="shared" ref="L5:Y5" si="2">L33</f>
        <v>68863.45199999999</v>
      </c>
      <c r="M5" s="88">
        <f t="shared" si="2"/>
        <v>69940.751999999993</v>
      </c>
      <c r="N5" s="88">
        <f t="shared" si="2"/>
        <v>72554.705999999976</v>
      </c>
      <c r="O5" s="88">
        <f t="shared" si="2"/>
        <v>75366.185999999987</v>
      </c>
      <c r="P5" s="88">
        <f t="shared" si="2"/>
        <v>76388.760000000009</v>
      </c>
      <c r="Q5" s="88">
        <f t="shared" si="2"/>
        <v>74312.069999999992</v>
      </c>
      <c r="R5" s="88">
        <f t="shared" si="2"/>
        <v>77022.918000000005</v>
      </c>
      <c r="S5" s="88">
        <f t="shared" si="2"/>
        <v>79226.322</v>
      </c>
      <c r="T5" s="88">
        <f t="shared" si="2"/>
        <v>78750.63</v>
      </c>
      <c r="U5" s="88">
        <f t="shared" si="2"/>
        <v>72826.23599999999</v>
      </c>
      <c r="V5" s="88">
        <f t="shared" si="2"/>
        <v>71554.896000000008</v>
      </c>
      <c r="W5" s="88">
        <f t="shared" si="2"/>
        <v>76816.361999999994</v>
      </c>
      <c r="X5" s="88">
        <f t="shared" si="2"/>
        <v>75221.538</v>
      </c>
      <c r="Y5" s="88">
        <f t="shared" si="2"/>
        <v>75861.324000000008</v>
      </c>
      <c r="Z5" s="89">
        <f>MROUND(Y5*1.02,100)</f>
        <v>77400</v>
      </c>
      <c r="AA5" s="89">
        <f>MROUND(Z5*1.015,100)</f>
        <v>78600</v>
      </c>
      <c r="AB5" s="89">
        <f>MROUND(AA5*1.01,100)</f>
        <v>79400</v>
      </c>
      <c r="AC5" s="89">
        <f>MROUND(AB5*1.005,100)</f>
        <v>79800</v>
      </c>
      <c r="AD5" s="89">
        <f>MROUND(AC5*1.005,100)</f>
        <v>80200</v>
      </c>
      <c r="AE5" s="89">
        <f>MROUND(AD5*1.005,100)</f>
        <v>80600</v>
      </c>
      <c r="AF5" s="89">
        <f>MROUND(AE5*1.0075,100)</f>
        <v>81200</v>
      </c>
      <c r="AG5" s="89">
        <f>MROUND(AF5*0.995,100)</f>
        <v>80800</v>
      </c>
      <c r="AH5" s="89">
        <f>MROUND(AG5*0.995,100)</f>
        <v>80400</v>
      </c>
      <c r="AI5" s="89">
        <f>MROUND(AH5*0.995,100)</f>
        <v>80000</v>
      </c>
      <c r="AJ5" s="89">
        <f>MROUND(AI5*0.995,100)</f>
        <v>79600</v>
      </c>
      <c r="AK5" s="89">
        <f t="shared" ref="AK5:AY5" si="3">MROUND(AJ5*0.995,100)</f>
        <v>79200</v>
      </c>
      <c r="AL5" s="89">
        <f t="shared" si="3"/>
        <v>78800</v>
      </c>
      <c r="AM5" s="89">
        <f t="shared" si="3"/>
        <v>78400</v>
      </c>
      <c r="AN5" s="89">
        <f t="shared" si="3"/>
        <v>78000</v>
      </c>
      <c r="AO5" s="89">
        <f t="shared" si="3"/>
        <v>77600</v>
      </c>
      <c r="AP5" s="89">
        <f t="shared" si="3"/>
        <v>77200</v>
      </c>
      <c r="AQ5" s="89">
        <f t="shared" si="3"/>
        <v>76800</v>
      </c>
      <c r="AR5" s="89">
        <f t="shared" si="3"/>
        <v>76400</v>
      </c>
      <c r="AS5" s="89">
        <f t="shared" si="3"/>
        <v>76000</v>
      </c>
      <c r="AT5" s="89">
        <f t="shared" si="3"/>
        <v>75600</v>
      </c>
      <c r="AU5" s="89">
        <f t="shared" si="3"/>
        <v>75200</v>
      </c>
      <c r="AV5" s="89">
        <f t="shared" si="3"/>
        <v>74800</v>
      </c>
      <c r="AW5" s="89">
        <f t="shared" si="3"/>
        <v>74400</v>
      </c>
      <c r="AX5" s="89">
        <f t="shared" si="3"/>
        <v>74000</v>
      </c>
      <c r="AY5" s="89">
        <f t="shared" si="3"/>
        <v>73600</v>
      </c>
    </row>
    <row r="6" spans="1:51" x14ac:dyDescent="0.2">
      <c r="A6" s="104" t="s">
        <v>148</v>
      </c>
      <c r="B6" s="88"/>
      <c r="C6" s="156"/>
      <c r="D6" s="156"/>
      <c r="E6" s="156"/>
      <c r="F6" s="156"/>
      <c r="G6" s="156"/>
      <c r="H6" s="156"/>
      <c r="I6" s="156"/>
      <c r="J6" s="156"/>
      <c r="K6" s="156"/>
      <c r="L6" s="156">
        <f t="shared" ref="L6:Y6" si="4">L49</f>
        <v>2739.828</v>
      </c>
      <c r="M6" s="156">
        <f t="shared" si="4"/>
        <v>1939.5180000000003</v>
      </c>
      <c r="N6" s="156">
        <f t="shared" si="4"/>
        <v>2371.5300000000002</v>
      </c>
      <c r="O6" s="156">
        <f t="shared" si="4"/>
        <v>2984.1</v>
      </c>
      <c r="P6" s="156">
        <f t="shared" si="4"/>
        <v>3073.4760000000006</v>
      </c>
      <c r="Q6" s="156">
        <f t="shared" si="4"/>
        <v>2252.9639999999999</v>
      </c>
      <c r="R6" s="156">
        <f t="shared" si="4"/>
        <v>2308.9499999999998</v>
      </c>
      <c r="S6" s="156">
        <f t="shared" si="4"/>
        <v>2678.2979999999998</v>
      </c>
      <c r="T6" s="156">
        <f t="shared" si="4"/>
        <v>3103.2119999999995</v>
      </c>
      <c r="U6" s="156">
        <f t="shared" si="4"/>
        <v>3351.1379999999995</v>
      </c>
      <c r="V6" s="156">
        <f t="shared" si="4"/>
        <v>4421.0039999999999</v>
      </c>
      <c r="W6" s="156">
        <f t="shared" si="4"/>
        <v>2882.3760000000002</v>
      </c>
      <c r="X6" s="156">
        <f t="shared" si="4"/>
        <v>2573.3820000000001</v>
      </c>
      <c r="Y6" s="156">
        <f t="shared" si="4"/>
        <v>2208.2759999999998</v>
      </c>
      <c r="Z6" s="248">
        <f>AVERAGE(P6:Y6)</f>
        <v>2885.3076000000001</v>
      </c>
      <c r="AA6" s="248">
        <f t="shared" ref="AA6:AY6" si="5">AVERAGE(Q6:Z6)</f>
        <v>2866.4907599999997</v>
      </c>
      <c r="AB6" s="248">
        <f t="shared" si="5"/>
        <v>2927.8434360000001</v>
      </c>
      <c r="AC6" s="248">
        <f t="shared" si="5"/>
        <v>2989.7327796</v>
      </c>
      <c r="AD6" s="248">
        <f t="shared" si="5"/>
        <v>3020.8762575599999</v>
      </c>
      <c r="AE6" s="248">
        <f t="shared" si="5"/>
        <v>3012.6426833159999</v>
      </c>
      <c r="AF6" s="248">
        <f t="shared" si="5"/>
        <v>2978.7931516476001</v>
      </c>
      <c r="AG6" s="248">
        <f t="shared" si="5"/>
        <v>2834.5720668123599</v>
      </c>
      <c r="AH6" s="248">
        <f t="shared" si="5"/>
        <v>2829.7916734935961</v>
      </c>
      <c r="AI6" s="248">
        <f t="shared" si="5"/>
        <v>2855.4326408429561</v>
      </c>
      <c r="AJ6" s="248">
        <f t="shared" si="5"/>
        <v>2920.148304927251</v>
      </c>
      <c r="AK6" s="248">
        <f t="shared" si="5"/>
        <v>2923.6323754199761</v>
      </c>
      <c r="AL6" s="248">
        <f t="shared" si="5"/>
        <v>2929.3465369619739</v>
      </c>
      <c r="AM6" s="248">
        <f t="shared" si="5"/>
        <v>2929.4968470581712</v>
      </c>
      <c r="AN6" s="248">
        <f t="shared" si="5"/>
        <v>2923.473253803988</v>
      </c>
      <c r="AO6" s="248">
        <f t="shared" si="5"/>
        <v>2913.7329534283867</v>
      </c>
      <c r="AP6" s="248">
        <f t="shared" si="5"/>
        <v>2903.8419804396253</v>
      </c>
      <c r="AQ6" s="248">
        <f t="shared" si="5"/>
        <v>2896.3468633188286</v>
      </c>
      <c r="AR6" s="248">
        <f t="shared" si="5"/>
        <v>2902.5243429694751</v>
      </c>
      <c r="AS6" s="248">
        <f t="shared" si="5"/>
        <v>2909.7976099170633</v>
      </c>
      <c r="AT6" s="248">
        <f t="shared" si="5"/>
        <v>2915.2341068244737</v>
      </c>
      <c r="AU6" s="248">
        <f t="shared" si="5"/>
        <v>2914.7426870141962</v>
      </c>
      <c r="AV6" s="248">
        <f t="shared" si="5"/>
        <v>2913.8537181736183</v>
      </c>
      <c r="AW6" s="248">
        <f t="shared" si="5"/>
        <v>2912.304436294783</v>
      </c>
      <c r="AX6" s="248">
        <f t="shared" si="5"/>
        <v>2910.5851952184439</v>
      </c>
      <c r="AY6" s="248">
        <f t="shared" si="5"/>
        <v>2909.2963893598899</v>
      </c>
    </row>
    <row r="7" spans="1:51" x14ac:dyDescent="0.2">
      <c r="A7" s="94" t="s">
        <v>218</v>
      </c>
      <c r="B7" s="95">
        <f>SUM(B4:B6)</f>
        <v>0</v>
      </c>
      <c r="C7" s="95">
        <f t="shared" ref="C7:AY7" si="6">SUM(C4:C6)</f>
        <v>6069.5460000000003</v>
      </c>
      <c r="D7" s="95">
        <f t="shared" si="6"/>
        <v>5631.57</v>
      </c>
      <c r="E7" s="95">
        <f t="shared" si="6"/>
        <v>5734.7640000000001</v>
      </c>
      <c r="F7" s="95">
        <f t="shared" si="6"/>
        <v>5303.424</v>
      </c>
      <c r="G7" s="95">
        <f t="shared" si="6"/>
        <v>5712.924</v>
      </c>
      <c r="H7" s="95">
        <f t="shared" si="6"/>
        <v>6033.3419999999996</v>
      </c>
      <c r="I7" s="95">
        <f t="shared" si="6"/>
        <v>5625.6480000000001</v>
      </c>
      <c r="J7" s="95">
        <f t="shared" si="6"/>
        <v>6132.5460000000003</v>
      </c>
      <c r="K7" s="95">
        <f t="shared" si="6"/>
        <v>6970.4880000000003</v>
      </c>
      <c r="L7" s="95">
        <f t="shared" si="6"/>
        <v>78504.131999999983</v>
      </c>
      <c r="M7" s="95">
        <f t="shared" si="6"/>
        <v>78147.173999999985</v>
      </c>
      <c r="N7" s="95">
        <f t="shared" si="6"/>
        <v>80588.213999999978</v>
      </c>
      <c r="O7" s="95">
        <f t="shared" si="6"/>
        <v>83707.09199999999</v>
      </c>
      <c r="P7" s="95">
        <f t="shared" si="6"/>
        <v>85186.248000000007</v>
      </c>
      <c r="Q7" s="95">
        <f t="shared" si="6"/>
        <v>83340.725999999995</v>
      </c>
      <c r="R7" s="95">
        <f t="shared" si="6"/>
        <v>86307.858000000007</v>
      </c>
      <c r="S7" s="95">
        <f>SUM(S4:S6)</f>
        <v>88021.415999999997</v>
      </c>
      <c r="T7" s="95">
        <f t="shared" si="6"/>
        <v>87740.646000000008</v>
      </c>
      <c r="U7" s="95">
        <f t="shared" si="6"/>
        <v>82060.86</v>
      </c>
      <c r="V7" s="95">
        <f t="shared" si="6"/>
        <v>82745.796000000002</v>
      </c>
      <c r="W7" s="95">
        <f t="shared" si="6"/>
        <v>85160.376000000004</v>
      </c>
      <c r="X7" s="95">
        <f t="shared" si="6"/>
        <v>82788.678</v>
      </c>
      <c r="Y7" s="95">
        <f t="shared" si="6"/>
        <v>83559.546000000002</v>
      </c>
      <c r="Z7" s="96">
        <f t="shared" si="6"/>
        <v>85759.503599999996</v>
      </c>
      <c r="AA7" s="96">
        <f t="shared" si="6"/>
        <v>87653.230838662537</v>
      </c>
      <c r="AB7" s="96">
        <f t="shared" si="6"/>
        <v>90139.285026814236</v>
      </c>
      <c r="AC7" s="96">
        <f t="shared" si="6"/>
        <v>90286.50226713247</v>
      </c>
      <c r="AD7" s="96">
        <f t="shared" si="6"/>
        <v>90804.35195307016</v>
      </c>
      <c r="AE7" s="96">
        <f t="shared" si="6"/>
        <v>90800.868049471697</v>
      </c>
      <c r="AF7" s="96">
        <f t="shared" si="6"/>
        <v>91156.581767970216</v>
      </c>
      <c r="AG7" s="96">
        <f t="shared" si="6"/>
        <v>90417.335128966777</v>
      </c>
      <c r="AH7" s="96">
        <f t="shared" si="6"/>
        <v>90153.670083308709</v>
      </c>
      <c r="AI7" s="96">
        <f t="shared" si="6"/>
        <v>89174.783311292165</v>
      </c>
      <c r="AJ7" s="96">
        <f t="shared" si="6"/>
        <v>88117.918158530738</v>
      </c>
      <c r="AK7" s="96">
        <f t="shared" si="6"/>
        <v>87495.295227205686</v>
      </c>
      <c r="AL7" s="96">
        <f t="shared" si="6"/>
        <v>86361.298900141235</v>
      </c>
      <c r="AM7" s="96">
        <f t="shared" si="6"/>
        <v>86445.091067533125</v>
      </c>
      <c r="AN7" s="96">
        <f t="shared" si="6"/>
        <v>85948.426062218859</v>
      </c>
      <c r="AO7" s="96">
        <f t="shared" si="6"/>
        <v>85224.550805530831</v>
      </c>
      <c r="AP7" s="96">
        <f t="shared" si="6"/>
        <v>84654.1673974601</v>
      </c>
      <c r="AQ7" s="96">
        <f t="shared" si="6"/>
        <v>84049.715123808041</v>
      </c>
      <c r="AR7" s="96">
        <f t="shared" si="6"/>
        <v>83329.01649461154</v>
      </c>
      <c r="AS7" s="96">
        <f t="shared" si="6"/>
        <v>82796.274976683228</v>
      </c>
      <c r="AT7" s="96">
        <f t="shared" si="6"/>
        <v>82356.177030230712</v>
      </c>
      <c r="AU7" s="96">
        <f t="shared" si="6"/>
        <v>81848.237703936931</v>
      </c>
      <c r="AV7" s="96">
        <f t="shared" si="6"/>
        <v>81275.714622370768</v>
      </c>
      <c r="AW7" s="96">
        <f t="shared" si="6"/>
        <v>80773.700314768823</v>
      </c>
      <c r="AX7" s="96">
        <f t="shared" si="6"/>
        <v>80206.633505935097</v>
      </c>
      <c r="AY7" s="96">
        <f t="shared" si="6"/>
        <v>79621.159376864991</v>
      </c>
    </row>
    <row r="8" spans="1:51" hidden="1" x14ac:dyDescent="0.2">
      <c r="A8" s="94" t="s">
        <v>243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>
        <f>P81</f>
        <v>61247.004000000001</v>
      </c>
      <c r="Q8" s="95">
        <f t="shared" ref="Q8:Y8" si="7">Q81</f>
        <v>59601.15</v>
      </c>
      <c r="R8" s="95">
        <f t="shared" si="7"/>
        <v>60280.458000000006</v>
      </c>
      <c r="S8" s="95">
        <f t="shared" si="7"/>
        <v>62380.626000000004</v>
      </c>
      <c r="T8" s="95">
        <f t="shared" si="7"/>
        <v>61837.650000000009</v>
      </c>
      <c r="U8" s="95">
        <f t="shared" si="7"/>
        <v>57048.180000000008</v>
      </c>
      <c r="V8" s="95">
        <f t="shared" si="7"/>
        <v>60004.329167999997</v>
      </c>
      <c r="W8" s="95">
        <f t="shared" si="7"/>
        <v>60837.640163999997</v>
      </c>
      <c r="X8" s="95">
        <f t="shared" si="7"/>
        <v>59137.57033799999</v>
      </c>
      <c r="Y8" s="95">
        <f t="shared" si="7"/>
        <v>57252.681892085398</v>
      </c>
      <c r="Z8" s="96">
        <f>FORECAST(Z7,O8:Y8,O7:Y7)</f>
        <v>60695.196740538595</v>
      </c>
      <c r="AA8" s="96">
        <f t="shared" ref="AA8:AY8" si="8">FORECAST(AA7,P8:Z8,P7:Z7)</f>
        <v>61993.623209405378</v>
      </c>
      <c r="AB8" s="96">
        <f t="shared" si="8"/>
        <v>63595.263163937212</v>
      </c>
      <c r="AC8" s="96">
        <f t="shared" si="8"/>
        <v>63737.135279575683</v>
      </c>
      <c r="AD8" s="96">
        <f t="shared" si="8"/>
        <v>64172.544675259385</v>
      </c>
      <c r="AE8" s="96">
        <f t="shared" si="8"/>
        <v>64141.211439622552</v>
      </c>
      <c r="AF8" s="96">
        <f t="shared" si="8"/>
        <v>64411.995174320065</v>
      </c>
      <c r="AG8" s="96">
        <f t="shared" si="8"/>
        <v>63847.178015683297</v>
      </c>
      <c r="AH8" s="96">
        <f t="shared" si="8"/>
        <v>63696.369667154147</v>
      </c>
      <c r="AI8" s="96">
        <f t="shared" si="8"/>
        <v>62932.942304619915</v>
      </c>
      <c r="AJ8" s="96">
        <f t="shared" si="8"/>
        <v>61939.101700669016</v>
      </c>
      <c r="AK8" s="96">
        <f t="shared" si="8"/>
        <v>61793.840189322378</v>
      </c>
      <c r="AL8" s="96">
        <f t="shared" si="8"/>
        <v>60902.46025957173</v>
      </c>
      <c r="AM8" s="96">
        <f t="shared" si="8"/>
        <v>60913.129195645568</v>
      </c>
      <c r="AN8" s="96">
        <f t="shared" si="8"/>
        <v>60546.055601967062</v>
      </c>
      <c r="AO8" s="96">
        <f t="shared" si="8"/>
        <v>60009.505811090654</v>
      </c>
      <c r="AP8" s="96">
        <f t="shared" si="8"/>
        <v>59590.127644504617</v>
      </c>
      <c r="AQ8" s="96">
        <f t="shared" si="8"/>
        <v>59144.318560314816</v>
      </c>
      <c r="AR8" s="96">
        <f t="shared" si="8"/>
        <v>58615.993245286823</v>
      </c>
      <c r="AS8" s="96">
        <f t="shared" si="8"/>
        <v>58224.443912870338</v>
      </c>
      <c r="AT8" s="96">
        <f t="shared" si="8"/>
        <v>57914.572525862386</v>
      </c>
      <c r="AU8" s="96">
        <f t="shared" si="8"/>
        <v>57552.109771849922</v>
      </c>
      <c r="AV8" s="96">
        <f t="shared" si="8"/>
        <v>57092.751311998196</v>
      </c>
      <c r="AW8" s="96">
        <f t="shared" si="8"/>
        <v>56734.397346889724</v>
      </c>
      <c r="AX8" s="96">
        <f t="shared" si="8"/>
        <v>56322.441387416067</v>
      </c>
      <c r="AY8" s="96">
        <f t="shared" si="8"/>
        <v>55892.512473245268</v>
      </c>
    </row>
    <row r="9" spans="1:51" hidden="1" x14ac:dyDescent="0.2">
      <c r="A9" s="84" t="s">
        <v>244</v>
      </c>
      <c r="B9" s="88"/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>
        <f>S97</f>
        <v>-3851.5260000000035</v>
      </c>
      <c r="T9" s="88">
        <f t="shared" ref="T9:AY9" si="9">T97</f>
        <v>-3517.2900000000036</v>
      </c>
      <c r="U9" s="88">
        <f t="shared" si="9"/>
        <v>-3003.420000000001</v>
      </c>
      <c r="V9" s="88">
        <f t="shared" si="9"/>
        <v>-3421.9291680000001</v>
      </c>
      <c r="W9" s="88">
        <f t="shared" si="9"/>
        <v>-3677.7401639999989</v>
      </c>
      <c r="X9" s="88">
        <f t="shared" si="9"/>
        <v>-3037.3303379999961</v>
      </c>
      <c r="Y9" s="89">
        <f t="shared" si="9"/>
        <v>-1152.4418920853986</v>
      </c>
      <c r="Z9" s="89">
        <f t="shared" si="9"/>
        <v>0</v>
      </c>
      <c r="AA9" s="89">
        <f t="shared" si="9"/>
        <v>0</v>
      </c>
      <c r="AB9" s="89">
        <f t="shared" si="9"/>
        <v>0</v>
      </c>
      <c r="AC9" s="89">
        <f t="shared" si="9"/>
        <v>0</v>
      </c>
      <c r="AD9" s="89">
        <f t="shared" si="9"/>
        <v>0</v>
      </c>
      <c r="AE9" s="89">
        <f t="shared" si="9"/>
        <v>0</v>
      </c>
      <c r="AF9" s="89">
        <f t="shared" si="9"/>
        <v>0</v>
      </c>
      <c r="AG9" s="89">
        <f t="shared" si="9"/>
        <v>0</v>
      </c>
      <c r="AH9" s="89">
        <f t="shared" si="9"/>
        <v>0</v>
      </c>
      <c r="AI9" s="89">
        <f t="shared" si="9"/>
        <v>0</v>
      </c>
      <c r="AJ9" s="89">
        <f t="shared" si="9"/>
        <v>0</v>
      </c>
      <c r="AK9" s="89">
        <f t="shared" si="9"/>
        <v>0</v>
      </c>
      <c r="AL9" s="89">
        <f t="shared" si="9"/>
        <v>0</v>
      </c>
      <c r="AM9" s="89">
        <f t="shared" si="9"/>
        <v>0</v>
      </c>
      <c r="AN9" s="89">
        <f t="shared" si="9"/>
        <v>0</v>
      </c>
      <c r="AO9" s="89">
        <f t="shared" si="9"/>
        <v>0</v>
      </c>
      <c r="AP9" s="89">
        <f t="shared" si="9"/>
        <v>0</v>
      </c>
      <c r="AQ9" s="89">
        <f t="shared" si="9"/>
        <v>0</v>
      </c>
      <c r="AR9" s="89">
        <f t="shared" si="9"/>
        <v>0</v>
      </c>
      <c r="AS9" s="89">
        <f t="shared" si="9"/>
        <v>0</v>
      </c>
      <c r="AT9" s="89">
        <f t="shared" si="9"/>
        <v>0</v>
      </c>
      <c r="AU9" s="89">
        <f t="shared" si="9"/>
        <v>0</v>
      </c>
      <c r="AV9" s="89">
        <f t="shared" si="9"/>
        <v>0</v>
      </c>
      <c r="AW9" s="89">
        <f t="shared" si="9"/>
        <v>0</v>
      </c>
      <c r="AX9" s="89">
        <f t="shared" si="9"/>
        <v>0</v>
      </c>
      <c r="AY9" s="89">
        <f t="shared" si="9"/>
        <v>0</v>
      </c>
    </row>
    <row r="10" spans="1:51" x14ac:dyDescent="0.2">
      <c r="A10" s="84" t="s">
        <v>150</v>
      </c>
      <c r="B10" s="88"/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>
        <f>S8+S9</f>
        <v>58529.1</v>
      </c>
      <c r="T10" s="88">
        <f t="shared" ref="T10:Y10" si="10">T8+T9</f>
        <v>58320.360000000008</v>
      </c>
      <c r="U10" s="88">
        <f t="shared" si="10"/>
        <v>54044.760000000009</v>
      </c>
      <c r="V10" s="88">
        <f t="shared" si="10"/>
        <v>56582.399999999994</v>
      </c>
      <c r="W10" s="88">
        <f t="shared" si="10"/>
        <v>57159.899999999994</v>
      </c>
      <c r="X10" s="88">
        <f t="shared" si="10"/>
        <v>56100.239999999991</v>
      </c>
      <c r="Y10" s="88">
        <f t="shared" si="10"/>
        <v>56100.24</v>
      </c>
      <c r="Z10" s="89">
        <f>Z12-Z11</f>
        <v>59844.462594042008</v>
      </c>
      <c r="AA10" s="89">
        <f t="shared" ref="AA10:AY10" si="11">AA12-AA11</f>
        <v>60064.308569999979</v>
      </c>
      <c r="AB10" s="89">
        <f t="shared" si="11"/>
        <v>63005.773059280349</v>
      </c>
      <c r="AC10" s="89">
        <f t="shared" si="11"/>
        <v>63027.578072311066</v>
      </c>
      <c r="AD10" s="89">
        <f t="shared" si="11"/>
        <v>63320.646820189373</v>
      </c>
      <c r="AE10" s="89">
        <f t="shared" si="11"/>
        <v>63134.571706704402</v>
      </c>
      <c r="AF10" s="89">
        <f t="shared" si="11"/>
        <v>63380.45765442503</v>
      </c>
      <c r="AG10" s="89">
        <f t="shared" si="11"/>
        <v>63011.505982054019</v>
      </c>
      <c r="AH10" s="89">
        <f t="shared" si="11"/>
        <v>62814.371826241651</v>
      </c>
      <c r="AI10" s="89">
        <f t="shared" si="11"/>
        <v>62027.520055081484</v>
      </c>
      <c r="AJ10" s="89">
        <f t="shared" si="11"/>
        <v>61034.123759539172</v>
      </c>
      <c r="AK10" s="89">
        <f t="shared" si="11"/>
        <v>60904.537381980874</v>
      </c>
      <c r="AL10" s="89">
        <f t="shared" si="11"/>
        <v>60046.251474829689</v>
      </c>
      <c r="AM10" s="89">
        <f t="shared" si="11"/>
        <v>60044.649891693727</v>
      </c>
      <c r="AN10" s="89">
        <f t="shared" si="11"/>
        <v>59677.674672730165</v>
      </c>
      <c r="AO10" s="89">
        <f t="shared" si="11"/>
        <v>59149.370733472861</v>
      </c>
      <c r="AP10" s="89">
        <f t="shared" si="11"/>
        <v>58739.370495430354</v>
      </c>
      <c r="AQ10" s="89">
        <f t="shared" si="11"/>
        <v>58301.313602271999</v>
      </c>
      <c r="AR10" s="89">
        <f t="shared" si="11"/>
        <v>57778.203838767717</v>
      </c>
      <c r="AS10" s="89">
        <f t="shared" si="11"/>
        <v>57391.83207660928</v>
      </c>
      <c r="AT10" s="89">
        <f t="shared" si="11"/>
        <v>57086.895400102076</v>
      </c>
      <c r="AU10" s="89">
        <f t="shared" si="11"/>
        <v>56730.106601512874</v>
      </c>
      <c r="AV10" s="89">
        <f t="shared" si="11"/>
        <v>56277.239596987165</v>
      </c>
      <c r="AW10" s="89">
        <f t="shared" si="11"/>
        <v>55923.649262211315</v>
      </c>
      <c r="AX10" s="89">
        <f t="shared" si="11"/>
        <v>55517.610197172689</v>
      </c>
      <c r="AY10" s="89">
        <f t="shared" si="11"/>
        <v>55093.94256638021</v>
      </c>
    </row>
    <row r="11" spans="1:51" x14ac:dyDescent="0.2">
      <c r="A11" s="84" t="s">
        <v>151</v>
      </c>
      <c r="B11" s="88"/>
      <c r="C11" s="88"/>
      <c r="D11" s="88"/>
      <c r="E11" s="88"/>
      <c r="F11" s="88"/>
      <c r="G11" s="88"/>
      <c r="H11" s="88"/>
      <c r="I11" s="88"/>
      <c r="J11" s="88"/>
      <c r="K11" s="88"/>
      <c r="L11" s="88">
        <f t="shared" ref="L11:Y11" si="12">L129</f>
        <v>0</v>
      </c>
      <c r="M11" s="88"/>
      <c r="N11" s="88"/>
      <c r="O11" s="88"/>
      <c r="P11" s="88"/>
      <c r="Q11" s="88"/>
      <c r="R11" s="88"/>
      <c r="S11" s="88">
        <f t="shared" si="12"/>
        <v>19753.986000000001</v>
      </c>
      <c r="T11" s="88">
        <f t="shared" si="12"/>
        <v>20019.509999999998</v>
      </c>
      <c r="U11" s="88">
        <f t="shared" si="12"/>
        <v>18242.783999999996</v>
      </c>
      <c r="V11" s="88">
        <f t="shared" si="12"/>
        <v>16393.944</v>
      </c>
      <c r="W11" s="88">
        <f t="shared" si="12"/>
        <v>18455.303999999996</v>
      </c>
      <c r="X11" s="88">
        <f t="shared" si="12"/>
        <v>17002.272000000004</v>
      </c>
      <c r="Y11" s="88">
        <f t="shared" si="12"/>
        <v>19952.982000000004</v>
      </c>
      <c r="Z11" s="89">
        <f>FORECAST(Z6,S11:Y11,S6:Y6)+1000</f>
        <v>19728.300927295451</v>
      </c>
      <c r="AA11" s="89">
        <f t="shared" ref="AA11:AK11" si="13">FORECAST(AA6,T11:Z11,T6:Z6)+1000</f>
        <v>19777.480677848314</v>
      </c>
      <c r="AB11" s="89">
        <f t="shared" si="13"/>
        <v>19636.74248000142</v>
      </c>
      <c r="AC11" s="89">
        <f t="shared" si="13"/>
        <v>19675.448499311224</v>
      </c>
      <c r="AD11" s="89">
        <f t="shared" si="13"/>
        <v>20295.479766725086</v>
      </c>
      <c r="AE11" s="89">
        <f t="shared" si="13"/>
        <v>20688.507726444677</v>
      </c>
      <c r="AF11" s="89">
        <f t="shared" si="13"/>
        <v>20993.361051390766</v>
      </c>
      <c r="AG11" s="89">
        <f t="shared" si="13"/>
        <v>20481.95073709765</v>
      </c>
      <c r="AH11" s="89">
        <f t="shared" si="13"/>
        <v>21019.947586617855</v>
      </c>
      <c r="AI11" s="89">
        <f t="shared" si="13"/>
        <v>21549.493402607193</v>
      </c>
      <c r="AJ11" s="89">
        <f t="shared" si="13"/>
        <v>21712.131547205845</v>
      </c>
      <c r="AK11" s="89">
        <f t="shared" si="13"/>
        <v>21958.805482045558</v>
      </c>
      <c r="AL11" s="89">
        <f>FORECAST(AL6,AE11:AK11,AE6:AK6)</f>
        <v>21199.453204836587</v>
      </c>
      <c r="AM11" s="89">
        <f t="shared" ref="AM11:AR11" si="14">FORECAST(AM6,AF11:AL11,AF6:AL6)</f>
        <v>21375.488367424521</v>
      </c>
      <c r="AN11" s="89">
        <f t="shared" si="14"/>
        <v>21559.933537386256</v>
      </c>
      <c r="AO11" s="89">
        <f t="shared" si="14"/>
        <v>21524.854655037496</v>
      </c>
      <c r="AP11" s="89">
        <f t="shared" si="14"/>
        <v>21561.42864154054</v>
      </c>
      <c r="AQ11" s="89">
        <f t="shared" si="14"/>
        <v>21721.909369893987</v>
      </c>
      <c r="AR11" s="89">
        <f t="shared" si="14"/>
        <v>21664.335289077655</v>
      </c>
      <c r="AS11" s="89">
        <f>FORECAST(AS6,AL11:AR11,AL6:AR6)</f>
        <v>21563.499976667707</v>
      </c>
      <c r="AT11" s="89">
        <f t="shared" ref="AT11:AY11" si="15">FORECAST(AT6,AM11:AS11,AM6:AS6)</f>
        <v>21535.78661320591</v>
      </c>
      <c r="AU11" s="89">
        <f t="shared" si="15"/>
        <v>21556.27019822691</v>
      </c>
      <c r="AV11" s="89">
        <f t="shared" si="15"/>
        <v>21537.079146909564</v>
      </c>
      <c r="AW11" s="89">
        <f t="shared" si="15"/>
        <v>21554.002741840857</v>
      </c>
      <c r="AX11" s="89">
        <f t="shared" si="15"/>
        <v>21577.16032125731</v>
      </c>
      <c r="AY11" s="89">
        <f t="shared" si="15"/>
        <v>21588.970330800425</v>
      </c>
    </row>
    <row r="12" spans="1:51" x14ac:dyDescent="0.2">
      <c r="A12" s="94" t="s">
        <v>219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>
        <f>SUM(L8:L11)</f>
        <v>0</v>
      </c>
      <c r="M12" s="95"/>
      <c r="N12" s="95"/>
      <c r="O12" s="95"/>
      <c r="P12" s="95"/>
      <c r="Q12" s="95"/>
      <c r="R12" s="95"/>
      <c r="S12" s="95">
        <f>S7-S13</f>
        <v>82134.611999999994</v>
      </c>
      <c r="T12" s="95">
        <f t="shared" ref="T12:Y12" si="16">T7-T13</f>
        <v>81857.16</v>
      </c>
      <c r="U12" s="95">
        <f t="shared" si="16"/>
        <v>75290.964000000007</v>
      </c>
      <c r="V12" s="95">
        <f t="shared" si="16"/>
        <v>77284.157999999996</v>
      </c>
      <c r="W12" s="95">
        <f t="shared" si="16"/>
        <v>80166.618000000002</v>
      </c>
      <c r="X12" s="95">
        <f t="shared" si="16"/>
        <v>77298.732000000004</v>
      </c>
      <c r="Y12" s="95">
        <f t="shared" si="16"/>
        <v>78085.350000000006</v>
      </c>
      <c r="Z12" s="96">
        <f>Z7-Z13</f>
        <v>79572.76352133746</v>
      </c>
      <c r="AA12" s="96">
        <f t="shared" ref="AA12:AY12" si="17">AA7-AA13</f>
        <v>79841.789247848297</v>
      </c>
      <c r="AB12" s="96">
        <f t="shared" si="17"/>
        <v>82642.515539281769</v>
      </c>
      <c r="AC12" s="96">
        <f t="shared" si="17"/>
        <v>82703.026571622293</v>
      </c>
      <c r="AD12" s="96">
        <f t="shared" si="17"/>
        <v>83616.126586914455</v>
      </c>
      <c r="AE12" s="96">
        <f t="shared" si="17"/>
        <v>83823.079433149076</v>
      </c>
      <c r="AF12" s="96">
        <f t="shared" si="17"/>
        <v>84373.818705815793</v>
      </c>
      <c r="AG12" s="96">
        <f t="shared" si="17"/>
        <v>83493.456719151669</v>
      </c>
      <c r="AH12" s="96">
        <f t="shared" si="17"/>
        <v>83834.319412859506</v>
      </c>
      <c r="AI12" s="96">
        <f t="shared" si="17"/>
        <v>83577.013457688678</v>
      </c>
      <c r="AJ12" s="96">
        <f t="shared" si="17"/>
        <v>82746.255306745021</v>
      </c>
      <c r="AK12" s="96">
        <f t="shared" si="17"/>
        <v>82863.342864026432</v>
      </c>
      <c r="AL12" s="96">
        <f t="shared" si="17"/>
        <v>81245.704679666276</v>
      </c>
      <c r="AM12" s="96">
        <f t="shared" si="17"/>
        <v>81420.138259118248</v>
      </c>
      <c r="AN12" s="96">
        <f t="shared" si="17"/>
        <v>81237.608210116421</v>
      </c>
      <c r="AO12" s="96">
        <f t="shared" si="17"/>
        <v>80674.225388510356</v>
      </c>
      <c r="AP12" s="96">
        <f t="shared" si="17"/>
        <v>80300.799136970891</v>
      </c>
      <c r="AQ12" s="96">
        <f t="shared" si="17"/>
        <v>80023.222972165982</v>
      </c>
      <c r="AR12" s="96">
        <f t="shared" si="17"/>
        <v>79442.539127845375</v>
      </c>
      <c r="AS12" s="96">
        <f t="shared" si="17"/>
        <v>78955.332053276987</v>
      </c>
      <c r="AT12" s="96">
        <f t="shared" si="17"/>
        <v>78622.682013307989</v>
      </c>
      <c r="AU12" s="96">
        <f t="shared" si="17"/>
        <v>78286.376799739781</v>
      </c>
      <c r="AV12" s="96">
        <f t="shared" si="17"/>
        <v>77814.318743896729</v>
      </c>
      <c r="AW12" s="96">
        <f t="shared" si="17"/>
        <v>77477.652004052172</v>
      </c>
      <c r="AX12" s="96">
        <f t="shared" si="17"/>
        <v>77094.770518429999</v>
      </c>
      <c r="AY12" s="96">
        <f t="shared" si="17"/>
        <v>76682.912897180635</v>
      </c>
    </row>
    <row r="13" spans="1:51" x14ac:dyDescent="0.2">
      <c r="A13" s="158" t="s">
        <v>199</v>
      </c>
      <c r="B13" s="95">
        <f t="shared" ref="B13:R13" si="18">B144</f>
        <v>6069.5460000000003</v>
      </c>
      <c r="C13" s="95">
        <f t="shared" si="18"/>
        <v>5631.57</v>
      </c>
      <c r="D13" s="95">
        <f t="shared" si="18"/>
        <v>5734.7640000000001</v>
      </c>
      <c r="E13" s="95">
        <f t="shared" si="18"/>
        <v>5303.424</v>
      </c>
      <c r="F13" s="95">
        <f t="shared" si="18"/>
        <v>5712.924</v>
      </c>
      <c r="G13" s="95">
        <f t="shared" si="18"/>
        <v>6033.3419999999996</v>
      </c>
      <c r="H13" s="95">
        <f t="shared" si="18"/>
        <v>5625.6480000000001</v>
      </c>
      <c r="I13" s="95">
        <f t="shared" si="18"/>
        <v>6132.5460000000003</v>
      </c>
      <c r="J13" s="95">
        <f t="shared" si="18"/>
        <v>6970.4880000000003</v>
      </c>
      <c r="K13" s="95">
        <f t="shared" si="18"/>
        <v>6900.8519999999999</v>
      </c>
      <c r="L13" s="95">
        <f t="shared" si="18"/>
        <v>6266.9040000000005</v>
      </c>
      <c r="M13" s="95">
        <f t="shared" si="18"/>
        <v>5661.9780000000001</v>
      </c>
      <c r="N13" s="95">
        <f t="shared" si="18"/>
        <v>5356.8059999999996</v>
      </c>
      <c r="O13" s="95">
        <f t="shared" si="18"/>
        <v>5724.0119999999997</v>
      </c>
      <c r="P13" s="95">
        <f t="shared" si="18"/>
        <v>6775.692</v>
      </c>
      <c r="Q13" s="95">
        <f t="shared" si="18"/>
        <v>6975.99</v>
      </c>
      <c r="R13" s="95">
        <f t="shared" si="18"/>
        <v>6116.7960000000003</v>
      </c>
      <c r="S13" s="95">
        <f>S144</f>
        <v>5886.8040000000001</v>
      </c>
      <c r="T13" s="95">
        <f t="shared" ref="T13:AY13" si="19">T144</f>
        <v>5883.4859999999999</v>
      </c>
      <c r="U13" s="95">
        <f t="shared" si="19"/>
        <v>6769.8959999999997</v>
      </c>
      <c r="V13" s="95">
        <f t="shared" si="19"/>
        <v>5461.6379999999999</v>
      </c>
      <c r="W13" s="95">
        <f t="shared" si="19"/>
        <v>4993.7579999999998</v>
      </c>
      <c r="X13" s="95">
        <f t="shared" si="19"/>
        <v>5489.9459999999999</v>
      </c>
      <c r="Y13" s="95">
        <f t="shared" si="19"/>
        <v>5474.1959999999999</v>
      </c>
      <c r="Z13" s="95">
        <f t="shared" si="19"/>
        <v>6186.7400786625358</v>
      </c>
      <c r="AA13" s="95">
        <f t="shared" si="19"/>
        <v>7811.4415908142328</v>
      </c>
      <c r="AB13" s="95">
        <f t="shared" si="19"/>
        <v>7496.7694875324596</v>
      </c>
      <c r="AC13" s="95">
        <f t="shared" si="19"/>
        <v>7583.4756955101693</v>
      </c>
      <c r="AD13" s="95">
        <f t="shared" si="19"/>
        <v>7188.2253661557006</v>
      </c>
      <c r="AE13" s="95">
        <f t="shared" si="19"/>
        <v>6977.7886163226249</v>
      </c>
      <c r="AF13" s="95">
        <f t="shared" si="19"/>
        <v>6782.7630621544231</v>
      </c>
      <c r="AG13" s="95">
        <f t="shared" si="19"/>
        <v>6923.8784098151064</v>
      </c>
      <c r="AH13" s="95">
        <f t="shared" si="19"/>
        <v>6319.3506704492102</v>
      </c>
      <c r="AI13" s="95">
        <f t="shared" si="19"/>
        <v>5597.7698536034823</v>
      </c>
      <c r="AJ13" s="95">
        <f t="shared" si="19"/>
        <v>5371.6628517857234</v>
      </c>
      <c r="AK13" s="95">
        <f t="shared" si="19"/>
        <v>4631.9523631792563</v>
      </c>
      <c r="AL13" s="95">
        <f t="shared" si="19"/>
        <v>5115.5942204749581</v>
      </c>
      <c r="AM13" s="95">
        <f t="shared" si="19"/>
        <v>5024.9528084148706</v>
      </c>
      <c r="AN13" s="95">
        <f t="shared" si="19"/>
        <v>4710.8178521024402</v>
      </c>
      <c r="AO13" s="95">
        <f t="shared" si="19"/>
        <v>4550.3254170204691</v>
      </c>
      <c r="AP13" s="95">
        <f t="shared" si="19"/>
        <v>4353.3682604892056</v>
      </c>
      <c r="AQ13" s="95">
        <f t="shared" si="19"/>
        <v>4026.4921516420609</v>
      </c>
      <c r="AR13" s="95">
        <f t="shared" si="19"/>
        <v>3886.4773667661675</v>
      </c>
      <c r="AS13" s="95">
        <f t="shared" si="19"/>
        <v>3840.9429234062409</v>
      </c>
      <c r="AT13" s="95">
        <f t="shared" si="19"/>
        <v>3733.4950169227304</v>
      </c>
      <c r="AU13" s="95">
        <f t="shared" si="19"/>
        <v>3561.8609041971531</v>
      </c>
      <c r="AV13" s="95">
        <f t="shared" si="19"/>
        <v>3461.3958784740444</v>
      </c>
      <c r="AW13" s="95">
        <f t="shared" si="19"/>
        <v>3296.0483107166501</v>
      </c>
      <c r="AX13" s="95">
        <f t="shared" si="19"/>
        <v>3111.8629875051029</v>
      </c>
      <c r="AY13" s="95">
        <f t="shared" si="19"/>
        <v>2938.2464796843524</v>
      </c>
    </row>
    <row r="14" spans="1:51" hidden="1" x14ac:dyDescent="0.2">
      <c r="A14" s="97" t="s">
        <v>245</v>
      </c>
      <c r="B14" s="88"/>
      <c r="C14" s="88">
        <f>C13-B13</f>
        <v>-437.97600000000057</v>
      </c>
      <c r="D14" s="88">
        <f t="shared" ref="D14:AY14" si="20">D13-C13</f>
        <v>103.19400000000041</v>
      </c>
      <c r="E14" s="88">
        <f t="shared" si="20"/>
        <v>-431.34000000000015</v>
      </c>
      <c r="F14" s="88">
        <f t="shared" si="20"/>
        <v>409.5</v>
      </c>
      <c r="G14" s="88">
        <f t="shared" si="20"/>
        <v>320.41799999999967</v>
      </c>
      <c r="H14" s="88">
        <f t="shared" si="20"/>
        <v>-407.69399999999951</v>
      </c>
      <c r="I14" s="88">
        <f t="shared" si="20"/>
        <v>506.89800000000014</v>
      </c>
      <c r="J14" s="88">
        <f t="shared" si="20"/>
        <v>837.94200000000001</v>
      </c>
      <c r="K14" s="88">
        <f t="shared" si="20"/>
        <v>-69.636000000000422</v>
      </c>
      <c r="L14" s="88">
        <f t="shared" si="20"/>
        <v>-633.94799999999941</v>
      </c>
      <c r="M14" s="88">
        <f>M13-L13</f>
        <v>-604.92600000000039</v>
      </c>
      <c r="N14" s="88">
        <f t="shared" si="20"/>
        <v>-305.17200000000048</v>
      </c>
      <c r="O14" s="88">
        <f t="shared" si="20"/>
        <v>367.20600000000013</v>
      </c>
      <c r="P14" s="88">
        <f t="shared" si="20"/>
        <v>1051.6800000000003</v>
      </c>
      <c r="Q14" s="88">
        <f t="shared" si="20"/>
        <v>200.29799999999977</v>
      </c>
      <c r="R14" s="88">
        <f t="shared" si="20"/>
        <v>-859.19399999999951</v>
      </c>
      <c r="S14" s="88">
        <f t="shared" si="20"/>
        <v>-229.99200000000019</v>
      </c>
      <c r="T14" s="88">
        <f t="shared" si="20"/>
        <v>-3.318000000000211</v>
      </c>
      <c r="U14" s="88">
        <f t="shared" si="20"/>
        <v>886.40999999999985</v>
      </c>
      <c r="V14" s="88">
        <f t="shared" si="20"/>
        <v>-1308.2579999999998</v>
      </c>
      <c r="W14" s="88">
        <f t="shared" si="20"/>
        <v>-467.88000000000011</v>
      </c>
      <c r="X14" s="88">
        <f t="shared" si="20"/>
        <v>496.1880000000001</v>
      </c>
      <c r="Y14" s="88">
        <f t="shared" si="20"/>
        <v>-15.75</v>
      </c>
      <c r="Z14" s="89">
        <f t="shared" si="20"/>
        <v>712.54407866253587</v>
      </c>
      <c r="AA14" s="89">
        <f t="shared" si="20"/>
        <v>1624.701512151697</v>
      </c>
      <c r="AB14" s="89">
        <f t="shared" si="20"/>
        <v>-314.67210328177316</v>
      </c>
      <c r="AC14" s="89">
        <f t="shared" si="20"/>
        <v>86.70620797770971</v>
      </c>
      <c r="AD14" s="89">
        <f>AD13-AC13</f>
        <v>-395.2503293544687</v>
      </c>
      <c r="AE14" s="89">
        <f t="shared" si="20"/>
        <v>-210.43674983307574</v>
      </c>
      <c r="AF14" s="89">
        <f t="shared" si="20"/>
        <v>-195.02555416820178</v>
      </c>
      <c r="AG14" s="89">
        <f t="shared" si="20"/>
        <v>141.11534766068326</v>
      </c>
      <c r="AH14" s="89">
        <f t="shared" si="20"/>
        <v>-604.5277393658962</v>
      </c>
      <c r="AI14" s="89">
        <f t="shared" si="20"/>
        <v>-721.5808168457279</v>
      </c>
      <c r="AJ14" s="89">
        <f t="shared" si="20"/>
        <v>-226.10700181775883</v>
      </c>
      <c r="AK14" s="89">
        <f t="shared" si="20"/>
        <v>-739.71048860646715</v>
      </c>
      <c r="AL14" s="89">
        <f t="shared" si="20"/>
        <v>483.64185729570181</v>
      </c>
      <c r="AM14" s="89">
        <f t="shared" si="20"/>
        <v>-90.641412060087532</v>
      </c>
      <c r="AN14" s="89">
        <f t="shared" si="20"/>
        <v>-314.1349563124304</v>
      </c>
      <c r="AO14" s="89">
        <f t="shared" si="20"/>
        <v>-160.49243508197105</v>
      </c>
      <c r="AP14" s="89">
        <f t="shared" si="20"/>
        <v>-196.95715653126354</v>
      </c>
      <c r="AQ14" s="89">
        <f t="shared" si="20"/>
        <v>-326.87610884714468</v>
      </c>
      <c r="AR14" s="89">
        <f t="shared" si="20"/>
        <v>-140.01478487589338</v>
      </c>
      <c r="AS14" s="89">
        <f t="shared" si="20"/>
        <v>-45.534443359926627</v>
      </c>
      <c r="AT14" s="89">
        <f t="shared" si="20"/>
        <v>-107.44790648351045</v>
      </c>
      <c r="AU14" s="89">
        <f t="shared" si="20"/>
        <v>-171.63411272557732</v>
      </c>
      <c r="AV14" s="89">
        <f t="shared" si="20"/>
        <v>-100.46502572310874</v>
      </c>
      <c r="AW14" s="89">
        <f t="shared" si="20"/>
        <v>-165.34756775739424</v>
      </c>
      <c r="AX14" s="89">
        <f t="shared" si="20"/>
        <v>-184.18532321154726</v>
      </c>
      <c r="AY14" s="89">
        <f t="shared" si="20"/>
        <v>-173.61650782075048</v>
      </c>
    </row>
    <row r="15" spans="1:51" x14ac:dyDescent="0.2">
      <c r="A15" s="104" t="s">
        <v>155</v>
      </c>
      <c r="B15" s="164" t="e">
        <f t="shared" ref="B15:AY15" si="21">B13/B8</f>
        <v>#DIV/0!</v>
      </c>
      <c r="C15" s="164" t="e">
        <f>C13/C8</f>
        <v>#DIV/0!</v>
      </c>
      <c r="D15" s="164" t="e">
        <f t="shared" si="21"/>
        <v>#DIV/0!</v>
      </c>
      <c r="E15" s="164" t="e">
        <f t="shared" si="21"/>
        <v>#DIV/0!</v>
      </c>
      <c r="F15" s="164" t="e">
        <f t="shared" si="21"/>
        <v>#DIV/0!</v>
      </c>
      <c r="G15" s="164" t="e">
        <f t="shared" si="21"/>
        <v>#DIV/0!</v>
      </c>
      <c r="H15" s="164" t="e">
        <f t="shared" si="21"/>
        <v>#DIV/0!</v>
      </c>
      <c r="I15" s="164" t="e">
        <f t="shared" si="21"/>
        <v>#DIV/0!</v>
      </c>
      <c r="J15" s="164" t="e">
        <f t="shared" si="21"/>
        <v>#DIV/0!</v>
      </c>
      <c r="K15" s="164" t="e">
        <f t="shared" si="21"/>
        <v>#DIV/0!</v>
      </c>
      <c r="L15" s="164" t="e">
        <f t="shared" si="21"/>
        <v>#DIV/0!</v>
      </c>
      <c r="M15" s="164" t="e">
        <f t="shared" si="21"/>
        <v>#DIV/0!</v>
      </c>
      <c r="N15" s="164" t="e">
        <f t="shared" si="21"/>
        <v>#DIV/0!</v>
      </c>
      <c r="O15" s="164" t="e">
        <f t="shared" si="21"/>
        <v>#DIV/0!</v>
      </c>
      <c r="P15" s="164">
        <f t="shared" si="21"/>
        <v>0.11062895419341655</v>
      </c>
      <c r="Q15" s="164">
        <f t="shared" si="21"/>
        <v>0.11704455367052481</v>
      </c>
      <c r="R15" s="164">
        <f t="shared" si="21"/>
        <v>0.10147228808380984</v>
      </c>
      <c r="S15" s="105">
        <f t="shared" si="21"/>
        <v>9.4369107485391374E-2</v>
      </c>
      <c r="T15" s="105">
        <f t="shared" si="21"/>
        <v>9.5144074847604967E-2</v>
      </c>
      <c r="U15" s="105">
        <f t="shared" si="21"/>
        <v>0.11866979805490725</v>
      </c>
      <c r="V15" s="105">
        <f t="shared" si="21"/>
        <v>9.102073259928492E-2</v>
      </c>
      <c r="W15" s="105">
        <f t="shared" si="21"/>
        <v>8.2083361329241711E-2</v>
      </c>
      <c r="X15" s="105">
        <f t="shared" si="21"/>
        <v>9.2833472336152592E-2</v>
      </c>
      <c r="Y15" s="105">
        <f t="shared" si="21"/>
        <v>9.5614665009374031E-2</v>
      </c>
      <c r="Z15" s="106">
        <f t="shared" si="21"/>
        <v>0.1019312962294162</v>
      </c>
      <c r="AA15" s="106">
        <f t="shared" si="21"/>
        <v>0.12600395309092238</v>
      </c>
      <c r="AB15" s="106">
        <f t="shared" si="21"/>
        <v>0.11788251379992137</v>
      </c>
      <c r="AC15" s="106">
        <f t="shared" si="21"/>
        <v>0.11898049170622615</v>
      </c>
      <c r="AD15" s="106">
        <f t="shared" si="21"/>
        <v>0.11201403033853817</v>
      </c>
      <c r="AE15" s="106">
        <f t="shared" si="21"/>
        <v>0.10878791434881085</v>
      </c>
      <c r="AF15" s="106">
        <f t="shared" si="21"/>
        <v>0.10530279404943184</v>
      </c>
      <c r="AG15" s="106">
        <f t="shared" si="21"/>
        <v>0.10844454876477608</v>
      </c>
      <c r="AH15" s="106">
        <f t="shared" si="21"/>
        <v>9.9210531204070557E-2</v>
      </c>
      <c r="AI15" s="106">
        <f t="shared" si="21"/>
        <v>8.8948166867967166E-2</v>
      </c>
      <c r="AJ15" s="106">
        <f t="shared" si="21"/>
        <v>8.6724907276588784E-2</v>
      </c>
      <c r="AK15" s="106">
        <f t="shared" si="21"/>
        <v>7.4958156816083935E-2</v>
      </c>
      <c r="AL15" s="106">
        <f t="shared" si="21"/>
        <v>8.3996511777551158E-2</v>
      </c>
      <c r="AM15" s="106">
        <f t="shared" si="21"/>
        <v>8.2493755858040599E-2</v>
      </c>
      <c r="AN15" s="106">
        <f t="shared" si="21"/>
        <v>7.7805528457074113E-2</v>
      </c>
      <c r="AO15" s="106">
        <f t="shared" si="21"/>
        <v>7.5826743705319777E-2</v>
      </c>
      <c r="AP15" s="106">
        <f t="shared" si="21"/>
        <v>7.305519274031412E-2</v>
      </c>
      <c r="AQ15" s="106">
        <f t="shared" si="21"/>
        <v>6.807910294098464E-2</v>
      </c>
      <c r="AR15" s="106">
        <f t="shared" si="21"/>
        <v>6.630404351424464E-2</v>
      </c>
      <c r="AS15" s="106">
        <f t="shared" si="21"/>
        <v>6.5967876467038472E-2</v>
      </c>
      <c r="AT15" s="106">
        <f t="shared" si="21"/>
        <v>6.4465554248121185E-2</v>
      </c>
      <c r="AU15" s="106">
        <f t="shared" si="21"/>
        <v>6.1889319406659565E-2</v>
      </c>
      <c r="AV15" s="106">
        <f t="shared" si="21"/>
        <v>6.06275892986545E-2</v>
      </c>
      <c r="AW15" s="106">
        <f t="shared" si="21"/>
        <v>5.8096119194916328E-2</v>
      </c>
      <c r="AX15" s="106">
        <f t="shared" si="21"/>
        <v>5.525085402637351E-2</v>
      </c>
      <c r="AY15" s="106">
        <f t="shared" si="21"/>
        <v>5.2569590266510882E-2</v>
      </c>
    </row>
    <row r="17" spans="1:51" x14ac:dyDescent="0.2">
      <c r="A17" s="97" t="s">
        <v>221</v>
      </c>
      <c r="B17" s="88"/>
      <c r="C17" s="88"/>
      <c r="D17" s="88"/>
      <c r="E17" s="88"/>
      <c r="F17" s="88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249"/>
      <c r="T17" s="249"/>
      <c r="U17" s="249"/>
      <c r="V17" s="250">
        <f>V5/U5-1</f>
        <v>-1.7457170242877629E-2</v>
      </c>
      <c r="W17" s="250">
        <f>W5/V5-1</f>
        <v>7.3530482107052153E-2</v>
      </c>
      <c r="X17" s="250">
        <f>X5/W5-1</f>
        <v>-2.0761514324252883E-2</v>
      </c>
      <c r="Y17" s="250">
        <f>Y5/X5-1</f>
        <v>8.505356537644948E-3</v>
      </c>
      <c r="Z17" s="250">
        <f t="shared" ref="Z17:AY17" si="22">Z5/Y5-1</f>
        <v>2.0282746449297395E-2</v>
      </c>
      <c r="AA17" s="250">
        <f t="shared" si="22"/>
        <v>1.5503875968992276E-2</v>
      </c>
      <c r="AB17" s="250">
        <f t="shared" si="22"/>
        <v>1.0178117048346147E-2</v>
      </c>
      <c r="AC17" s="250">
        <f t="shared" si="22"/>
        <v>5.0377833753147971E-3</v>
      </c>
      <c r="AD17" s="250">
        <f t="shared" si="22"/>
        <v>5.0125313283209127E-3</v>
      </c>
      <c r="AE17" s="250">
        <f t="shared" si="22"/>
        <v>4.9875311720697368E-3</v>
      </c>
      <c r="AF17" s="250">
        <f t="shared" si="22"/>
        <v>7.4441687344912744E-3</v>
      </c>
      <c r="AG17" s="250">
        <f t="shared" si="22"/>
        <v>-4.9261083743842304E-3</v>
      </c>
      <c r="AH17" s="250">
        <f t="shared" si="22"/>
        <v>-4.9504950495049549E-3</v>
      </c>
      <c r="AI17" s="250">
        <f t="shared" si="22"/>
        <v>-4.9751243781094301E-3</v>
      </c>
      <c r="AJ17" s="250">
        <f t="shared" si="22"/>
        <v>-5.0000000000000044E-3</v>
      </c>
      <c r="AK17" s="250">
        <f t="shared" si="22"/>
        <v>-5.0251256281407253E-3</v>
      </c>
      <c r="AL17" s="250">
        <f t="shared" si="22"/>
        <v>-5.050505050505083E-3</v>
      </c>
      <c r="AM17" s="250">
        <f t="shared" si="22"/>
        <v>-5.0761421319797106E-3</v>
      </c>
      <c r="AN17" s="250">
        <f t="shared" si="22"/>
        <v>-5.1020408163264808E-3</v>
      </c>
      <c r="AO17" s="250">
        <f t="shared" si="22"/>
        <v>-5.12820512820511E-3</v>
      </c>
      <c r="AP17" s="250">
        <f t="shared" si="22"/>
        <v>-5.1546391752577136E-3</v>
      </c>
      <c r="AQ17" s="250">
        <f t="shared" si="22"/>
        <v>-5.1813471502590858E-3</v>
      </c>
      <c r="AR17" s="250">
        <f t="shared" si="22"/>
        <v>-5.2083333333333703E-3</v>
      </c>
      <c r="AS17" s="250">
        <f t="shared" si="22"/>
        <v>-5.2356020942407877E-3</v>
      </c>
      <c r="AT17" s="250">
        <f t="shared" si="22"/>
        <v>-5.2631578947368585E-3</v>
      </c>
      <c r="AU17" s="250">
        <f t="shared" si="22"/>
        <v>-5.2910052910053462E-3</v>
      </c>
      <c r="AV17" s="250">
        <f t="shared" si="22"/>
        <v>-5.3191489361702482E-3</v>
      </c>
      <c r="AW17" s="250">
        <f t="shared" si="22"/>
        <v>-5.3475935828877219E-3</v>
      </c>
      <c r="AX17" s="250">
        <f t="shared" si="22"/>
        <v>-5.3763440860215006E-3</v>
      </c>
      <c r="AY17" s="250">
        <f t="shared" si="22"/>
        <v>-5.4054054054053502E-3</v>
      </c>
    </row>
    <row r="18" spans="1:51" x14ac:dyDescent="0.2">
      <c r="A18" s="97" t="s">
        <v>246</v>
      </c>
      <c r="V18" s="250">
        <f>V8/U8-1</f>
        <v>5.1818465865168584E-2</v>
      </c>
      <c r="W18" s="250">
        <f>W8/V8-1</f>
        <v>1.3887514576938154E-2</v>
      </c>
      <c r="X18" s="250">
        <f>X8/W8-1</f>
        <v>-2.7944374920150228E-2</v>
      </c>
      <c r="Y18" s="250">
        <f t="shared" ref="Y18:AY18" si="23">Y8/X8-1</f>
        <v>-3.1872943631967576E-2</v>
      </c>
      <c r="Z18" s="250">
        <f t="shared" si="23"/>
        <v>6.0128446994708984E-2</v>
      </c>
      <c r="AA18" s="250">
        <f t="shared" si="23"/>
        <v>2.1392573689435812E-2</v>
      </c>
      <c r="AB18" s="250">
        <f t="shared" si="23"/>
        <v>2.5835559717516832E-2</v>
      </c>
      <c r="AC18" s="250">
        <f t="shared" si="23"/>
        <v>2.2308597933269336E-3</v>
      </c>
      <c r="AD18" s="250">
        <f t="shared" si="23"/>
        <v>6.8313298640396702E-3</v>
      </c>
      <c r="AE18" s="250">
        <f t="shared" si="23"/>
        <v>-4.88265438052915E-4</v>
      </c>
      <c r="AF18" s="250">
        <f t="shared" si="23"/>
        <v>4.2216810163058227E-3</v>
      </c>
      <c r="AG18" s="250">
        <f t="shared" si="23"/>
        <v>-8.7688194894163241E-3</v>
      </c>
      <c r="AH18" s="250">
        <f t="shared" si="23"/>
        <v>-2.3620205812715511E-3</v>
      </c>
      <c r="AI18" s="250">
        <f t="shared" si="23"/>
        <v>-1.1985414027887775E-2</v>
      </c>
      <c r="AJ18" s="250">
        <f t="shared" si="23"/>
        <v>-1.5792056871269833E-2</v>
      </c>
      <c r="AK18" s="250">
        <f t="shared" si="23"/>
        <v>-2.3452311602554232E-3</v>
      </c>
      <c r="AL18" s="250">
        <f t="shared" si="23"/>
        <v>-1.4425061252378302E-2</v>
      </c>
      <c r="AM18" s="250">
        <f t="shared" si="23"/>
        <v>1.7518070745192738E-4</v>
      </c>
      <c r="AN18" s="250">
        <f t="shared" si="23"/>
        <v>-6.0261818515268128E-3</v>
      </c>
      <c r="AO18" s="250">
        <f t="shared" si="23"/>
        <v>-8.8618455082146719E-3</v>
      </c>
      <c r="AP18" s="250">
        <f t="shared" si="23"/>
        <v>-6.9885289158393427E-3</v>
      </c>
      <c r="AQ18" s="250">
        <f t="shared" si="23"/>
        <v>-7.4812574131297715E-3</v>
      </c>
      <c r="AR18" s="250">
        <f t="shared" si="23"/>
        <v>-8.9328159980270883E-3</v>
      </c>
      <c r="AS18" s="250">
        <f t="shared" si="23"/>
        <v>-6.6799061269505744E-3</v>
      </c>
      <c r="AT18" s="250">
        <f t="shared" si="23"/>
        <v>-5.3220153973759787E-3</v>
      </c>
      <c r="AU18" s="250">
        <f t="shared" si="23"/>
        <v>-6.2585760060751561E-3</v>
      </c>
      <c r="AV18" s="250">
        <f t="shared" si="23"/>
        <v>-7.9816093914321096E-3</v>
      </c>
      <c r="AW18" s="250">
        <f t="shared" si="23"/>
        <v>-6.2766981249537945E-3</v>
      </c>
      <c r="AX18" s="250">
        <f t="shared" si="23"/>
        <v>-7.261132200891196E-3</v>
      </c>
      <c r="AY18" s="250">
        <f t="shared" si="23"/>
        <v>-7.6333501101899515E-3</v>
      </c>
    </row>
    <row r="19" spans="1:51" ht="12" thickBot="1" x14ac:dyDescent="0.25">
      <c r="A19" s="121" t="s">
        <v>247</v>
      </c>
      <c r="S19" s="251"/>
    </row>
    <row r="20" spans="1:51" s="121" customFormat="1" ht="12" thickBot="1" x14ac:dyDescent="0.25">
      <c r="A20" s="122"/>
      <c r="B20" s="128">
        <v>2001</v>
      </c>
      <c r="C20" s="128">
        <v>2002</v>
      </c>
      <c r="D20" s="128">
        <v>2003</v>
      </c>
      <c r="E20" s="128">
        <v>2004</v>
      </c>
      <c r="F20" s="128">
        <v>2005</v>
      </c>
      <c r="G20" s="128">
        <v>2006</v>
      </c>
      <c r="H20" s="128">
        <v>2007</v>
      </c>
      <c r="I20" s="128">
        <f t="shared" ref="I20:AY20" si="24">I2</f>
        <v>2008</v>
      </c>
      <c r="J20" s="128">
        <f t="shared" si="24"/>
        <v>2009</v>
      </c>
      <c r="K20" s="128">
        <f t="shared" si="24"/>
        <v>2010</v>
      </c>
      <c r="L20" s="128">
        <f t="shared" si="24"/>
        <v>2011</v>
      </c>
      <c r="M20" s="128">
        <f t="shared" si="24"/>
        <v>2012</v>
      </c>
      <c r="N20" s="128">
        <f t="shared" si="24"/>
        <v>2013</v>
      </c>
      <c r="O20" s="128">
        <f t="shared" si="24"/>
        <v>2014</v>
      </c>
      <c r="P20" s="128">
        <f t="shared" si="24"/>
        <v>2015</v>
      </c>
      <c r="Q20" s="128">
        <f t="shared" si="24"/>
        <v>2016</v>
      </c>
      <c r="R20" s="128">
        <f t="shared" si="24"/>
        <v>2017</v>
      </c>
      <c r="S20" s="128">
        <f t="shared" si="24"/>
        <v>2018</v>
      </c>
      <c r="T20" s="128">
        <f t="shared" si="24"/>
        <v>2019</v>
      </c>
      <c r="U20" s="128">
        <f t="shared" si="24"/>
        <v>2020</v>
      </c>
      <c r="V20" s="128">
        <f t="shared" si="24"/>
        <v>2021</v>
      </c>
      <c r="W20" s="128">
        <f t="shared" si="24"/>
        <v>2022</v>
      </c>
      <c r="X20" s="128">
        <f t="shared" si="24"/>
        <v>2023</v>
      </c>
      <c r="Y20" s="128">
        <f t="shared" si="24"/>
        <v>2024</v>
      </c>
      <c r="Z20" s="128">
        <f t="shared" si="24"/>
        <v>2025</v>
      </c>
      <c r="AA20" s="128">
        <f t="shared" si="24"/>
        <v>2026</v>
      </c>
      <c r="AB20" s="128">
        <f t="shared" si="24"/>
        <v>2027</v>
      </c>
      <c r="AC20" s="128">
        <f t="shared" si="24"/>
        <v>2028</v>
      </c>
      <c r="AD20" s="128">
        <f t="shared" si="24"/>
        <v>2029</v>
      </c>
      <c r="AE20" s="128">
        <f t="shared" si="24"/>
        <v>2030</v>
      </c>
      <c r="AF20" s="128">
        <f t="shared" si="24"/>
        <v>2031</v>
      </c>
      <c r="AG20" s="128">
        <f t="shared" si="24"/>
        <v>2032</v>
      </c>
      <c r="AH20" s="128">
        <f t="shared" si="24"/>
        <v>2033</v>
      </c>
      <c r="AI20" s="128">
        <f t="shared" si="24"/>
        <v>2034</v>
      </c>
      <c r="AJ20" s="128">
        <f t="shared" si="24"/>
        <v>2035</v>
      </c>
      <c r="AK20" s="128">
        <f t="shared" si="24"/>
        <v>2036</v>
      </c>
      <c r="AL20" s="128">
        <f t="shared" si="24"/>
        <v>2037</v>
      </c>
      <c r="AM20" s="128">
        <f t="shared" si="24"/>
        <v>2038</v>
      </c>
      <c r="AN20" s="128">
        <f t="shared" si="24"/>
        <v>2039</v>
      </c>
      <c r="AO20" s="128">
        <f t="shared" si="24"/>
        <v>2040</v>
      </c>
      <c r="AP20" s="128">
        <f t="shared" si="24"/>
        <v>2041</v>
      </c>
      <c r="AQ20" s="128">
        <f t="shared" si="24"/>
        <v>2042</v>
      </c>
      <c r="AR20" s="128">
        <f t="shared" si="24"/>
        <v>2043</v>
      </c>
      <c r="AS20" s="128">
        <f t="shared" si="24"/>
        <v>2044</v>
      </c>
      <c r="AT20" s="128">
        <f t="shared" si="24"/>
        <v>2045</v>
      </c>
      <c r="AU20" s="128">
        <f t="shared" si="24"/>
        <v>2046</v>
      </c>
      <c r="AV20" s="128">
        <f t="shared" si="24"/>
        <v>2047</v>
      </c>
      <c r="AW20" s="128">
        <f t="shared" si="24"/>
        <v>2048</v>
      </c>
      <c r="AX20" s="128">
        <f t="shared" si="24"/>
        <v>2049</v>
      </c>
      <c r="AY20" s="128">
        <f t="shared" si="24"/>
        <v>2050</v>
      </c>
    </row>
    <row r="21" spans="1:51" x14ac:dyDescent="0.2">
      <c r="A21" s="19" t="s">
        <v>162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29">
        <f>'Monthly Data'!$AL447*42/1000</f>
        <v>4623.8220000000001</v>
      </c>
      <c r="L21" s="129">
        <f>'Monthly Data'!$AL459*42/1000</f>
        <v>5602.9260000000004</v>
      </c>
      <c r="M21" s="129">
        <f>'Monthly Data'!AL471*42/1000</f>
        <v>5859.5039999999999</v>
      </c>
      <c r="N21" s="129">
        <f>'Monthly Data'!AL483*42/1000</f>
        <v>5832.75</v>
      </c>
      <c r="O21" s="129">
        <f>'Monthly Data'!AL495*42/1000</f>
        <v>6100.2479999999996</v>
      </c>
      <c r="P21" s="129">
        <f>'Monthly Data'!AL507*42/1000</f>
        <v>6295.4639999999999</v>
      </c>
      <c r="Q21" s="129">
        <f>'Monthly Data'!AL519*42/1000</f>
        <v>5898.3959999999997</v>
      </c>
      <c r="R21" s="129">
        <f>'Monthly Data'!$AL531*42/1000</f>
        <v>6230.6580000000004</v>
      </c>
      <c r="S21" s="129">
        <f>'Monthly Data'!$AL543*42/1000</f>
        <v>6517.7280000000001</v>
      </c>
      <c r="T21" s="129">
        <f>'Monthly Data'!$AL555*42/1000</f>
        <v>6834.87</v>
      </c>
      <c r="U21" s="129">
        <f>'Monthly Data'!$AL567*42/1000</f>
        <v>6622.6859999999997</v>
      </c>
      <c r="V21" s="129">
        <f>'Monthly Data'!$AL579*42/1000</f>
        <v>5937.33</v>
      </c>
      <c r="W21" s="129">
        <f>'Monthly Data'!$AL591*42/1000</f>
        <v>6080.8860000000004</v>
      </c>
      <c r="X21" s="129">
        <f>'Monthly Data'!$AL603*42/1000</f>
        <v>6123.6840000000002</v>
      </c>
      <c r="Y21" s="129">
        <f>'Monthly Data'!$AL615*42/1000</f>
        <v>6049.4279999999999</v>
      </c>
      <c r="Z21" s="133">
        <f t="shared" ref="Z21:Z31" si="25">Z$33*(SUM(U21:Y21)/SUM(U$33:Y$33))</f>
        <v>6406.4747042414456</v>
      </c>
      <c r="AA21" s="133">
        <f t="shared" ref="AA21:AA31" si="26">AA$33*(SUM(V21:Z21)/SUM(V$33:Z$33))</f>
        <v>6381.7460521683497</v>
      </c>
      <c r="AB21" s="133">
        <f t="shared" ref="AB21:AQ31" si="27">AB$33*(SUM(W21:AA21)/SUM(W$33:AA$33))</f>
        <v>6420.3103709814677</v>
      </c>
      <c r="AC21" s="133">
        <f t="shared" si="27"/>
        <v>6479.6019896111793</v>
      </c>
      <c r="AD21" s="133">
        <f t="shared" si="27"/>
        <v>6508.8318516090221</v>
      </c>
      <c r="AE21" s="133">
        <f t="shared" si="27"/>
        <v>6563.1648367983917</v>
      </c>
      <c r="AF21" s="133">
        <f t="shared" si="27"/>
        <v>6590.8599955215122</v>
      </c>
      <c r="AG21" s="133">
        <f t="shared" si="27"/>
        <v>6558.0053310003559</v>
      </c>
      <c r="AH21" s="133">
        <f t="shared" si="27"/>
        <v>6530.3460158098678</v>
      </c>
      <c r="AI21" s="133">
        <f t="shared" si="27"/>
        <v>6498.2555616545933</v>
      </c>
      <c r="AJ21" s="133">
        <f t="shared" si="27"/>
        <v>6466.8840857728637</v>
      </c>
      <c r="AK21" s="133">
        <f t="shared" si="27"/>
        <v>6431.4243741018108</v>
      </c>
      <c r="AL21" s="133">
        <f t="shared" si="27"/>
        <v>6399.5283275628808</v>
      </c>
      <c r="AM21" s="133">
        <f t="shared" si="27"/>
        <v>6367.8210246440158</v>
      </c>
      <c r="AN21" s="133">
        <f t="shared" si="27"/>
        <v>6335.3162705843961</v>
      </c>
      <c r="AO21" s="133">
        <f t="shared" si="27"/>
        <v>6302.7299208499462</v>
      </c>
      <c r="AP21" s="133">
        <f t="shared" si="27"/>
        <v>6269.904330739193</v>
      </c>
      <c r="AQ21" s="133">
        <f t="shared" si="27"/>
        <v>6237.5975137241476</v>
      </c>
      <c r="AR21" s="133">
        <f t="shared" ref="AR21:AY31" si="28">AR$33*(SUM(AM21:AQ21)/SUM(AM$33:AQ$33))</f>
        <v>6205.2097840860461</v>
      </c>
      <c r="AS21" s="133">
        <f t="shared" si="28"/>
        <v>6172.6880681833245</v>
      </c>
      <c r="AT21" s="133">
        <f t="shared" si="28"/>
        <v>6140.1630184615851</v>
      </c>
      <c r="AU21" s="133">
        <f t="shared" si="28"/>
        <v>6107.6500423628568</v>
      </c>
      <c r="AV21" s="133">
        <f t="shared" si="28"/>
        <v>6075.1986061210091</v>
      </c>
      <c r="AW21" s="133">
        <f t="shared" si="28"/>
        <v>6042.7186990200589</v>
      </c>
      <c r="AX21" s="133">
        <f t="shared" si="28"/>
        <v>6010.2206492739724</v>
      </c>
      <c r="AY21" s="133">
        <f t="shared" si="28"/>
        <v>5977.7272586139725</v>
      </c>
    </row>
    <row r="22" spans="1:51" x14ac:dyDescent="0.2">
      <c r="A22" s="19" t="s">
        <v>163</v>
      </c>
      <c r="B22" s="108"/>
      <c r="C22" s="108"/>
      <c r="D22" s="108"/>
      <c r="E22" s="108"/>
      <c r="F22" s="108"/>
      <c r="G22" s="108"/>
      <c r="H22" s="108"/>
      <c r="I22" s="108"/>
      <c r="J22" s="108"/>
      <c r="K22" s="129">
        <f>'Monthly Data'!$AL448*42/1000</f>
        <v>4301.9340000000002</v>
      </c>
      <c r="L22" s="129">
        <f>'Monthly Data'!$AL460*42/1000</f>
        <v>4743.018</v>
      </c>
      <c r="M22" s="129">
        <f>'Monthly Data'!AL472*42/1000</f>
        <v>5368.5659999999998</v>
      </c>
      <c r="N22" s="129">
        <f>'Monthly Data'!AL484*42/1000</f>
        <v>5033.8680000000004</v>
      </c>
      <c r="O22" s="129">
        <f>'Monthly Data'!AL496*42/1000</f>
        <v>5403.09</v>
      </c>
      <c r="P22" s="129">
        <f>'Monthly Data'!AL508*42/1000</f>
        <v>5588.7719999999999</v>
      </c>
      <c r="Q22" s="129">
        <f>'Monthly Data'!AL520*42/1000</f>
        <v>5685.3720000000003</v>
      </c>
      <c r="R22" s="129">
        <f>'Monthly Data'!$AL532*42/1000</f>
        <v>5476.2120000000004</v>
      </c>
      <c r="S22" s="129">
        <f>'Monthly Data'!$AL544*42/1000</f>
        <v>5390.9520000000002</v>
      </c>
      <c r="T22" s="129">
        <f>'Monthly Data'!$AL556*42/1000</f>
        <v>5767.902</v>
      </c>
      <c r="U22" s="129">
        <f>'Monthly Data'!$AL568*42/1000</f>
        <v>5862.0659999999998</v>
      </c>
      <c r="V22" s="129">
        <f>'Monthly Data'!$AL580*42/1000</f>
        <v>4447.59</v>
      </c>
      <c r="W22" s="129">
        <f>'Monthly Data'!$AL592*42/1000</f>
        <v>5506.2</v>
      </c>
      <c r="X22" s="129">
        <f>'Monthly Data'!$AL604*42/1000</f>
        <v>5522.4539999999997</v>
      </c>
      <c r="Y22" s="129">
        <f>'Monthly Data'!$AL616*42/1000</f>
        <v>5259.576</v>
      </c>
      <c r="Z22" s="133">
        <f t="shared" si="25"/>
        <v>5529.9086917172708</v>
      </c>
      <c r="AA22" s="133">
        <f t="shared" si="26"/>
        <v>5478.2107070210022</v>
      </c>
      <c r="AB22" s="133">
        <f t="shared" si="27"/>
        <v>5645.5705215486942</v>
      </c>
      <c r="AC22" s="133">
        <f t="shared" si="27"/>
        <v>5664.8577851788423</v>
      </c>
      <c r="AD22" s="133">
        <f t="shared" si="27"/>
        <v>5655.8022628143053</v>
      </c>
      <c r="AE22" s="133">
        <f t="shared" si="27"/>
        <v>5702.4092246924056</v>
      </c>
      <c r="AF22" s="133">
        <f t="shared" si="27"/>
        <v>5733.8792290565134</v>
      </c>
      <c r="AG22" s="133">
        <f t="shared" si="27"/>
        <v>5720.1483975121964</v>
      </c>
      <c r="AH22" s="133">
        <f t="shared" si="27"/>
        <v>5686.9314225038315</v>
      </c>
      <c r="AI22" s="133">
        <f t="shared" si="27"/>
        <v>5654.5973286863591</v>
      </c>
      <c r="AJ22" s="133">
        <f t="shared" si="27"/>
        <v>5628.8785656454684</v>
      </c>
      <c r="AK22" s="133">
        <f t="shared" si="27"/>
        <v>5600.0379291483232</v>
      </c>
      <c r="AL22" s="133">
        <f t="shared" si="27"/>
        <v>5573.2469477687464</v>
      </c>
      <c r="AM22" s="133">
        <f t="shared" si="27"/>
        <v>5543.8830854025473</v>
      </c>
      <c r="AN22" s="133">
        <f t="shared" si="27"/>
        <v>5515.2783354010417</v>
      </c>
      <c r="AO22" s="133">
        <f t="shared" si="27"/>
        <v>5487.4081456782014</v>
      </c>
      <c r="AP22" s="133">
        <f t="shared" si="27"/>
        <v>5459.1141914040609</v>
      </c>
      <c r="AQ22" s="133">
        <f t="shared" si="27"/>
        <v>5430.9278928058275</v>
      </c>
      <c r="AR22" s="133">
        <f t="shared" si="28"/>
        <v>5402.4668301877427</v>
      </c>
      <c r="AS22" s="133">
        <f t="shared" si="28"/>
        <v>5374.183549368503</v>
      </c>
      <c r="AT22" s="133">
        <f t="shared" si="28"/>
        <v>5345.9635574843533</v>
      </c>
      <c r="AU22" s="133">
        <f t="shared" si="28"/>
        <v>5317.6746931885773</v>
      </c>
      <c r="AV22" s="133">
        <f t="shared" si="28"/>
        <v>5289.3868313763633</v>
      </c>
      <c r="AW22" s="133">
        <f t="shared" si="28"/>
        <v>5261.0789797445823</v>
      </c>
      <c r="AX22" s="133">
        <f t="shared" si="28"/>
        <v>5232.8012851755739</v>
      </c>
      <c r="AY22" s="133">
        <f t="shared" si="28"/>
        <v>5204.5246886014747</v>
      </c>
    </row>
    <row r="23" spans="1:51" x14ac:dyDescent="0.2">
      <c r="A23" s="19" t="s">
        <v>164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29">
        <f>'Monthly Data'!$AL449*42/1000</f>
        <v>4993.2120000000004</v>
      </c>
      <c r="L23" s="129">
        <f>'Monthly Data'!$AL461*42/1000</f>
        <v>5632.4939999999997</v>
      </c>
      <c r="M23" s="129">
        <f>'Monthly Data'!AL473*42/1000</f>
        <v>5550.1319999999996</v>
      </c>
      <c r="N23" s="129">
        <f>'Monthly Data'!AL485*42/1000</f>
        <v>5577.5159999999996</v>
      </c>
      <c r="O23" s="129">
        <f>'Monthly Data'!AL497*42/1000</f>
        <v>6223.14</v>
      </c>
      <c r="P23" s="129">
        <f>'Monthly Data'!AL509*42/1000</f>
        <v>6371.61</v>
      </c>
      <c r="Q23" s="129">
        <f>'Monthly Data'!AL521*42/1000</f>
        <v>6312.4740000000002</v>
      </c>
      <c r="R23" s="129">
        <f>'Monthly Data'!$AL533*42/1000</f>
        <v>6239.8559999999998</v>
      </c>
      <c r="S23" s="129">
        <f>'Monthly Data'!$AL545*42/1000</f>
        <v>6278.9160000000002</v>
      </c>
      <c r="T23" s="129">
        <f>'Monthly Data'!$AL557*42/1000</f>
        <v>6468.8819999999996</v>
      </c>
      <c r="U23" s="129">
        <f>'Monthly Data'!$AL569*42/1000</f>
        <v>6448.7219999999998</v>
      </c>
      <c r="V23" s="129">
        <f>'Monthly Data'!$AL581*42/1000</f>
        <v>5884.0739999999996</v>
      </c>
      <c r="W23" s="129">
        <f>'Monthly Data'!$AL593*42/1000</f>
        <v>6515.3339999999998</v>
      </c>
      <c r="X23" s="129">
        <f>'Monthly Data'!$AL605*42/1000</f>
        <v>6100.2060000000001</v>
      </c>
      <c r="Y23" s="129">
        <f>'Monthly Data'!$AL617*42/1000</f>
        <v>6156.9059999999999</v>
      </c>
      <c r="Z23" s="133">
        <f t="shared" si="25"/>
        <v>6467.0232849997583</v>
      </c>
      <c r="AA23" s="133">
        <f t="shared" si="26"/>
        <v>6491.3991180485991</v>
      </c>
      <c r="AB23" s="133">
        <f t="shared" si="27"/>
        <v>6562.7404112753293</v>
      </c>
      <c r="AC23" s="133">
        <f t="shared" si="27"/>
        <v>6561.4974932136329</v>
      </c>
      <c r="AD23" s="133">
        <f t="shared" si="27"/>
        <v>6611.7845442176549</v>
      </c>
      <c r="AE23" s="133">
        <f t="shared" si="27"/>
        <v>6664.5732297709937</v>
      </c>
      <c r="AF23" s="133">
        <f t="shared" si="27"/>
        <v>6700.5267874508991</v>
      </c>
      <c r="AG23" s="133">
        <f t="shared" si="27"/>
        <v>6666.4274557503077</v>
      </c>
      <c r="AH23" s="133">
        <f t="shared" si="27"/>
        <v>6631.0647904531552</v>
      </c>
      <c r="AI23" s="133">
        <f t="shared" si="27"/>
        <v>6602.0588904053602</v>
      </c>
      <c r="AJ23" s="133">
        <f t="shared" si="27"/>
        <v>6570.3876720717744</v>
      </c>
      <c r="AK23" s="133">
        <f t="shared" si="27"/>
        <v>6535.0768040139656</v>
      </c>
      <c r="AL23" s="133">
        <f t="shared" si="27"/>
        <v>6501.9880757008295</v>
      </c>
      <c r="AM23" s="133">
        <f t="shared" si="27"/>
        <v>6469.0984337672735</v>
      </c>
      <c r="AN23" s="133">
        <f t="shared" si="27"/>
        <v>6436.6958846586303</v>
      </c>
      <c r="AO23" s="133">
        <f t="shared" si="27"/>
        <v>6403.624256671289</v>
      </c>
      <c r="AP23" s="133">
        <f t="shared" si="27"/>
        <v>6370.2768436517499</v>
      </c>
      <c r="AQ23" s="133">
        <f t="shared" si="27"/>
        <v>6337.3161342916474</v>
      </c>
      <c r="AR23" s="133">
        <f t="shared" si="28"/>
        <v>6304.3806253925277</v>
      </c>
      <c r="AS23" s="133">
        <f t="shared" si="28"/>
        <v>6271.4360740792854</v>
      </c>
      <c r="AT23" s="133">
        <f t="shared" si="28"/>
        <v>6238.3848057732812</v>
      </c>
      <c r="AU23" s="133">
        <f t="shared" si="28"/>
        <v>6205.3375527114531</v>
      </c>
      <c r="AV23" s="133">
        <f t="shared" si="28"/>
        <v>6172.349390474119</v>
      </c>
      <c r="AW23" s="133">
        <f t="shared" si="28"/>
        <v>6139.3558215958774</v>
      </c>
      <c r="AX23" s="133">
        <f t="shared" si="28"/>
        <v>6106.3508236779717</v>
      </c>
      <c r="AY23" s="133">
        <f t="shared" si="28"/>
        <v>6073.333929988039</v>
      </c>
    </row>
    <row r="24" spans="1:51" x14ac:dyDescent="0.2">
      <c r="A24" s="19" t="s">
        <v>165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29">
        <f>'Monthly Data'!$AL450*42/1000</f>
        <v>5237.1480000000001</v>
      </c>
      <c r="L24" s="129">
        <f>'Monthly Data'!$AL462*42/1000</f>
        <v>5277.8459999999995</v>
      </c>
      <c r="M24" s="129">
        <f>'Monthly Data'!AL474*42/1000</f>
        <v>5483.1419999999998</v>
      </c>
      <c r="N24" s="129">
        <f>'Monthly Data'!AL486*42/1000</f>
        <v>5564.7060000000001</v>
      </c>
      <c r="O24" s="129">
        <f>'Monthly Data'!AL498*42/1000</f>
        <v>6284.7539999999999</v>
      </c>
      <c r="P24" s="129">
        <f>'Monthly Data'!AL510*42/1000</f>
        <v>6289.2060000000001</v>
      </c>
      <c r="Q24" s="129">
        <f>'Monthly Data'!AL522*42/1000</f>
        <v>5870.0879999999997</v>
      </c>
      <c r="R24" s="129">
        <f>'Monthly Data'!$AL534*42/1000</f>
        <v>6323.7719999999999</v>
      </c>
      <c r="S24" s="129">
        <f>'Monthly Data'!$AL546*42/1000</f>
        <v>6450.6120000000001</v>
      </c>
      <c r="T24" s="129">
        <f>'Monthly Data'!$AL558*42/1000</f>
        <v>6374.5919999999996</v>
      </c>
      <c r="U24" s="129">
        <f>'Monthly Data'!$AL570*42/1000</f>
        <v>6399.2879999999996</v>
      </c>
      <c r="V24" s="129">
        <f>'Monthly Data'!$AL582*42/1000</f>
        <v>5790.8760000000002</v>
      </c>
      <c r="W24" s="129">
        <f>'Monthly Data'!$AL594*42/1000</f>
        <v>6092.4359999999997</v>
      </c>
      <c r="X24" s="129">
        <f>'Monthly Data'!$AL606*42/1000</f>
        <v>5993.4840000000004</v>
      </c>
      <c r="Y24" s="129">
        <f>'Monthly Data'!$AL618*42/1000</f>
        <v>6036.0720000000001</v>
      </c>
      <c r="Z24" s="133">
        <f t="shared" si="25"/>
        <v>6302.134497797676</v>
      </c>
      <c r="AA24" s="133">
        <f t="shared" si="26"/>
        <v>6301.905884236844</v>
      </c>
      <c r="AB24" s="133">
        <f t="shared" si="27"/>
        <v>6354.9150886888501</v>
      </c>
      <c r="AC24" s="133">
        <f t="shared" si="27"/>
        <v>6398.4291633705734</v>
      </c>
      <c r="AD24" s="133">
        <f t="shared" si="27"/>
        <v>6438.2618979071785</v>
      </c>
      <c r="AE24" s="133">
        <f t="shared" si="27"/>
        <v>6481.3583977726103</v>
      </c>
      <c r="AF24" s="133">
        <f t="shared" si="27"/>
        <v>6513.6966359168491</v>
      </c>
      <c r="AG24" s="133">
        <f t="shared" si="27"/>
        <v>6482.2587827502739</v>
      </c>
      <c r="AH24" s="133">
        <f t="shared" si="27"/>
        <v>6453.1693794547582</v>
      </c>
      <c r="AI24" s="133">
        <f t="shared" si="27"/>
        <v>6422.3700582939809</v>
      </c>
      <c r="AJ24" s="133">
        <f t="shared" si="27"/>
        <v>6390.2906179488891</v>
      </c>
      <c r="AK24" s="133">
        <f t="shared" si="27"/>
        <v>6356.0532576360411</v>
      </c>
      <c r="AL24" s="133">
        <f t="shared" si="27"/>
        <v>6324.5159929285383</v>
      </c>
      <c r="AM24" s="133">
        <f t="shared" si="27"/>
        <v>6292.9590593240137</v>
      </c>
      <c r="AN24" s="133">
        <f t="shared" si="27"/>
        <v>6260.9160124198334</v>
      </c>
      <c r="AO24" s="133">
        <f t="shared" si="27"/>
        <v>6228.6279983857057</v>
      </c>
      <c r="AP24" s="133">
        <f t="shared" si="27"/>
        <v>6196.2989366264974</v>
      </c>
      <c r="AQ24" s="133">
        <f t="shared" si="27"/>
        <v>6164.3456983994265</v>
      </c>
      <c r="AR24" s="133">
        <f t="shared" si="28"/>
        <v>6132.3105275099961</v>
      </c>
      <c r="AS24" s="133">
        <f t="shared" si="28"/>
        <v>6100.1811843884734</v>
      </c>
      <c r="AT24" s="133">
        <f t="shared" si="28"/>
        <v>6068.0348554829252</v>
      </c>
      <c r="AU24" s="133">
        <f t="shared" si="28"/>
        <v>6035.9164251859438</v>
      </c>
      <c r="AV24" s="133">
        <f t="shared" si="28"/>
        <v>6003.8394581166158</v>
      </c>
      <c r="AW24" s="133">
        <f t="shared" si="28"/>
        <v>5971.7381331504921</v>
      </c>
      <c r="AX24" s="133">
        <f t="shared" si="28"/>
        <v>5939.6237876808764</v>
      </c>
      <c r="AY24" s="133">
        <f t="shared" si="28"/>
        <v>5907.5123950475945</v>
      </c>
    </row>
    <row r="25" spans="1:51" x14ac:dyDescent="0.2">
      <c r="A25" s="19" t="s">
        <v>166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29">
        <f>'Monthly Data'!$AL451*42/1000</f>
        <v>5696.04</v>
      </c>
      <c r="L25" s="129">
        <f>'Monthly Data'!$AL463*42/1000</f>
        <v>5576.8860000000004</v>
      </c>
      <c r="M25" s="129">
        <f>'Monthly Data'!AL475*42/1000</f>
        <v>5920.5720000000001</v>
      </c>
      <c r="N25" s="129">
        <f>'Monthly Data'!AL487*42/1000</f>
        <v>6206.8019999999997</v>
      </c>
      <c r="O25" s="129">
        <f>'Monthly Data'!AL499*42/1000</f>
        <v>6544.02</v>
      </c>
      <c r="P25" s="129">
        <f>'Monthly Data'!AL511*42/1000</f>
        <v>6487.6139999999996</v>
      </c>
      <c r="Q25" s="129">
        <f>'Monthly Data'!AL523*42/1000</f>
        <v>6198.0659999999998</v>
      </c>
      <c r="R25" s="129">
        <f>'Monthly Data'!$AL535*42/1000</f>
        <v>6790.6019999999999</v>
      </c>
      <c r="S25" s="129">
        <f>'Monthly Data'!$AL547*42/1000</f>
        <v>6788.7960000000003</v>
      </c>
      <c r="T25" s="129">
        <f>'Monthly Data'!$AL559*42/1000</f>
        <v>6785.6459999999997</v>
      </c>
      <c r="U25" s="129">
        <f>'Monthly Data'!$AL571*42/1000</f>
        <v>6273.2460000000001</v>
      </c>
      <c r="V25" s="129">
        <f>'Monthly Data'!$AL583*42/1000</f>
        <v>6177.99</v>
      </c>
      <c r="W25" s="129">
        <f>'Monthly Data'!$AL595*42/1000</f>
        <v>6494.25</v>
      </c>
      <c r="X25" s="129">
        <f>'Monthly Data'!$AL607*42/1000</f>
        <v>6466.1940000000004</v>
      </c>
      <c r="Y25" s="129">
        <f>'Monthly Data'!$AL619*42/1000</f>
        <v>6522.8519999999999</v>
      </c>
      <c r="Z25" s="133">
        <f t="shared" si="25"/>
        <v>6639.4391671850653</v>
      </c>
      <c r="AA25" s="133">
        <f t="shared" si="26"/>
        <v>6736.9224944144062</v>
      </c>
      <c r="AB25" s="133">
        <f t="shared" si="27"/>
        <v>6796.202376098051</v>
      </c>
      <c r="AC25" s="133">
        <f t="shared" si="27"/>
        <v>6847.125037612308</v>
      </c>
      <c r="AD25" s="133">
        <f t="shared" si="27"/>
        <v>6879.0024201929218</v>
      </c>
      <c r="AE25" s="133">
        <f t="shared" si="27"/>
        <v>6910.0519335799754</v>
      </c>
      <c r="AF25" s="133">
        <f t="shared" si="27"/>
        <v>6960.7313248020328</v>
      </c>
      <c r="AG25" s="133">
        <f t="shared" si="27"/>
        <v>6926.6289577683237</v>
      </c>
      <c r="AH25" s="133">
        <f t="shared" si="27"/>
        <v>6894.4177590313629</v>
      </c>
      <c r="AI25" s="133">
        <f t="shared" si="27"/>
        <v>6859.2921419394079</v>
      </c>
      <c r="AJ25" s="133">
        <f t="shared" si="27"/>
        <v>6824.4896290889328</v>
      </c>
      <c r="AK25" s="133">
        <f t="shared" si="27"/>
        <v>6790.229694428609</v>
      </c>
      <c r="AL25" s="133">
        <f t="shared" si="27"/>
        <v>6756.1264619045578</v>
      </c>
      <c r="AM25" s="133">
        <f t="shared" si="27"/>
        <v>6722.0230296814098</v>
      </c>
      <c r="AN25" s="133">
        <f t="shared" si="27"/>
        <v>6687.546855175121</v>
      </c>
      <c r="AO25" s="133">
        <f t="shared" si="27"/>
        <v>6653.1986193239127</v>
      </c>
      <c r="AP25" s="133">
        <f t="shared" si="27"/>
        <v>6618.9398566113541</v>
      </c>
      <c r="AQ25" s="133">
        <f t="shared" si="27"/>
        <v>6584.6813189309751</v>
      </c>
      <c r="AR25" s="133">
        <f t="shared" si="28"/>
        <v>6550.3921946670616</v>
      </c>
      <c r="AS25" s="133">
        <f t="shared" si="28"/>
        <v>6516.0665082845608</v>
      </c>
      <c r="AT25" s="133">
        <f t="shared" si="28"/>
        <v>6481.7704542578913</v>
      </c>
      <c r="AU25" s="133">
        <f t="shared" si="28"/>
        <v>6447.4846728349166</v>
      </c>
      <c r="AV25" s="133">
        <f t="shared" si="28"/>
        <v>6413.1935714298952</v>
      </c>
      <c r="AW25" s="133">
        <f t="shared" si="28"/>
        <v>6378.8960599727234</v>
      </c>
      <c r="AX25" s="133">
        <f t="shared" si="28"/>
        <v>6344.5968982492523</v>
      </c>
      <c r="AY25" s="133">
        <f t="shared" si="28"/>
        <v>6310.3029570492199</v>
      </c>
    </row>
    <row r="26" spans="1:51" x14ac:dyDescent="0.2">
      <c r="A26" s="19" t="s">
        <v>167</v>
      </c>
      <c r="B26" s="108"/>
      <c r="C26" s="108"/>
      <c r="D26" s="108"/>
      <c r="E26" s="108"/>
      <c r="F26" s="108"/>
      <c r="G26" s="108"/>
      <c r="H26" s="108"/>
      <c r="I26" s="108"/>
      <c r="J26" s="108"/>
      <c r="K26" s="129">
        <f>'Monthly Data'!$AL452*42/1000</f>
        <v>5553.8280000000004</v>
      </c>
      <c r="L26" s="129">
        <f>'Monthly Data'!$AL464*42/1000</f>
        <v>5633.1660000000002</v>
      </c>
      <c r="M26" s="129">
        <f>'Monthly Data'!AL476*42/1000</f>
        <v>5836.0680000000002</v>
      </c>
      <c r="N26" s="129">
        <f>'Monthly Data'!AL488*42/1000</f>
        <v>6037.29</v>
      </c>
      <c r="O26" s="129">
        <f>'Monthly Data'!AL500*42/1000</f>
        <v>6168.96</v>
      </c>
      <c r="P26" s="129">
        <f>'Monthly Data'!AL512*42/1000</f>
        <v>6340.0680000000002</v>
      </c>
      <c r="Q26" s="129">
        <f>'Monthly Data'!AL524*42/1000</f>
        <v>6241.5360000000001</v>
      </c>
      <c r="R26" s="129">
        <f>'Monthly Data'!$AL536*42/1000</f>
        <v>6657.5460000000003</v>
      </c>
      <c r="S26" s="129">
        <f>'Monthly Data'!$AL548*42/1000</f>
        <v>6817.0619999999999</v>
      </c>
      <c r="T26" s="129">
        <f>'Monthly Data'!$AL560*42/1000</f>
        <v>6741.8819999999996</v>
      </c>
      <c r="U26" s="129">
        <f>'Monthly Data'!$AL572*42/1000</f>
        <v>5770.38</v>
      </c>
      <c r="V26" s="129">
        <f>'Monthly Data'!$AL584*42/1000</f>
        <v>6275.43</v>
      </c>
      <c r="W26" s="129">
        <f>'Monthly Data'!$AL596*42/1000</f>
        <v>6547.59</v>
      </c>
      <c r="X26" s="129">
        <f>'Monthly Data'!$AL608*42/1000</f>
        <v>6295.38</v>
      </c>
      <c r="Y26" s="129">
        <f>'Monthly Data'!$AL620*42/1000</f>
        <v>6347.6279999999997</v>
      </c>
      <c r="Z26" s="133">
        <f t="shared" si="25"/>
        <v>6494.2937230886282</v>
      </c>
      <c r="AA26" s="133">
        <f t="shared" si="26"/>
        <v>6665.9249670264089</v>
      </c>
      <c r="AB26" s="133">
        <f t="shared" si="27"/>
        <v>6690.9612851812744</v>
      </c>
      <c r="AC26" s="133">
        <f t="shared" si="27"/>
        <v>6709.317424865907</v>
      </c>
      <c r="AD26" s="133">
        <f t="shared" si="27"/>
        <v>6748.8945981602874</v>
      </c>
      <c r="AE26" s="133">
        <f t="shared" si="27"/>
        <v>6789.9266440687761</v>
      </c>
      <c r="AF26" s="133">
        <f t="shared" si="27"/>
        <v>6845.7802896321518</v>
      </c>
      <c r="AG26" s="133">
        <f t="shared" si="27"/>
        <v>6804.1334086395773</v>
      </c>
      <c r="AH26" s="133">
        <f t="shared" si="27"/>
        <v>6769.506731682769</v>
      </c>
      <c r="AI26" s="133">
        <f t="shared" si="27"/>
        <v>6737.7463635284839</v>
      </c>
      <c r="AJ26" s="133">
        <f t="shared" si="27"/>
        <v>6705.1827236454574</v>
      </c>
      <c r="AK26" s="133">
        <f t="shared" si="27"/>
        <v>6671.3882630760509</v>
      </c>
      <c r="AL26" s="133">
        <f t="shared" si="27"/>
        <v>6636.5276256427496</v>
      </c>
      <c r="AM26" s="133">
        <f t="shared" si="27"/>
        <v>6603.0039544570845</v>
      </c>
      <c r="AN26" s="133">
        <f t="shared" si="27"/>
        <v>6569.6975165840577</v>
      </c>
      <c r="AO26" s="133">
        <f t="shared" si="27"/>
        <v>6536.0865138889812</v>
      </c>
      <c r="AP26" s="133">
        <f t="shared" si="27"/>
        <v>6502.2692322594303</v>
      </c>
      <c r="AQ26" s="133">
        <f t="shared" si="27"/>
        <v>6468.4474767423626</v>
      </c>
      <c r="AR26" s="133">
        <f t="shared" si="28"/>
        <v>6434.8303057123667</v>
      </c>
      <c r="AS26" s="133">
        <f t="shared" si="28"/>
        <v>6401.194713560174</v>
      </c>
      <c r="AT26" s="133">
        <f t="shared" si="28"/>
        <v>6367.4943101759036</v>
      </c>
      <c r="AU26" s="133">
        <f t="shared" si="28"/>
        <v>6333.7763091399429</v>
      </c>
      <c r="AV26" s="133">
        <f t="shared" si="28"/>
        <v>6300.0778553335276</v>
      </c>
      <c r="AW26" s="133">
        <f t="shared" si="28"/>
        <v>6266.4036718195512</v>
      </c>
      <c r="AX26" s="133">
        <f t="shared" si="28"/>
        <v>6232.7182650057266</v>
      </c>
      <c r="AY26" s="133">
        <f t="shared" si="28"/>
        <v>6199.0230542367226</v>
      </c>
    </row>
    <row r="27" spans="1:51" x14ac:dyDescent="0.2">
      <c r="A27" s="19" t="s">
        <v>168</v>
      </c>
      <c r="B27" s="108"/>
      <c r="C27" s="108"/>
      <c r="D27" s="108"/>
      <c r="E27" s="108"/>
      <c r="F27" s="108"/>
      <c r="G27" s="108"/>
      <c r="H27" s="108"/>
      <c r="I27" s="108"/>
      <c r="J27" s="108"/>
      <c r="K27" s="129">
        <f>'Monthly Data'!$AL453*42/1000</f>
        <v>5760.93</v>
      </c>
      <c r="L27" s="129">
        <f>'Monthly Data'!$AL465*42/1000</f>
        <v>6062.616</v>
      </c>
      <c r="M27" s="129">
        <f>'Monthly Data'!AL477*42/1000</f>
        <v>6067.4040000000005</v>
      </c>
      <c r="N27" s="129">
        <f>'Monthly Data'!AL489*42/1000</f>
        <v>6423.8159999999998</v>
      </c>
      <c r="O27" s="129">
        <f>'Monthly Data'!AL501*42/1000</f>
        <v>6537.5940000000001</v>
      </c>
      <c r="P27" s="129">
        <f>'Monthly Data'!AL513*42/1000</f>
        <v>6641.7539999999999</v>
      </c>
      <c r="Q27" s="129">
        <f>'Monthly Data'!AL525*42/1000</f>
        <v>6423.3119999999999</v>
      </c>
      <c r="R27" s="129">
        <f>'Monthly Data'!$AL537*42/1000</f>
        <v>6720.7560000000003</v>
      </c>
      <c r="S27" s="129">
        <f>'Monthly Data'!$AL549*42/1000</f>
        <v>6844.6980000000003</v>
      </c>
      <c r="T27" s="129">
        <f>'Monthly Data'!$AL561*42/1000</f>
        <v>6830.04</v>
      </c>
      <c r="U27" s="129">
        <f>'Monthly Data'!$AL573*42/1000</f>
        <v>6305.25</v>
      </c>
      <c r="V27" s="129">
        <f>'Monthly Data'!$AL585*42/1000</f>
        <v>6322.3860000000004</v>
      </c>
      <c r="W27" s="129">
        <f>'Monthly Data'!$AL597*42/1000</f>
        <v>6672.0780000000004</v>
      </c>
      <c r="X27" s="129">
        <f>'Monthly Data'!$AL609*42/1000</f>
        <v>6501.7259999999997</v>
      </c>
      <c r="Y27" s="129">
        <f>'Monthly Data'!$AL621*42/1000</f>
        <v>6689.1719999999996</v>
      </c>
      <c r="Z27" s="133">
        <f t="shared" si="25"/>
        <v>6755.0525518461673</v>
      </c>
      <c r="AA27" s="133">
        <f t="shared" si="26"/>
        <v>6870.3417220836245</v>
      </c>
      <c r="AB27" s="133">
        <f t="shared" si="27"/>
        <v>6926.2359325582429</v>
      </c>
      <c r="AC27" s="133">
        <f t="shared" si="27"/>
        <v>6967.0715460540778</v>
      </c>
      <c r="AD27" s="133">
        <f t="shared" si="27"/>
        <v>7015.4507914310589</v>
      </c>
      <c r="AE27" s="133">
        <f t="shared" si="27"/>
        <v>7039.586987972275</v>
      </c>
      <c r="AF27" s="133">
        <f t="shared" si="27"/>
        <v>7093.0190235425525</v>
      </c>
      <c r="AG27" s="133">
        <f t="shared" si="27"/>
        <v>7057.1840327764285</v>
      </c>
      <c r="AH27" s="133">
        <f t="shared" si="27"/>
        <v>7023.9789257198754</v>
      </c>
      <c r="AI27" s="133">
        <f t="shared" si="27"/>
        <v>6989.9245558417042</v>
      </c>
      <c r="AJ27" s="133">
        <f t="shared" si="27"/>
        <v>6953.3846269426458</v>
      </c>
      <c r="AK27" s="133">
        <f t="shared" si="27"/>
        <v>6918.6699011293476</v>
      </c>
      <c r="AL27" s="133">
        <f t="shared" si="27"/>
        <v>6883.7989823547714</v>
      </c>
      <c r="AM27" s="133">
        <f t="shared" si="27"/>
        <v>6849.1179602308684</v>
      </c>
      <c r="AN27" s="133">
        <f t="shared" si="27"/>
        <v>6814.1461870377479</v>
      </c>
      <c r="AO27" s="133">
        <f t="shared" si="27"/>
        <v>6778.9937315664001</v>
      </c>
      <c r="AP27" s="133">
        <f t="shared" si="27"/>
        <v>6744.1145562526463</v>
      </c>
      <c r="AQ27" s="133">
        <f t="shared" si="27"/>
        <v>6709.2029868194331</v>
      </c>
      <c r="AR27" s="133">
        <f t="shared" si="28"/>
        <v>6674.2834078188198</v>
      </c>
      <c r="AS27" s="133">
        <f t="shared" si="28"/>
        <v>6639.3168551337403</v>
      </c>
      <c r="AT27" s="133">
        <f t="shared" si="28"/>
        <v>6604.3513339632364</v>
      </c>
      <c r="AU27" s="133">
        <f t="shared" si="28"/>
        <v>6569.4226160394974</v>
      </c>
      <c r="AV27" s="133">
        <f t="shared" si="28"/>
        <v>6534.4841435346043</v>
      </c>
      <c r="AW27" s="133">
        <f t="shared" si="28"/>
        <v>6499.5403749281713</v>
      </c>
      <c r="AX27" s="133">
        <f t="shared" si="28"/>
        <v>6464.591845601979</v>
      </c>
      <c r="AY27" s="133">
        <f t="shared" si="28"/>
        <v>6429.6468639448331</v>
      </c>
    </row>
    <row r="28" spans="1:51" x14ac:dyDescent="0.2">
      <c r="A28" s="19" t="s">
        <v>169</v>
      </c>
      <c r="B28" s="108"/>
      <c r="C28" s="108"/>
      <c r="D28" s="108"/>
      <c r="E28" s="108"/>
      <c r="F28" s="108"/>
      <c r="G28" s="108"/>
      <c r="H28" s="108"/>
      <c r="I28" s="108"/>
      <c r="J28" s="108"/>
      <c r="K28" s="129">
        <f>'Monthly Data'!$AL454*42/1000</f>
        <v>5733.924</v>
      </c>
      <c r="L28" s="129">
        <f>'Monthly Data'!$AL466*42/1000</f>
        <v>6077.4</v>
      </c>
      <c r="M28" s="129">
        <f>'Monthly Data'!AL478*42/1000</f>
        <v>5988.8220000000001</v>
      </c>
      <c r="N28" s="129">
        <f>'Monthly Data'!AL490*42/1000</f>
        <v>6418.8180000000002</v>
      </c>
      <c r="O28" s="129">
        <f>'Monthly Data'!AL502*42/1000</f>
        <v>6565.2719999999999</v>
      </c>
      <c r="P28" s="129">
        <f>'Monthly Data'!AL514*42/1000</f>
        <v>6648.768</v>
      </c>
      <c r="Q28" s="129">
        <f>'Monthly Data'!AL526*42/1000</f>
        <v>6430.83</v>
      </c>
      <c r="R28" s="129">
        <f>'Monthly Data'!$AL538*42/1000</f>
        <v>6567.3720000000003</v>
      </c>
      <c r="S28" s="129">
        <f>'Monthly Data'!$AL550*42/1000</f>
        <v>6991.0680000000002</v>
      </c>
      <c r="T28" s="129">
        <f>'Monthly Data'!$AL562*42/1000</f>
        <v>6856.9620000000004</v>
      </c>
      <c r="U28" s="129">
        <f>'Monthly Data'!$AL574*42/1000</f>
        <v>6279.21</v>
      </c>
      <c r="V28" s="129">
        <f>'Monthly Data'!$AL586*42/1000</f>
        <v>6173.58</v>
      </c>
      <c r="W28" s="129">
        <f>'Monthly Data'!$AL598*42/1000</f>
        <v>6695.3879999999999</v>
      </c>
      <c r="X28" s="129">
        <f>'Monthly Data'!$AL610*42/1000</f>
        <v>6558.09</v>
      </c>
      <c r="Y28" s="129">
        <f>'Monthly Data'!$AL622*42/1000</f>
        <v>6662.3339999999998</v>
      </c>
      <c r="Z28" s="133">
        <f t="shared" si="25"/>
        <v>6729.685717824982</v>
      </c>
      <c r="AA28" s="133">
        <f t="shared" si="26"/>
        <v>6845.0346479455866</v>
      </c>
      <c r="AB28" s="133">
        <f t="shared" si="27"/>
        <v>6926.6831074453612</v>
      </c>
      <c r="AC28" s="133">
        <f t="shared" si="27"/>
        <v>6962.7973112107375</v>
      </c>
      <c r="AD28" s="133">
        <f t="shared" si="27"/>
        <v>6998.7695579709598</v>
      </c>
      <c r="AE28" s="133">
        <f t="shared" si="27"/>
        <v>7025.0769084401854</v>
      </c>
      <c r="AF28" s="133">
        <f t="shared" si="27"/>
        <v>7080.7299460126487</v>
      </c>
      <c r="AG28" s="133">
        <f t="shared" si="27"/>
        <v>7047.6565103470957</v>
      </c>
      <c r="AH28" s="133">
        <f t="shared" si="27"/>
        <v>7012.5395698264356</v>
      </c>
      <c r="AI28" s="133">
        <f t="shared" si="27"/>
        <v>6977.1373993248653</v>
      </c>
      <c r="AJ28" s="133">
        <f t="shared" si="27"/>
        <v>6941.4242446216331</v>
      </c>
      <c r="AK28" s="133">
        <f t="shared" si="27"/>
        <v>6907.2423469515124</v>
      </c>
      <c r="AL28" s="133">
        <f t="shared" si="27"/>
        <v>6872.5420140010929</v>
      </c>
      <c r="AM28" s="133">
        <f t="shared" si="27"/>
        <v>6837.5211785389001</v>
      </c>
      <c r="AN28" s="133">
        <f t="shared" si="27"/>
        <v>6802.5192937074862</v>
      </c>
      <c r="AO28" s="133">
        <f t="shared" si="27"/>
        <v>6767.5962650733009</v>
      </c>
      <c r="AP28" s="133">
        <f t="shared" si="27"/>
        <v>6732.8288489454617</v>
      </c>
      <c r="AQ28" s="133">
        <f t="shared" si="27"/>
        <v>6697.9461120524293</v>
      </c>
      <c r="AR28" s="133">
        <f t="shared" si="28"/>
        <v>6663.0274581223275</v>
      </c>
      <c r="AS28" s="133">
        <f t="shared" si="28"/>
        <v>6628.1289282913885</v>
      </c>
      <c r="AT28" s="133">
        <f t="shared" si="28"/>
        <v>6593.2507487079656</v>
      </c>
      <c r="AU28" s="133">
        <f t="shared" si="28"/>
        <v>6558.3813969324401</v>
      </c>
      <c r="AV28" s="133">
        <f t="shared" si="28"/>
        <v>6523.4919773136053</v>
      </c>
      <c r="AW28" s="133">
        <f t="shared" si="28"/>
        <v>6488.6012431136478</v>
      </c>
      <c r="AX28" s="133">
        <f t="shared" si="28"/>
        <v>6453.7160047408761</v>
      </c>
      <c r="AY28" s="133">
        <f t="shared" si="28"/>
        <v>6418.8333820628559</v>
      </c>
    </row>
    <row r="29" spans="1:51" x14ac:dyDescent="0.2">
      <c r="A29" s="19" t="s">
        <v>170</v>
      </c>
      <c r="B29" s="108"/>
      <c r="C29" s="108"/>
      <c r="D29" s="108"/>
      <c r="E29" s="108"/>
      <c r="F29" s="108"/>
      <c r="G29" s="108"/>
      <c r="H29" s="108"/>
      <c r="I29" s="108"/>
      <c r="J29" s="108"/>
      <c r="K29" s="129">
        <f>'Monthly Data'!$AL455*42/1000</f>
        <v>5470.1639999999998</v>
      </c>
      <c r="L29" s="129">
        <f>'Monthly Data'!$AL467*42/1000</f>
        <v>5766.348</v>
      </c>
      <c r="M29" s="129">
        <f>'Monthly Data'!AL479*42/1000</f>
        <v>5752.53</v>
      </c>
      <c r="N29" s="129">
        <f>'Monthly Data'!AL491*42/1000</f>
        <v>6159.3419999999996</v>
      </c>
      <c r="O29" s="129">
        <f>'Monthly Data'!AL503*42/1000</f>
        <v>6224.1480000000001</v>
      </c>
      <c r="P29" s="129">
        <f>'Monthly Data'!AL515*42/1000</f>
        <v>6376.6080000000002</v>
      </c>
      <c r="Q29" s="129">
        <f>'Monthly Data'!AL527*42/1000</f>
        <v>6159.0479999999998</v>
      </c>
      <c r="R29" s="129">
        <f>'Monthly Data'!$AL539*42/1000</f>
        <v>5745.2640000000001</v>
      </c>
      <c r="S29" s="129">
        <f>'Monthly Data'!$AL551*42/1000</f>
        <v>6589.8</v>
      </c>
      <c r="T29" s="129">
        <f>'Monthly Data'!$AL563*42/1000</f>
        <v>6344.1</v>
      </c>
      <c r="U29" s="129">
        <f>'Monthly Data'!$AL575*42/1000</f>
        <v>5661.81</v>
      </c>
      <c r="V29" s="129">
        <f>'Monthly Data'!$AL587*42/1000</f>
        <v>5739.51</v>
      </c>
      <c r="W29" s="129">
        <f>'Monthly Data'!$AL599*42/1000</f>
        <v>6530.8739999999998</v>
      </c>
      <c r="X29" s="129">
        <f>'Monthly Data'!$AL611*42/1000</f>
        <v>6203.5259999999998</v>
      </c>
      <c r="Y29" s="129">
        <f>'Monthly Data'!$AL623*42/1000</f>
        <v>6289.8360000000002</v>
      </c>
      <c r="Z29" s="133">
        <f t="shared" si="25"/>
        <v>6325.71124542494</v>
      </c>
      <c r="AA29" s="133">
        <f t="shared" si="26"/>
        <v>6484.2898347254377</v>
      </c>
      <c r="AB29" s="133">
        <f t="shared" si="27"/>
        <v>6584.1196494941078</v>
      </c>
      <c r="AC29" s="133">
        <f t="shared" si="27"/>
        <v>6584.0464662715885</v>
      </c>
      <c r="AD29" s="133">
        <f t="shared" si="27"/>
        <v>6617.6164644511582</v>
      </c>
      <c r="AE29" s="133">
        <f t="shared" si="27"/>
        <v>6644.4617173130982</v>
      </c>
      <c r="AF29" s="133">
        <f t="shared" si="27"/>
        <v>6705.1183430485153</v>
      </c>
      <c r="AG29" s="133">
        <f t="shared" si="27"/>
        <v>6673.3232835462113</v>
      </c>
      <c r="AH29" s="133">
        <f t="shared" si="27"/>
        <v>6635.010254546195</v>
      </c>
      <c r="AI29" s="133">
        <f t="shared" si="27"/>
        <v>6602.2877108938847</v>
      </c>
      <c r="AJ29" s="133">
        <f t="shared" si="27"/>
        <v>6569.5087449729363</v>
      </c>
      <c r="AK29" s="133">
        <f t="shared" si="27"/>
        <v>6537.9892246045101</v>
      </c>
      <c r="AL29" s="133">
        <f t="shared" si="27"/>
        <v>6504.5694860570566</v>
      </c>
      <c r="AM29" s="133">
        <f t="shared" si="27"/>
        <v>6470.8297713875563</v>
      </c>
      <c r="AN29" s="133">
        <f t="shared" si="27"/>
        <v>6437.9909726198075</v>
      </c>
      <c r="AO29" s="133">
        <f t="shared" si="27"/>
        <v>6405.1292494726122</v>
      </c>
      <c r="AP29" s="133">
        <f t="shared" si="27"/>
        <v>6372.2512039788962</v>
      </c>
      <c r="AQ29" s="133">
        <f t="shared" si="27"/>
        <v>6339.1056115231358</v>
      </c>
      <c r="AR29" s="133">
        <f t="shared" si="28"/>
        <v>6306.0140211500648</v>
      </c>
      <c r="AS29" s="133">
        <f t="shared" si="28"/>
        <v>6273.0500530170557</v>
      </c>
      <c r="AT29" s="133">
        <f t="shared" si="28"/>
        <v>6240.0614336435347</v>
      </c>
      <c r="AU29" s="133">
        <f t="shared" si="28"/>
        <v>6207.0478290919227</v>
      </c>
      <c r="AV29" s="133">
        <f t="shared" si="28"/>
        <v>6174.0075403743249</v>
      </c>
      <c r="AW29" s="133">
        <f t="shared" si="28"/>
        <v>6140.987982194184</v>
      </c>
      <c r="AX29" s="133">
        <f t="shared" si="28"/>
        <v>6107.9826011589248</v>
      </c>
      <c r="AY29" s="133">
        <f t="shared" si="28"/>
        <v>6074.9690685659598</v>
      </c>
    </row>
    <row r="30" spans="1:51" x14ac:dyDescent="0.2">
      <c r="A30" s="19" t="s">
        <v>171</v>
      </c>
      <c r="B30" s="108"/>
      <c r="C30" s="108"/>
      <c r="D30" s="108"/>
      <c r="E30" s="108"/>
      <c r="F30" s="108"/>
      <c r="G30" s="108"/>
      <c r="H30" s="108"/>
      <c r="I30" s="108"/>
      <c r="J30" s="108"/>
      <c r="K30" s="129">
        <f>'Monthly Data'!$AL456*42/1000</f>
        <v>5618.55</v>
      </c>
      <c r="L30" s="129">
        <f>'Monthly Data'!$AL468*42/1000</f>
        <v>5909.4</v>
      </c>
      <c r="M30" s="129">
        <f>'Monthly Data'!AL480*42/1000</f>
        <v>5871.81</v>
      </c>
      <c r="N30" s="129">
        <f>'Monthly Data'!AL492*42/1000</f>
        <v>6268.8779999999997</v>
      </c>
      <c r="O30" s="129">
        <f>'Monthly Data'!AL504*42/1000</f>
        <v>6069.924</v>
      </c>
      <c r="P30" s="129">
        <f>'Monthly Data'!AL516*42/1000</f>
        <v>6271.1040000000003</v>
      </c>
      <c r="Q30" s="129">
        <f>'Monthly Data'!AL528*42/1000</f>
        <v>6007.5959999999995</v>
      </c>
      <c r="R30" s="129">
        <f>'Monthly Data'!$AL540*42/1000</f>
        <v>6473.5860000000002</v>
      </c>
      <c r="S30" s="129">
        <f>'Monthly Data'!$AL552*42/1000</f>
        <v>6556.0739999999996</v>
      </c>
      <c r="T30" s="129">
        <f>'Monthly Data'!$AL564*42/1000</f>
        <v>6241.7039999999997</v>
      </c>
      <c r="U30" s="129">
        <f>'Monthly Data'!$AL576*42/1000</f>
        <v>5473.8180000000002</v>
      </c>
      <c r="V30" s="129">
        <f>'Monthly Data'!$AL588*42/1000</f>
        <v>6154.89</v>
      </c>
      <c r="W30" s="129">
        <f>'Monthly Data'!$AL600*42/1000</f>
        <v>6610.4639999999999</v>
      </c>
      <c r="X30" s="129">
        <f>'Monthly Data'!$AL612*42/1000</f>
        <v>6180.6779999999999</v>
      </c>
      <c r="Y30" s="129">
        <f>'Monthly Data'!$AL624*42/1000</f>
        <v>6536.46</v>
      </c>
      <c r="Z30" s="133">
        <f t="shared" si="25"/>
        <v>6436.0591564492852</v>
      </c>
      <c r="AA30" s="133">
        <f t="shared" si="26"/>
        <v>6657.2129313510322</v>
      </c>
      <c r="AB30" s="133">
        <f t="shared" si="27"/>
        <v>6705.4509143038676</v>
      </c>
      <c r="AC30" s="133">
        <f t="shared" si="27"/>
        <v>6713.7924164096921</v>
      </c>
      <c r="AD30" s="133">
        <f t="shared" si="27"/>
        <v>6777.780531845211</v>
      </c>
      <c r="AE30" s="133">
        <f t="shared" si="27"/>
        <v>6786.0340252881688</v>
      </c>
      <c r="AF30" s="133">
        <f t="shared" si="27"/>
        <v>6852.9603374783637</v>
      </c>
      <c r="AG30" s="133">
        <f t="shared" si="27"/>
        <v>6814.4323843626235</v>
      </c>
      <c r="AH30" s="133">
        <f t="shared" si="27"/>
        <v>6778.8822044433145</v>
      </c>
      <c r="AI30" s="133">
        <f t="shared" si="27"/>
        <v>6748.0336276622374</v>
      </c>
      <c r="AJ30" s="133">
        <f t="shared" si="27"/>
        <v>6711.7500479083956</v>
      </c>
      <c r="AK30" s="133">
        <f t="shared" si="27"/>
        <v>6679.9996051415692</v>
      </c>
      <c r="AL30" s="133">
        <f t="shared" si="27"/>
        <v>6645.420280295074</v>
      </c>
      <c r="AM30" s="133">
        <f t="shared" si="27"/>
        <v>6611.618904551071</v>
      </c>
      <c r="AN30" s="133">
        <f t="shared" si="27"/>
        <v>6578.1620007917954</v>
      </c>
      <c r="AO30" s="133">
        <f t="shared" si="27"/>
        <v>6544.191332695892</v>
      </c>
      <c r="AP30" s="133">
        <f t="shared" si="27"/>
        <v>6510.6762039089308</v>
      </c>
      <c r="AQ30" s="133">
        <f t="shared" si="27"/>
        <v>6476.8135329954985</v>
      </c>
      <c r="AR30" s="133">
        <f t="shared" si="28"/>
        <v>6443.0919971279891</v>
      </c>
      <c r="AS30" s="133">
        <f t="shared" si="28"/>
        <v>6409.3861790972223</v>
      </c>
      <c r="AT30" s="133">
        <f t="shared" si="28"/>
        <v>6375.6313515219017</v>
      </c>
      <c r="AU30" s="133">
        <f t="shared" si="28"/>
        <v>6341.9190175439689</v>
      </c>
      <c r="AV30" s="133">
        <f t="shared" si="28"/>
        <v>6308.1678617258849</v>
      </c>
      <c r="AW30" s="133">
        <f t="shared" si="28"/>
        <v>6274.4386578890535</v>
      </c>
      <c r="AX30" s="133">
        <f t="shared" si="28"/>
        <v>6240.7079441903579</v>
      </c>
      <c r="AY30" s="133">
        <f t="shared" si="28"/>
        <v>6206.9723307468394</v>
      </c>
    </row>
    <row r="31" spans="1:51" x14ac:dyDescent="0.2">
      <c r="A31" s="19" t="s">
        <v>172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29">
        <f>'Monthly Data'!$AL457*42/1000</f>
        <v>5673.6540000000005</v>
      </c>
      <c r="L31" s="129">
        <f>'Monthly Data'!$AL469*42/1000</f>
        <v>6177.0240000000003</v>
      </c>
      <c r="M31" s="129">
        <f>'Monthly Data'!AL481*42/1000</f>
        <v>5882.6880000000001</v>
      </c>
      <c r="N31" s="129">
        <f>'Monthly Data'!AL493*42/1000</f>
        <v>6362.58</v>
      </c>
      <c r="O31" s="129">
        <f>'Monthly Data'!AL505*42/1000</f>
        <v>6314.6580000000004</v>
      </c>
      <c r="P31" s="129">
        <f>'Monthly Data'!AL517*42/1000</f>
        <v>6512.982</v>
      </c>
      <c r="Q31" s="129">
        <f>'Monthly Data'!AL529*42/1000</f>
        <v>6383.1180000000004</v>
      </c>
      <c r="R31" s="129">
        <f>'Monthly Data'!$AL541*42/1000</f>
        <v>6756.2460000000001</v>
      </c>
      <c r="S31" s="129">
        <f>'Monthly Data'!$AL553*42/1000</f>
        <v>6741.1260000000002</v>
      </c>
      <c r="T31" s="129">
        <f>'Monthly Data'!$AL565*42/1000</f>
        <v>6591.1859999999997</v>
      </c>
      <c r="U31" s="129">
        <f>'Monthly Data'!$AL577*42/1000</f>
        <v>5697.72</v>
      </c>
      <c r="V31" s="129">
        <f>'Monthly Data'!$AL589*42/1000</f>
        <v>6237.2939999999999</v>
      </c>
      <c r="W31" s="129">
        <f>'Monthly Data'!$AL601*42/1000</f>
        <v>6726.384</v>
      </c>
      <c r="X31" s="129">
        <f>'Monthly Data'!$AL613*42/1000</f>
        <v>6449.0159999999996</v>
      </c>
      <c r="Y31" s="129">
        <f>'Monthly Data'!$AL625*42/1000</f>
        <v>6531.3360000000002</v>
      </c>
      <c r="Z31" s="133">
        <f t="shared" si="25"/>
        <v>6578.5674976629698</v>
      </c>
      <c r="AA31" s="133">
        <f t="shared" si="26"/>
        <v>6783.1981333156427</v>
      </c>
      <c r="AB31" s="133">
        <f t="shared" si="27"/>
        <v>6839.396553455138</v>
      </c>
      <c r="AC31" s="133">
        <f t="shared" si="27"/>
        <v>6851.2347952903874</v>
      </c>
      <c r="AD31" s="133">
        <f t="shared" si="27"/>
        <v>6887.4501764175375</v>
      </c>
      <c r="AE31" s="133">
        <f t="shared" si="27"/>
        <v>6918.4412766439527</v>
      </c>
      <c r="AF31" s="133">
        <f t="shared" si="27"/>
        <v>6983.2246360560976</v>
      </c>
      <c r="AG31" s="133">
        <f t="shared" si="27"/>
        <v>6944.0767521917742</v>
      </c>
      <c r="AH31" s="133">
        <f t="shared" si="27"/>
        <v>6906.5772031361648</v>
      </c>
      <c r="AI31" s="133">
        <f t="shared" si="27"/>
        <v>6872.9702469137947</v>
      </c>
      <c r="AJ31" s="133">
        <f t="shared" si="27"/>
        <v>6839.1391889562428</v>
      </c>
      <c r="AK31" s="133">
        <f t="shared" si="27"/>
        <v>6806.0752531306543</v>
      </c>
      <c r="AL31" s="133">
        <f t="shared" si="27"/>
        <v>6770.6612129327414</v>
      </c>
      <c r="AM31" s="133">
        <f t="shared" si="27"/>
        <v>6735.9828428076798</v>
      </c>
      <c r="AN31" s="133">
        <f t="shared" si="27"/>
        <v>6701.8602072974927</v>
      </c>
      <c r="AO31" s="133">
        <f t="shared" si="27"/>
        <v>6667.6359683189985</v>
      </c>
      <c r="AP31" s="133">
        <f t="shared" si="27"/>
        <v>6633.3342739858172</v>
      </c>
      <c r="AQ31" s="133">
        <f t="shared" si="27"/>
        <v>6598.7888256674914</v>
      </c>
      <c r="AR31" s="133">
        <f t="shared" si="28"/>
        <v>6564.4144376832974</v>
      </c>
      <c r="AS31" s="133">
        <f t="shared" si="28"/>
        <v>6530.0999020322161</v>
      </c>
      <c r="AT31" s="133">
        <f t="shared" si="28"/>
        <v>6495.7475771385407</v>
      </c>
      <c r="AU31" s="133">
        <f t="shared" si="28"/>
        <v>6461.3700346632295</v>
      </c>
      <c r="AV31" s="133">
        <f t="shared" si="28"/>
        <v>6426.9775635090027</v>
      </c>
      <c r="AW31" s="133">
        <f t="shared" si="28"/>
        <v>6392.6152061321582</v>
      </c>
      <c r="AX31" s="133">
        <f t="shared" si="28"/>
        <v>6358.2552153647885</v>
      </c>
      <c r="AY31" s="133">
        <f t="shared" si="28"/>
        <v>6323.8862778744606</v>
      </c>
    </row>
    <row r="32" spans="1:51" x14ac:dyDescent="0.2">
      <c r="A32" s="19" t="s">
        <v>173</v>
      </c>
      <c r="B32" s="108"/>
      <c r="C32" s="108"/>
      <c r="D32" s="108"/>
      <c r="E32" s="108"/>
      <c r="F32" s="108"/>
      <c r="G32" s="108"/>
      <c r="H32" s="108"/>
      <c r="I32" s="108"/>
      <c r="J32" s="108"/>
      <c r="K32" s="129">
        <f>'Monthly Data'!$AL458*42/1000</f>
        <v>6079.92</v>
      </c>
      <c r="L32" s="129">
        <f>'Monthly Data'!$AL470*42/1000</f>
        <v>6404.3280000000004</v>
      </c>
      <c r="M32" s="129">
        <f>'Monthly Data'!AL482*42/1000</f>
        <v>6359.5140000000001</v>
      </c>
      <c r="N32" s="129">
        <f>'Monthly Data'!AL494*42/1000</f>
        <v>6668.34</v>
      </c>
      <c r="O32" s="129">
        <f>'Monthly Data'!AL506*42/1000</f>
        <v>6930.3779999999997</v>
      </c>
      <c r="P32" s="129">
        <f>'Monthly Data'!AL518*42/1000</f>
        <v>6564.81</v>
      </c>
      <c r="Q32" s="129">
        <f>'Monthly Data'!AL530*42/1000</f>
        <v>6702.2340000000004</v>
      </c>
      <c r="R32" s="129">
        <f>'Monthly Data'!$AL542*42/1000</f>
        <v>7041.0479999999998</v>
      </c>
      <c r="S32" s="129">
        <f>'Monthly Data'!$AL554*42/1000</f>
        <v>7259.49</v>
      </c>
      <c r="T32" s="129">
        <f>'Monthly Data'!$AL566*42/1000</f>
        <v>6912.8639999999996</v>
      </c>
      <c r="U32" s="129">
        <f>'Monthly Data'!$AL578*42/1000</f>
        <v>6032.04</v>
      </c>
      <c r="V32" s="129">
        <f>'Monthly Data'!$AL590*42/1000</f>
        <v>6413.9459999999999</v>
      </c>
      <c r="W32" s="129">
        <f>'Monthly Data'!$AL602*42/1000</f>
        <v>6344.4780000000001</v>
      </c>
      <c r="X32" s="129">
        <f>'Monthly Data'!$AL614*42/1000</f>
        <v>6827.1</v>
      </c>
      <c r="Y32" s="129">
        <f>'Monthly Data'!$AL626*42/1000</f>
        <v>6779.7240000000002</v>
      </c>
      <c r="Z32" s="133">
        <f>Z33-SUM(Z21:Z31)</f>
        <v>6735.6497617618006</v>
      </c>
      <c r="AA32" s="133">
        <f>AA33-SUM(AA21:AA31)</f>
        <v>6903.8135076630715</v>
      </c>
      <c r="AB32" s="133">
        <f t="shared" ref="AB32:AY32" si="29">AB33-SUM(AB21:AB31)</f>
        <v>6947.413788969614</v>
      </c>
      <c r="AC32" s="133">
        <f t="shared" si="29"/>
        <v>7060.2285709110729</v>
      </c>
      <c r="AD32" s="133">
        <f t="shared" si="29"/>
        <v>7060.3549029826972</v>
      </c>
      <c r="AE32" s="133">
        <f t="shared" si="29"/>
        <v>7074.9148176591698</v>
      </c>
      <c r="AF32" s="133">
        <f t="shared" si="29"/>
        <v>7139.4734514818556</v>
      </c>
      <c r="AG32" s="133">
        <f t="shared" si="29"/>
        <v>7105.7247033548338</v>
      </c>
      <c r="AH32" s="133">
        <f t="shared" si="29"/>
        <v>7077.5757433922699</v>
      </c>
      <c r="AI32" s="133">
        <f t="shared" si="29"/>
        <v>7035.3261148553283</v>
      </c>
      <c r="AJ32" s="133">
        <f t="shared" si="29"/>
        <v>6998.6798524247715</v>
      </c>
      <c r="AK32" s="133">
        <f t="shared" si="29"/>
        <v>6965.8133466376021</v>
      </c>
      <c r="AL32" s="133">
        <f t="shared" si="29"/>
        <v>6931.0745928509568</v>
      </c>
      <c r="AM32" s="133">
        <f t="shared" si="29"/>
        <v>6896.1407552075834</v>
      </c>
      <c r="AN32" s="133">
        <f t="shared" si="29"/>
        <v>6859.8704637225892</v>
      </c>
      <c r="AO32" s="133">
        <f t="shared" si="29"/>
        <v>6824.7779980747582</v>
      </c>
      <c r="AP32" s="133">
        <f t="shared" si="29"/>
        <v>6789.9915216359659</v>
      </c>
      <c r="AQ32" s="133">
        <f t="shared" si="29"/>
        <v>6754.8268960476416</v>
      </c>
      <c r="AR32" s="133">
        <f t="shared" si="29"/>
        <v>6719.5784105417697</v>
      </c>
      <c r="AS32" s="133">
        <f t="shared" si="29"/>
        <v>6684.2679845640669</v>
      </c>
      <c r="AT32" s="133">
        <f t="shared" si="29"/>
        <v>6649.1465533888986</v>
      </c>
      <c r="AU32" s="133">
        <f t="shared" si="29"/>
        <v>6614.019410305249</v>
      </c>
      <c r="AV32" s="133">
        <f t="shared" si="29"/>
        <v>6578.8252006910479</v>
      </c>
      <c r="AW32" s="133">
        <f t="shared" si="29"/>
        <v>6543.6251704394963</v>
      </c>
      <c r="AX32" s="133">
        <f t="shared" si="29"/>
        <v>6508.4346798797051</v>
      </c>
      <c r="AY32" s="133">
        <f t="shared" si="29"/>
        <v>6473.2677932680381</v>
      </c>
    </row>
    <row r="33" spans="1:51" x14ac:dyDescent="0.2">
      <c r="A33" s="117" t="s">
        <v>174</v>
      </c>
      <c r="B33" s="130"/>
      <c r="C33" s="130"/>
      <c r="D33" s="130"/>
      <c r="E33" s="130"/>
      <c r="F33" s="130"/>
      <c r="G33" s="130"/>
      <c r="H33" s="130"/>
      <c r="I33" s="130"/>
      <c r="J33" s="130"/>
      <c r="K33" s="130">
        <f>SUM(K21:K32)</f>
        <v>64743.126000000004</v>
      </c>
      <c r="L33" s="130">
        <f>SUM(L21:L32)</f>
        <v>68863.45199999999</v>
      </c>
      <c r="M33" s="130">
        <f t="shared" ref="M33:Y33" si="30">SUM(M21:M32)</f>
        <v>69940.751999999993</v>
      </c>
      <c r="N33" s="130">
        <f t="shared" si="30"/>
        <v>72554.705999999976</v>
      </c>
      <c r="O33" s="130">
        <f t="shared" si="30"/>
        <v>75366.185999999987</v>
      </c>
      <c r="P33" s="130">
        <f t="shared" si="30"/>
        <v>76388.760000000009</v>
      </c>
      <c r="Q33" s="130">
        <f t="shared" si="30"/>
        <v>74312.069999999992</v>
      </c>
      <c r="R33" s="130">
        <f t="shared" si="30"/>
        <v>77022.918000000005</v>
      </c>
      <c r="S33" s="130">
        <f t="shared" si="30"/>
        <v>79226.322</v>
      </c>
      <c r="T33" s="130">
        <f t="shared" si="30"/>
        <v>78750.63</v>
      </c>
      <c r="U33" s="130">
        <f t="shared" si="30"/>
        <v>72826.23599999999</v>
      </c>
      <c r="V33" s="130">
        <f t="shared" si="30"/>
        <v>71554.896000000008</v>
      </c>
      <c r="W33" s="130">
        <f t="shared" si="30"/>
        <v>76816.361999999994</v>
      </c>
      <c r="X33" s="130">
        <f t="shared" si="30"/>
        <v>75221.538</v>
      </c>
      <c r="Y33" s="130">
        <f t="shared" si="30"/>
        <v>75861.324000000008</v>
      </c>
      <c r="Z33" s="134">
        <f t="shared" ref="Z33:AY33" si="31">Z5</f>
        <v>77400</v>
      </c>
      <c r="AA33" s="134">
        <f t="shared" si="31"/>
        <v>78600</v>
      </c>
      <c r="AB33" s="134">
        <f t="shared" si="31"/>
        <v>79400</v>
      </c>
      <c r="AC33" s="134">
        <f t="shared" si="31"/>
        <v>79800</v>
      </c>
      <c r="AD33" s="134">
        <f t="shared" si="31"/>
        <v>80200</v>
      </c>
      <c r="AE33" s="134">
        <f t="shared" si="31"/>
        <v>80600</v>
      </c>
      <c r="AF33" s="134">
        <f t="shared" si="31"/>
        <v>81200</v>
      </c>
      <c r="AG33" s="134">
        <f t="shared" si="31"/>
        <v>80800</v>
      </c>
      <c r="AH33" s="134">
        <f t="shared" si="31"/>
        <v>80400</v>
      </c>
      <c r="AI33" s="134">
        <f t="shared" si="31"/>
        <v>80000</v>
      </c>
      <c r="AJ33" s="134">
        <f t="shared" si="31"/>
        <v>79600</v>
      </c>
      <c r="AK33" s="134">
        <f t="shared" si="31"/>
        <v>79200</v>
      </c>
      <c r="AL33" s="134">
        <f t="shared" si="31"/>
        <v>78800</v>
      </c>
      <c r="AM33" s="134">
        <f t="shared" si="31"/>
        <v>78400</v>
      </c>
      <c r="AN33" s="134">
        <f t="shared" si="31"/>
        <v>78000</v>
      </c>
      <c r="AO33" s="134">
        <f t="shared" si="31"/>
        <v>77600</v>
      </c>
      <c r="AP33" s="134">
        <f t="shared" si="31"/>
        <v>77200</v>
      </c>
      <c r="AQ33" s="134">
        <f t="shared" si="31"/>
        <v>76800</v>
      </c>
      <c r="AR33" s="134">
        <f t="shared" si="31"/>
        <v>76400</v>
      </c>
      <c r="AS33" s="134">
        <f t="shared" si="31"/>
        <v>76000</v>
      </c>
      <c r="AT33" s="134">
        <f t="shared" si="31"/>
        <v>75600</v>
      </c>
      <c r="AU33" s="134">
        <f t="shared" si="31"/>
        <v>75200</v>
      </c>
      <c r="AV33" s="134">
        <f t="shared" si="31"/>
        <v>74800</v>
      </c>
      <c r="AW33" s="134">
        <f t="shared" si="31"/>
        <v>74400</v>
      </c>
      <c r="AX33" s="134">
        <f t="shared" si="31"/>
        <v>74000</v>
      </c>
      <c r="AY33" s="134">
        <f t="shared" si="31"/>
        <v>73600</v>
      </c>
    </row>
    <row r="34" spans="1:51" x14ac:dyDescent="0.2">
      <c r="X34" s="252"/>
      <c r="Y34" s="252"/>
      <c r="Z34" s="252"/>
    </row>
    <row r="35" spans="1:51" ht="12" thickBot="1" x14ac:dyDescent="0.25">
      <c r="A35" s="121" t="s">
        <v>248</v>
      </c>
    </row>
    <row r="36" spans="1:51" s="121" customFormat="1" ht="12" thickBot="1" x14ac:dyDescent="0.25">
      <c r="A36" s="122"/>
      <c r="B36" s="128">
        <v>2001</v>
      </c>
      <c r="C36" s="128">
        <v>2002</v>
      </c>
      <c r="D36" s="128">
        <v>2003</v>
      </c>
      <c r="E36" s="128">
        <v>2004</v>
      </c>
      <c r="F36" s="128">
        <v>2005</v>
      </c>
      <c r="G36" s="128">
        <v>2006</v>
      </c>
      <c r="H36" s="128">
        <v>2007</v>
      </c>
      <c r="I36" s="128">
        <v>2008</v>
      </c>
      <c r="J36" s="128">
        <v>2009</v>
      </c>
      <c r="K36" s="128">
        <v>2010</v>
      </c>
      <c r="L36" s="128">
        <v>2011</v>
      </c>
      <c r="M36" s="128">
        <f t="shared" ref="M36:AY36" si="32">M2</f>
        <v>2012</v>
      </c>
      <c r="N36" s="128">
        <f t="shared" si="32"/>
        <v>2013</v>
      </c>
      <c r="O36" s="128">
        <f t="shared" si="32"/>
        <v>2014</v>
      </c>
      <c r="P36" s="128">
        <f t="shared" si="32"/>
        <v>2015</v>
      </c>
      <c r="Q36" s="128">
        <f t="shared" si="32"/>
        <v>2016</v>
      </c>
      <c r="R36" s="128">
        <f t="shared" si="32"/>
        <v>2017</v>
      </c>
      <c r="S36" s="128">
        <f t="shared" si="32"/>
        <v>2018</v>
      </c>
      <c r="T36" s="128">
        <f t="shared" si="32"/>
        <v>2019</v>
      </c>
      <c r="U36" s="128">
        <f t="shared" si="32"/>
        <v>2020</v>
      </c>
      <c r="V36" s="128">
        <f t="shared" si="32"/>
        <v>2021</v>
      </c>
      <c r="W36" s="128">
        <f t="shared" si="32"/>
        <v>2022</v>
      </c>
      <c r="X36" s="128">
        <f t="shared" si="32"/>
        <v>2023</v>
      </c>
      <c r="Y36" s="128">
        <f t="shared" si="32"/>
        <v>2024</v>
      </c>
      <c r="Z36" s="128">
        <f t="shared" si="32"/>
        <v>2025</v>
      </c>
      <c r="AA36" s="128">
        <f t="shared" si="32"/>
        <v>2026</v>
      </c>
      <c r="AB36" s="128">
        <f t="shared" si="32"/>
        <v>2027</v>
      </c>
      <c r="AC36" s="128">
        <f t="shared" si="32"/>
        <v>2028</v>
      </c>
      <c r="AD36" s="128">
        <f t="shared" si="32"/>
        <v>2029</v>
      </c>
      <c r="AE36" s="128">
        <f t="shared" si="32"/>
        <v>2030</v>
      </c>
      <c r="AF36" s="128">
        <f t="shared" si="32"/>
        <v>2031</v>
      </c>
      <c r="AG36" s="128">
        <f t="shared" si="32"/>
        <v>2032</v>
      </c>
      <c r="AH36" s="128">
        <f t="shared" si="32"/>
        <v>2033</v>
      </c>
      <c r="AI36" s="128">
        <f t="shared" si="32"/>
        <v>2034</v>
      </c>
      <c r="AJ36" s="128">
        <f t="shared" si="32"/>
        <v>2035</v>
      </c>
      <c r="AK36" s="128">
        <f t="shared" si="32"/>
        <v>2036</v>
      </c>
      <c r="AL36" s="128">
        <f t="shared" si="32"/>
        <v>2037</v>
      </c>
      <c r="AM36" s="128">
        <f t="shared" si="32"/>
        <v>2038</v>
      </c>
      <c r="AN36" s="128">
        <f t="shared" si="32"/>
        <v>2039</v>
      </c>
      <c r="AO36" s="128">
        <f t="shared" si="32"/>
        <v>2040</v>
      </c>
      <c r="AP36" s="128">
        <f t="shared" si="32"/>
        <v>2041</v>
      </c>
      <c r="AQ36" s="128">
        <f t="shared" si="32"/>
        <v>2042</v>
      </c>
      <c r="AR36" s="128">
        <f t="shared" si="32"/>
        <v>2043</v>
      </c>
      <c r="AS36" s="128">
        <f t="shared" si="32"/>
        <v>2044</v>
      </c>
      <c r="AT36" s="128">
        <f t="shared" si="32"/>
        <v>2045</v>
      </c>
      <c r="AU36" s="128">
        <f t="shared" si="32"/>
        <v>2046</v>
      </c>
      <c r="AV36" s="128">
        <f t="shared" si="32"/>
        <v>2047</v>
      </c>
      <c r="AW36" s="128">
        <f t="shared" si="32"/>
        <v>2048</v>
      </c>
      <c r="AX36" s="128">
        <f t="shared" si="32"/>
        <v>2049</v>
      </c>
      <c r="AY36" s="128">
        <f t="shared" si="32"/>
        <v>2050</v>
      </c>
    </row>
    <row r="37" spans="1:51" x14ac:dyDescent="0.2">
      <c r="A37" s="19" t="s">
        <v>162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>
        <f>('Monthly Data'!$AN447)*42/1000</f>
        <v>601.18799999999999</v>
      </c>
      <c r="L37" s="108">
        <f>('Monthly Data'!$AN459)*42/1000</f>
        <v>438.43799999999999</v>
      </c>
      <c r="M37" s="108">
        <f>('Monthly Data'!$AN471)*42/1000</f>
        <v>204.24600000000001</v>
      </c>
      <c r="N37" s="108">
        <f>('Monthly Data'!AN483)*42/1000</f>
        <v>277.87200000000001</v>
      </c>
      <c r="O37" s="108">
        <f>('Monthly Data'!AN495)*42/1000</f>
        <v>368.928</v>
      </c>
      <c r="P37" s="108">
        <f>('Monthly Data'!AN507)*42/1000</f>
        <v>454.14600000000002</v>
      </c>
      <c r="Q37" s="108">
        <f>('Monthly Data'!AN519)*42/1000</f>
        <v>223.31399999999999</v>
      </c>
      <c r="R37" s="108">
        <f>('Monthly Data'!AN531)*42/1000</f>
        <v>265.77600000000001</v>
      </c>
      <c r="S37" s="108">
        <f>'Monthly Data'!$AN543*42/1000</f>
        <v>378.084</v>
      </c>
      <c r="T37" s="108">
        <f>'Monthly Data'!$AN555*42/1000</f>
        <v>399.12599999999998</v>
      </c>
      <c r="U37" s="108">
        <f>'Monthly Data'!$AN567*42/1000</f>
        <v>285.81</v>
      </c>
      <c r="V37" s="108">
        <f>'Monthly Data'!$AN579*42/1000</f>
        <v>482.41199999999998</v>
      </c>
      <c r="W37" s="108">
        <f>'Monthly Data'!$AN591*42/1000</f>
        <v>314.83199999999999</v>
      </c>
      <c r="X37" s="108">
        <f>'Monthly Data'!$AN603*42/1000</f>
        <v>356.66399999999999</v>
      </c>
      <c r="Y37" s="108">
        <f>'Monthly Data'!$AN615*42/1000</f>
        <v>240.786</v>
      </c>
      <c r="Z37" s="133">
        <f t="shared" ref="Z37:Z47" si="33">Z$49*(SUM(U37:Y37)/SUM(U$49:Y$49))</f>
        <v>314.1173670882219</v>
      </c>
      <c r="AA37" s="133">
        <f t="shared" ref="AA37:AA47" si="34">AA$49*(SUM(V37:Z37)/SUM(V$49:Z$49))</f>
        <v>327.19966026311079</v>
      </c>
      <c r="AB37" s="133">
        <f t="shared" ref="AB37:AQ48" si="35">AB$49*(SUM(W37:AA37)/SUM(W$49:AA$49))</f>
        <v>339.05423028158526</v>
      </c>
      <c r="AC37" s="133">
        <f t="shared" si="35"/>
        <v>350.43153378818278</v>
      </c>
      <c r="AD37" s="133">
        <f t="shared" si="35"/>
        <v>342.1022341489641</v>
      </c>
      <c r="AE37" s="133">
        <f t="shared" si="35"/>
        <v>343.07549560623147</v>
      </c>
      <c r="AF37" s="133">
        <f t="shared" si="35"/>
        <v>342.12714115610788</v>
      </c>
      <c r="AG37" s="133">
        <f t="shared" si="35"/>
        <v>325.94796947238575</v>
      </c>
      <c r="AH37" s="133">
        <f t="shared" si="35"/>
        <v>324.94414839549432</v>
      </c>
      <c r="AI37" s="133">
        <f t="shared" si="35"/>
        <v>326.50298433419732</v>
      </c>
      <c r="AJ37" s="133">
        <f t="shared" si="35"/>
        <v>334.57062066872919</v>
      </c>
      <c r="AK37" s="133">
        <f t="shared" si="35"/>
        <v>335.39408952758072</v>
      </c>
      <c r="AL37" s="133">
        <f t="shared" si="35"/>
        <v>335.96699073767417</v>
      </c>
      <c r="AM37" s="133">
        <f t="shared" si="35"/>
        <v>335.8118701825494</v>
      </c>
      <c r="AN37" s="133">
        <f t="shared" si="35"/>
        <v>335.00859931843365</v>
      </c>
      <c r="AO37" s="133">
        <f t="shared" si="35"/>
        <v>334.03360769787093</v>
      </c>
      <c r="AP37" s="133">
        <f t="shared" si="35"/>
        <v>332.93911273785068</v>
      </c>
      <c r="AQ37" s="133">
        <f t="shared" si="35"/>
        <v>332.04288028026275</v>
      </c>
      <c r="AR37" s="133">
        <f t="shared" ref="AR37:AY48" si="36">AR$49*(SUM(AM37:AQ37)/SUM(AM$49:AQ$49))</f>
        <v>332.72299104672948</v>
      </c>
      <c r="AS37" s="133">
        <f t="shared" si="36"/>
        <v>333.55735073459118</v>
      </c>
      <c r="AT37" s="133">
        <f t="shared" si="36"/>
        <v>334.20391486271376</v>
      </c>
      <c r="AU37" s="133">
        <f t="shared" si="36"/>
        <v>334.14721995238176</v>
      </c>
      <c r="AV37" s="133">
        <f t="shared" si="36"/>
        <v>334.03697992436491</v>
      </c>
      <c r="AW37" s="133">
        <f t="shared" si="36"/>
        <v>333.85680456077966</v>
      </c>
      <c r="AX37" s="133">
        <f t="shared" si="36"/>
        <v>333.66224556363517</v>
      </c>
      <c r="AY37" s="133">
        <f t="shared" si="36"/>
        <v>333.51741760920942</v>
      </c>
    </row>
    <row r="38" spans="1:51" x14ac:dyDescent="0.2">
      <c r="A38" s="19" t="s">
        <v>163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>
        <f>('Monthly Data'!$AN448)*42/1000</f>
        <v>344.4</v>
      </c>
      <c r="L38" s="108">
        <f>('Monthly Data'!$AN460)*42/1000</f>
        <v>242.42400000000001</v>
      </c>
      <c r="M38" s="108">
        <f>('Monthly Data'!$AN472)*42/1000</f>
        <v>173.334</v>
      </c>
      <c r="N38" s="108">
        <f>('Monthly Data'!AN484)*42/1000</f>
        <v>204.33</v>
      </c>
      <c r="O38" s="108">
        <f>('Monthly Data'!AN496)*42/1000</f>
        <v>396.18599999999998</v>
      </c>
      <c r="P38" s="108">
        <f>('Monthly Data'!AN508)*42/1000</f>
        <v>455.74200000000002</v>
      </c>
      <c r="Q38" s="108">
        <f>('Monthly Data'!AN520)*42/1000</f>
        <v>280.98</v>
      </c>
      <c r="R38" s="108">
        <f>('Monthly Data'!AN532)*42/1000</f>
        <v>237.51</v>
      </c>
      <c r="S38" s="108">
        <f>'Monthly Data'!$AN544*42/1000</f>
        <v>334.06799999999998</v>
      </c>
      <c r="T38" s="108">
        <f>'Monthly Data'!$AN556*42/1000</f>
        <v>424.07400000000001</v>
      </c>
      <c r="U38" s="108">
        <f>'Monthly Data'!$AN568*42/1000</f>
        <v>191.52</v>
      </c>
      <c r="V38" s="108">
        <f>'Monthly Data'!$AN580*42/1000</f>
        <v>414.62400000000002</v>
      </c>
      <c r="W38" s="108">
        <f>'Monthly Data'!$AN592*42/1000</f>
        <v>469.43400000000003</v>
      </c>
      <c r="X38" s="108">
        <f>'Monthly Data'!$AN604*42/1000</f>
        <v>352.84199999999998</v>
      </c>
      <c r="Y38" s="108">
        <f>'Monthly Data'!$AN616*42/1000</f>
        <v>214.32599999999999</v>
      </c>
      <c r="Z38" s="133">
        <f t="shared" si="33"/>
        <v>307.05969656407132</v>
      </c>
      <c r="AA38" s="133">
        <f t="shared" si="34"/>
        <v>336.6729023704753</v>
      </c>
      <c r="AB38" s="133">
        <f t="shared" si="35"/>
        <v>366.71273863280481</v>
      </c>
      <c r="AC38" s="133">
        <f t="shared" si="35"/>
        <v>350.38535507996124</v>
      </c>
      <c r="AD38" s="133">
        <f t="shared" si="35"/>
        <v>342.87889213187464</v>
      </c>
      <c r="AE38" s="133">
        <f t="shared" si="35"/>
        <v>349.39282340193222</v>
      </c>
      <c r="AF38" s="133">
        <f t="shared" si="35"/>
        <v>351.00859891528296</v>
      </c>
      <c r="AG38" s="133">
        <f t="shared" si="35"/>
        <v>334.22349583687816</v>
      </c>
      <c r="AH38" s="133">
        <f t="shared" si="35"/>
        <v>329.56073429654589</v>
      </c>
      <c r="AI38" s="133">
        <f t="shared" si="35"/>
        <v>332.11933520554402</v>
      </c>
      <c r="AJ38" s="133">
        <f t="shared" si="35"/>
        <v>341.35365354044711</v>
      </c>
      <c r="AK38" s="133">
        <f t="shared" si="35"/>
        <v>342.32320878362481</v>
      </c>
      <c r="AL38" s="133">
        <f t="shared" si="35"/>
        <v>342.53814967254067</v>
      </c>
      <c r="AM38" s="133">
        <f t="shared" si="35"/>
        <v>341.99495762658387</v>
      </c>
      <c r="AN38" s="133">
        <f t="shared" si="35"/>
        <v>341.45129023620831</v>
      </c>
      <c r="AO38" s="133">
        <f t="shared" si="35"/>
        <v>340.58958064385797</v>
      </c>
      <c r="AP38" s="133">
        <f t="shared" si="35"/>
        <v>339.43059794803895</v>
      </c>
      <c r="AQ38" s="133">
        <f t="shared" si="35"/>
        <v>338.43956844543749</v>
      </c>
      <c r="AR38" s="133">
        <f t="shared" si="36"/>
        <v>339.11308014202467</v>
      </c>
      <c r="AS38" s="133">
        <f t="shared" si="36"/>
        <v>340.0167622731708</v>
      </c>
      <c r="AT38" s="133">
        <f t="shared" si="36"/>
        <v>340.68484294414873</v>
      </c>
      <c r="AU38" s="133">
        <f t="shared" si="36"/>
        <v>340.61132952021853</v>
      </c>
      <c r="AV38" s="133">
        <f t="shared" si="36"/>
        <v>340.48878619263286</v>
      </c>
      <c r="AW38" s="133">
        <f t="shared" si="36"/>
        <v>340.30845258506599</v>
      </c>
      <c r="AX38" s="133">
        <f t="shared" si="36"/>
        <v>340.11805642110897</v>
      </c>
      <c r="AY38" s="133">
        <f t="shared" si="36"/>
        <v>339.96930180611724</v>
      </c>
    </row>
    <row r="39" spans="1:51" x14ac:dyDescent="0.2">
      <c r="A39" s="19" t="s">
        <v>164</v>
      </c>
      <c r="B39" s="108"/>
      <c r="C39" s="108"/>
      <c r="D39" s="108"/>
      <c r="E39" s="108"/>
      <c r="F39" s="108"/>
      <c r="G39" s="108"/>
      <c r="H39" s="108"/>
      <c r="I39" s="108"/>
      <c r="J39" s="108"/>
      <c r="K39" s="108">
        <f>('Monthly Data'!$AN449)*42/1000</f>
        <v>232.76400000000001</v>
      </c>
      <c r="L39" s="108">
        <f>('Monthly Data'!$AN461)*42/1000</f>
        <v>247.17</v>
      </c>
      <c r="M39" s="108">
        <f>('Monthly Data'!$AN473)*42/1000</f>
        <v>177.95400000000001</v>
      </c>
      <c r="N39" s="108">
        <f>('Monthly Data'!AN485)*42/1000</f>
        <v>189.63</v>
      </c>
      <c r="O39" s="108">
        <f>('Monthly Data'!AN497)*42/1000</f>
        <v>422.26799999999997</v>
      </c>
      <c r="P39" s="108">
        <f>('Monthly Data'!AN509)*42/1000</f>
        <v>421.21800000000002</v>
      </c>
      <c r="Q39" s="108">
        <f>('Monthly Data'!AN521)*42/1000</f>
        <v>195.678</v>
      </c>
      <c r="R39" s="108">
        <f>('Monthly Data'!AN533)*42/1000</f>
        <v>144.858</v>
      </c>
      <c r="S39" s="108">
        <f>'Monthly Data'!$AN545*42/1000</f>
        <v>204.41399999999999</v>
      </c>
      <c r="T39" s="108">
        <f>'Monthly Data'!$AN557*42/1000</f>
        <v>233.81399999999999</v>
      </c>
      <c r="U39" s="108">
        <f>'Monthly Data'!$AN569*42/1000</f>
        <v>223.06200000000001</v>
      </c>
      <c r="V39" s="108">
        <f>'Monthly Data'!$AN581*42/1000</f>
        <v>612.48599999999999</v>
      </c>
      <c r="W39" s="108">
        <f>'Monthly Data'!$AN593*42/1000</f>
        <v>245.91</v>
      </c>
      <c r="X39" s="108">
        <f>'Monthly Data'!$AN605*42/1000</f>
        <v>202.14599999999999</v>
      </c>
      <c r="Y39" s="108">
        <f>'Monthly Data'!$AN617*42/1000</f>
        <v>235.03200000000001</v>
      </c>
      <c r="Z39" s="133">
        <f t="shared" si="33"/>
        <v>283.86123560871556</v>
      </c>
      <c r="AA39" s="133">
        <f t="shared" si="34"/>
        <v>302.42698664824445</v>
      </c>
      <c r="AB39" s="133">
        <f t="shared" si="35"/>
        <v>277.02603464474993</v>
      </c>
      <c r="AC39" s="133">
        <f t="shared" si="35"/>
        <v>288.83721401334333</v>
      </c>
      <c r="AD39" s="133">
        <f t="shared" si="35"/>
        <v>301.96102642437228</v>
      </c>
      <c r="AE39" s="133">
        <f t="shared" si="35"/>
        <v>298.20602967101593</v>
      </c>
      <c r="AF39" s="133">
        <f t="shared" si="35"/>
        <v>295.20534233924315</v>
      </c>
      <c r="AG39" s="133">
        <f t="shared" si="35"/>
        <v>277.42858237096129</v>
      </c>
      <c r="AH39" s="133">
        <f t="shared" si="35"/>
        <v>278.77861984185375</v>
      </c>
      <c r="AI39" s="133">
        <f t="shared" si="35"/>
        <v>282.41325349702146</v>
      </c>
      <c r="AJ39" s="133">
        <f t="shared" si="35"/>
        <v>288.17299951106287</v>
      </c>
      <c r="AK39" s="133">
        <f t="shared" si="35"/>
        <v>288.33326253273668</v>
      </c>
      <c r="AL39" s="133">
        <f t="shared" si="35"/>
        <v>288.60474882168285</v>
      </c>
      <c r="AM39" s="133">
        <f t="shared" si="35"/>
        <v>288.99212977919842</v>
      </c>
      <c r="AN39" s="133">
        <f t="shared" si="35"/>
        <v>288.4737531913288</v>
      </c>
      <c r="AO39" s="133">
        <f t="shared" si="35"/>
        <v>287.38246040536154</v>
      </c>
      <c r="AP39" s="133">
        <f t="shared" si="35"/>
        <v>286.37556912900499</v>
      </c>
      <c r="AQ39" s="133">
        <f t="shared" si="35"/>
        <v>285.63521903378364</v>
      </c>
      <c r="AR39" s="133">
        <f t="shared" si="36"/>
        <v>286.30119835430122</v>
      </c>
      <c r="AS39" s="133">
        <f t="shared" si="36"/>
        <v>287.01254029259638</v>
      </c>
      <c r="AT39" s="133">
        <f t="shared" si="36"/>
        <v>287.52624188850916</v>
      </c>
      <c r="AU39" s="133">
        <f t="shared" si="36"/>
        <v>287.47691588722375</v>
      </c>
      <c r="AV39" s="133">
        <f t="shared" si="36"/>
        <v>287.39449432751815</v>
      </c>
      <c r="AW39" s="133">
        <f t="shared" si="36"/>
        <v>287.24820398820088</v>
      </c>
      <c r="AX39" s="133">
        <f t="shared" si="36"/>
        <v>287.07510778228453</v>
      </c>
      <c r="AY39" s="133">
        <f t="shared" si="36"/>
        <v>286.94497261782999</v>
      </c>
    </row>
    <row r="40" spans="1:51" x14ac:dyDescent="0.2">
      <c r="A40" s="19" t="s">
        <v>165</v>
      </c>
      <c r="B40" s="108"/>
      <c r="C40" s="108"/>
      <c r="D40" s="108"/>
      <c r="E40" s="108"/>
      <c r="F40" s="108"/>
      <c r="G40" s="108"/>
      <c r="H40" s="108"/>
      <c r="I40" s="108"/>
      <c r="J40" s="108"/>
      <c r="K40" s="108">
        <f>('Monthly Data'!$AN450)*42/1000</f>
        <v>277.24200000000002</v>
      </c>
      <c r="L40" s="108">
        <f>('Monthly Data'!$AN462)*42/1000</f>
        <v>240.072</v>
      </c>
      <c r="M40" s="108">
        <f>('Monthly Data'!$AN474)*42/1000</f>
        <v>123.354</v>
      </c>
      <c r="N40" s="108">
        <f>('Monthly Data'!AN486)*42/1000</f>
        <v>299.67</v>
      </c>
      <c r="O40" s="108">
        <f>('Monthly Data'!AN498)*42/1000</f>
        <v>227.64</v>
      </c>
      <c r="P40" s="108">
        <f>('Monthly Data'!AN510)*42/1000</f>
        <v>306.34800000000001</v>
      </c>
      <c r="Q40" s="108">
        <f>('Monthly Data'!AN522)*42/1000</f>
        <v>222.43199999999999</v>
      </c>
      <c r="R40" s="108">
        <f>('Monthly Data'!AN534)*42/1000</f>
        <v>148.26</v>
      </c>
      <c r="S40" s="108">
        <f>'Monthly Data'!$AN546*42/1000</f>
        <v>114.744</v>
      </c>
      <c r="T40" s="108">
        <f>'Monthly Data'!$AN558*42/1000</f>
        <v>153.048</v>
      </c>
      <c r="U40" s="108">
        <f>'Monthly Data'!$AN570*42/1000</f>
        <v>290.80799999999999</v>
      </c>
      <c r="V40" s="108">
        <f>'Monthly Data'!$AN582*42/1000</f>
        <v>249.27</v>
      </c>
      <c r="W40" s="108">
        <f>'Monthly Data'!$AN594*42/1000</f>
        <v>162.036</v>
      </c>
      <c r="X40" s="108">
        <f>'Monthly Data'!$AN606*42/1000</f>
        <v>196.14</v>
      </c>
      <c r="Y40" s="108">
        <f>'Monthly Data'!$AN618*42/1000</f>
        <v>161.07</v>
      </c>
      <c r="Z40" s="133">
        <f t="shared" si="33"/>
        <v>198.00730362639041</v>
      </c>
      <c r="AA40" s="133">
        <f t="shared" si="34"/>
        <v>185.06787974017934</v>
      </c>
      <c r="AB40" s="133">
        <f t="shared" si="35"/>
        <v>196.92070406010674</v>
      </c>
      <c r="AC40" s="133">
        <f t="shared" si="35"/>
        <v>208.15190251585142</v>
      </c>
      <c r="AD40" s="133">
        <f t="shared" si="35"/>
        <v>206.62499529514074</v>
      </c>
      <c r="AE40" s="133">
        <f t="shared" si="35"/>
        <v>204.00570330925268</v>
      </c>
      <c r="AF40" s="133">
        <f t="shared" si="35"/>
        <v>201.18596705370149</v>
      </c>
      <c r="AG40" s="133">
        <f t="shared" si="35"/>
        <v>193.06547153118419</v>
      </c>
      <c r="AH40" s="133">
        <f t="shared" si="35"/>
        <v>193.21623671499529</v>
      </c>
      <c r="AI40" s="133">
        <f t="shared" si="35"/>
        <v>194.18584344852175</v>
      </c>
      <c r="AJ40" s="133">
        <f t="shared" si="35"/>
        <v>198.34780835025805</v>
      </c>
      <c r="AK40" s="133">
        <f t="shared" si="35"/>
        <v>198.71112437900464</v>
      </c>
      <c r="AL40" s="133">
        <f t="shared" si="35"/>
        <v>199.35938030451047</v>
      </c>
      <c r="AM40" s="133">
        <f t="shared" si="35"/>
        <v>199.33799047801483</v>
      </c>
      <c r="AN40" s="133">
        <f t="shared" si="35"/>
        <v>198.79503480818116</v>
      </c>
      <c r="AO40" s="133">
        <f t="shared" si="35"/>
        <v>198.12920325225249</v>
      </c>
      <c r="AP40" s="133">
        <f t="shared" si="35"/>
        <v>197.49985942494436</v>
      </c>
      <c r="AQ40" s="133">
        <f t="shared" si="35"/>
        <v>197.01682272007105</v>
      </c>
      <c r="AR40" s="133">
        <f t="shared" si="36"/>
        <v>197.41753607334002</v>
      </c>
      <c r="AS40" s="133">
        <f t="shared" si="36"/>
        <v>197.89504292723407</v>
      </c>
      <c r="AT40" s="133">
        <f t="shared" si="36"/>
        <v>198.27081667440507</v>
      </c>
      <c r="AU40" s="133">
        <f t="shared" si="36"/>
        <v>198.24532265680008</v>
      </c>
      <c r="AV40" s="133">
        <f t="shared" si="36"/>
        <v>198.18567243311531</v>
      </c>
      <c r="AW40" s="133">
        <f t="shared" si="36"/>
        <v>198.07592076085876</v>
      </c>
      <c r="AX40" s="133">
        <f t="shared" si="36"/>
        <v>197.95763175559466</v>
      </c>
      <c r="AY40" s="133">
        <f t="shared" si="36"/>
        <v>197.87177825300148</v>
      </c>
    </row>
    <row r="41" spans="1:51" x14ac:dyDescent="0.2">
      <c r="A41" s="19" t="s">
        <v>166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>
        <f>('Monthly Data'!$AN451)*42/1000</f>
        <v>245.44800000000001</v>
      </c>
      <c r="L41" s="108">
        <f>('Monthly Data'!$AN463)*42/1000</f>
        <v>221.08799999999999</v>
      </c>
      <c r="M41" s="108">
        <f>('Monthly Data'!$AN475)*42/1000</f>
        <v>146.916</v>
      </c>
      <c r="N41" s="108">
        <f>('Monthly Data'!AN487)*42/1000</f>
        <v>218.86199999999999</v>
      </c>
      <c r="O41" s="108">
        <f>('Monthly Data'!AN499)*42/1000</f>
        <v>257.75400000000002</v>
      </c>
      <c r="P41" s="108">
        <f>('Monthly Data'!AN511)*42/1000</f>
        <v>249.31200000000001</v>
      </c>
      <c r="Q41" s="108">
        <f>('Monthly Data'!AN523)*42/1000</f>
        <v>160.31399999999999</v>
      </c>
      <c r="R41" s="108">
        <f>('Monthly Data'!AN535)*42/1000</f>
        <v>162.33000000000001</v>
      </c>
      <c r="S41" s="108">
        <f>'Monthly Data'!$AN547*42/1000</f>
        <v>158.42400000000001</v>
      </c>
      <c r="T41" s="108">
        <f>'Monthly Data'!$AN559*42/1000</f>
        <v>208.572</v>
      </c>
      <c r="U41" s="108">
        <f>'Monthly Data'!$AN571*42/1000</f>
        <v>247.12799999999999</v>
      </c>
      <c r="V41" s="108">
        <f>'Monthly Data'!$AN583*42/1000</f>
        <v>354.39600000000002</v>
      </c>
      <c r="W41" s="108">
        <f>'Monthly Data'!$AN595*42/1000</f>
        <v>233.85599999999999</v>
      </c>
      <c r="X41" s="108">
        <f>'Monthly Data'!$AN607*42/1000</f>
        <v>218.988</v>
      </c>
      <c r="Y41" s="108">
        <f>'Monthly Data'!$AN619*42/1000</f>
        <v>160.65</v>
      </c>
      <c r="Z41" s="133">
        <f t="shared" si="33"/>
        <v>227.10939999238155</v>
      </c>
      <c r="AA41" s="133">
        <f t="shared" si="34"/>
        <v>228.8160093166924</v>
      </c>
      <c r="AB41" s="133">
        <f t="shared" si="35"/>
        <v>233.38787440517552</v>
      </c>
      <c r="AC41" s="133">
        <f t="shared" si="35"/>
        <v>237.41234064675098</v>
      </c>
      <c r="AD41" s="133">
        <f t="shared" si="35"/>
        <v>236.69908597187805</v>
      </c>
      <c r="AE41" s="133">
        <f t="shared" si="35"/>
        <v>238.59245025698658</v>
      </c>
      <c r="AF41" s="133">
        <f t="shared" si="35"/>
        <v>236.19280568462165</v>
      </c>
      <c r="AG41" s="133">
        <f t="shared" si="35"/>
        <v>224.46723719790344</v>
      </c>
      <c r="AH41" s="133">
        <f t="shared" si="35"/>
        <v>223.79599498829697</v>
      </c>
      <c r="AI41" s="133">
        <f t="shared" si="35"/>
        <v>225.63563547647234</v>
      </c>
      <c r="AJ41" s="133">
        <f t="shared" si="35"/>
        <v>231.15390522904153</v>
      </c>
      <c r="AK41" s="133">
        <f t="shared" si="35"/>
        <v>231.40600511517539</v>
      </c>
      <c r="AL41" s="133">
        <f t="shared" si="35"/>
        <v>231.77245970842824</v>
      </c>
      <c r="AM41" s="133">
        <f t="shared" si="35"/>
        <v>231.74516306099324</v>
      </c>
      <c r="AN41" s="133">
        <f t="shared" si="35"/>
        <v>231.28105025322384</v>
      </c>
      <c r="AO41" s="133">
        <f t="shared" si="35"/>
        <v>230.56279265280025</v>
      </c>
      <c r="AP41" s="133">
        <f t="shared" si="35"/>
        <v>229.7635441691699</v>
      </c>
      <c r="AQ41" s="133">
        <f t="shared" si="35"/>
        <v>229.15531136487874</v>
      </c>
      <c r="AR41" s="133">
        <f t="shared" si="36"/>
        <v>229.64281927008525</v>
      </c>
      <c r="AS41" s="133">
        <f t="shared" si="36"/>
        <v>230.22460683371506</v>
      </c>
      <c r="AT41" s="133">
        <f t="shared" si="36"/>
        <v>230.65987874548165</v>
      </c>
      <c r="AU41" s="133">
        <f t="shared" si="36"/>
        <v>230.61664507157909</v>
      </c>
      <c r="AV41" s="133">
        <f t="shared" si="36"/>
        <v>230.54443098841492</v>
      </c>
      <c r="AW41" s="133">
        <f t="shared" si="36"/>
        <v>230.42264698994779</v>
      </c>
      <c r="AX41" s="133">
        <f t="shared" si="36"/>
        <v>230.28782349414169</v>
      </c>
      <c r="AY41" s="133">
        <f t="shared" si="36"/>
        <v>230.18603235190696</v>
      </c>
    </row>
    <row r="42" spans="1:51" x14ac:dyDescent="0.2">
      <c r="A42" s="19" t="s">
        <v>167</v>
      </c>
      <c r="B42" s="108"/>
      <c r="C42" s="108"/>
      <c r="D42" s="108"/>
      <c r="E42" s="108"/>
      <c r="F42" s="108"/>
      <c r="G42" s="108"/>
      <c r="H42" s="108"/>
      <c r="I42" s="108"/>
      <c r="J42" s="108"/>
      <c r="K42" s="108">
        <f>('Monthly Data'!$AN452)*42/1000</f>
        <v>298.28399999999999</v>
      </c>
      <c r="L42" s="108">
        <f>('Monthly Data'!$AN464)*42/1000</f>
        <v>160.18799999999999</v>
      </c>
      <c r="M42" s="108">
        <f>('Monthly Data'!$AN476)*42/1000</f>
        <v>109.872</v>
      </c>
      <c r="N42" s="108">
        <f>('Monthly Data'!AN488)*42/1000</f>
        <v>151.91399999999999</v>
      </c>
      <c r="O42" s="108">
        <f>('Monthly Data'!AN500)*42/1000</f>
        <v>151.87200000000001</v>
      </c>
      <c r="P42" s="108">
        <f>('Monthly Data'!AN512)*42/1000</f>
        <v>166.74</v>
      </c>
      <c r="Q42" s="108">
        <f>('Monthly Data'!AN524)*42/1000</f>
        <v>111.342</v>
      </c>
      <c r="R42" s="108">
        <f>('Monthly Data'!AN536)*42/1000</f>
        <v>132.38399999999999</v>
      </c>
      <c r="S42" s="108">
        <f>'Monthly Data'!$AN548*42/1000</f>
        <v>113.44199999999999</v>
      </c>
      <c r="T42" s="108">
        <f>'Monthly Data'!$AN560*42/1000</f>
        <v>158.55000000000001</v>
      </c>
      <c r="U42" s="108">
        <f>'Monthly Data'!$AN572*42/1000</f>
        <v>194.08199999999999</v>
      </c>
      <c r="V42" s="108">
        <f>'Monthly Data'!$AN584*42/1000</f>
        <v>302.69400000000002</v>
      </c>
      <c r="W42" s="108">
        <f>'Monthly Data'!$AN596*42/1000</f>
        <v>147</v>
      </c>
      <c r="X42" s="108">
        <f>'Monthly Data'!$AN608*42/1000</f>
        <v>173.922</v>
      </c>
      <c r="Y42" s="108">
        <f>'Monthly Data'!$AN620*42/1000</f>
        <v>135.828</v>
      </c>
      <c r="Z42" s="133">
        <f t="shared" si="33"/>
        <v>178.23169511656258</v>
      </c>
      <c r="AA42" s="133">
        <f t="shared" si="34"/>
        <v>179.54419942905014</v>
      </c>
      <c r="AB42" s="133">
        <f t="shared" si="35"/>
        <v>177.76044227474236</v>
      </c>
      <c r="AC42" s="133">
        <f t="shared" si="35"/>
        <v>187.73671990358386</v>
      </c>
      <c r="AD42" s="133">
        <f t="shared" si="35"/>
        <v>187.0084544184345</v>
      </c>
      <c r="AE42" s="133">
        <f t="shared" si="35"/>
        <v>186.6784281253147</v>
      </c>
      <c r="AF42" s="133">
        <f t="shared" si="35"/>
        <v>184.69279795837721</v>
      </c>
      <c r="AG42" s="133">
        <f t="shared" si="35"/>
        <v>175.40623462078267</v>
      </c>
      <c r="AH42" s="133">
        <f t="shared" si="35"/>
        <v>175.76224352671505</v>
      </c>
      <c r="AI42" s="133">
        <f t="shared" si="35"/>
        <v>176.95788407462786</v>
      </c>
      <c r="AJ42" s="133">
        <f t="shared" si="35"/>
        <v>181.009187824923</v>
      </c>
      <c r="AK42" s="133">
        <f t="shared" si="35"/>
        <v>181.23815868680484</v>
      </c>
      <c r="AL42" s="133">
        <f t="shared" si="35"/>
        <v>181.58520883166591</v>
      </c>
      <c r="AM42" s="133">
        <f t="shared" si="35"/>
        <v>181.65613501369816</v>
      </c>
      <c r="AN42" s="133">
        <f t="shared" si="35"/>
        <v>181.22462886093325</v>
      </c>
      <c r="AO42" s="133">
        <f t="shared" si="35"/>
        <v>180.63058244769704</v>
      </c>
      <c r="AP42" s="133">
        <f t="shared" si="35"/>
        <v>180.02120678003155</v>
      </c>
      <c r="AQ42" s="133">
        <f t="shared" si="35"/>
        <v>179.55852465333996</v>
      </c>
      <c r="AR42" s="133">
        <f t="shared" si="36"/>
        <v>179.94530716985216</v>
      </c>
      <c r="AS42" s="133">
        <f t="shared" si="36"/>
        <v>180.38848949255177</v>
      </c>
      <c r="AT42" s="133">
        <f t="shared" si="36"/>
        <v>180.72785717525761</v>
      </c>
      <c r="AU42" s="133">
        <f t="shared" si="36"/>
        <v>180.69823697924051</v>
      </c>
      <c r="AV42" s="133">
        <f t="shared" si="36"/>
        <v>180.64337536103983</v>
      </c>
      <c r="AW42" s="133">
        <f t="shared" si="36"/>
        <v>180.5472319525604</v>
      </c>
      <c r="AX42" s="133">
        <f t="shared" si="36"/>
        <v>180.43977133008974</v>
      </c>
      <c r="AY42" s="133">
        <f t="shared" si="36"/>
        <v>180.36036319868387</v>
      </c>
    </row>
    <row r="43" spans="1:51" x14ac:dyDescent="0.2">
      <c r="A43" s="19" t="s">
        <v>168</v>
      </c>
      <c r="B43" s="108"/>
      <c r="C43" s="108"/>
      <c r="D43" s="108"/>
      <c r="E43" s="108"/>
      <c r="F43" s="108"/>
      <c r="G43" s="108"/>
      <c r="H43" s="108"/>
      <c r="I43" s="108"/>
      <c r="J43" s="108"/>
      <c r="K43" s="108">
        <f>('Monthly Data'!$AN453)*42/1000</f>
        <v>221.63399999999999</v>
      </c>
      <c r="L43" s="108">
        <f>('Monthly Data'!$AN465)*42/1000</f>
        <v>204.41399999999999</v>
      </c>
      <c r="M43" s="108">
        <f>('Monthly Data'!$AN477)*42/1000</f>
        <v>151.95599999999999</v>
      </c>
      <c r="N43" s="108">
        <f>('Monthly Data'!AN489)*42/1000</f>
        <v>139.398</v>
      </c>
      <c r="O43" s="108">
        <f>('Monthly Data'!AN501)*42/1000</f>
        <v>167.328</v>
      </c>
      <c r="P43" s="108">
        <f>('Monthly Data'!AN513)*42/1000</f>
        <v>185.76599999999999</v>
      </c>
      <c r="Q43" s="108">
        <f>('Monthly Data'!AN525)*42/1000</f>
        <v>159.726</v>
      </c>
      <c r="R43" s="108">
        <f>('Monthly Data'!AN537)*42/1000</f>
        <v>148.76400000000001</v>
      </c>
      <c r="S43" s="108">
        <f>'Monthly Data'!$AN549*42/1000</f>
        <v>187.404</v>
      </c>
      <c r="T43" s="108">
        <f>'Monthly Data'!$AN561*42/1000</f>
        <v>226.38</v>
      </c>
      <c r="U43" s="108">
        <f>'Monthly Data'!$AN573*42/1000</f>
        <v>150.48599999999999</v>
      </c>
      <c r="V43" s="108">
        <f>'Monthly Data'!$AN585*42/1000</f>
        <v>214.32599999999999</v>
      </c>
      <c r="W43" s="108">
        <f>'Monthly Data'!$AN597*42/1000</f>
        <v>220.92</v>
      </c>
      <c r="X43" s="108">
        <f>'Monthly Data'!$AN609*42/1000</f>
        <v>155.61000000000001</v>
      </c>
      <c r="Y43" s="108">
        <f>'Monthly Data'!$AN621*42/1000</f>
        <v>140.82599999999999</v>
      </c>
      <c r="Z43" s="133">
        <f t="shared" si="33"/>
        <v>164.89356138960844</v>
      </c>
      <c r="AA43" s="133">
        <f t="shared" si="34"/>
        <v>171.67443097406681</v>
      </c>
      <c r="AB43" s="133">
        <f t="shared" si="35"/>
        <v>186.35860144907929</v>
      </c>
      <c r="AC43" s="133">
        <f t="shared" si="35"/>
        <v>181.97909876637536</v>
      </c>
      <c r="AD43" s="133">
        <f t="shared" si="35"/>
        <v>184.0982215585052</v>
      </c>
      <c r="AE43" s="133">
        <f t="shared" si="35"/>
        <v>182.3148677162456</v>
      </c>
      <c r="AF43" s="133">
        <f t="shared" si="35"/>
        <v>182.21950960293688</v>
      </c>
      <c r="AG43" s="133">
        <f t="shared" si="35"/>
        <v>174.0949659008312</v>
      </c>
      <c r="AH43" s="133">
        <f t="shared" si="35"/>
        <v>172.55492906438278</v>
      </c>
      <c r="AI43" s="133">
        <f t="shared" si="35"/>
        <v>174.18241601929867</v>
      </c>
      <c r="AJ43" s="133">
        <f t="shared" si="35"/>
        <v>178.16557516172847</v>
      </c>
      <c r="AK43" s="133">
        <f t="shared" si="35"/>
        <v>178.68108408594907</v>
      </c>
      <c r="AL43" s="133">
        <f t="shared" si="35"/>
        <v>178.99620971896081</v>
      </c>
      <c r="AM43" s="133">
        <f t="shared" si="35"/>
        <v>178.82508588045349</v>
      </c>
      <c r="AN43" s="133">
        <f t="shared" si="35"/>
        <v>178.49430995358287</v>
      </c>
      <c r="AO43" s="133">
        <f t="shared" si="35"/>
        <v>177.93101379649704</v>
      </c>
      <c r="AP43" s="133">
        <f t="shared" si="35"/>
        <v>177.35823232299381</v>
      </c>
      <c r="AQ43" s="133">
        <f t="shared" si="35"/>
        <v>176.87781465915072</v>
      </c>
      <c r="AR43" s="133">
        <f t="shared" si="36"/>
        <v>177.23451997373189</v>
      </c>
      <c r="AS43" s="133">
        <f t="shared" si="36"/>
        <v>177.68993559239175</v>
      </c>
      <c r="AT43" s="133">
        <f t="shared" si="36"/>
        <v>178.02809100665382</v>
      </c>
      <c r="AU43" s="133">
        <f t="shared" si="36"/>
        <v>177.9991652007227</v>
      </c>
      <c r="AV43" s="133">
        <f t="shared" si="36"/>
        <v>177.93991518115467</v>
      </c>
      <c r="AW43" s="133">
        <f t="shared" si="36"/>
        <v>177.84390722808507</v>
      </c>
      <c r="AX43" s="133">
        <f t="shared" si="36"/>
        <v>177.74134767820001</v>
      </c>
      <c r="AY43" s="133">
        <f t="shared" si="36"/>
        <v>177.66330625333777</v>
      </c>
    </row>
    <row r="44" spans="1:51" x14ac:dyDescent="0.2">
      <c r="A44" s="19" t="s">
        <v>169</v>
      </c>
      <c r="B44" s="108"/>
      <c r="C44" s="108"/>
      <c r="D44" s="108"/>
      <c r="E44" s="108"/>
      <c r="F44" s="108"/>
      <c r="G44" s="108"/>
      <c r="H44" s="108"/>
      <c r="I44" s="108"/>
      <c r="J44" s="108"/>
      <c r="K44" s="108">
        <f>('Monthly Data'!$AN454)*42/1000</f>
        <v>320.58600000000001</v>
      </c>
      <c r="L44" s="108">
        <f>('Monthly Data'!$AN466)*42/1000</f>
        <v>192.40199999999999</v>
      </c>
      <c r="M44" s="108">
        <f>('Monthly Data'!$AN478)*42/1000</f>
        <v>145.27799999999999</v>
      </c>
      <c r="N44" s="108">
        <f>('Monthly Data'!AN490)*42/1000</f>
        <v>160.10400000000001</v>
      </c>
      <c r="O44" s="108">
        <f>('Monthly Data'!AN502)*42/1000</f>
        <v>186.22800000000001</v>
      </c>
      <c r="P44" s="108">
        <f>('Monthly Data'!AN514)*42/1000</f>
        <v>182.11199999999999</v>
      </c>
      <c r="Q44" s="108">
        <f>('Monthly Data'!AN526)*42/1000</f>
        <v>213.024</v>
      </c>
      <c r="R44" s="108">
        <f>('Monthly Data'!AN538)*42/1000</f>
        <v>149.982</v>
      </c>
      <c r="S44" s="108">
        <f>'Monthly Data'!$AN550*42/1000</f>
        <v>229.19399999999999</v>
      </c>
      <c r="T44" s="108">
        <f>'Monthly Data'!$AN562*42/1000</f>
        <v>200.214</v>
      </c>
      <c r="U44" s="108">
        <f>'Monthly Data'!$AN574*42/1000</f>
        <v>189.29400000000001</v>
      </c>
      <c r="V44" s="108">
        <f>'Monthly Data'!$AN586*42/1000</f>
        <v>334.06799999999998</v>
      </c>
      <c r="W44" s="108">
        <f>'Monthly Data'!$AN598*42/1000</f>
        <v>229.19399999999999</v>
      </c>
      <c r="X44" s="108">
        <f>'Monthly Data'!$AN610*42/1000</f>
        <v>173.79599999999999</v>
      </c>
      <c r="Y44" s="108">
        <f>'Monthly Data'!$AN622*42/1000</f>
        <v>181.44</v>
      </c>
      <c r="Z44" s="133">
        <f t="shared" si="33"/>
        <v>207.06687179643455</v>
      </c>
      <c r="AA44" s="133">
        <f t="shared" si="34"/>
        <v>215.5208297118447</v>
      </c>
      <c r="AB44" s="133">
        <f t="shared" si="35"/>
        <v>219.76945508708064</v>
      </c>
      <c r="AC44" s="133">
        <f t="shared" si="35"/>
        <v>221.56381673217314</v>
      </c>
      <c r="AD44" s="133">
        <f t="shared" si="35"/>
        <v>227.55336918896481</v>
      </c>
      <c r="AE44" s="133">
        <f t="shared" si="35"/>
        <v>223.8370351435411</v>
      </c>
      <c r="AF44" s="133">
        <f t="shared" si="35"/>
        <v>222.79142925345695</v>
      </c>
      <c r="AG44" s="133">
        <f t="shared" si="35"/>
        <v>211.7904630383853</v>
      </c>
      <c r="AH44" s="133">
        <f t="shared" si="35"/>
        <v>211.24064094725574</v>
      </c>
      <c r="AI44" s="133">
        <f t="shared" si="35"/>
        <v>213.46915824692707</v>
      </c>
      <c r="AJ44" s="133">
        <f t="shared" si="35"/>
        <v>217.9619530568483</v>
      </c>
      <c r="AK44" s="133">
        <f t="shared" si="35"/>
        <v>218.43060517299114</v>
      </c>
      <c r="AL44" s="133">
        <f t="shared" si="35"/>
        <v>218.80864736527894</v>
      </c>
      <c r="AM44" s="133">
        <f t="shared" si="35"/>
        <v>218.80750905173048</v>
      </c>
      <c r="AN44" s="133">
        <f t="shared" si="35"/>
        <v>218.38165215902524</v>
      </c>
      <c r="AO44" s="133">
        <f t="shared" si="35"/>
        <v>217.6201717060602</v>
      </c>
      <c r="AP44" s="133">
        <f t="shared" si="35"/>
        <v>216.90872170497383</v>
      </c>
      <c r="AQ44" s="133">
        <f t="shared" si="35"/>
        <v>216.34020890879768</v>
      </c>
      <c r="AR44" s="133">
        <f t="shared" si="36"/>
        <v>216.80092215756781</v>
      </c>
      <c r="AS44" s="133">
        <f t="shared" si="36"/>
        <v>217.34581102532047</v>
      </c>
      <c r="AT44" s="133">
        <f t="shared" si="36"/>
        <v>217.7490082449018</v>
      </c>
      <c r="AU44" s="133">
        <f t="shared" si="36"/>
        <v>217.71565498993604</v>
      </c>
      <c r="AV44" s="133">
        <f t="shared" si="36"/>
        <v>217.64779249803289</v>
      </c>
      <c r="AW44" s="133">
        <f t="shared" si="36"/>
        <v>217.53205504801238</v>
      </c>
      <c r="AX44" s="133">
        <f t="shared" si="36"/>
        <v>217.40376117573939</v>
      </c>
      <c r="AY44" s="133">
        <f t="shared" si="36"/>
        <v>217.30731955193235</v>
      </c>
    </row>
    <row r="45" spans="1:51" x14ac:dyDescent="0.2">
      <c r="A45" s="19" t="s">
        <v>170</v>
      </c>
      <c r="B45" s="108"/>
      <c r="C45" s="108"/>
      <c r="D45" s="108"/>
      <c r="E45" s="108"/>
      <c r="F45" s="108"/>
      <c r="G45" s="108"/>
      <c r="H45" s="108"/>
      <c r="I45" s="108"/>
      <c r="J45" s="108"/>
      <c r="K45" s="108">
        <f>('Monthly Data'!$AN455)*42/1000</f>
        <v>238.56</v>
      </c>
      <c r="L45" s="108">
        <f>('Monthly Data'!$AN467)*42/1000</f>
        <v>225.75</v>
      </c>
      <c r="M45" s="108">
        <f>('Monthly Data'!$AN479)*42/1000</f>
        <v>108.024</v>
      </c>
      <c r="N45" s="108">
        <f>('Monthly Data'!AN491)*42/1000</f>
        <v>166.36199999999999</v>
      </c>
      <c r="O45" s="108">
        <f>('Monthly Data'!AN503)*42/1000</f>
        <v>158.256</v>
      </c>
      <c r="P45" s="108">
        <f>('Monthly Data'!AN515)*42/1000</f>
        <v>129.696</v>
      </c>
      <c r="Q45" s="108">
        <f>('Monthly Data'!AN527)*42/1000</f>
        <v>189.16800000000001</v>
      </c>
      <c r="R45" s="108">
        <f>('Monthly Data'!AN539)*42/1000</f>
        <v>151.03200000000001</v>
      </c>
      <c r="S45" s="108">
        <f>'Monthly Data'!$AN551*42/1000</f>
        <v>216.17400000000001</v>
      </c>
      <c r="T45" s="108">
        <f>'Monthly Data'!$AN563*42/1000</f>
        <v>148.512</v>
      </c>
      <c r="U45" s="108">
        <f>'Monthly Data'!$AN575*42/1000</f>
        <v>226.548</v>
      </c>
      <c r="V45" s="108">
        <f>'Monthly Data'!$AN587*42/1000</f>
        <v>282.74400000000003</v>
      </c>
      <c r="W45" s="108">
        <f>'Monthly Data'!$AN599*42/1000</f>
        <v>159.81</v>
      </c>
      <c r="X45" s="108">
        <f>'Monthly Data'!$AN611*42/1000</f>
        <v>149.77199999999999</v>
      </c>
      <c r="Y45" s="108">
        <f>'Monthly Data'!$AN623*42/1000</f>
        <v>178.33199999999999</v>
      </c>
      <c r="Z45" s="133">
        <f t="shared" si="33"/>
        <v>186.39629728020722</v>
      </c>
      <c r="AA45" s="133">
        <f t="shared" si="34"/>
        <v>183.2547740228527</v>
      </c>
      <c r="AB45" s="133">
        <f t="shared" si="35"/>
        <v>187.15322296689286</v>
      </c>
      <c r="AC45" s="133">
        <f t="shared" si="35"/>
        <v>196.53669217774549</v>
      </c>
      <c r="AD45" s="133">
        <f t="shared" si="35"/>
        <v>202.80585602280073</v>
      </c>
      <c r="AE45" s="133">
        <f t="shared" si="35"/>
        <v>196.08438425314611</v>
      </c>
      <c r="AF45" s="133">
        <f t="shared" si="35"/>
        <v>194.16269894876277</v>
      </c>
      <c r="AG45" s="133">
        <f t="shared" si="35"/>
        <v>185.44331707742646</v>
      </c>
      <c r="AH45" s="133">
        <f t="shared" si="35"/>
        <v>185.96827904543559</v>
      </c>
      <c r="AI45" s="133">
        <f t="shared" si="35"/>
        <v>187.6421845474492</v>
      </c>
      <c r="AJ45" s="133">
        <f t="shared" si="35"/>
        <v>191.03128302394919</v>
      </c>
      <c r="AK45" s="133">
        <f t="shared" si="35"/>
        <v>191.46151073351035</v>
      </c>
      <c r="AL45" s="133">
        <f t="shared" si="35"/>
        <v>192.02154069141804</v>
      </c>
      <c r="AM45" s="133">
        <f t="shared" si="35"/>
        <v>192.10548314596485</v>
      </c>
      <c r="AN45" s="133">
        <f t="shared" si="35"/>
        <v>191.62993364258426</v>
      </c>
      <c r="AO45" s="133">
        <f t="shared" si="35"/>
        <v>190.89739505057025</v>
      </c>
      <c r="AP45" s="133">
        <f t="shared" si="35"/>
        <v>190.30626467892571</v>
      </c>
      <c r="AQ45" s="133">
        <f t="shared" si="35"/>
        <v>189.84318262666636</v>
      </c>
      <c r="AR45" s="133">
        <f t="shared" si="36"/>
        <v>190.24502747728101</v>
      </c>
      <c r="AS45" s="133">
        <f t="shared" si="36"/>
        <v>190.70322957527483</v>
      </c>
      <c r="AT45" s="133">
        <f t="shared" si="36"/>
        <v>191.05342241775554</v>
      </c>
      <c r="AU45" s="133">
        <f t="shared" si="36"/>
        <v>191.03278259240426</v>
      </c>
      <c r="AV45" s="133">
        <f t="shared" si="36"/>
        <v>190.97694121001862</v>
      </c>
      <c r="AW45" s="133">
        <f t="shared" si="36"/>
        <v>190.8726669857883</v>
      </c>
      <c r="AX45" s="133">
        <f t="shared" si="36"/>
        <v>190.75732045235748</v>
      </c>
      <c r="AY45" s="133">
        <f t="shared" si="36"/>
        <v>190.67334714557225</v>
      </c>
    </row>
    <row r="46" spans="1:51" x14ac:dyDescent="0.2">
      <c r="A46" s="19" t="s">
        <v>171</v>
      </c>
      <c r="B46" s="108"/>
      <c r="C46" s="108"/>
      <c r="D46" s="108"/>
      <c r="E46" s="108"/>
      <c r="F46" s="108"/>
      <c r="G46" s="108"/>
      <c r="H46" s="108"/>
      <c r="I46" s="108"/>
      <c r="J46" s="108"/>
      <c r="K46" s="108">
        <f>('Monthly Data'!$AN456)*42/1000</f>
        <v>212.85599999999999</v>
      </c>
      <c r="L46" s="108">
        <f>('Monthly Data'!$AN468)*42/1000</f>
        <v>166.572</v>
      </c>
      <c r="M46" s="108">
        <f>('Monthly Data'!$AN480)*42/1000</f>
        <v>114.324</v>
      </c>
      <c r="N46" s="108">
        <f>('Monthly Data'!AN492)*42/1000</f>
        <v>167.202</v>
      </c>
      <c r="O46" s="108">
        <f>('Monthly Data'!AN504)*42/1000</f>
        <v>156.53399999999999</v>
      </c>
      <c r="P46" s="108">
        <f>('Monthly Data'!AN516)*42/1000</f>
        <v>131.376</v>
      </c>
      <c r="Q46" s="108">
        <f>('Monthly Data'!AN528)*42/1000</f>
        <v>97.397999999999996</v>
      </c>
      <c r="R46" s="108">
        <f>('Monthly Data'!AN540)*42/1000</f>
        <v>173.83799999999999</v>
      </c>
      <c r="S46" s="108">
        <f>'Monthly Data'!$AN552*42/1000</f>
        <v>210.042</v>
      </c>
      <c r="T46" s="108">
        <f>'Monthly Data'!$AN564*42/1000</f>
        <v>241.75200000000001</v>
      </c>
      <c r="U46" s="108">
        <f>'Monthly Data'!$AN576*42/1000</f>
        <v>364.56</v>
      </c>
      <c r="V46" s="108">
        <f>'Monthly Data'!$AN588*42/1000</f>
        <v>378.33600000000001</v>
      </c>
      <c r="W46" s="108">
        <f>'Monthly Data'!$AN600*42/1000</f>
        <v>137.42400000000001</v>
      </c>
      <c r="X46" s="108">
        <f>'Monthly Data'!$AN612*42/1000</f>
        <v>137.71799999999999</v>
      </c>
      <c r="Y46" s="108">
        <f>'Monthly Data'!$AN624*42/1000</f>
        <v>187.53</v>
      </c>
      <c r="Z46" s="133">
        <f t="shared" si="33"/>
        <v>225.34301971659303</v>
      </c>
      <c r="AA46" s="133">
        <f t="shared" si="34"/>
        <v>204.18268399456261</v>
      </c>
      <c r="AB46" s="133">
        <f t="shared" si="35"/>
        <v>194.71137685153511</v>
      </c>
      <c r="AC46" s="133">
        <f t="shared" si="35"/>
        <v>210.87909132986843</v>
      </c>
      <c r="AD46" s="133">
        <f t="shared" si="35"/>
        <v>222.6088287585587</v>
      </c>
      <c r="AE46" s="133">
        <f t="shared" si="35"/>
        <v>216.91579812776743</v>
      </c>
      <c r="AF46" s="133">
        <f t="shared" si="35"/>
        <v>210.94131364774637</v>
      </c>
      <c r="AG46" s="133">
        <f t="shared" si="35"/>
        <v>200.50170070557522</v>
      </c>
      <c r="AH46" s="133">
        <f t="shared" si="35"/>
        <v>202.52629387943838</v>
      </c>
      <c r="AI46" s="133">
        <f t="shared" si="35"/>
        <v>204.96337205597155</v>
      </c>
      <c r="AJ46" s="133">
        <f t="shared" si="35"/>
        <v>208.44757587510711</v>
      </c>
      <c r="AK46" s="133">
        <f t="shared" si="35"/>
        <v>208.31796878429466</v>
      </c>
      <c r="AL46" s="133">
        <f t="shared" si="35"/>
        <v>208.99168058857873</v>
      </c>
      <c r="AM46" s="133">
        <f t="shared" si="35"/>
        <v>209.35260173535542</v>
      </c>
      <c r="AN46" s="133">
        <f t="shared" si="35"/>
        <v>208.86209203330873</v>
      </c>
      <c r="AO46" s="133">
        <f t="shared" si="35"/>
        <v>207.97450726062718</v>
      </c>
      <c r="AP46" s="133">
        <f t="shared" si="35"/>
        <v>207.26550517623679</v>
      </c>
      <c r="AQ46" s="133">
        <f t="shared" si="35"/>
        <v>206.80196888744555</v>
      </c>
      <c r="AR46" s="133">
        <f t="shared" si="36"/>
        <v>207.27622223916134</v>
      </c>
      <c r="AS46" s="133">
        <f t="shared" si="36"/>
        <v>207.765563270271</v>
      </c>
      <c r="AT46" s="133">
        <f t="shared" si="36"/>
        <v>208.12964595148364</v>
      </c>
      <c r="AU46" s="133">
        <f t="shared" si="36"/>
        <v>208.10418510600508</v>
      </c>
      <c r="AV46" s="133">
        <f t="shared" si="36"/>
        <v>208.05282096147994</v>
      </c>
      <c r="AW46" s="133">
        <f t="shared" si="36"/>
        <v>207.94236847136003</v>
      </c>
      <c r="AX46" s="133">
        <f t="shared" si="36"/>
        <v>207.81318508109428</v>
      </c>
      <c r="AY46" s="133">
        <f t="shared" si="36"/>
        <v>207.71944567052819</v>
      </c>
    </row>
    <row r="47" spans="1:51" x14ac:dyDescent="0.2">
      <c r="A47" s="19" t="s">
        <v>172</v>
      </c>
      <c r="B47" s="108"/>
      <c r="C47" s="108"/>
      <c r="D47" s="108"/>
      <c r="E47" s="108"/>
      <c r="F47" s="108"/>
      <c r="G47" s="108"/>
      <c r="H47" s="108"/>
      <c r="I47" s="108"/>
      <c r="J47" s="108"/>
      <c r="K47" s="108">
        <f>('Monthly Data'!$AN457)*42/1000</f>
        <v>223.90199999999999</v>
      </c>
      <c r="L47" s="108">
        <f>('Monthly Data'!$AN469)*42/1000</f>
        <v>174.09</v>
      </c>
      <c r="M47" s="108">
        <f>('Monthly Data'!$AN481)*42/1000</f>
        <v>237.3</v>
      </c>
      <c r="N47" s="108">
        <f>('Monthly Data'!AN493)*42/1000</f>
        <v>182.154</v>
      </c>
      <c r="O47" s="108">
        <f>('Monthly Data'!AN505)*42/1000</f>
        <v>171.864</v>
      </c>
      <c r="P47" s="108">
        <f>('Monthly Data'!AN517)*42/1000</f>
        <v>189.37799999999999</v>
      </c>
      <c r="Q47" s="108">
        <f>('Monthly Data'!AN529)*42/1000</f>
        <v>182.11199999999999</v>
      </c>
      <c r="R47" s="108">
        <f>('Monthly Data'!AN541)*42/1000</f>
        <v>226.8</v>
      </c>
      <c r="S47" s="108">
        <f>'Monthly Data'!$AN553*42/1000</f>
        <v>285.55799999999999</v>
      </c>
      <c r="T47" s="108">
        <f>'Monthly Data'!$AN565*42/1000</f>
        <v>325.62599999999998</v>
      </c>
      <c r="U47" s="108">
        <f>'Monthly Data'!$AN577*42/1000</f>
        <v>384.25799999999998</v>
      </c>
      <c r="V47" s="108">
        <f>'Monthly Data'!$AN589*42/1000</f>
        <v>416.05200000000002</v>
      </c>
      <c r="W47" s="108">
        <f>'Monthly Data'!$AN601*42/1000</f>
        <v>286.81799999999998</v>
      </c>
      <c r="X47" s="108">
        <f>'Monthly Data'!$AN613*42/1000</f>
        <v>162.45599999999999</v>
      </c>
      <c r="Y47" s="108">
        <f>'Monthly Data'!$AN625*42/1000</f>
        <v>158.256</v>
      </c>
      <c r="Z47" s="133">
        <f t="shared" si="33"/>
        <v>263.15140819747069</v>
      </c>
      <c r="AA47" s="133">
        <f t="shared" si="34"/>
        <v>246.38104715373822</v>
      </c>
      <c r="AB47" s="133">
        <f t="shared" si="35"/>
        <v>243.78539398371549</v>
      </c>
      <c r="AC47" s="133">
        <f t="shared" si="35"/>
        <v>238.5402818069347</v>
      </c>
      <c r="AD47" s="133">
        <f t="shared" si="35"/>
        <v>250.35595566582253</v>
      </c>
      <c r="AE47" s="133">
        <f t="shared" si="35"/>
        <v>254.75039345725168</v>
      </c>
      <c r="AF47" s="133">
        <f t="shared" si="35"/>
        <v>248.03459552754995</v>
      </c>
      <c r="AG47" s="133">
        <f t="shared" si="35"/>
        <v>234.56432489695166</v>
      </c>
      <c r="AH47" s="133">
        <f t="shared" si="35"/>
        <v>233.88212185859788</v>
      </c>
      <c r="AI47" s="133">
        <f t="shared" si="35"/>
        <v>237.66693158548128</v>
      </c>
      <c r="AJ47" s="133">
        <f t="shared" si="35"/>
        <v>243.27103760741588</v>
      </c>
      <c r="AK47" s="133">
        <f t="shared" si="35"/>
        <v>242.79607745800232</v>
      </c>
      <c r="AL47" s="133">
        <f t="shared" si="35"/>
        <v>243.13649621134368</v>
      </c>
      <c r="AM47" s="133">
        <f t="shared" si="35"/>
        <v>243.29199201563492</v>
      </c>
      <c r="AN47" s="133">
        <f t="shared" si="35"/>
        <v>243.01854808718431</v>
      </c>
      <c r="AO47" s="133">
        <f t="shared" si="35"/>
        <v>242.14823415902364</v>
      </c>
      <c r="AP47" s="133">
        <f t="shared" si="35"/>
        <v>241.20911691814825</v>
      </c>
      <c r="AQ47" s="133">
        <f t="shared" si="35"/>
        <v>240.59782677092028</v>
      </c>
      <c r="AR47" s="133">
        <f t="shared" si="36"/>
        <v>241.15135420785509</v>
      </c>
      <c r="AS47" s="133">
        <f t="shared" si="36"/>
        <v>241.77571934419367</v>
      </c>
      <c r="AT47" s="133">
        <f t="shared" si="36"/>
        <v>242.20606254008553</v>
      </c>
      <c r="AU47" s="133">
        <f t="shared" si="36"/>
        <v>242.15181327739683</v>
      </c>
      <c r="AV47" s="133">
        <f t="shared" si="36"/>
        <v>242.08539177426621</v>
      </c>
      <c r="AW47" s="133">
        <f t="shared" si="36"/>
        <v>241.96329477378114</v>
      </c>
      <c r="AX47" s="133">
        <f t="shared" si="36"/>
        <v>241.82033100731567</v>
      </c>
      <c r="AY47" s="133">
        <f t="shared" si="36"/>
        <v>241.70909418897548</v>
      </c>
    </row>
    <row r="48" spans="1:51" x14ac:dyDescent="0.2">
      <c r="A48" s="19" t="s">
        <v>173</v>
      </c>
      <c r="B48" s="108"/>
      <c r="C48" s="108"/>
      <c r="D48" s="108"/>
      <c r="E48" s="108"/>
      <c r="F48" s="108"/>
      <c r="G48" s="108"/>
      <c r="H48" s="108"/>
      <c r="I48" s="108"/>
      <c r="J48" s="108"/>
      <c r="K48" s="108">
        <f>('Monthly Data'!$AN458)*42/1000</f>
        <v>285.05399999999997</v>
      </c>
      <c r="L48" s="108">
        <f>('Monthly Data'!$AN470)*42/1000</f>
        <v>227.22</v>
      </c>
      <c r="M48" s="108">
        <f>('Monthly Data'!$AN482)*42/1000</f>
        <v>246.96</v>
      </c>
      <c r="N48" s="108">
        <f>('Monthly Data'!AN494)*42/1000</f>
        <v>214.03200000000001</v>
      </c>
      <c r="O48" s="108">
        <f>('Monthly Data'!AN506)*42/1000</f>
        <v>319.24200000000002</v>
      </c>
      <c r="P48" s="108">
        <f>('Monthly Data'!AN518)*42/1000</f>
        <v>201.642</v>
      </c>
      <c r="Q48" s="108">
        <f>('Monthly Data'!AN530)*42/1000</f>
        <v>217.476</v>
      </c>
      <c r="R48" s="108">
        <f>('Monthly Data'!AN542)*42/1000</f>
        <v>367.416</v>
      </c>
      <c r="S48" s="108">
        <f>'Monthly Data'!$AN554*42/1000</f>
        <v>246.75</v>
      </c>
      <c r="T48" s="108">
        <f>'Monthly Data'!$AN566*42/1000</f>
        <v>383.54399999999998</v>
      </c>
      <c r="U48" s="108">
        <f>'Monthly Data'!$AN578*42/1000</f>
        <v>603.58199999999999</v>
      </c>
      <c r="V48" s="108">
        <f>'Monthly Data'!$AN590*42/1000</f>
        <v>379.596</v>
      </c>
      <c r="W48" s="108">
        <f>'Monthly Data'!$AN602*42/1000</f>
        <v>275.142</v>
      </c>
      <c r="X48" s="108">
        <f>'Monthly Data'!$AN614*42/1000</f>
        <v>293.32799999999997</v>
      </c>
      <c r="Y48" s="108">
        <f>'Monthly Data'!$AN626*42/1000</f>
        <v>214.2</v>
      </c>
      <c r="Z48" s="133">
        <f t="shared" ref="Z48:AE48" si="37">Z49-SUM(Z37:Z47)</f>
        <v>330.06974362334313</v>
      </c>
      <c r="AA48" s="133">
        <f t="shared" si="37"/>
        <v>285.74935637518229</v>
      </c>
      <c r="AB48" s="133">
        <f t="shared" si="37"/>
        <v>305.20336136253172</v>
      </c>
      <c r="AC48" s="133">
        <f t="shared" si="37"/>
        <v>317.27873283922918</v>
      </c>
      <c r="AD48" s="133">
        <f t="shared" si="37"/>
        <v>316.17933797468413</v>
      </c>
      <c r="AE48" s="133">
        <f t="shared" si="37"/>
        <v>318.78927424731455</v>
      </c>
      <c r="AF48" s="133">
        <f>AF$49*(SUM(AA48:AE48)/SUM(AA$49:AE$49))</f>
        <v>310.23095155981309</v>
      </c>
      <c r="AG48" s="133">
        <f>AG$49*(SUM(AB48:AF48)/SUM(AB$49:AF$49))</f>
        <v>297.63830416309469</v>
      </c>
      <c r="AH48" s="133">
        <f>AH$49*(SUM(AC48:AG48)/SUM(AC$49:AG$49))</f>
        <v>297.56143093458456</v>
      </c>
      <c r="AI48" s="133">
        <f>AI$49*(SUM(AD48:AH48)/SUM(AD$49:AH$49))</f>
        <v>299.69364235144411</v>
      </c>
      <c r="AJ48" s="133">
        <f>AJ$49*(SUM(AE48:AI48)/SUM(AE$49:AI$49))</f>
        <v>306.66270507774072</v>
      </c>
      <c r="AK48" s="133">
        <f t="shared" si="35"/>
        <v>306.53928016030204</v>
      </c>
      <c r="AL48" s="133">
        <f t="shared" si="35"/>
        <v>307.56502430989161</v>
      </c>
      <c r="AM48" s="133">
        <f t="shared" si="35"/>
        <v>307.57592908799461</v>
      </c>
      <c r="AN48" s="133">
        <f t="shared" si="35"/>
        <v>306.85236125999393</v>
      </c>
      <c r="AO48" s="133">
        <f t="shared" si="35"/>
        <v>305.83340435576866</v>
      </c>
      <c r="AP48" s="133">
        <f t="shared" si="35"/>
        <v>304.76424944930687</v>
      </c>
      <c r="AQ48" s="133">
        <f t="shared" si="35"/>
        <v>304.03753496807457</v>
      </c>
      <c r="AR48" s="133">
        <f t="shared" si="36"/>
        <v>304.67336485754521</v>
      </c>
      <c r="AS48" s="133">
        <f t="shared" si="36"/>
        <v>305.4225585557528</v>
      </c>
      <c r="AT48" s="133">
        <f t="shared" si="36"/>
        <v>305.99432437307775</v>
      </c>
      <c r="AU48" s="133">
        <f t="shared" si="36"/>
        <v>305.94341578028792</v>
      </c>
      <c r="AV48" s="133">
        <f t="shared" si="36"/>
        <v>305.85711732158023</v>
      </c>
      <c r="AW48" s="133">
        <f t="shared" si="36"/>
        <v>305.690882950343</v>
      </c>
      <c r="AX48" s="133">
        <f t="shared" si="36"/>
        <v>305.50861347688243</v>
      </c>
      <c r="AY48" s="133">
        <f t="shared" si="36"/>
        <v>305.37401071279476</v>
      </c>
    </row>
    <row r="49" spans="1:51" x14ac:dyDescent="0.2">
      <c r="A49" s="117" t="s">
        <v>174</v>
      </c>
      <c r="B49" s="130"/>
      <c r="C49" s="130"/>
      <c r="D49" s="130"/>
      <c r="E49" s="130"/>
      <c r="F49" s="130"/>
      <c r="G49" s="130"/>
      <c r="H49" s="130"/>
      <c r="I49" s="130"/>
      <c r="J49" s="130"/>
      <c r="K49" s="130">
        <f>SUM(K37:K48)</f>
        <v>3501.9180000000006</v>
      </c>
      <c r="L49" s="130">
        <f>SUM(L37:L48)</f>
        <v>2739.828</v>
      </c>
      <c r="M49" s="130">
        <f t="shared" ref="M49:Y49" si="38">SUM(M37:M48)</f>
        <v>1939.5180000000003</v>
      </c>
      <c r="N49" s="130">
        <f t="shared" si="38"/>
        <v>2371.5300000000002</v>
      </c>
      <c r="O49" s="130">
        <f t="shared" si="38"/>
        <v>2984.1</v>
      </c>
      <c r="P49" s="130">
        <f t="shared" si="38"/>
        <v>3073.4760000000006</v>
      </c>
      <c r="Q49" s="130">
        <f t="shared" si="38"/>
        <v>2252.9639999999999</v>
      </c>
      <c r="R49" s="130">
        <f t="shared" si="38"/>
        <v>2308.9499999999998</v>
      </c>
      <c r="S49" s="130">
        <f t="shared" si="38"/>
        <v>2678.2979999999998</v>
      </c>
      <c r="T49" s="130">
        <f t="shared" si="38"/>
        <v>3103.2119999999995</v>
      </c>
      <c r="U49" s="130">
        <f t="shared" si="38"/>
        <v>3351.1379999999995</v>
      </c>
      <c r="V49" s="130">
        <f t="shared" si="38"/>
        <v>4421.0039999999999</v>
      </c>
      <c r="W49" s="130">
        <f t="shared" si="38"/>
        <v>2882.3760000000002</v>
      </c>
      <c r="X49" s="130">
        <f t="shared" si="38"/>
        <v>2573.3820000000001</v>
      </c>
      <c r="Y49" s="130">
        <f t="shared" si="38"/>
        <v>2208.2759999999998</v>
      </c>
      <c r="Z49" s="134">
        <f t="shared" ref="Z49:AY49" si="39">Z6</f>
        <v>2885.3076000000001</v>
      </c>
      <c r="AA49" s="134">
        <f t="shared" si="39"/>
        <v>2866.4907599999997</v>
      </c>
      <c r="AB49" s="134">
        <f t="shared" si="39"/>
        <v>2927.8434360000001</v>
      </c>
      <c r="AC49" s="134">
        <f t="shared" si="39"/>
        <v>2989.7327796</v>
      </c>
      <c r="AD49" s="134">
        <f t="shared" si="39"/>
        <v>3020.8762575599999</v>
      </c>
      <c r="AE49" s="134">
        <f t="shared" si="39"/>
        <v>3012.6426833159999</v>
      </c>
      <c r="AF49" s="134">
        <f t="shared" si="39"/>
        <v>2978.7931516476001</v>
      </c>
      <c r="AG49" s="134">
        <f t="shared" si="39"/>
        <v>2834.5720668123599</v>
      </c>
      <c r="AH49" s="134">
        <f t="shared" si="39"/>
        <v>2829.7916734935961</v>
      </c>
      <c r="AI49" s="134">
        <f t="shared" si="39"/>
        <v>2855.4326408429561</v>
      </c>
      <c r="AJ49" s="134">
        <f t="shared" si="39"/>
        <v>2920.148304927251</v>
      </c>
      <c r="AK49" s="134">
        <f t="shared" si="39"/>
        <v>2923.6323754199761</v>
      </c>
      <c r="AL49" s="134">
        <f t="shared" si="39"/>
        <v>2929.3465369619739</v>
      </c>
      <c r="AM49" s="134">
        <f t="shared" si="39"/>
        <v>2929.4968470581712</v>
      </c>
      <c r="AN49" s="134">
        <f t="shared" si="39"/>
        <v>2923.473253803988</v>
      </c>
      <c r="AO49" s="134">
        <f t="shared" si="39"/>
        <v>2913.7329534283867</v>
      </c>
      <c r="AP49" s="134">
        <f t="shared" si="39"/>
        <v>2903.8419804396253</v>
      </c>
      <c r="AQ49" s="134">
        <f t="shared" si="39"/>
        <v>2896.3468633188286</v>
      </c>
      <c r="AR49" s="134">
        <f t="shared" si="39"/>
        <v>2902.5243429694751</v>
      </c>
      <c r="AS49" s="134">
        <f t="shared" si="39"/>
        <v>2909.7976099170633</v>
      </c>
      <c r="AT49" s="134">
        <f t="shared" si="39"/>
        <v>2915.2341068244737</v>
      </c>
      <c r="AU49" s="134">
        <f t="shared" si="39"/>
        <v>2914.7426870141962</v>
      </c>
      <c r="AV49" s="134">
        <f t="shared" si="39"/>
        <v>2913.8537181736183</v>
      </c>
      <c r="AW49" s="134">
        <f t="shared" si="39"/>
        <v>2912.304436294783</v>
      </c>
      <c r="AX49" s="134">
        <f t="shared" si="39"/>
        <v>2910.5851952184439</v>
      </c>
      <c r="AY49" s="134">
        <f t="shared" si="39"/>
        <v>2909.2963893598899</v>
      </c>
    </row>
    <row r="51" spans="1:51" ht="12" thickBot="1" x14ac:dyDescent="0.25">
      <c r="A51" s="121" t="s">
        <v>249</v>
      </c>
    </row>
    <row r="52" spans="1:51" ht="12" thickBot="1" x14ac:dyDescent="0.25">
      <c r="A52" s="122"/>
      <c r="B52" s="128">
        <f>B36</f>
        <v>2001</v>
      </c>
      <c r="C52" s="128">
        <f t="shared" ref="C52:AY52" si="40">C36</f>
        <v>2002</v>
      </c>
      <c r="D52" s="128">
        <f t="shared" si="40"/>
        <v>2003</v>
      </c>
      <c r="E52" s="128">
        <f t="shared" si="40"/>
        <v>2004</v>
      </c>
      <c r="F52" s="128">
        <f t="shared" si="40"/>
        <v>2005</v>
      </c>
      <c r="G52" s="128">
        <f t="shared" si="40"/>
        <v>2006</v>
      </c>
      <c r="H52" s="128">
        <f t="shared" si="40"/>
        <v>2007</v>
      </c>
      <c r="I52" s="128">
        <f t="shared" si="40"/>
        <v>2008</v>
      </c>
      <c r="J52" s="128">
        <f t="shared" si="40"/>
        <v>2009</v>
      </c>
      <c r="K52" s="128">
        <f t="shared" si="40"/>
        <v>2010</v>
      </c>
      <c r="L52" s="128">
        <f t="shared" si="40"/>
        <v>2011</v>
      </c>
      <c r="M52" s="128">
        <f t="shared" si="40"/>
        <v>2012</v>
      </c>
      <c r="N52" s="128">
        <f t="shared" si="40"/>
        <v>2013</v>
      </c>
      <c r="O52" s="128">
        <f t="shared" si="40"/>
        <v>2014</v>
      </c>
      <c r="P52" s="128">
        <f t="shared" si="40"/>
        <v>2015</v>
      </c>
      <c r="Q52" s="128">
        <f t="shared" si="40"/>
        <v>2016</v>
      </c>
      <c r="R52" s="128">
        <f t="shared" si="40"/>
        <v>2017</v>
      </c>
      <c r="S52" s="128">
        <f t="shared" si="40"/>
        <v>2018</v>
      </c>
      <c r="T52" s="128">
        <f t="shared" si="40"/>
        <v>2019</v>
      </c>
      <c r="U52" s="128">
        <f t="shared" si="40"/>
        <v>2020</v>
      </c>
      <c r="V52" s="128">
        <f t="shared" si="40"/>
        <v>2021</v>
      </c>
      <c r="W52" s="128">
        <f t="shared" si="40"/>
        <v>2022</v>
      </c>
      <c r="X52" s="128">
        <f t="shared" si="40"/>
        <v>2023</v>
      </c>
      <c r="Y52" s="128">
        <f t="shared" si="40"/>
        <v>2024</v>
      </c>
      <c r="Z52" s="128">
        <f t="shared" si="40"/>
        <v>2025</v>
      </c>
      <c r="AA52" s="128">
        <f t="shared" si="40"/>
        <v>2026</v>
      </c>
      <c r="AB52" s="128">
        <f t="shared" si="40"/>
        <v>2027</v>
      </c>
      <c r="AC52" s="128">
        <f t="shared" si="40"/>
        <v>2028</v>
      </c>
      <c r="AD52" s="128">
        <f t="shared" si="40"/>
        <v>2029</v>
      </c>
      <c r="AE52" s="128">
        <f t="shared" si="40"/>
        <v>2030</v>
      </c>
      <c r="AF52" s="128">
        <f t="shared" si="40"/>
        <v>2031</v>
      </c>
      <c r="AG52" s="128">
        <f t="shared" si="40"/>
        <v>2032</v>
      </c>
      <c r="AH52" s="128">
        <f t="shared" si="40"/>
        <v>2033</v>
      </c>
      <c r="AI52" s="128">
        <f t="shared" si="40"/>
        <v>2034</v>
      </c>
      <c r="AJ52" s="128">
        <f t="shared" si="40"/>
        <v>2035</v>
      </c>
      <c r="AK52" s="128">
        <f t="shared" si="40"/>
        <v>2036</v>
      </c>
      <c r="AL52" s="128">
        <f t="shared" si="40"/>
        <v>2037</v>
      </c>
      <c r="AM52" s="128">
        <f t="shared" si="40"/>
        <v>2038</v>
      </c>
      <c r="AN52" s="128">
        <f t="shared" si="40"/>
        <v>2039</v>
      </c>
      <c r="AO52" s="128">
        <f t="shared" si="40"/>
        <v>2040</v>
      </c>
      <c r="AP52" s="128">
        <f t="shared" si="40"/>
        <v>2041</v>
      </c>
      <c r="AQ52" s="128">
        <f t="shared" si="40"/>
        <v>2042</v>
      </c>
      <c r="AR52" s="128">
        <f t="shared" si="40"/>
        <v>2043</v>
      </c>
      <c r="AS52" s="128">
        <f t="shared" si="40"/>
        <v>2044</v>
      </c>
      <c r="AT52" s="128">
        <f t="shared" si="40"/>
        <v>2045</v>
      </c>
      <c r="AU52" s="128">
        <f t="shared" si="40"/>
        <v>2046</v>
      </c>
      <c r="AV52" s="128">
        <f t="shared" si="40"/>
        <v>2047</v>
      </c>
      <c r="AW52" s="128">
        <f t="shared" si="40"/>
        <v>2048</v>
      </c>
      <c r="AX52" s="128">
        <f t="shared" si="40"/>
        <v>2049</v>
      </c>
      <c r="AY52" s="128">
        <f t="shared" si="40"/>
        <v>2050</v>
      </c>
    </row>
    <row r="53" spans="1:51" x14ac:dyDescent="0.2">
      <c r="A53" s="19" t="s">
        <v>162</v>
      </c>
      <c r="B53" s="108">
        <f>'Monthly Data'!$AP339*42/1000</f>
        <v>87.233999999999995</v>
      </c>
      <c r="C53" s="108">
        <f>'Monthly Data'!$AP351*42/1000</f>
        <v>142.464</v>
      </c>
      <c r="D53" s="108">
        <f>'Monthly Data'!$AP363*42/1000</f>
        <v>155.44200000000001</v>
      </c>
      <c r="E53" s="108">
        <f>'Monthly Data'!$AP375*42/1000</f>
        <v>94.122</v>
      </c>
      <c r="F53" s="108">
        <f>'Monthly Data'!$AP387*42/1000</f>
        <v>63.881999999999998</v>
      </c>
      <c r="G53" s="108">
        <f>'Monthly Data'!$AP399*42/1000</f>
        <v>160.18799999999999</v>
      </c>
      <c r="H53" s="108">
        <f>'Monthly Data'!$AP411*42/1000</f>
        <v>329.57400000000001</v>
      </c>
      <c r="I53" s="108">
        <f>'Monthly Data'!$AP423*42/1000</f>
        <v>446.54399999999998</v>
      </c>
      <c r="J53" s="108">
        <f>'Monthly Data'!$AP435*42/1000</f>
        <v>841.93200000000002</v>
      </c>
      <c r="K53" s="108">
        <f>'Monthly Data'!$AP447*42/1000</f>
        <v>509.29199999999997</v>
      </c>
      <c r="L53" s="108">
        <f>'Monthly Data'!$AP459*42/1000</f>
        <v>956.50800000000004</v>
      </c>
      <c r="M53" s="108">
        <f>'Monthly Data'!$AP471*42/1000</f>
        <v>1136.058</v>
      </c>
      <c r="N53" s="108">
        <f>'Monthly Data'!$AP483*42/1000</f>
        <v>1007.832</v>
      </c>
      <c r="O53" s="108">
        <f>'Monthly Data'!$AP495*42/1000</f>
        <v>1390.1579999999999</v>
      </c>
      <c r="P53" s="108">
        <f>'Monthly Data'!$AP507*42/1000</f>
        <v>1459.4159999999999</v>
      </c>
      <c r="Q53" s="108">
        <f>'Monthly Data'!$AP519*42/1000</f>
        <v>1196.1179999999999</v>
      </c>
      <c r="R53" s="108">
        <f>'Monthly Data'!$AP531*42/1000</f>
        <v>1504.7339999999999</v>
      </c>
      <c r="S53" s="108">
        <f>'Monthly Data'!$AP543*42/1000</f>
        <v>1300.278</v>
      </c>
      <c r="T53" s="108">
        <f>'Monthly Data'!$AP555*42/1000</f>
        <v>1666.0139999999999</v>
      </c>
      <c r="U53" s="108">
        <f>'Monthly Data'!$AP567*42/1000</f>
        <v>1609.944</v>
      </c>
      <c r="V53" s="108">
        <f>'Monthly Data'!$AP579*42/1000</f>
        <v>1173.8579999999999</v>
      </c>
      <c r="W53" s="108">
        <f>'Monthly Data'!$AP591*42/1000</f>
        <v>1219.848</v>
      </c>
      <c r="X53" s="108">
        <f>'Monthly Data'!$AP603*42/1000</f>
        <v>1223.712</v>
      </c>
      <c r="Y53" s="108">
        <f>'Monthly Data'!$AP615*42/1000</f>
        <v>1336.7760000000001</v>
      </c>
      <c r="Z53" s="133">
        <f t="shared" ref="Z53:AJ63" si="41">Z$49*(SUM(U53:Y53)/SUM(U$49:Y$49))</f>
        <v>1226.9591418787138</v>
      </c>
      <c r="AA53" s="133">
        <f t="shared" si="41"/>
        <v>1183.5543975244166</v>
      </c>
      <c r="AB53" s="133">
        <f t="shared" si="41"/>
        <v>1351.0781665137831</v>
      </c>
      <c r="AC53" s="133">
        <f t="shared" si="41"/>
        <v>1404.1236149900042</v>
      </c>
      <c r="AD53" s="133">
        <f t="shared" si="41"/>
        <v>1415.4572879111704</v>
      </c>
      <c r="AE53" s="133">
        <f t="shared" si="41"/>
        <v>1349.6516657728562</v>
      </c>
      <c r="AF53" s="133">
        <f t="shared" si="41"/>
        <v>1347.6842759310664</v>
      </c>
      <c r="AG53" s="133">
        <f t="shared" si="41"/>
        <v>1303.9499299490039</v>
      </c>
      <c r="AH53" s="133">
        <f t="shared" si="41"/>
        <v>1300.9456322882306</v>
      </c>
      <c r="AI53" s="133">
        <f t="shared" si="41"/>
        <v>1306.9654236263043</v>
      </c>
      <c r="AJ53" s="133">
        <f t="shared" si="41"/>
        <v>1329.9928577765429</v>
      </c>
      <c r="AK53" s="133">
        <f t="shared" ref="AK53:AK63" si="42">AK$49*(SUM(AF53:AJ53)/SUM(AF$49:AJ$49))</f>
        <v>1336.1354649946004</v>
      </c>
      <c r="AL53" s="133">
        <f t="shared" ref="AL53:AY63" si="43">AL$49*(SUM(AG53:AK53)/SUM(AG$49:AK$49))</f>
        <v>1341.5328311967698</v>
      </c>
      <c r="AM53" s="133">
        <f t="shared" si="43"/>
        <v>1340.4223771926981</v>
      </c>
      <c r="AN53" s="133">
        <f t="shared" si="43"/>
        <v>1336.432328575316</v>
      </c>
      <c r="AO53" s="133">
        <f t="shared" si="43"/>
        <v>1331.6535309818637</v>
      </c>
      <c r="AP53" s="133">
        <f t="shared" si="43"/>
        <v>1328.0453124250923</v>
      </c>
      <c r="AQ53" s="133">
        <f t="shared" si="43"/>
        <v>1324.8080950316339</v>
      </c>
      <c r="AR53" s="133">
        <f t="shared" si="43"/>
        <v>1327.3088360202917</v>
      </c>
      <c r="AS53" s="133">
        <f t="shared" si="43"/>
        <v>1330.4789329423827</v>
      </c>
      <c r="AT53" s="133">
        <f t="shared" si="43"/>
        <v>1333.0248625697222</v>
      </c>
      <c r="AU53" s="133">
        <f t="shared" si="43"/>
        <v>1332.937570887794</v>
      </c>
      <c r="AV53" s="133">
        <f t="shared" si="43"/>
        <v>1332.5124523387692</v>
      </c>
      <c r="AW53" s="133">
        <f t="shared" si="43"/>
        <v>1331.7436256142253</v>
      </c>
      <c r="AX53" s="133">
        <f t="shared" si="43"/>
        <v>1330.9499610731716</v>
      </c>
      <c r="AY53" s="133">
        <f t="shared" si="43"/>
        <v>1330.382762555389</v>
      </c>
    </row>
    <row r="54" spans="1:51" x14ac:dyDescent="0.2">
      <c r="A54" s="19" t="s">
        <v>163</v>
      </c>
      <c r="B54" s="108">
        <f>'Monthly Data'!$AP340*42/1000</f>
        <v>90.257999999999996</v>
      </c>
      <c r="C54" s="108">
        <f>'Monthly Data'!$AP352*42/1000</f>
        <v>328.35599999999999</v>
      </c>
      <c r="D54" s="108">
        <f>'Monthly Data'!$AP364*42/1000</f>
        <v>155.48400000000001</v>
      </c>
      <c r="E54" s="108">
        <f>'Monthly Data'!$AP376*42/1000</f>
        <v>104.79</v>
      </c>
      <c r="F54" s="108">
        <f>'Monthly Data'!$AP388*42/1000</f>
        <v>120.372</v>
      </c>
      <c r="G54" s="108">
        <f>'Monthly Data'!$AP400*42/1000</f>
        <v>183.58199999999999</v>
      </c>
      <c r="H54" s="108">
        <f>'Monthly Data'!$AP412*42/1000</f>
        <v>237.93</v>
      </c>
      <c r="I54" s="108">
        <f>'Monthly Data'!$AP424*42/1000</f>
        <v>495.93599999999998</v>
      </c>
      <c r="J54" s="108">
        <f>'Monthly Data'!$AP436*42/1000</f>
        <v>633.40200000000004</v>
      </c>
      <c r="K54" s="108">
        <f>'Monthly Data'!$AP448*42/1000</f>
        <v>457.63200000000001</v>
      </c>
      <c r="L54" s="108">
        <f>'Monthly Data'!$AP460*42/1000</f>
        <v>783.97199999999998</v>
      </c>
      <c r="M54" s="108">
        <f>'Monthly Data'!$AP472*42/1000</f>
        <v>1128.96</v>
      </c>
      <c r="N54" s="108">
        <f>'Monthly Data'!$AP484*42/1000</f>
        <v>979.81799999999998</v>
      </c>
      <c r="O54" s="108">
        <f>'Monthly Data'!$AP496*42/1000</f>
        <v>1002.54</v>
      </c>
      <c r="P54" s="108">
        <f>'Monthly Data'!$AP508*42/1000</f>
        <v>1109.22</v>
      </c>
      <c r="Q54" s="108">
        <f>'Monthly Data'!$AP520*42/1000</f>
        <v>1091.2439999999999</v>
      </c>
      <c r="R54" s="108">
        <f>'Monthly Data'!$AP532*42/1000</f>
        <v>1454.376</v>
      </c>
      <c r="S54" s="108">
        <f>'Monthly Data'!$AP544*42/1000</f>
        <v>1216.068</v>
      </c>
      <c r="T54" s="108">
        <f>'Monthly Data'!$AP556*42/1000</f>
        <v>1364.328</v>
      </c>
      <c r="U54" s="108">
        <f>'Monthly Data'!$AP568*42/1000</f>
        <v>1601.6279999999999</v>
      </c>
      <c r="V54" s="108">
        <f>'Monthly Data'!$AP580*42/1000</f>
        <v>1037.19</v>
      </c>
      <c r="W54" s="108">
        <f>'Monthly Data'!$AP592*42/1000</f>
        <v>1038.8699999999999</v>
      </c>
      <c r="X54" s="108">
        <f>'Monthly Data'!$AP604*42/1000</f>
        <v>1073.8979999999999</v>
      </c>
      <c r="Y54" s="108">
        <f>'Monthly Data'!$AP616*42/1000</f>
        <v>1157.604</v>
      </c>
      <c r="Z54" s="133">
        <f t="shared" si="41"/>
        <v>1104.537212898065</v>
      </c>
      <c r="AA54" s="133">
        <f t="shared" si="41"/>
        <v>1036.2975445253298</v>
      </c>
      <c r="AB54" s="133">
        <f t="shared" si="41"/>
        <v>1180.930542393937</v>
      </c>
      <c r="AC54" s="133">
        <f t="shared" si="41"/>
        <v>1233.3716306562123</v>
      </c>
      <c r="AD54" s="133">
        <f t="shared" si="41"/>
        <v>1243.545032961217</v>
      </c>
      <c r="AE54" s="133">
        <f t="shared" si="41"/>
        <v>1189.1802929998289</v>
      </c>
      <c r="AF54" s="133">
        <f t="shared" si="41"/>
        <v>1182.7303345760765</v>
      </c>
      <c r="AG54" s="133">
        <f t="shared" si="41"/>
        <v>1144.803147350377</v>
      </c>
      <c r="AH54" s="133">
        <f t="shared" si="41"/>
        <v>1143.1666382434175</v>
      </c>
      <c r="AI54" s="133">
        <f t="shared" si="41"/>
        <v>1148.5457540704733</v>
      </c>
      <c r="AJ54" s="133">
        <f t="shared" si="41"/>
        <v>1168.8508304434934</v>
      </c>
      <c r="AK54" s="133">
        <f t="shared" si="42"/>
        <v>1173.6302517132669</v>
      </c>
      <c r="AL54" s="133">
        <f t="shared" si="43"/>
        <v>1178.5841137460397</v>
      </c>
      <c r="AM54" s="133">
        <f t="shared" si="43"/>
        <v>1177.7631481749493</v>
      </c>
      <c r="AN54" s="133">
        <f t="shared" si="43"/>
        <v>1174.2392633217573</v>
      </c>
      <c r="AO54" s="133">
        <f t="shared" si="43"/>
        <v>1170.0011461110848</v>
      </c>
      <c r="AP54" s="133">
        <f t="shared" si="43"/>
        <v>1166.7696086781245</v>
      </c>
      <c r="AQ54" s="133">
        <f t="shared" si="43"/>
        <v>1163.9745247794215</v>
      </c>
      <c r="AR54" s="133">
        <f t="shared" si="43"/>
        <v>1166.1885572756096</v>
      </c>
      <c r="AS54" s="133">
        <f t="shared" si="43"/>
        <v>1168.9632566350433</v>
      </c>
      <c r="AT54" s="133">
        <f t="shared" si="43"/>
        <v>1171.1910211297866</v>
      </c>
      <c r="AU54" s="133">
        <f t="shared" si="43"/>
        <v>1171.1113230541539</v>
      </c>
      <c r="AV54" s="133">
        <f t="shared" si="43"/>
        <v>1170.7465154305328</v>
      </c>
      <c r="AW54" s="133">
        <f t="shared" si="43"/>
        <v>1170.0716110881806</v>
      </c>
      <c r="AX54" s="133">
        <f t="shared" si="43"/>
        <v>1169.3716272461252</v>
      </c>
      <c r="AY54" s="133">
        <f t="shared" si="43"/>
        <v>1168.872193709818</v>
      </c>
    </row>
    <row r="55" spans="1:51" x14ac:dyDescent="0.2">
      <c r="A55" s="19" t="s">
        <v>164</v>
      </c>
      <c r="B55" s="108">
        <f>'Monthly Data'!$AP341*42/1000</f>
        <v>97.986000000000004</v>
      </c>
      <c r="C55" s="108">
        <f>'Monthly Data'!$AP353*42/1000</f>
        <v>87.78</v>
      </c>
      <c r="D55" s="108">
        <f>'Monthly Data'!$AP365*42/1000</f>
        <v>209.03399999999999</v>
      </c>
      <c r="E55" s="108">
        <f>'Monthly Data'!$AP377*42/1000</f>
        <v>129.27600000000001</v>
      </c>
      <c r="F55" s="108">
        <f>'Monthly Data'!$AP389*42/1000</f>
        <v>215.124</v>
      </c>
      <c r="G55" s="108">
        <f>'Monthly Data'!$AP401*42/1000</f>
        <v>156.03</v>
      </c>
      <c r="H55" s="108">
        <f>'Monthly Data'!$AP413*42/1000</f>
        <v>201.22200000000001</v>
      </c>
      <c r="I55" s="108">
        <f>'Monthly Data'!$AP425*42/1000</f>
        <v>466.62</v>
      </c>
      <c r="J55" s="108">
        <f>'Monthly Data'!$AP437*42/1000</f>
        <v>721.98</v>
      </c>
      <c r="K55" s="108">
        <f>'Monthly Data'!$AP449*42/1000</f>
        <v>591.06600000000003</v>
      </c>
      <c r="L55" s="108">
        <f>'Monthly Data'!$AP461*42/1000</f>
        <v>847.64400000000001</v>
      </c>
      <c r="M55" s="108">
        <f>'Monthly Data'!$AP473*42/1000</f>
        <v>1186.2059999999999</v>
      </c>
      <c r="N55" s="108">
        <f>'Monthly Data'!$AP485*42/1000</f>
        <v>1051.3440000000001</v>
      </c>
      <c r="O55" s="108">
        <f>'Monthly Data'!$AP497*42/1000</f>
        <v>1320.144</v>
      </c>
      <c r="P55" s="108">
        <f>'Monthly Data'!$AP509*42/1000</f>
        <v>1325.058</v>
      </c>
      <c r="Q55" s="108">
        <f>'Monthly Data'!$AP521*42/1000</f>
        <v>1549.422</v>
      </c>
      <c r="R55" s="108">
        <f>'Monthly Data'!$AP533*42/1000</f>
        <v>1552.5719999999999</v>
      </c>
      <c r="S55" s="108">
        <f>'Monthly Data'!$AP545*42/1000</f>
        <v>1468.6559999999999</v>
      </c>
      <c r="T55" s="108">
        <f>'Monthly Data'!$AP557*42/1000</f>
        <v>1526.8679999999999</v>
      </c>
      <c r="U55" s="108">
        <f>'Monthly Data'!$AP569*42/1000</f>
        <v>1857.5340000000001</v>
      </c>
      <c r="V55" s="108">
        <f>'Monthly Data'!$AP581*42/1000</f>
        <v>1101.4079999999999</v>
      </c>
      <c r="W55" s="108">
        <f>'Monthly Data'!$AP593*42/1000</f>
        <v>1564.7940000000001</v>
      </c>
      <c r="X55" s="108">
        <f>'Monthly Data'!$AP605*42/1000</f>
        <v>1486.086</v>
      </c>
      <c r="Y55" s="108">
        <f>'Monthly Data'!$AP617*42/1000</f>
        <v>1467.3119999999999</v>
      </c>
      <c r="Z55" s="133">
        <f t="shared" si="41"/>
        <v>1397.6150282568949</v>
      </c>
      <c r="AA55" s="133">
        <f t="shared" si="41"/>
        <v>1343.6417953792281</v>
      </c>
      <c r="AB55" s="133">
        <f t="shared" si="41"/>
        <v>1584.2870585229157</v>
      </c>
      <c r="AC55" s="133">
        <f t="shared" si="41"/>
        <v>1616.641147265791</v>
      </c>
      <c r="AD55" s="133">
        <f t="shared" si="41"/>
        <v>1612.893589928357</v>
      </c>
      <c r="AE55" s="133">
        <f t="shared" si="41"/>
        <v>1549.3780591611242</v>
      </c>
      <c r="AF55" s="133">
        <f t="shared" si="41"/>
        <v>1549.3135830643498</v>
      </c>
      <c r="AG55" s="133">
        <f t="shared" si="41"/>
        <v>1502.2610421851302</v>
      </c>
      <c r="AH55" s="133">
        <f t="shared" si="41"/>
        <v>1493.5108317653055</v>
      </c>
      <c r="AI55" s="133">
        <f t="shared" si="41"/>
        <v>1499.5111499413747</v>
      </c>
      <c r="AJ55" s="133">
        <f t="shared" si="41"/>
        <v>1528.1632819782408</v>
      </c>
      <c r="AK55" s="133">
        <f t="shared" si="42"/>
        <v>1535.4995861458535</v>
      </c>
      <c r="AL55" s="133">
        <f t="shared" si="43"/>
        <v>1541.5917551079224</v>
      </c>
      <c r="AM55" s="133">
        <f t="shared" si="43"/>
        <v>1539.5342483217441</v>
      </c>
      <c r="AN55" s="133">
        <f t="shared" si="43"/>
        <v>1535.0885842405023</v>
      </c>
      <c r="AO55" s="133">
        <f t="shared" si="43"/>
        <v>1529.9441494511552</v>
      </c>
      <c r="AP55" s="133">
        <f t="shared" si="43"/>
        <v>1525.7734039185607</v>
      </c>
      <c r="AQ55" s="133">
        <f t="shared" si="43"/>
        <v>1521.9686038887744</v>
      </c>
      <c r="AR55" s="133">
        <f t="shared" si="43"/>
        <v>1524.7599335760599</v>
      </c>
      <c r="AS55" s="133">
        <f t="shared" si="43"/>
        <v>1528.459652425825</v>
      </c>
      <c r="AT55" s="133">
        <f t="shared" si="43"/>
        <v>1531.4266421147606</v>
      </c>
      <c r="AU55" s="133">
        <f t="shared" si="43"/>
        <v>1531.3077110680672</v>
      </c>
      <c r="AV55" s="133">
        <f t="shared" si="43"/>
        <v>1530.8020841969862</v>
      </c>
      <c r="AW55" s="133">
        <f t="shared" si="43"/>
        <v>1529.9153772853228</v>
      </c>
      <c r="AX55" s="133">
        <f t="shared" si="43"/>
        <v>1529.0157456250452</v>
      </c>
      <c r="AY55" s="133">
        <f t="shared" si="43"/>
        <v>1528.3671288722671</v>
      </c>
    </row>
    <row r="56" spans="1:51" x14ac:dyDescent="0.2">
      <c r="A56" s="19" t="s">
        <v>165</v>
      </c>
      <c r="B56" s="108">
        <f>'Monthly Data'!$AP342*42/1000</f>
        <v>134.232</v>
      </c>
      <c r="C56" s="108">
        <f>'Monthly Data'!$AP354*42/1000</f>
        <v>86.141999999999996</v>
      </c>
      <c r="D56" s="108">
        <f>'Monthly Data'!$AP366*42/1000</f>
        <v>175.18199999999999</v>
      </c>
      <c r="E56" s="108">
        <f>'Monthly Data'!$AP378*42/1000</f>
        <v>115.33199999999999</v>
      </c>
      <c r="F56" s="108">
        <f>'Monthly Data'!$AP390*42/1000</f>
        <v>241.542</v>
      </c>
      <c r="G56" s="108">
        <f>'Monthly Data'!$AP402*42/1000</f>
        <v>252.042</v>
      </c>
      <c r="H56" s="108">
        <f>'Monthly Data'!$AP414*42/1000</f>
        <v>210.672</v>
      </c>
      <c r="I56" s="108">
        <f>'Monthly Data'!$AP426*42/1000</f>
        <v>595.09799999999996</v>
      </c>
      <c r="J56" s="108">
        <f>'Monthly Data'!$AP438*42/1000</f>
        <v>862.30200000000002</v>
      </c>
      <c r="K56" s="108">
        <f>'Monthly Data'!$AP450*42/1000</f>
        <v>863.18399999999997</v>
      </c>
      <c r="L56" s="108">
        <f>'Monthly Data'!$AP462*42/1000</f>
        <v>1100.0219999999999</v>
      </c>
      <c r="M56" s="108">
        <f>'Monthly Data'!$AP474*42/1000</f>
        <v>1358.5319999999999</v>
      </c>
      <c r="N56" s="108">
        <f>'Monthly Data'!$AP486*42/1000</f>
        <v>1062.4739999999999</v>
      </c>
      <c r="O56" s="108">
        <f>'Monthly Data'!$AP498*42/1000</f>
        <v>1463.7</v>
      </c>
      <c r="P56" s="108">
        <f>'Monthly Data'!$AP510*42/1000</f>
        <v>1536.15</v>
      </c>
      <c r="Q56" s="108">
        <f>'Monthly Data'!$AP522*42/1000</f>
        <v>1615.992</v>
      </c>
      <c r="R56" s="108">
        <f>'Monthly Data'!$AP534*42/1000</f>
        <v>1707.4259999999999</v>
      </c>
      <c r="S56" s="108">
        <f>'Monthly Data'!$AP546*42/1000</f>
        <v>1844.598</v>
      </c>
      <c r="T56" s="108">
        <f>'Monthly Data'!$AP558*42/1000</f>
        <v>1589.1959999999999</v>
      </c>
      <c r="U56" s="108">
        <f>'Monthly Data'!$AP570*42/1000</f>
        <v>1315.9860000000001</v>
      </c>
      <c r="V56" s="108">
        <f>'Monthly Data'!$AP582*42/1000</f>
        <v>1311.492</v>
      </c>
      <c r="W56" s="108">
        <f>'Monthly Data'!$AP594*42/1000</f>
        <v>1596.63</v>
      </c>
      <c r="X56" s="108">
        <f>'Monthly Data'!$AP606*42/1000</f>
        <v>1285.0740000000001</v>
      </c>
      <c r="Y56" s="108">
        <f>'Monthly Data'!$AP618*42/1000</f>
        <v>1547.91</v>
      </c>
      <c r="Z56" s="133">
        <f t="shared" si="41"/>
        <v>1319.1013876428465</v>
      </c>
      <c r="AA56" s="133">
        <f t="shared" si="41"/>
        <v>1351.873883283092</v>
      </c>
      <c r="AB56" s="133">
        <f t="shared" si="41"/>
        <v>1549.6178791408613</v>
      </c>
      <c r="AC56" s="133">
        <f t="shared" si="41"/>
        <v>1566.588006996071</v>
      </c>
      <c r="AD56" s="133">
        <f t="shared" si="41"/>
        <v>1596.6969771071294</v>
      </c>
      <c r="AE56" s="133">
        <f t="shared" si="41"/>
        <v>1514.2686594017237</v>
      </c>
      <c r="AF56" s="133">
        <f t="shared" si="41"/>
        <v>1523.6225845739107</v>
      </c>
      <c r="AG56" s="133">
        <f t="shared" si="41"/>
        <v>1471.5571890771917</v>
      </c>
      <c r="AH56" s="133">
        <f t="shared" si="41"/>
        <v>1463.4223708926818</v>
      </c>
      <c r="AI56" s="133">
        <f t="shared" si="41"/>
        <v>1472.703435388461</v>
      </c>
      <c r="AJ56" s="133">
        <f t="shared" si="41"/>
        <v>1498.3001216161174</v>
      </c>
      <c r="AK56" s="133">
        <f t="shared" si="42"/>
        <v>1506.4727585809778</v>
      </c>
      <c r="AL56" s="133">
        <f t="shared" si="43"/>
        <v>1511.7161871640346</v>
      </c>
      <c r="AM56" s="133">
        <f t="shared" si="43"/>
        <v>1510.0208157816694</v>
      </c>
      <c r="AN56" s="133">
        <f t="shared" si="43"/>
        <v>1505.9530269208442</v>
      </c>
      <c r="AO56" s="133">
        <f t="shared" si="43"/>
        <v>1500.5770113577732</v>
      </c>
      <c r="AP56" s="133">
        <f t="shared" si="43"/>
        <v>1496.5916353202178</v>
      </c>
      <c r="AQ56" s="133">
        <f t="shared" si="43"/>
        <v>1492.7919647694498</v>
      </c>
      <c r="AR56" s="133">
        <f t="shared" si="43"/>
        <v>1495.5940925751943</v>
      </c>
      <c r="AS56" s="133">
        <f t="shared" si="43"/>
        <v>1499.2360479817701</v>
      </c>
      <c r="AT56" s="133">
        <f t="shared" si="43"/>
        <v>1502.1032042490283</v>
      </c>
      <c r="AU56" s="133">
        <f t="shared" si="43"/>
        <v>1502.0010134259683</v>
      </c>
      <c r="AV56" s="133">
        <f t="shared" si="43"/>
        <v>1501.5012530971728</v>
      </c>
      <c r="AW56" s="133">
        <f t="shared" si="43"/>
        <v>1500.6404994514485</v>
      </c>
      <c r="AX56" s="133">
        <f t="shared" si="43"/>
        <v>1499.7560065478026</v>
      </c>
      <c r="AY56" s="133">
        <f t="shared" si="43"/>
        <v>1499.1147104075644</v>
      </c>
    </row>
    <row r="57" spans="1:51" x14ac:dyDescent="0.2">
      <c r="A57" s="19" t="s">
        <v>166</v>
      </c>
      <c r="B57" s="108">
        <f>'Monthly Data'!$AP343*42/1000</f>
        <v>189.63</v>
      </c>
      <c r="C57" s="108">
        <f>'Monthly Data'!$AP355*42/1000</f>
        <v>95.843999999999994</v>
      </c>
      <c r="D57" s="108">
        <f>'Monthly Data'!$AP367*42/1000</f>
        <v>210.50399999999999</v>
      </c>
      <c r="E57" s="108">
        <f>'Monthly Data'!$AP379*42/1000</f>
        <v>130.41</v>
      </c>
      <c r="F57" s="108">
        <f>'Monthly Data'!$AP391*42/1000</f>
        <v>258.762</v>
      </c>
      <c r="G57" s="108">
        <f>'Monthly Data'!$AP403*42/1000</f>
        <v>297.77999999999997</v>
      </c>
      <c r="H57" s="108">
        <f>'Monthly Data'!$AP415*42/1000</f>
        <v>295.17599999999999</v>
      </c>
      <c r="I57" s="108">
        <f>'Monthly Data'!$AP427*42/1000</f>
        <v>643.69200000000001</v>
      </c>
      <c r="J57" s="108">
        <f>'Monthly Data'!$AP439*42/1000</f>
        <v>844.15800000000002</v>
      </c>
      <c r="K57" s="108">
        <f>'Monthly Data'!$AP451*42/1000</f>
        <v>983.976</v>
      </c>
      <c r="L57" s="108">
        <f>'Monthly Data'!$AP463*42/1000</f>
        <v>947.89800000000002</v>
      </c>
      <c r="M57" s="108">
        <f>'Monthly Data'!$AP475*42/1000</f>
        <v>1370.1659999999999</v>
      </c>
      <c r="N57" s="108">
        <f>'Monthly Data'!$AP487*42/1000</f>
        <v>1462.566</v>
      </c>
      <c r="O57" s="108">
        <f>'Monthly Data'!$AP499*42/1000</f>
        <v>1512.3779999999999</v>
      </c>
      <c r="P57" s="108">
        <f>'Monthly Data'!$AP511*42/1000</f>
        <v>1667.1479999999999</v>
      </c>
      <c r="Q57" s="108">
        <f>'Monthly Data'!$AP523*42/1000</f>
        <v>1608.0119999999999</v>
      </c>
      <c r="R57" s="108">
        <f>'Monthly Data'!$AP535*42/1000</f>
        <v>1966.146</v>
      </c>
      <c r="S57" s="108">
        <f>'Monthly Data'!$AP547*42/1000</f>
        <v>1786.134</v>
      </c>
      <c r="T57" s="108">
        <f>'Monthly Data'!$AP559*42/1000</f>
        <v>1676.0940000000001</v>
      </c>
      <c r="U57" s="108">
        <f>'Monthly Data'!$AP571*42/1000</f>
        <v>1040.424</v>
      </c>
      <c r="V57" s="108">
        <f>'Monthly Data'!$AP583*42/1000</f>
        <v>1354.5840000000001</v>
      </c>
      <c r="W57" s="108">
        <f>'Monthly Data'!$AP595*42/1000</f>
        <v>1538.3340000000001</v>
      </c>
      <c r="X57" s="108">
        <f>'Monthly Data'!$AP607*42/1000</f>
        <v>1523.172</v>
      </c>
      <c r="Y57" s="108">
        <f>'Monthly Data'!$AP619*42/1000</f>
        <v>1661.058</v>
      </c>
      <c r="Z57" s="133">
        <f t="shared" si="41"/>
        <v>1330.4062214078926</v>
      </c>
      <c r="AA57" s="133">
        <f t="shared" si="41"/>
        <v>1418.3831353809703</v>
      </c>
      <c r="AB57" s="133">
        <f t="shared" si="41"/>
        <v>1630.5326644459383</v>
      </c>
      <c r="AC57" s="133">
        <f t="shared" si="41"/>
        <v>1679.85259601862</v>
      </c>
      <c r="AD57" s="133">
        <f t="shared" si="41"/>
        <v>1680.5342726604022</v>
      </c>
      <c r="AE57" s="133">
        <f t="shared" si="41"/>
        <v>1587.2416082618379</v>
      </c>
      <c r="AF57" s="133">
        <f t="shared" si="41"/>
        <v>1607.5527729518074</v>
      </c>
      <c r="AG57" s="133">
        <f t="shared" si="41"/>
        <v>1554.1305822010966</v>
      </c>
      <c r="AH57" s="133">
        <f t="shared" si="41"/>
        <v>1546.6910815766987</v>
      </c>
      <c r="AI57" s="133">
        <f t="shared" si="41"/>
        <v>1551.8064325129992</v>
      </c>
      <c r="AJ57" s="133">
        <f t="shared" si="41"/>
        <v>1579.1655115468604</v>
      </c>
      <c r="AK57" s="133">
        <f t="shared" si="42"/>
        <v>1589.5543104364876</v>
      </c>
      <c r="AL57" s="133">
        <f t="shared" si="43"/>
        <v>1595.1067300769296</v>
      </c>
      <c r="AM57" s="133">
        <f t="shared" si="43"/>
        <v>1593.0345525161117</v>
      </c>
      <c r="AN57" s="133">
        <f t="shared" si="43"/>
        <v>1588.1774941592141</v>
      </c>
      <c r="AO57" s="133">
        <f t="shared" si="43"/>
        <v>1582.7681354639542</v>
      </c>
      <c r="AP57" s="133">
        <f t="shared" si="43"/>
        <v>1578.8030220089202</v>
      </c>
      <c r="AQ57" s="133">
        <f t="shared" si="43"/>
        <v>1574.7296820299866</v>
      </c>
      <c r="AR57" s="133">
        <f t="shared" si="43"/>
        <v>1577.6031049550518</v>
      </c>
      <c r="AS57" s="133">
        <f t="shared" si="43"/>
        <v>1581.4020050901584</v>
      </c>
      <c r="AT57" s="133">
        <f t="shared" si="43"/>
        <v>1584.4884323809074</v>
      </c>
      <c r="AU57" s="133">
        <f t="shared" si="43"/>
        <v>1584.4027861162447</v>
      </c>
      <c r="AV57" s="133">
        <f t="shared" si="43"/>
        <v>1583.8542875227313</v>
      </c>
      <c r="AW57" s="133">
        <f t="shared" si="43"/>
        <v>1582.9338469480304</v>
      </c>
      <c r="AX57" s="133">
        <f t="shared" si="43"/>
        <v>1582.0023673728431</v>
      </c>
      <c r="AY57" s="133">
        <f t="shared" si="43"/>
        <v>1581.3362661001281</v>
      </c>
    </row>
    <row r="58" spans="1:51" x14ac:dyDescent="0.2">
      <c r="A58" s="19" t="s">
        <v>167</v>
      </c>
      <c r="B58" s="108">
        <f>'Monthly Data'!$AP344*42/1000</f>
        <v>151.74600000000001</v>
      </c>
      <c r="C58" s="108">
        <f>'Monthly Data'!$AP356*42/1000</f>
        <v>116.80200000000001</v>
      </c>
      <c r="D58" s="108">
        <f>'Monthly Data'!$AP368*42/1000</f>
        <v>126.92400000000001</v>
      </c>
      <c r="E58" s="108">
        <f>'Monthly Data'!$AP380*42/1000</f>
        <v>206.01</v>
      </c>
      <c r="F58" s="108">
        <f>'Monthly Data'!$AP392*42/1000</f>
        <v>286.14600000000002</v>
      </c>
      <c r="G58" s="108">
        <f>'Monthly Data'!$AP404*42/1000</f>
        <v>235.15799999999999</v>
      </c>
      <c r="H58" s="108">
        <f>'Monthly Data'!$AP416*42/1000</f>
        <v>316.72199999999998</v>
      </c>
      <c r="I58" s="108">
        <f>'Monthly Data'!$AP428*42/1000</f>
        <v>939.28800000000001</v>
      </c>
      <c r="J58" s="108">
        <f>'Monthly Data'!$AP440*42/1000</f>
        <v>728.78399999999999</v>
      </c>
      <c r="K58" s="108">
        <f>'Monthly Data'!$AP452*42/1000</f>
        <v>804.42600000000004</v>
      </c>
      <c r="L58" s="108">
        <f>'Monthly Data'!$AP464*42/1000</f>
        <v>914.38199999999995</v>
      </c>
      <c r="M58" s="108">
        <f>'Monthly Data'!$AP476*42/1000</f>
        <v>1368.864</v>
      </c>
      <c r="N58" s="108">
        <f>'Monthly Data'!$AP488*42/1000</f>
        <v>1628.3820000000001</v>
      </c>
      <c r="O58" s="108">
        <f>'Monthly Data'!$AP500*42/1000</f>
        <v>1474.452</v>
      </c>
      <c r="P58" s="108">
        <f>'Monthly Data'!$AP512*42/1000</f>
        <v>1524.306</v>
      </c>
      <c r="Q58" s="108">
        <f>'Monthly Data'!$AP524*42/1000</f>
        <v>1818.39</v>
      </c>
      <c r="R58" s="108">
        <f>'Monthly Data'!$AP536*42/1000</f>
        <v>2021.502</v>
      </c>
      <c r="S58" s="108">
        <f>'Monthly Data'!$AP548*42/1000</f>
        <v>1848.672</v>
      </c>
      <c r="T58" s="108">
        <f>'Monthly Data'!$AP560*42/1000</f>
        <v>1909.992</v>
      </c>
      <c r="U58" s="108">
        <f>'Monthly Data'!$AP572*42/1000</f>
        <v>1644.636</v>
      </c>
      <c r="V58" s="108">
        <f>'Monthly Data'!$AP584*42/1000</f>
        <v>1584.3240000000001</v>
      </c>
      <c r="W58" s="108">
        <f>'Monthly Data'!$AP596*42/1000</f>
        <v>1524.768</v>
      </c>
      <c r="X58" s="108">
        <f>'Monthly Data'!$AP608*42/1000</f>
        <v>1504.3140000000001</v>
      </c>
      <c r="Y58" s="108">
        <f>'Monthly Data'!$AP620*42/1000</f>
        <v>1835.19</v>
      </c>
      <c r="Z58" s="133">
        <f t="shared" si="41"/>
        <v>1512.7751716593023</v>
      </c>
      <c r="AA58" s="133">
        <f t="shared" si="41"/>
        <v>1524.4268576198908</v>
      </c>
      <c r="AB58" s="133">
        <f t="shared" si="41"/>
        <v>1724.4013081384062</v>
      </c>
      <c r="AC58" s="133">
        <f t="shared" si="41"/>
        <v>1799.2427569982838</v>
      </c>
      <c r="AD58" s="133">
        <f t="shared" si="41"/>
        <v>1827.6426515473888</v>
      </c>
      <c r="AE58" s="133">
        <f t="shared" si="41"/>
        <v>1720.2918814401712</v>
      </c>
      <c r="AF58" s="133">
        <f t="shared" si="41"/>
        <v>1728.0630142744433</v>
      </c>
      <c r="AG58" s="133">
        <f t="shared" si="41"/>
        <v>1670.6902153375784</v>
      </c>
      <c r="AH58" s="133">
        <f t="shared" si="41"/>
        <v>1668.113523667377</v>
      </c>
      <c r="AI58" s="133">
        <f t="shared" si="41"/>
        <v>1676.0596927649149</v>
      </c>
      <c r="AJ58" s="133">
        <f t="shared" si="41"/>
        <v>1703.0843614915138</v>
      </c>
      <c r="AK58" s="133">
        <f t="shared" si="42"/>
        <v>1712.5653381015331</v>
      </c>
      <c r="AL58" s="133">
        <f t="shared" si="43"/>
        <v>1719.3415219925748</v>
      </c>
      <c r="AM58" s="133">
        <f t="shared" si="43"/>
        <v>1718.0164303304791</v>
      </c>
      <c r="AN58" s="133">
        <f t="shared" si="43"/>
        <v>1712.762957788445</v>
      </c>
      <c r="AO58" s="133">
        <f t="shared" si="43"/>
        <v>1706.4270498184369</v>
      </c>
      <c r="AP58" s="133">
        <f t="shared" si="43"/>
        <v>1702.0446126456188</v>
      </c>
      <c r="AQ58" s="133">
        <f t="shared" si="43"/>
        <v>1697.8655375815229</v>
      </c>
      <c r="AR58" s="133">
        <f t="shared" si="43"/>
        <v>1701.0621681921557</v>
      </c>
      <c r="AS58" s="133">
        <f t="shared" si="43"/>
        <v>1705.0952828992054</v>
      </c>
      <c r="AT58" s="133">
        <f t="shared" si="43"/>
        <v>1708.3504289283283</v>
      </c>
      <c r="AU58" s="133">
        <f t="shared" si="43"/>
        <v>1708.2718517391488</v>
      </c>
      <c r="AV58" s="133">
        <f t="shared" si="43"/>
        <v>1707.7184880380794</v>
      </c>
      <c r="AW58" s="133">
        <f t="shared" si="43"/>
        <v>1706.7290184839371</v>
      </c>
      <c r="AX58" s="133">
        <f t="shared" si="43"/>
        <v>1705.7085481913068</v>
      </c>
      <c r="AY58" s="133">
        <f t="shared" si="43"/>
        <v>1704.9835613769226</v>
      </c>
    </row>
    <row r="59" spans="1:51" x14ac:dyDescent="0.2">
      <c r="A59" s="19" t="s">
        <v>168</v>
      </c>
      <c r="B59" s="108">
        <f>'Monthly Data'!$AP345*42/1000</f>
        <v>146.958</v>
      </c>
      <c r="C59" s="108">
        <f>'Monthly Data'!$AP357*42/1000</f>
        <v>57.834000000000003</v>
      </c>
      <c r="D59" s="108">
        <f>'Monthly Data'!$AP369*42/1000</f>
        <v>134.02199999999999</v>
      </c>
      <c r="E59" s="108">
        <f>'Monthly Data'!$AP381*42/1000</f>
        <v>147.54599999999999</v>
      </c>
      <c r="F59" s="108">
        <f>'Monthly Data'!$AP393*42/1000</f>
        <v>246.12</v>
      </c>
      <c r="G59" s="108">
        <f>'Monthly Data'!$AP405*42/1000</f>
        <v>300.846</v>
      </c>
      <c r="H59" s="108">
        <f>'Monthly Data'!$AP417*42/1000</f>
        <v>318.48599999999999</v>
      </c>
      <c r="I59" s="108">
        <f>'Monthly Data'!$AP429*42/1000</f>
        <v>936.68399999999997</v>
      </c>
      <c r="J59" s="108">
        <f>'Monthly Data'!$AP441*42/1000</f>
        <v>809.63400000000001</v>
      </c>
      <c r="K59" s="108">
        <f>'Monthly Data'!$AP453*42/1000</f>
        <v>1003.506</v>
      </c>
      <c r="L59" s="108">
        <f>'Monthly Data'!$AP465*42/1000</f>
        <v>1237.4880000000001</v>
      </c>
      <c r="M59" s="108">
        <f>'Monthly Data'!$AP477*42/1000</f>
        <v>1361.85</v>
      </c>
      <c r="N59" s="108">
        <f>'Monthly Data'!$AP489*42/1000</f>
        <v>1758.5820000000001</v>
      </c>
      <c r="O59" s="108">
        <f>'Monthly Data'!$AP501*42/1000</f>
        <v>1571.3040000000001</v>
      </c>
      <c r="P59" s="108">
        <f>'Monthly Data'!$AP513*42/1000</f>
        <v>1729.3920000000001</v>
      </c>
      <c r="Q59" s="108">
        <f>'Monthly Data'!$AP525*42/1000</f>
        <v>1761.9</v>
      </c>
      <c r="R59" s="108">
        <f>'Monthly Data'!$AP537*42/1000</f>
        <v>2279.0459999999998</v>
      </c>
      <c r="S59" s="108">
        <f>'Monthly Data'!$AP549*42/1000</f>
        <v>1695.7919999999999</v>
      </c>
      <c r="T59" s="108">
        <f>'Monthly Data'!$AP561*42/1000</f>
        <v>1788.864</v>
      </c>
      <c r="U59" s="108">
        <f>'Monthly Data'!$AP573*42/1000</f>
        <v>1785.84</v>
      </c>
      <c r="V59" s="108">
        <f>'Monthly Data'!$AP585*42/1000</f>
        <v>1668.4079999999999</v>
      </c>
      <c r="W59" s="108">
        <f>'Monthly Data'!$AP597*42/1000</f>
        <v>1994.6220000000001</v>
      </c>
      <c r="X59" s="108">
        <f>'Monthly Data'!$AP609*42/1000</f>
        <v>1588.566</v>
      </c>
      <c r="Y59" s="108">
        <f>'Monthly Data'!$AP621*42/1000</f>
        <v>1749.8879999999999</v>
      </c>
      <c r="Z59" s="133">
        <f t="shared" si="41"/>
        <v>1642.5138402712178</v>
      </c>
      <c r="AA59" s="133">
        <f t="shared" si="41"/>
        <v>1655.1347978631434</v>
      </c>
      <c r="AB59" s="133">
        <f t="shared" si="41"/>
        <v>1883.5514488856631</v>
      </c>
      <c r="AC59" s="133">
        <f t="shared" si="41"/>
        <v>1892.2013089988297</v>
      </c>
      <c r="AD59" s="133">
        <f t="shared" si="41"/>
        <v>1920.6468202101908</v>
      </c>
      <c r="AE59" s="133">
        <f t="shared" si="41"/>
        <v>1844.4786178089514</v>
      </c>
      <c r="AF59" s="133">
        <f t="shared" si="41"/>
        <v>1848.6830906670109</v>
      </c>
      <c r="AG59" s="133">
        <f t="shared" si="41"/>
        <v>1782.6917116355119</v>
      </c>
      <c r="AH59" s="133">
        <f t="shared" si="41"/>
        <v>1771.6363784289554</v>
      </c>
      <c r="AI59" s="133">
        <f t="shared" si="41"/>
        <v>1783.7142998232305</v>
      </c>
      <c r="AJ59" s="133">
        <f t="shared" si="41"/>
        <v>1817.3822144480666</v>
      </c>
      <c r="AK59" s="133">
        <f t="shared" si="42"/>
        <v>1825.7285114099864</v>
      </c>
      <c r="AL59" s="133">
        <f t="shared" si="43"/>
        <v>1831.6405213615128</v>
      </c>
      <c r="AM59" s="133">
        <f t="shared" si="43"/>
        <v>1829.6453133943323</v>
      </c>
      <c r="AN59" s="133">
        <f t="shared" si="43"/>
        <v>1825.0271699096008</v>
      </c>
      <c r="AO59" s="133">
        <f t="shared" si="43"/>
        <v>1818.715012677299</v>
      </c>
      <c r="AP59" s="133">
        <f t="shared" si="43"/>
        <v>1813.6012932297826</v>
      </c>
      <c r="AQ59" s="133">
        <f t="shared" si="43"/>
        <v>1808.9664071650934</v>
      </c>
      <c r="AR59" s="133">
        <f t="shared" si="43"/>
        <v>1812.4134897697268</v>
      </c>
      <c r="AS59" s="133">
        <f t="shared" si="43"/>
        <v>1816.8771679782412</v>
      </c>
      <c r="AT59" s="133">
        <f t="shared" si="43"/>
        <v>1820.3497968244642</v>
      </c>
      <c r="AU59" s="133">
        <f t="shared" si="43"/>
        <v>1820.1828673661837</v>
      </c>
      <c r="AV59" s="133">
        <f t="shared" si="43"/>
        <v>1819.5825057039253</v>
      </c>
      <c r="AW59" s="133">
        <f t="shared" si="43"/>
        <v>1818.5517758872293</v>
      </c>
      <c r="AX59" s="133">
        <f t="shared" si="43"/>
        <v>1817.4844579394266</v>
      </c>
      <c r="AY59" s="133">
        <f t="shared" si="43"/>
        <v>1816.702742633473</v>
      </c>
    </row>
    <row r="60" spans="1:51" x14ac:dyDescent="0.2">
      <c r="A60" s="19" t="s">
        <v>169</v>
      </c>
      <c r="B60" s="108">
        <f>'Monthly Data'!$AP346*42/1000</f>
        <v>181.65</v>
      </c>
      <c r="C60" s="108">
        <f>'Monthly Data'!$AP358*42/1000</f>
        <v>154.77000000000001</v>
      </c>
      <c r="D60" s="108">
        <f>'Monthly Data'!$AP370*42/1000</f>
        <v>104.202</v>
      </c>
      <c r="E60" s="108">
        <f>'Monthly Data'!$AP382*42/1000</f>
        <v>156.744</v>
      </c>
      <c r="F60" s="108">
        <f>'Monthly Data'!$AP394*42/1000</f>
        <v>212.60400000000001</v>
      </c>
      <c r="G60" s="108">
        <f>'Monthly Data'!$AP406*42/1000</f>
        <v>248.136</v>
      </c>
      <c r="H60" s="108">
        <f>'Monthly Data'!$AP418*42/1000</f>
        <v>409.45800000000003</v>
      </c>
      <c r="I60" s="108">
        <f>'Monthly Data'!$AP430*42/1000</f>
        <v>1105.818</v>
      </c>
      <c r="J60" s="108">
        <f>'Monthly Data'!$AP442*42/1000</f>
        <v>803.04</v>
      </c>
      <c r="K60" s="108">
        <f>'Monthly Data'!$AP454*42/1000</f>
        <v>912.82799999999997</v>
      </c>
      <c r="L60" s="108">
        <f>'Monthly Data'!$AP466*42/1000</f>
        <v>1087.212</v>
      </c>
      <c r="M60" s="108">
        <f>'Monthly Data'!$AP478*42/1000</f>
        <v>1274.7840000000001</v>
      </c>
      <c r="N60" s="108">
        <f>'Monthly Data'!$AP490*42/1000</f>
        <v>1703.0160000000001</v>
      </c>
      <c r="O60" s="108">
        <f>'Monthly Data'!$AP502*42/1000</f>
        <v>1681.3440000000001</v>
      </c>
      <c r="P60" s="108">
        <f>'Monthly Data'!$AP514*42/1000</f>
        <v>1388.1420000000001</v>
      </c>
      <c r="Q60" s="108">
        <f>'Monthly Data'!$AP526*42/1000</f>
        <v>1577.394</v>
      </c>
      <c r="R60" s="108">
        <f>'Monthly Data'!$AP538*42/1000</f>
        <v>1797.39</v>
      </c>
      <c r="S60" s="108">
        <f>'Monthly Data'!$AP550*42/1000</f>
        <v>1663.41</v>
      </c>
      <c r="T60" s="108">
        <f>'Monthly Data'!$AP562*42/1000</f>
        <v>1992.06</v>
      </c>
      <c r="U60" s="108">
        <f>'Monthly Data'!$AP574*42/1000</f>
        <v>1752.0719999999999</v>
      </c>
      <c r="V60" s="108">
        <f>'Monthly Data'!$AP586*42/1000</f>
        <v>1509.732</v>
      </c>
      <c r="W60" s="108">
        <f>'Monthly Data'!$AP598*42/1000</f>
        <v>1771.8119999999999</v>
      </c>
      <c r="X60" s="108">
        <f>'Monthly Data'!$AP610*42/1000</f>
        <v>1489.2360000000001</v>
      </c>
      <c r="Y60" s="108">
        <f>'Monthly Data'!$AP622*42/1000</f>
        <v>1973.2439999999999</v>
      </c>
      <c r="Z60" s="133">
        <f t="shared" si="41"/>
        <v>1588.0779254609172</v>
      </c>
      <c r="AA60" s="133">
        <f t="shared" si="41"/>
        <v>1595.413614279681</v>
      </c>
      <c r="AB60" s="133">
        <f t="shared" si="41"/>
        <v>1837.0796251137976</v>
      </c>
      <c r="AC60" s="133">
        <f t="shared" si="41"/>
        <v>1884.0718595484695</v>
      </c>
      <c r="AD60" s="133">
        <f t="shared" si="41"/>
        <v>1932.5315897830992</v>
      </c>
      <c r="AE60" s="133">
        <f t="shared" si="41"/>
        <v>1812.3073421263259</v>
      </c>
      <c r="AF60" s="133">
        <f t="shared" si="41"/>
        <v>1821.6225249889712</v>
      </c>
      <c r="AG60" s="133">
        <f t="shared" si="41"/>
        <v>1763.3359117086088</v>
      </c>
      <c r="AH60" s="133">
        <f t="shared" si="41"/>
        <v>1757.3635910265089</v>
      </c>
      <c r="AI60" s="133">
        <f t="shared" si="41"/>
        <v>1767.9600143984919</v>
      </c>
      <c r="AJ60" s="133">
        <f t="shared" si="41"/>
        <v>1795.5252784836503</v>
      </c>
      <c r="AK60" s="133">
        <f t="shared" si="42"/>
        <v>1805.7965201125419</v>
      </c>
      <c r="AL60" s="133">
        <f t="shared" si="43"/>
        <v>1813.0466992584347</v>
      </c>
      <c r="AM60" s="133">
        <f t="shared" si="43"/>
        <v>1811.3268150181366</v>
      </c>
      <c r="AN60" s="133">
        <f t="shared" si="43"/>
        <v>1806.0591008550684</v>
      </c>
      <c r="AO60" s="133">
        <f t="shared" si="43"/>
        <v>1799.257853279569</v>
      </c>
      <c r="AP60" s="133">
        <f t="shared" si="43"/>
        <v>1794.6783309516188</v>
      </c>
      <c r="AQ60" s="133">
        <f t="shared" si="43"/>
        <v>1790.2668754160782</v>
      </c>
      <c r="AR60" s="133">
        <f t="shared" si="43"/>
        <v>1793.6105594600556</v>
      </c>
      <c r="AS60" s="133">
        <f t="shared" si="43"/>
        <v>1797.8952056092148</v>
      </c>
      <c r="AT60" s="133">
        <f t="shared" si="43"/>
        <v>1801.3116776046718</v>
      </c>
      <c r="AU60" s="133">
        <f t="shared" si="43"/>
        <v>1801.2339974935821</v>
      </c>
      <c r="AV60" s="133">
        <f t="shared" si="43"/>
        <v>1800.6484256712904</v>
      </c>
      <c r="AW60" s="133">
        <f t="shared" si="43"/>
        <v>1799.6035961831719</v>
      </c>
      <c r="AX60" s="133">
        <f t="shared" si="43"/>
        <v>1798.5311550899028</v>
      </c>
      <c r="AY60" s="133">
        <f t="shared" si="43"/>
        <v>1797.7645805413642</v>
      </c>
    </row>
    <row r="61" spans="1:51" x14ac:dyDescent="0.2">
      <c r="A61" s="19" t="s">
        <v>170</v>
      </c>
      <c r="B61" s="108">
        <f>'Monthly Data'!$AP347*42/1000</f>
        <v>190.97399999999999</v>
      </c>
      <c r="C61" s="108">
        <f>'Monthly Data'!$AP359*42/1000</f>
        <v>159.55799999999999</v>
      </c>
      <c r="D61" s="108">
        <f>'Monthly Data'!$AP371*42/1000</f>
        <v>53.802</v>
      </c>
      <c r="E61" s="108">
        <f>'Monthly Data'!$AP383*42/1000</f>
        <v>110.586</v>
      </c>
      <c r="F61" s="108">
        <f>'Monthly Data'!$AP395*42/1000</f>
        <v>135.786</v>
      </c>
      <c r="G61" s="108">
        <f>'Monthly Data'!$AP407*42/1000</f>
        <v>574.22400000000005</v>
      </c>
      <c r="H61" s="108">
        <f>'Monthly Data'!$AP419*42/1000</f>
        <v>350.49</v>
      </c>
      <c r="I61" s="108">
        <f>'Monthly Data'!$AP431*42/1000</f>
        <v>393.96</v>
      </c>
      <c r="J61" s="108">
        <f>'Monthly Data'!$AP443*42/1000</f>
        <v>765.19799999999998</v>
      </c>
      <c r="K61" s="108">
        <f>'Monthly Data'!$AP455*42/1000</f>
        <v>963.31200000000001</v>
      </c>
      <c r="L61" s="108">
        <f>'Monthly Data'!$AP467*42/1000</f>
        <v>1172.8499999999999</v>
      </c>
      <c r="M61" s="108">
        <f>'Monthly Data'!$AP479*42/1000</f>
        <v>1264.1579999999999</v>
      </c>
      <c r="N61" s="108">
        <f>'Monthly Data'!$AP491*42/1000</f>
        <v>1702.806</v>
      </c>
      <c r="O61" s="108">
        <f>'Monthly Data'!$AP503*42/1000</f>
        <v>1382.1780000000001</v>
      </c>
      <c r="P61" s="108">
        <f>'Monthly Data'!$AP515*42/1000</f>
        <v>1608.768</v>
      </c>
      <c r="Q61" s="108">
        <f>'Monthly Data'!$AP527*42/1000</f>
        <v>1526.28</v>
      </c>
      <c r="R61" s="108">
        <f>'Monthly Data'!$AP539*42/1000</f>
        <v>1507.17</v>
      </c>
      <c r="S61" s="108">
        <f>'Monthly Data'!$AP551*42/1000</f>
        <v>1635.69</v>
      </c>
      <c r="T61" s="108">
        <f>'Monthly Data'!$AP563*42/1000</f>
        <v>1798.0619999999999</v>
      </c>
      <c r="U61" s="108">
        <f>'Monthly Data'!$AP575*42/1000</f>
        <v>1491.5039999999999</v>
      </c>
      <c r="V61" s="108">
        <f>'Monthly Data'!$AP587*42/1000</f>
        <v>1174.53</v>
      </c>
      <c r="W61" s="108">
        <f>'Monthly Data'!$AP599*42/1000</f>
        <v>1649.55</v>
      </c>
      <c r="X61" s="108">
        <f>'Monthly Data'!$AP611*42/1000</f>
        <v>1317.162</v>
      </c>
      <c r="Y61" s="108">
        <f>'Monthly Data'!$AP623*42/1000</f>
        <v>1839.0540000000001</v>
      </c>
      <c r="Z61" s="133">
        <f t="shared" si="41"/>
        <v>1396.6180047234498</v>
      </c>
      <c r="AA61" s="133">
        <f t="shared" si="41"/>
        <v>1412.516210170483</v>
      </c>
      <c r="AB61" s="133">
        <f t="shared" si="41"/>
        <v>1661.8600331088358</v>
      </c>
      <c r="AC61" s="133">
        <f t="shared" si="41"/>
        <v>1693.9909845950306</v>
      </c>
      <c r="AD61" s="133">
        <f t="shared" si="41"/>
        <v>1742.3130774632627</v>
      </c>
      <c r="AE61" s="133">
        <f t="shared" si="41"/>
        <v>1621.6104591508968</v>
      </c>
      <c r="AF61" s="133">
        <f t="shared" si="41"/>
        <v>1634.8420163050812</v>
      </c>
      <c r="AG61" s="133">
        <f t="shared" si="41"/>
        <v>1586.1982535482391</v>
      </c>
      <c r="AH61" s="133">
        <f t="shared" si="41"/>
        <v>1579.047125729646</v>
      </c>
      <c r="AI61" s="133">
        <f t="shared" si="41"/>
        <v>1588.3558076447657</v>
      </c>
      <c r="AJ61" s="133">
        <f t="shared" si="41"/>
        <v>1611.8923793804108</v>
      </c>
      <c r="AK61" s="133">
        <f t="shared" si="42"/>
        <v>1622.1974757278833</v>
      </c>
      <c r="AL61" s="133">
        <f t="shared" si="43"/>
        <v>1629.0311941180389</v>
      </c>
      <c r="AM61" s="133">
        <f t="shared" si="43"/>
        <v>1627.1145874246206</v>
      </c>
      <c r="AN61" s="133">
        <f t="shared" si="43"/>
        <v>1622.3007296952997</v>
      </c>
      <c r="AO61" s="133">
        <f t="shared" si="43"/>
        <v>1616.1361457059272</v>
      </c>
      <c r="AP61" s="133">
        <f t="shared" si="43"/>
        <v>1612.1997009908416</v>
      </c>
      <c r="AQ61" s="133">
        <f t="shared" si="43"/>
        <v>1608.2347967253636</v>
      </c>
      <c r="AR61" s="133">
        <f t="shared" si="43"/>
        <v>1611.1721877009411</v>
      </c>
      <c r="AS61" s="133">
        <f t="shared" si="43"/>
        <v>1615.0153813748166</v>
      </c>
      <c r="AT61" s="133">
        <f t="shared" si="43"/>
        <v>1618.0939918507315</v>
      </c>
      <c r="AU61" s="133">
        <f t="shared" si="43"/>
        <v>1618.0468690058694</v>
      </c>
      <c r="AV61" s="133">
        <f t="shared" si="43"/>
        <v>1617.5124765064445</v>
      </c>
      <c r="AW61" s="133">
        <f t="shared" si="43"/>
        <v>1616.5643066133782</v>
      </c>
      <c r="AX61" s="133">
        <f t="shared" si="43"/>
        <v>1615.6026707807057</v>
      </c>
      <c r="AY61" s="133">
        <f t="shared" si="43"/>
        <v>1614.917264487402</v>
      </c>
    </row>
    <row r="62" spans="1:51" x14ac:dyDescent="0.2">
      <c r="A62" s="19" t="s">
        <v>171</v>
      </c>
      <c r="B62" s="108">
        <f>'Monthly Data'!$AP348*42/1000</f>
        <v>129.36000000000001</v>
      </c>
      <c r="C62" s="108">
        <f>'Monthly Data'!$AP360*42/1000</f>
        <v>125.37</v>
      </c>
      <c r="D62" s="108">
        <f>'Monthly Data'!$AP372*42/1000</f>
        <v>80.682000000000002</v>
      </c>
      <c r="E62" s="108">
        <f>'Monthly Data'!$AP384*42/1000</f>
        <v>131.41800000000001</v>
      </c>
      <c r="F62" s="108">
        <f>'Monthly Data'!$AP396*42/1000</f>
        <v>142.29599999999999</v>
      </c>
      <c r="G62" s="108">
        <f>'Monthly Data'!$AP408*42/1000</f>
        <v>378.63</v>
      </c>
      <c r="H62" s="108">
        <f>'Monthly Data'!$AP420*42/1000</f>
        <v>360.90600000000001</v>
      </c>
      <c r="I62" s="108">
        <f>'Monthly Data'!$AP432*42/1000</f>
        <v>549.27599999999995</v>
      </c>
      <c r="J62" s="108">
        <f>'Monthly Data'!$AP444*42/1000</f>
        <v>725.76</v>
      </c>
      <c r="K62" s="108">
        <f>'Monthly Data'!$AP456*42/1000</f>
        <v>1138.4939999999999</v>
      </c>
      <c r="L62" s="108">
        <f>'Monthly Data'!$AP468*42/1000</f>
        <v>1388.6880000000001</v>
      </c>
      <c r="M62" s="108">
        <f>'Monthly Data'!$AP480*42/1000</f>
        <v>1363.7819999999999</v>
      </c>
      <c r="N62" s="108">
        <f>'Monthly Data'!$AP492*42/1000</f>
        <v>1762.2360000000001</v>
      </c>
      <c r="O62" s="108">
        <f>'Monthly Data'!$AP504*42/1000</f>
        <v>1209.7260000000001</v>
      </c>
      <c r="P62" s="108">
        <f>'Monthly Data'!$AP516*42/1000</f>
        <v>1496.88</v>
      </c>
      <c r="Q62" s="108">
        <f>'Monthly Data'!$AP528*42/1000</f>
        <v>1307.838</v>
      </c>
      <c r="R62" s="108">
        <f>'Monthly Data'!$AP540*42/1000</f>
        <v>1839.768</v>
      </c>
      <c r="S62" s="108">
        <f>'Monthly Data'!$AP552*42/1000</f>
        <v>1737.33</v>
      </c>
      <c r="T62" s="108">
        <f>'Monthly Data'!$AP564*42/1000</f>
        <v>1568.7840000000001</v>
      </c>
      <c r="U62" s="108">
        <f>'Monthly Data'!$AP576*42/1000</f>
        <v>1367.4780000000001</v>
      </c>
      <c r="V62" s="108">
        <f>'Monthly Data'!$AP588*42/1000</f>
        <v>1337.952</v>
      </c>
      <c r="W62" s="108">
        <f>'Monthly Data'!$AP600*42/1000</f>
        <v>1329.72</v>
      </c>
      <c r="X62" s="108">
        <f>'Monthly Data'!$AP612*42/1000</f>
        <v>1389.9059999999999</v>
      </c>
      <c r="Y62" s="108">
        <f>'Monthly Data'!$AP624*42/1000</f>
        <v>1709.4839999999999</v>
      </c>
      <c r="Z62" s="133">
        <f t="shared" si="41"/>
        <v>1333.577855325309</v>
      </c>
      <c r="AA62" s="133">
        <f t="shared" si="41"/>
        <v>1359.6158084271437</v>
      </c>
      <c r="AB62" s="133">
        <f t="shared" si="41"/>
        <v>1554.3567832056879</v>
      </c>
      <c r="AC62" s="133">
        <f t="shared" si="41"/>
        <v>1631.7435178560395</v>
      </c>
      <c r="AD62" s="133">
        <f t="shared" si="41"/>
        <v>1651.9193254590573</v>
      </c>
      <c r="AE62" s="133">
        <f t="shared" si="41"/>
        <v>1544.4838126397954</v>
      </c>
      <c r="AF62" s="133">
        <f t="shared" si="41"/>
        <v>1556.4054714412046</v>
      </c>
      <c r="AG62" s="133">
        <f t="shared" si="41"/>
        <v>1507.2724574044594</v>
      </c>
      <c r="AH62" s="133">
        <f t="shared" si="41"/>
        <v>1505.2096843003262</v>
      </c>
      <c r="AI62" s="133">
        <f t="shared" si="41"/>
        <v>1510.782477537736</v>
      </c>
      <c r="AJ62" s="133">
        <f t="shared" si="41"/>
        <v>1534.2363602020139</v>
      </c>
      <c r="AK62" s="133">
        <f t="shared" si="42"/>
        <v>1543.8427172861832</v>
      </c>
      <c r="AL62" s="133">
        <f t="shared" si="43"/>
        <v>1550.2384774309473</v>
      </c>
      <c r="AM62" s="133">
        <f t="shared" si="43"/>
        <v>1548.8613044275137</v>
      </c>
      <c r="AN62" s="133">
        <f t="shared" si="43"/>
        <v>1543.8564225826019</v>
      </c>
      <c r="AO62" s="133">
        <f t="shared" si="43"/>
        <v>1538.1433916476383</v>
      </c>
      <c r="AP62" s="133">
        <f t="shared" si="43"/>
        <v>1534.3707091022313</v>
      </c>
      <c r="AQ62" s="133">
        <f t="shared" si="43"/>
        <v>1530.6057656481155</v>
      </c>
      <c r="AR62" s="133">
        <f t="shared" si="43"/>
        <v>1533.4332203974384</v>
      </c>
      <c r="AS62" s="133">
        <f t="shared" si="43"/>
        <v>1537.0399675568847</v>
      </c>
      <c r="AT62" s="133">
        <f t="shared" si="43"/>
        <v>1539.9934476403255</v>
      </c>
      <c r="AU62" s="133">
        <f t="shared" si="43"/>
        <v>1539.9459327048605</v>
      </c>
      <c r="AV62" s="133">
        <f t="shared" si="43"/>
        <v>1539.4393970419658</v>
      </c>
      <c r="AW62" s="133">
        <f t="shared" si="43"/>
        <v>1538.5377452674127</v>
      </c>
      <c r="AX62" s="133">
        <f t="shared" si="43"/>
        <v>1537.6170628782675</v>
      </c>
      <c r="AY62" s="133">
        <f t="shared" si="43"/>
        <v>1536.9683672092451</v>
      </c>
    </row>
    <row r="63" spans="1:51" x14ac:dyDescent="0.2">
      <c r="A63" s="19" t="s">
        <v>172</v>
      </c>
      <c r="B63" s="108">
        <f>'Monthly Data'!$AP349*42/1000</f>
        <v>166.19399999999999</v>
      </c>
      <c r="C63" s="108">
        <f>'Monthly Data'!$AP361*42/1000</f>
        <v>143.09399999999999</v>
      </c>
      <c r="D63" s="108">
        <f>'Monthly Data'!$AP373*42/1000</f>
        <v>102.27</v>
      </c>
      <c r="E63" s="108">
        <f>'Monthly Data'!$AP385*42/1000</f>
        <v>128.352</v>
      </c>
      <c r="F63" s="108">
        <f>'Monthly Data'!$AP397*42/1000</f>
        <v>115.584</v>
      </c>
      <c r="G63" s="108">
        <f>'Monthly Data'!$AP409*42/1000</f>
        <v>316.89</v>
      </c>
      <c r="H63" s="108">
        <f>'Monthly Data'!$AP421*42/1000</f>
        <v>550.41</v>
      </c>
      <c r="I63" s="108">
        <f>'Monthly Data'!$AP433*42/1000</f>
        <v>685.35599999999999</v>
      </c>
      <c r="J63" s="108">
        <f>'Monthly Data'!$AP445*42/1000</f>
        <v>740.62800000000004</v>
      </c>
      <c r="K63" s="108">
        <f>'Monthly Data'!$AP457*42/1000</f>
        <v>996.95399999999995</v>
      </c>
      <c r="L63" s="108">
        <f>'Monthly Data'!$AP469*42/1000</f>
        <v>1188.0119999999999</v>
      </c>
      <c r="M63" s="108">
        <f>'Monthly Data'!$AP481*42/1000</f>
        <v>1336.7760000000001</v>
      </c>
      <c r="N63" s="108">
        <f>'Monthly Data'!$AP493*42/1000</f>
        <v>1597.2180000000001</v>
      </c>
      <c r="O63" s="108">
        <f>'Monthly Data'!$AP505*42/1000</f>
        <v>1387.26</v>
      </c>
      <c r="P63" s="108">
        <f>'Monthly Data'!$AP517*42/1000</f>
        <v>1484.3219999999999</v>
      </c>
      <c r="Q63" s="108">
        <f>'Monthly Data'!$AP529*42/1000</f>
        <v>1467.354</v>
      </c>
      <c r="R63" s="108">
        <f>'Monthly Data'!$AP541*42/1000</f>
        <v>1711.164</v>
      </c>
      <c r="S63" s="108">
        <f>'Monthly Data'!$AP553*42/1000</f>
        <v>1753.5419999999999</v>
      </c>
      <c r="T63" s="108">
        <f>'Monthly Data'!$AP565*42/1000</f>
        <v>1445.9760000000001</v>
      </c>
      <c r="U63" s="108">
        <f>'Monthly Data'!$AP577*42/1000</f>
        <v>1253.616</v>
      </c>
      <c r="V63" s="108">
        <f>'Monthly Data'!$AP589*42/1000</f>
        <v>1420.566</v>
      </c>
      <c r="W63" s="108">
        <f>'Monthly Data'!$AP601*42/1000</f>
        <v>1473.4860000000001</v>
      </c>
      <c r="X63" s="108">
        <f>'Monthly Data'!$AP613*42/1000</f>
        <v>1417.08</v>
      </c>
      <c r="Y63" s="108">
        <f>'Monthly Data'!$AP625*42/1000</f>
        <v>1756.566</v>
      </c>
      <c r="Z63" s="133">
        <f t="shared" si="41"/>
        <v>1368.4893801538929</v>
      </c>
      <c r="AA63" s="133">
        <f t="shared" si="41"/>
        <v>1423.8657532956177</v>
      </c>
      <c r="AB63" s="133">
        <f t="shared" si="41"/>
        <v>1623.5782459402024</v>
      </c>
      <c r="AC63" s="133">
        <f t="shared" si="41"/>
        <v>1685.6332299114372</v>
      </c>
      <c r="AD63" s="133">
        <f t="shared" si="41"/>
        <v>1710.5522364090452</v>
      </c>
      <c r="AE63" s="133">
        <f t="shared" si="41"/>
        <v>1602.0912746158501</v>
      </c>
      <c r="AF63" s="133">
        <f t="shared" si="41"/>
        <v>1617.4387633713634</v>
      </c>
      <c r="AG63" s="133">
        <f t="shared" si="41"/>
        <v>1564.3031905340224</v>
      </c>
      <c r="AH63" s="133">
        <f t="shared" si="41"/>
        <v>1560.1770192595629</v>
      </c>
      <c r="AI63" s="133">
        <f t="shared" si="41"/>
        <v>1567.0619755475459</v>
      </c>
      <c r="AJ63" s="133">
        <f t="shared" si="41"/>
        <v>1591.9739825718332</v>
      </c>
      <c r="AK63" s="133">
        <f t="shared" si="42"/>
        <v>1602.0464408057796</v>
      </c>
      <c r="AL63" s="133">
        <f t="shared" si="43"/>
        <v>1608.2028467525056</v>
      </c>
      <c r="AM63" s="133">
        <f t="shared" si="43"/>
        <v>1606.6378420221067</v>
      </c>
      <c r="AN63" s="133">
        <f t="shared" si="43"/>
        <v>1601.6834041416187</v>
      </c>
      <c r="AO63" s="133">
        <f t="shared" si="43"/>
        <v>1595.8178743301705</v>
      </c>
      <c r="AP63" s="133">
        <f t="shared" si="43"/>
        <v>1591.8620911113806</v>
      </c>
      <c r="AQ63" s="133">
        <f t="shared" si="43"/>
        <v>1587.8851705130483</v>
      </c>
      <c r="AR63" s="133">
        <f t="shared" si="43"/>
        <v>1590.8283481327016</v>
      </c>
      <c r="AS63" s="133">
        <f t="shared" si="43"/>
        <v>1594.6093273828506</v>
      </c>
      <c r="AT63" s="133">
        <f t="shared" si="43"/>
        <v>1597.6729648644421</v>
      </c>
      <c r="AU63" s="133">
        <f t="shared" si="43"/>
        <v>1597.6107779850777</v>
      </c>
      <c r="AV63" s="133">
        <f t="shared" si="43"/>
        <v>1597.0781983724944</v>
      </c>
      <c r="AW63" s="133">
        <f t="shared" si="43"/>
        <v>1596.1485201341716</v>
      </c>
      <c r="AX63" s="133">
        <f t="shared" si="43"/>
        <v>1595.198259766767</v>
      </c>
      <c r="AY63" s="133">
        <f t="shared" si="43"/>
        <v>1594.5233194026716</v>
      </c>
    </row>
    <row r="64" spans="1:51" x14ac:dyDescent="0.2">
      <c r="A64" s="19" t="s">
        <v>173</v>
      </c>
      <c r="B64" s="108">
        <f>'Monthly Data'!$AP350*42/1000</f>
        <v>262.54199999999997</v>
      </c>
      <c r="C64" s="108">
        <f>'Monthly Data'!$AP362*42/1000</f>
        <v>222.97800000000001</v>
      </c>
      <c r="D64" s="108">
        <f>'Monthly Data'!$AP374*42/1000</f>
        <v>129.61199999999999</v>
      </c>
      <c r="E64" s="108">
        <f>'Monthly Data'!$AP386*42/1000</f>
        <v>229.65600000000001</v>
      </c>
      <c r="F64" s="108">
        <f>'Monthly Data'!$AP398*42/1000</f>
        <v>84.126000000000005</v>
      </c>
      <c r="G64" s="108">
        <f>'Monthly Data'!$AP410*42/1000</f>
        <v>193.78800000000001</v>
      </c>
      <c r="H64" s="108">
        <f>'Monthly Data'!$AP422*42/1000</f>
        <v>523.44600000000003</v>
      </c>
      <c r="I64" s="108">
        <f>'Monthly Data'!$AP434*42/1000</f>
        <v>863.52</v>
      </c>
      <c r="J64" s="108">
        <f>'Monthly Data'!$AP446*42/1000</f>
        <v>528.40200000000004</v>
      </c>
      <c r="K64" s="108">
        <f>'Monthly Data'!$AP458*42/1000</f>
        <v>831.22199999999998</v>
      </c>
      <c r="L64" s="108">
        <f>'Monthly Data'!$AP470*42/1000</f>
        <v>1468.6980000000001</v>
      </c>
      <c r="M64" s="108">
        <f>'Monthly Data'!$AP482*42/1000</f>
        <v>1332.4079999999999</v>
      </c>
      <c r="N64" s="108">
        <f>'Monthly Data'!$AP494*42/1000</f>
        <v>1667.0219999999999</v>
      </c>
      <c r="O64" s="108">
        <f>'Monthly Data'!$AP506*42/1000</f>
        <v>1483.6079999999999</v>
      </c>
      <c r="P64" s="108">
        <f>'Monthly Data'!$AP518*42/1000</f>
        <v>1692.39</v>
      </c>
      <c r="Q64" s="108">
        <f>'Monthly Data'!$AP530*42/1000</f>
        <v>1601.9639999999999</v>
      </c>
      <c r="R64" s="108">
        <f>'Monthly Data'!$AP542*42/1000</f>
        <v>1833.2159999999999</v>
      </c>
      <c r="S64" s="108">
        <f>'Monthly Data'!$AP554*42/1000</f>
        <v>1803.816</v>
      </c>
      <c r="T64" s="108">
        <f>'Monthly Data'!$AP566*42/1000</f>
        <v>1693.2719999999999</v>
      </c>
      <c r="U64" s="108">
        <f>'Monthly Data'!$AP578*42/1000</f>
        <v>1522.1220000000001</v>
      </c>
      <c r="V64" s="108">
        <f>'Monthly Data'!$AP590*42/1000</f>
        <v>1719.9</v>
      </c>
      <c r="W64" s="108">
        <f>'Monthly Data'!$AP602*42/1000</f>
        <v>1752.87</v>
      </c>
      <c r="X64" s="108">
        <f>'Monthly Data'!$AP614*42/1000</f>
        <v>1704.066</v>
      </c>
      <c r="Y64" s="108">
        <f>'Monthly Data'!$AP626*42/1000</f>
        <v>1918.896</v>
      </c>
      <c r="Z64" s="133">
        <f t="shared" ref="Z64:AH64" si="44">Z65-SUM(Z53:Z63)</f>
        <v>4507.6297576169491</v>
      </c>
      <c r="AA64" s="133">
        <f t="shared" si="44"/>
        <v>4472.7568800993176</v>
      </c>
      <c r="AB64" s="133">
        <f t="shared" si="44"/>
        <v>2055.4687245913883</v>
      </c>
      <c r="AC64" s="133">
        <f t="shared" si="44"/>
        <v>1587.987845476433</v>
      </c>
      <c r="AD64" s="133">
        <f t="shared" si="44"/>
        <v>1960.7469052847664</v>
      </c>
      <c r="AE64" s="133">
        <f t="shared" si="44"/>
        <v>3353.5240530653136</v>
      </c>
      <c r="AF64" s="133">
        <f t="shared" si="44"/>
        <v>3575.4026192454767</v>
      </c>
      <c r="AG64" s="133">
        <f t="shared" si="44"/>
        <v>3630.7571061664312</v>
      </c>
      <c r="AH64" s="133">
        <f t="shared" si="44"/>
        <v>4230.6637094391444</v>
      </c>
      <c r="AI64" s="133">
        <f>AI65-SUM(AI53:AI63)</f>
        <v>4676.026939350897</v>
      </c>
      <c r="AJ64" s="133">
        <f>AJ65-SUM(AJ53:AJ63)</f>
        <v>4553.5643672670994</v>
      </c>
      <c r="AK64" s="133">
        <f t="shared" ref="AK64:AY64" si="45">AK65-SUM(AK53:AK63)</f>
        <v>4705.336106730465</v>
      </c>
      <c r="AL64" s="133">
        <f t="shared" si="45"/>
        <v>3879.4203266308759</v>
      </c>
      <c r="AM64" s="133">
        <f t="shared" si="45"/>
        <v>4073.1109328201601</v>
      </c>
      <c r="AN64" s="133">
        <f t="shared" si="45"/>
        <v>4308.3530551959848</v>
      </c>
      <c r="AO64" s="133">
        <f t="shared" si="45"/>
        <v>4335.4133542126219</v>
      </c>
      <c r="AP64" s="133">
        <f t="shared" si="45"/>
        <v>4416.6889211581511</v>
      </c>
      <c r="AQ64" s="133">
        <f t="shared" si="45"/>
        <v>4619.8119463454968</v>
      </c>
      <c r="AR64" s="133">
        <f t="shared" si="45"/>
        <v>4530.3607910224273</v>
      </c>
      <c r="AS64" s="133">
        <f t="shared" si="45"/>
        <v>4388.4277487913132</v>
      </c>
      <c r="AT64" s="133">
        <f t="shared" si="45"/>
        <v>4327.7801430487416</v>
      </c>
      <c r="AU64" s="133">
        <f t="shared" si="45"/>
        <v>4349.2174973799592</v>
      </c>
      <c r="AV64" s="133">
        <f t="shared" si="45"/>
        <v>4335.6830629891701</v>
      </c>
      <c r="AW64" s="133">
        <f t="shared" si="45"/>
        <v>4362.5628188843511</v>
      </c>
      <c r="AX64" s="133">
        <f t="shared" si="45"/>
        <v>4395.9224587459466</v>
      </c>
      <c r="AY64" s="133">
        <f t="shared" si="45"/>
        <v>4415.0374335041779</v>
      </c>
    </row>
    <row r="65" spans="1:51" x14ac:dyDescent="0.2">
      <c r="A65" s="117" t="s">
        <v>174</v>
      </c>
      <c r="B65" s="130">
        <f>SUM(B53:B64)</f>
        <v>1828.7639999999997</v>
      </c>
      <c r="C65" s="130">
        <f t="shared" ref="C65:Y65" si="46">SUM(C53:C64)</f>
        <v>1720.9920000000002</v>
      </c>
      <c r="D65" s="130">
        <f t="shared" si="46"/>
        <v>1637.16</v>
      </c>
      <c r="E65" s="130">
        <f t="shared" si="46"/>
        <v>1684.242</v>
      </c>
      <c r="F65" s="130">
        <f t="shared" si="46"/>
        <v>2122.3440000000001</v>
      </c>
      <c r="G65" s="130">
        <f t="shared" si="46"/>
        <v>3297.2939999999999</v>
      </c>
      <c r="H65" s="130">
        <f t="shared" si="46"/>
        <v>4104.4920000000002</v>
      </c>
      <c r="I65" s="130">
        <f t="shared" si="46"/>
        <v>8121.7919999999995</v>
      </c>
      <c r="J65" s="130">
        <f t="shared" si="46"/>
        <v>9005.2200000000012</v>
      </c>
      <c r="K65" s="130">
        <f t="shared" si="46"/>
        <v>10055.892</v>
      </c>
      <c r="L65" s="130">
        <f t="shared" si="46"/>
        <v>13093.374000000002</v>
      </c>
      <c r="M65" s="130">
        <f t="shared" si="46"/>
        <v>15482.543999999998</v>
      </c>
      <c r="N65" s="130">
        <f t="shared" si="46"/>
        <v>17383.296000000002</v>
      </c>
      <c r="O65" s="130">
        <f t="shared" si="46"/>
        <v>16878.792000000001</v>
      </c>
      <c r="P65" s="130">
        <f t="shared" si="46"/>
        <v>18021.191999999999</v>
      </c>
      <c r="Q65" s="130">
        <f t="shared" si="46"/>
        <v>18121.907999999999</v>
      </c>
      <c r="R65" s="130">
        <f t="shared" si="46"/>
        <v>21174.51</v>
      </c>
      <c r="S65" s="130">
        <f t="shared" si="46"/>
        <v>19753.986000000001</v>
      </c>
      <c r="T65" s="130">
        <f t="shared" si="46"/>
        <v>20019.509999999998</v>
      </c>
      <c r="U65" s="130">
        <f t="shared" si="46"/>
        <v>18242.783999999996</v>
      </c>
      <c r="V65" s="130">
        <f t="shared" si="46"/>
        <v>16393.944</v>
      </c>
      <c r="W65" s="130">
        <f t="shared" si="46"/>
        <v>18455.303999999996</v>
      </c>
      <c r="X65" s="130">
        <f t="shared" si="46"/>
        <v>17002.272000000004</v>
      </c>
      <c r="Y65" s="130">
        <f t="shared" si="46"/>
        <v>19952.982000000004</v>
      </c>
      <c r="Z65" s="134">
        <f t="shared" ref="Z65:AY65" si="47">Z11</f>
        <v>19728.300927295451</v>
      </c>
      <c r="AA65" s="134">
        <f t="shared" si="47"/>
        <v>19777.480677848314</v>
      </c>
      <c r="AB65" s="134">
        <f t="shared" si="47"/>
        <v>19636.74248000142</v>
      </c>
      <c r="AC65" s="134">
        <f t="shared" si="47"/>
        <v>19675.448499311224</v>
      </c>
      <c r="AD65" s="134">
        <f t="shared" si="47"/>
        <v>20295.479766725086</v>
      </c>
      <c r="AE65" s="134">
        <f t="shared" si="47"/>
        <v>20688.507726444677</v>
      </c>
      <c r="AF65" s="134">
        <f t="shared" si="47"/>
        <v>20993.361051390766</v>
      </c>
      <c r="AG65" s="134">
        <f t="shared" si="47"/>
        <v>20481.95073709765</v>
      </c>
      <c r="AH65" s="134">
        <f t="shared" si="47"/>
        <v>21019.947586617855</v>
      </c>
      <c r="AI65" s="134">
        <f t="shared" si="47"/>
        <v>21549.493402607193</v>
      </c>
      <c r="AJ65" s="134">
        <f t="shared" si="47"/>
        <v>21712.131547205845</v>
      </c>
      <c r="AK65" s="134">
        <f t="shared" si="47"/>
        <v>21958.805482045558</v>
      </c>
      <c r="AL65" s="134">
        <f t="shared" si="47"/>
        <v>21199.453204836587</v>
      </c>
      <c r="AM65" s="134">
        <f t="shared" si="47"/>
        <v>21375.488367424521</v>
      </c>
      <c r="AN65" s="134">
        <f t="shared" si="47"/>
        <v>21559.933537386256</v>
      </c>
      <c r="AO65" s="134">
        <f t="shared" si="47"/>
        <v>21524.854655037496</v>
      </c>
      <c r="AP65" s="134">
        <f t="shared" si="47"/>
        <v>21561.42864154054</v>
      </c>
      <c r="AQ65" s="134">
        <f t="shared" si="47"/>
        <v>21721.909369893987</v>
      </c>
      <c r="AR65" s="134">
        <f t="shared" si="47"/>
        <v>21664.335289077655</v>
      </c>
      <c r="AS65" s="134">
        <f t="shared" si="47"/>
        <v>21563.499976667707</v>
      </c>
      <c r="AT65" s="134">
        <f t="shared" si="47"/>
        <v>21535.78661320591</v>
      </c>
      <c r="AU65" s="134">
        <f t="shared" si="47"/>
        <v>21556.27019822691</v>
      </c>
      <c r="AV65" s="134">
        <f t="shared" si="47"/>
        <v>21537.079146909564</v>
      </c>
      <c r="AW65" s="134">
        <f t="shared" si="47"/>
        <v>21554.002741840857</v>
      </c>
      <c r="AX65" s="134">
        <f t="shared" si="47"/>
        <v>21577.16032125731</v>
      </c>
      <c r="AY65" s="134">
        <f t="shared" si="47"/>
        <v>21588.970330800425</v>
      </c>
    </row>
    <row r="66" spans="1:51" x14ac:dyDescent="0.2">
      <c r="B66" s="108"/>
      <c r="C66" s="108"/>
      <c r="D66" s="108"/>
      <c r="E66" s="108"/>
      <c r="F66" s="108"/>
      <c r="G66" s="108"/>
      <c r="H66" s="108"/>
      <c r="I66" s="108"/>
      <c r="J66" s="108"/>
      <c r="K66" s="108"/>
      <c r="L66" s="108"/>
      <c r="M66" s="108"/>
      <c r="N66" s="108"/>
      <c r="O66" s="108"/>
      <c r="P66" s="108"/>
      <c r="Q66" s="108"/>
      <c r="R66" s="108"/>
      <c r="S66" s="108"/>
      <c r="T66" s="108"/>
      <c r="U66" s="108"/>
      <c r="V66" s="108"/>
      <c r="W66" s="108"/>
      <c r="X66" s="108"/>
      <c r="Y66" s="118"/>
      <c r="Z66" s="118"/>
      <c r="AA66" s="118"/>
      <c r="AB66" s="118"/>
      <c r="AC66" s="118"/>
      <c r="AD66" s="118"/>
      <c r="AE66" s="118"/>
      <c r="AF66" s="118"/>
      <c r="AG66" s="118"/>
      <c r="AH66" s="118"/>
      <c r="AI66" s="118"/>
      <c r="AJ66" s="118"/>
      <c r="AK66" s="118"/>
      <c r="AL66" s="118"/>
      <c r="AM66" s="118"/>
      <c r="AN66" s="118"/>
      <c r="AO66" s="118"/>
      <c r="AP66" s="118"/>
      <c r="AQ66" s="118"/>
      <c r="AR66" s="118"/>
      <c r="AS66" s="118"/>
      <c r="AT66" s="118"/>
      <c r="AU66" s="118"/>
      <c r="AV66" s="118"/>
      <c r="AW66" s="118"/>
      <c r="AX66" s="118"/>
      <c r="AY66" s="118"/>
    </row>
    <row r="67" spans="1:51" ht="12" thickBot="1" x14ac:dyDescent="0.25">
      <c r="A67" s="121" t="s">
        <v>250</v>
      </c>
      <c r="S67" s="19" t="s">
        <v>251</v>
      </c>
    </row>
    <row r="68" spans="1:51" s="121" customFormat="1" ht="12" thickBot="1" x14ac:dyDescent="0.25">
      <c r="A68" s="122"/>
      <c r="B68" s="128">
        <v>2001</v>
      </c>
      <c r="C68" s="128">
        <v>2002</v>
      </c>
      <c r="D68" s="128">
        <v>2003</v>
      </c>
      <c r="E68" s="128">
        <v>2004</v>
      </c>
      <c r="F68" s="128">
        <v>2005</v>
      </c>
      <c r="G68" s="128">
        <v>2006</v>
      </c>
      <c r="H68" s="128">
        <v>2007</v>
      </c>
      <c r="I68" s="128">
        <v>2008</v>
      </c>
      <c r="J68" s="128">
        <v>2009</v>
      </c>
      <c r="K68" s="128">
        <v>2010</v>
      </c>
      <c r="L68" s="128">
        <f>L$2</f>
        <v>2011</v>
      </c>
      <c r="M68" s="128">
        <f t="shared" ref="M68:AY68" si="48">M$2</f>
        <v>2012</v>
      </c>
      <c r="N68" s="128">
        <f t="shared" si="48"/>
        <v>2013</v>
      </c>
      <c r="O68" s="128">
        <f t="shared" si="48"/>
        <v>2014</v>
      </c>
      <c r="P68" s="128">
        <f t="shared" si="48"/>
        <v>2015</v>
      </c>
      <c r="Q68" s="128">
        <f t="shared" si="48"/>
        <v>2016</v>
      </c>
      <c r="R68" s="128">
        <f t="shared" si="48"/>
        <v>2017</v>
      </c>
      <c r="S68" s="128">
        <f t="shared" si="48"/>
        <v>2018</v>
      </c>
      <c r="T68" s="128">
        <f t="shared" si="48"/>
        <v>2019</v>
      </c>
      <c r="U68" s="128">
        <f t="shared" si="48"/>
        <v>2020</v>
      </c>
      <c r="V68" s="128">
        <f t="shared" si="48"/>
        <v>2021</v>
      </c>
      <c r="W68" s="128">
        <f t="shared" si="48"/>
        <v>2022</v>
      </c>
      <c r="X68" s="128">
        <f t="shared" si="48"/>
        <v>2023</v>
      </c>
      <c r="Y68" s="128">
        <f t="shared" si="48"/>
        <v>2024</v>
      </c>
      <c r="Z68" s="128">
        <f t="shared" si="48"/>
        <v>2025</v>
      </c>
      <c r="AA68" s="128">
        <f t="shared" si="48"/>
        <v>2026</v>
      </c>
      <c r="AB68" s="128">
        <f t="shared" si="48"/>
        <v>2027</v>
      </c>
      <c r="AC68" s="128">
        <f t="shared" si="48"/>
        <v>2028</v>
      </c>
      <c r="AD68" s="128">
        <f t="shared" si="48"/>
        <v>2029</v>
      </c>
      <c r="AE68" s="128">
        <f t="shared" si="48"/>
        <v>2030</v>
      </c>
      <c r="AF68" s="128">
        <f t="shared" si="48"/>
        <v>2031</v>
      </c>
      <c r="AG68" s="128">
        <f t="shared" si="48"/>
        <v>2032</v>
      </c>
      <c r="AH68" s="128">
        <f t="shared" si="48"/>
        <v>2033</v>
      </c>
      <c r="AI68" s="128">
        <f t="shared" si="48"/>
        <v>2034</v>
      </c>
      <c r="AJ68" s="128">
        <f t="shared" si="48"/>
        <v>2035</v>
      </c>
      <c r="AK68" s="128">
        <f t="shared" si="48"/>
        <v>2036</v>
      </c>
      <c r="AL68" s="128">
        <f t="shared" si="48"/>
        <v>2037</v>
      </c>
      <c r="AM68" s="128">
        <f t="shared" si="48"/>
        <v>2038</v>
      </c>
      <c r="AN68" s="128">
        <f t="shared" si="48"/>
        <v>2039</v>
      </c>
      <c r="AO68" s="128">
        <f t="shared" si="48"/>
        <v>2040</v>
      </c>
      <c r="AP68" s="128">
        <f t="shared" si="48"/>
        <v>2041</v>
      </c>
      <c r="AQ68" s="128">
        <f t="shared" si="48"/>
        <v>2042</v>
      </c>
      <c r="AR68" s="128">
        <f t="shared" si="48"/>
        <v>2043</v>
      </c>
      <c r="AS68" s="128">
        <f t="shared" si="48"/>
        <v>2044</v>
      </c>
      <c r="AT68" s="128">
        <f t="shared" si="48"/>
        <v>2045</v>
      </c>
      <c r="AU68" s="128">
        <f t="shared" si="48"/>
        <v>2046</v>
      </c>
      <c r="AV68" s="128">
        <f t="shared" si="48"/>
        <v>2047</v>
      </c>
      <c r="AW68" s="128">
        <f t="shared" si="48"/>
        <v>2048</v>
      </c>
      <c r="AX68" s="128">
        <f t="shared" si="48"/>
        <v>2049</v>
      </c>
      <c r="AY68" s="128">
        <f t="shared" si="48"/>
        <v>2050</v>
      </c>
    </row>
    <row r="69" spans="1:51" x14ac:dyDescent="0.2">
      <c r="A69" s="19" t="s">
        <v>162</v>
      </c>
      <c r="B69" s="129"/>
      <c r="C69" s="129"/>
      <c r="D69" s="129"/>
      <c r="E69" s="129"/>
      <c r="F69" s="129"/>
      <c r="G69" s="129"/>
      <c r="H69" s="129"/>
      <c r="I69" s="129"/>
      <c r="J69" s="129"/>
      <c r="K69" s="129"/>
      <c r="L69" s="129">
        <f>'Monthly Data'!$AM459*42/1000</f>
        <v>5153.3580000000002</v>
      </c>
      <c r="M69" s="129">
        <f>'Monthly Data'!$AM471*42/1000</f>
        <v>5026.9380000000001</v>
      </c>
      <c r="N69" s="129">
        <f>'Monthly Data'!$AM483*42/1000</f>
        <v>5288.4719999999998</v>
      </c>
      <c r="O69" s="129">
        <f>'Monthly Data'!$AM495*42/1000</f>
        <v>5650.68</v>
      </c>
      <c r="P69" s="129">
        <f>'Monthly Data'!$AM507*42/1000</f>
        <v>5449.8360000000002</v>
      </c>
      <c r="Q69" s="129">
        <f>'Monthly Data'!$AM519*42/1000</f>
        <v>5013.0360000000001</v>
      </c>
      <c r="R69" s="253">
        <f>'Monthly Data'!$AM531*42/1000</f>
        <v>4863.7259999999997</v>
      </c>
      <c r="S69" s="254">
        <f>R144+S21+S37-S117-S133</f>
        <v>5776.050000000002</v>
      </c>
      <c r="T69" s="108">
        <f>S144+T21+T37-T117-T133</f>
        <v>5569.3680000000004</v>
      </c>
      <c r="U69" s="108">
        <f>T144+U21+U37-U117-U133</f>
        <v>5168.0579999999991</v>
      </c>
      <c r="V69" s="108">
        <f>'Monthly Data'!$BG579*42*31</f>
        <v>5058.2035980000001</v>
      </c>
      <c r="W69" s="108">
        <f>'Monthly Data'!$BG591*42*31</f>
        <v>5308.5469500000008</v>
      </c>
      <c r="X69" s="108">
        <f>'Monthly Data'!$BG603*42*31</f>
        <v>5094.6348599999992</v>
      </c>
      <c r="Y69" s="108">
        <f>'Monthly Data'!$BG615*42*31</f>
        <v>4974.9237720000001</v>
      </c>
      <c r="Z69" s="118">
        <f>'Monthly Data'!$BG627*42*31</f>
        <v>5456.8719240419996</v>
      </c>
      <c r="AA69" s="118">
        <f>'Monthly Data'!$BG639*42*31</f>
        <v>5147.1406139999999</v>
      </c>
      <c r="AB69" s="133">
        <f t="shared" ref="AB69:AB80" si="49">AB$81*(SUM(W69:AA69)/SUM(W$81:AA$81))</f>
        <v>5509.3283281433205</v>
      </c>
      <c r="AC69" s="133">
        <f t="shared" ref="AC69:AC80" si="50">AC$81*(SUM(X69:AB69)/SUM(X$81:AB$81))</f>
        <v>5513.5927049476486</v>
      </c>
      <c r="AD69" s="133">
        <f t="shared" ref="AD69:AS80" si="51">AD$81*(SUM(Y69:AC69)/SUM(Y$81:AC$81))</f>
        <v>5555.6585743556552</v>
      </c>
      <c r="AE69" s="133">
        <f t="shared" si="51"/>
        <v>5549.2011466169324</v>
      </c>
      <c r="AF69" s="133">
        <f t="shared" si="51"/>
        <v>5530.8945116563509</v>
      </c>
      <c r="AG69" s="133">
        <f t="shared" si="51"/>
        <v>5517.5235026608361</v>
      </c>
      <c r="AH69" s="133">
        <f t="shared" si="51"/>
        <v>5501.7915511984675</v>
      </c>
      <c r="AI69" s="133">
        <f t="shared" si="51"/>
        <v>5434.2232784191237</v>
      </c>
      <c r="AJ69" s="133">
        <f t="shared" si="51"/>
        <v>5345.610687962193</v>
      </c>
      <c r="AK69" s="133">
        <f t="shared" si="51"/>
        <v>5330.4333726169034</v>
      </c>
      <c r="AL69" s="133">
        <f t="shared" si="51"/>
        <v>5258.4618598725365</v>
      </c>
      <c r="AM69" s="133">
        <f t="shared" si="51"/>
        <v>5258.4421803918231</v>
      </c>
      <c r="AN69" s="133">
        <f t="shared" si="51"/>
        <v>5226.1491744622108</v>
      </c>
      <c r="AO69" s="133">
        <f t="shared" si="51"/>
        <v>5179.4348514233088</v>
      </c>
      <c r="AP69" s="133">
        <f t="shared" si="51"/>
        <v>5143.3103268647483</v>
      </c>
      <c r="AQ69" s="133">
        <f t="shared" si="51"/>
        <v>5105.4356746610265</v>
      </c>
      <c r="AR69" s="133">
        <f t="shared" si="51"/>
        <v>5059.5836433339509</v>
      </c>
      <c r="AS69" s="133">
        <f t="shared" si="51"/>
        <v>5025.6736016217064</v>
      </c>
      <c r="AT69" s="133">
        <f t="shared" ref="AT69:AY80" si="52">AT$81*(SUM(AO69:AS69)/SUM(AO$81:AS$81))</f>
        <v>4998.9103458202535</v>
      </c>
      <c r="AU69" s="133">
        <f t="shared" si="52"/>
        <v>4967.6831472172153</v>
      </c>
      <c r="AV69" s="133">
        <f t="shared" si="52"/>
        <v>4928.0892440222487</v>
      </c>
      <c r="AW69" s="133">
        <f t="shared" si="52"/>
        <v>4897.1059899950487</v>
      </c>
      <c r="AX69" s="133">
        <f t="shared" si="52"/>
        <v>4861.5346903631089</v>
      </c>
      <c r="AY69" s="133">
        <f t="shared" si="52"/>
        <v>4824.4316589752807</v>
      </c>
    </row>
    <row r="70" spans="1:51" x14ac:dyDescent="0.2">
      <c r="A70" s="19" t="s">
        <v>163</v>
      </c>
      <c r="B70" s="129"/>
      <c r="C70" s="129"/>
      <c r="D70" s="129"/>
      <c r="E70" s="129"/>
      <c r="F70" s="129"/>
      <c r="G70" s="129"/>
      <c r="H70" s="129"/>
      <c r="I70" s="129"/>
      <c r="J70" s="129"/>
      <c r="K70" s="129"/>
      <c r="L70" s="129">
        <f>'Monthly Data'!$AM460*42/1000</f>
        <v>4602.2340000000004</v>
      </c>
      <c r="M70" s="129">
        <f>'Monthly Data'!$AM472*42/1000</f>
        <v>4778.0460000000003</v>
      </c>
      <c r="N70" s="129">
        <f>'Monthly Data'!$AM484*42/1000</f>
        <v>4685.6459999999997</v>
      </c>
      <c r="O70" s="129">
        <f>'Monthly Data'!$AM496*42/1000</f>
        <v>4892.4539999999997</v>
      </c>
      <c r="P70" s="129">
        <f>'Monthly Data'!$AM508*42/1000</f>
        <v>5361.6779999999999</v>
      </c>
      <c r="Q70" s="129">
        <f>'Monthly Data'!$AM520*42/1000</f>
        <v>4867.2539999999999</v>
      </c>
      <c r="R70" s="129">
        <f>'Monthly Data'!$AM532*42/1000</f>
        <v>4627.3500000000004</v>
      </c>
      <c r="S70" s="108">
        <f t="shared" ref="S70:U80" si="53">S133+S22+S38-S118-S134</f>
        <v>4611.9359999999997</v>
      </c>
      <c r="T70" s="108">
        <f t="shared" si="53"/>
        <v>4987.5000000000009</v>
      </c>
      <c r="U70" s="108">
        <f t="shared" si="53"/>
        <v>4883.3819999999987</v>
      </c>
      <c r="V70" s="108">
        <f>'Monthly Data'!$BG580*42*28</f>
        <v>4604.8302720000002</v>
      </c>
      <c r="W70" s="108">
        <f>'Monthly Data'!$BG592*42*28</f>
        <v>5068.7505119999996</v>
      </c>
      <c r="X70" s="108">
        <f>'Monthly Data'!$BG604*42*28</f>
        <v>4631.9500079999998</v>
      </c>
      <c r="Y70" s="108">
        <f>'Monthly Data'!$BG616*42*28</f>
        <v>4550.6460720000005</v>
      </c>
      <c r="Z70" s="118">
        <f>'Monthly Data'!$BG628*42*28</f>
        <v>4714.725120000001</v>
      </c>
      <c r="AA70" s="118">
        <f>'Monthly Data'!$BG640*42*28</f>
        <v>4710.6020639999997</v>
      </c>
      <c r="AB70" s="133">
        <f t="shared" si="49"/>
        <v>5020.4748107008445</v>
      </c>
      <c r="AC70" s="133">
        <f t="shared" si="50"/>
        <v>4975.6660167946211</v>
      </c>
      <c r="AD70" s="133">
        <f t="shared" si="51"/>
        <v>5006.4504683084842</v>
      </c>
      <c r="AE70" s="133">
        <f t="shared" si="51"/>
        <v>4986.8471892622865</v>
      </c>
      <c r="AF70" s="133">
        <f t="shared" si="51"/>
        <v>5008.7520644690649</v>
      </c>
      <c r="AG70" s="133">
        <f t="shared" si="51"/>
        <v>4986.7935667910597</v>
      </c>
      <c r="AH70" s="133">
        <f t="shared" si="51"/>
        <v>4964.4041480655205</v>
      </c>
      <c r="AI70" s="133">
        <f t="shared" si="51"/>
        <v>4903.3150735943818</v>
      </c>
      <c r="AJ70" s="133">
        <f t="shared" si="51"/>
        <v>4824.6092243156891</v>
      </c>
      <c r="AK70" s="133">
        <f t="shared" si="51"/>
        <v>4815.1064130824989</v>
      </c>
      <c r="AL70" s="133">
        <f t="shared" si="51"/>
        <v>4747.6575237753568</v>
      </c>
      <c r="AM70" s="133">
        <f t="shared" si="51"/>
        <v>4746.6144054861034</v>
      </c>
      <c r="AN70" s="133">
        <f t="shared" si="51"/>
        <v>4717.8323059691429</v>
      </c>
      <c r="AO70" s="133">
        <f t="shared" si="51"/>
        <v>4676.1229511667834</v>
      </c>
      <c r="AP70" s="133">
        <f t="shared" si="51"/>
        <v>4643.8108142623487</v>
      </c>
      <c r="AQ70" s="133">
        <f t="shared" si="51"/>
        <v>4609.1550504067363</v>
      </c>
      <c r="AR70" s="133">
        <f t="shared" si="51"/>
        <v>4567.6915138393251</v>
      </c>
      <c r="AS70" s="133">
        <f t="shared" si="51"/>
        <v>4537.1959861390524</v>
      </c>
      <c r="AT70" s="133">
        <f t="shared" si="52"/>
        <v>4513.1033327867581</v>
      </c>
      <c r="AU70" s="133">
        <f t="shared" si="52"/>
        <v>4484.9032359667017</v>
      </c>
      <c r="AV70" s="133">
        <f t="shared" si="52"/>
        <v>4449.0889493324812</v>
      </c>
      <c r="AW70" s="133">
        <f t="shared" si="52"/>
        <v>4421.1255592904408</v>
      </c>
      <c r="AX70" s="133">
        <f t="shared" si="52"/>
        <v>4389.0350618351413</v>
      </c>
      <c r="AY70" s="133">
        <f t="shared" si="52"/>
        <v>4355.5430374174093</v>
      </c>
    </row>
    <row r="71" spans="1:51" x14ac:dyDescent="0.2">
      <c r="A71" s="19" t="s">
        <v>164</v>
      </c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>
        <f>'Monthly Data'!$AM461*42/1000</f>
        <v>5266.7160000000003</v>
      </c>
      <c r="M71" s="129">
        <f>'Monthly Data'!$AM473*42/1000</f>
        <v>4836.72</v>
      </c>
      <c r="N71" s="129">
        <f>'Monthly Data'!$AM485*42/1000</f>
        <v>4907.4059999999999</v>
      </c>
      <c r="O71" s="129">
        <f>'Monthly Data'!$AM497*42/1000</f>
        <v>5294.1419999999998</v>
      </c>
      <c r="P71" s="129">
        <f>'Monthly Data'!$AM509*42/1000</f>
        <v>5309.7659999999996</v>
      </c>
      <c r="Q71" s="129">
        <f>'Monthly Data'!$AM521*42/1000</f>
        <v>5138.9939999999997</v>
      </c>
      <c r="R71" s="129">
        <f>'Monthly Data'!$AM533*42/1000</f>
        <v>5372.8919999999998</v>
      </c>
      <c r="S71" s="108">
        <f t="shared" si="53"/>
        <v>5367.8940000000011</v>
      </c>
      <c r="T71" s="108">
        <f t="shared" si="53"/>
        <v>5350.17</v>
      </c>
      <c r="U71" s="108">
        <f t="shared" si="53"/>
        <v>5071.9619999999986</v>
      </c>
      <c r="V71" s="108">
        <f>'Monthly Data'!$BG581*42*31</f>
        <v>5230.1157720000001</v>
      </c>
      <c r="W71" s="108">
        <f>'Monthly Data'!$BG593*42*31</f>
        <v>5369.1967139999997</v>
      </c>
      <c r="X71" s="108">
        <f>'Monthly Data'!$BG605*42*31</f>
        <v>5274.4384559999999</v>
      </c>
      <c r="Y71" s="108">
        <f>'Monthly Data'!$BG617*42*31</f>
        <v>4716.7632119999998</v>
      </c>
      <c r="Z71" s="118">
        <f>'Monthly Data'!$BG629*42*31</f>
        <v>5034.6100560000004</v>
      </c>
      <c r="AA71" s="118">
        <f>'Monthly Data'!$BG641*42*31</f>
        <v>5158.7726819999989</v>
      </c>
      <c r="AB71" s="133">
        <f t="shared" si="49"/>
        <v>5418.5024317548741</v>
      </c>
      <c r="AC71" s="133">
        <f t="shared" si="50"/>
        <v>5391.4958052132552</v>
      </c>
      <c r="AD71" s="133">
        <f t="shared" si="51"/>
        <v>5371.5173998134242</v>
      </c>
      <c r="AE71" s="133">
        <f t="shared" si="51"/>
        <v>5384.3141787172617</v>
      </c>
      <c r="AF71" s="133">
        <f t="shared" si="51"/>
        <v>5419.2991167588452</v>
      </c>
      <c r="AG71" s="133">
        <f t="shared" si="51"/>
        <v>5383.1603168138627</v>
      </c>
      <c r="AH71" s="133">
        <f t="shared" si="51"/>
        <v>5359.1933984146044</v>
      </c>
      <c r="AI71" s="133">
        <f t="shared" si="51"/>
        <v>5289.2877925852217</v>
      </c>
      <c r="AJ71" s="133">
        <f t="shared" si="51"/>
        <v>5210.0214937076789</v>
      </c>
      <c r="AK71" s="133">
        <f t="shared" si="51"/>
        <v>5199.9361821540342</v>
      </c>
      <c r="AL71" s="133">
        <f t="shared" si="51"/>
        <v>5125.1117251992746</v>
      </c>
      <c r="AM71" s="133">
        <f t="shared" si="51"/>
        <v>5124.0051559239382</v>
      </c>
      <c r="AN71" s="133">
        <f t="shared" si="51"/>
        <v>5092.9184531206474</v>
      </c>
      <c r="AO71" s="133">
        <f t="shared" si="51"/>
        <v>5048.6497967825453</v>
      </c>
      <c r="AP71" s="133">
        <f t="shared" si="51"/>
        <v>5013.5565741878399</v>
      </c>
      <c r="AQ71" s="133">
        <f t="shared" si="51"/>
        <v>4975.8584001121762</v>
      </c>
      <c r="AR71" s="133">
        <f t="shared" si="51"/>
        <v>4931.1484350640794</v>
      </c>
      <c r="AS71" s="133">
        <f t="shared" si="51"/>
        <v>4898.2856166171769</v>
      </c>
      <c r="AT71" s="133">
        <f t="shared" si="52"/>
        <v>4872.3498833344556</v>
      </c>
      <c r="AU71" s="133">
        <f t="shared" si="52"/>
        <v>4841.8454616159852</v>
      </c>
      <c r="AV71" s="133">
        <f t="shared" si="52"/>
        <v>4803.15015292303</v>
      </c>
      <c r="AW71" s="133">
        <f t="shared" si="52"/>
        <v>4772.9802415479644</v>
      </c>
      <c r="AX71" s="133">
        <f t="shared" si="52"/>
        <v>4738.3480092246846</v>
      </c>
      <c r="AY71" s="133">
        <f t="shared" si="52"/>
        <v>4702.1933876166313</v>
      </c>
    </row>
    <row r="72" spans="1:51" x14ac:dyDescent="0.2">
      <c r="A72" s="19" t="s">
        <v>165</v>
      </c>
      <c r="B72" s="129"/>
      <c r="C72" s="129"/>
      <c r="D72" s="129"/>
      <c r="E72" s="129"/>
      <c r="F72" s="129"/>
      <c r="G72" s="129"/>
      <c r="H72" s="129"/>
      <c r="I72" s="129"/>
      <c r="J72" s="129"/>
      <c r="K72" s="129"/>
      <c r="L72" s="129">
        <f>'Monthly Data'!$AM462*42/1000</f>
        <v>4730.67</v>
      </c>
      <c r="M72" s="129">
        <f>'Monthly Data'!$AM474*42/1000</f>
        <v>4685.8559999999998</v>
      </c>
      <c r="N72" s="129">
        <f>'Monthly Data'!$AM486*42/1000</f>
        <v>4856.5020000000004</v>
      </c>
      <c r="O72" s="129">
        <f>'Monthly Data'!$AM498*42/1000</f>
        <v>5027.1899999999996</v>
      </c>
      <c r="P72" s="129">
        <f>'Monthly Data'!$AM510*42/1000</f>
        <v>5074.5240000000003</v>
      </c>
      <c r="Q72" s="129">
        <f>'Monthly Data'!$AM522*42/1000</f>
        <v>4786.5720000000001</v>
      </c>
      <c r="R72" s="129">
        <f>'Monthly Data'!$AM534*42/1000</f>
        <v>4741.17</v>
      </c>
      <c r="S72" s="108">
        <f t="shared" si="53"/>
        <v>5121.8580000000011</v>
      </c>
      <c r="T72" s="108">
        <f t="shared" si="53"/>
        <v>5102.16</v>
      </c>
      <c r="U72" s="108">
        <f t="shared" si="53"/>
        <v>4360.2299999999977</v>
      </c>
      <c r="V72" s="108">
        <f>'Monthly Data'!$BG582*42*30</f>
        <v>5019.2868600000002</v>
      </c>
      <c r="W72" s="108">
        <f>'Monthly Data'!$BG594*42*30</f>
        <v>4934.0352599999997</v>
      </c>
      <c r="X72" s="108">
        <f>'Monthly Data'!$BG606*42*30</f>
        <v>4813.4545200000002</v>
      </c>
      <c r="Y72" s="108">
        <f>'Monthly Data'!$BG618*42*30</f>
        <v>4707.6082200000001</v>
      </c>
      <c r="Z72" s="118">
        <f>'Monthly Data'!$BG630*42*30</f>
        <v>4918.49568</v>
      </c>
      <c r="AA72" s="118">
        <f>'Monthly Data'!$BG642*42*30</f>
        <v>4930.5286799999994</v>
      </c>
      <c r="AB72" s="133">
        <f t="shared" si="49"/>
        <v>5153.5209404395173</v>
      </c>
      <c r="AC72" s="133">
        <f t="shared" si="50"/>
        <v>5164.1792537199381</v>
      </c>
      <c r="AD72" s="133">
        <f t="shared" si="51"/>
        <v>5194.8741163296336</v>
      </c>
      <c r="AE72" s="133">
        <f t="shared" si="51"/>
        <v>5177.4537052631285</v>
      </c>
      <c r="AF72" s="133">
        <f t="shared" si="51"/>
        <v>5195.4172296914285</v>
      </c>
      <c r="AG72" s="133">
        <f t="shared" si="51"/>
        <v>5163.7886177285809</v>
      </c>
      <c r="AH72" s="133">
        <f t="shared" si="51"/>
        <v>5149.5818754891006</v>
      </c>
      <c r="AI72" s="133">
        <f t="shared" si="51"/>
        <v>5085.6412293316162</v>
      </c>
      <c r="AJ72" s="133">
        <f t="shared" si="51"/>
        <v>5003.5695044880486</v>
      </c>
      <c r="AK72" s="133">
        <f t="shared" si="51"/>
        <v>4992.6164620518703</v>
      </c>
      <c r="AL72" s="133">
        <f t="shared" si="51"/>
        <v>4922.2902342631041</v>
      </c>
      <c r="AM72" s="133">
        <f t="shared" si="51"/>
        <v>4922.4678096811222</v>
      </c>
      <c r="AN72" s="133">
        <f t="shared" si="51"/>
        <v>4892.372945579953</v>
      </c>
      <c r="AO72" s="133">
        <f t="shared" si="51"/>
        <v>4848.9394811108405</v>
      </c>
      <c r="AP72" s="133">
        <f t="shared" si="51"/>
        <v>4815.3046363438334</v>
      </c>
      <c r="AQ72" s="133">
        <f t="shared" si="51"/>
        <v>4779.4296995461091</v>
      </c>
      <c r="AR72" s="133">
        <f t="shared" si="51"/>
        <v>4736.5825067699352</v>
      </c>
      <c r="AS72" s="133">
        <f t="shared" si="51"/>
        <v>4704.8916392000701</v>
      </c>
      <c r="AT72" s="133">
        <f t="shared" si="52"/>
        <v>4679.8754760279744</v>
      </c>
      <c r="AU72" s="133">
        <f t="shared" si="52"/>
        <v>4650.6293153500656</v>
      </c>
      <c r="AV72" s="133">
        <f t="shared" si="52"/>
        <v>4613.5120331050757</v>
      </c>
      <c r="AW72" s="133">
        <f t="shared" si="52"/>
        <v>4584.5277447756926</v>
      </c>
      <c r="AX72" s="133">
        <f t="shared" si="52"/>
        <v>4551.2371332683661</v>
      </c>
      <c r="AY72" s="133">
        <f t="shared" si="52"/>
        <v>4516.5038255752006</v>
      </c>
    </row>
    <row r="73" spans="1:51" x14ac:dyDescent="0.2">
      <c r="A73" s="19" t="s">
        <v>166</v>
      </c>
      <c r="B73" s="129"/>
      <c r="C73" s="129"/>
      <c r="D73" s="129"/>
      <c r="E73" s="129"/>
      <c r="F73" s="129"/>
      <c r="G73" s="129"/>
      <c r="H73" s="129"/>
      <c r="I73" s="129"/>
      <c r="J73" s="129"/>
      <c r="K73" s="129"/>
      <c r="L73" s="129">
        <f>'Monthly Data'!$AM463*42/1000</f>
        <v>4816.6019999999999</v>
      </c>
      <c r="M73" s="129">
        <f>'Monthly Data'!$AM475*42/1000</f>
        <v>4890.6899999999996</v>
      </c>
      <c r="N73" s="129">
        <f>'Monthly Data'!$AM487*42/1000</f>
        <v>4881.1980000000003</v>
      </c>
      <c r="O73" s="129">
        <f>'Monthly Data'!$AM499*42/1000</f>
        <v>5145</v>
      </c>
      <c r="P73" s="129">
        <f>'Monthly Data'!$AM511*42/1000</f>
        <v>4918.3680000000004</v>
      </c>
      <c r="Q73" s="129">
        <f>'Monthly Data'!$AM523*42/1000</f>
        <v>4859.0219999999999</v>
      </c>
      <c r="R73" s="129">
        <f>'Monthly Data'!$AM535*42/1000</f>
        <v>5149.4939999999997</v>
      </c>
      <c r="S73" s="108">
        <f t="shared" si="53"/>
        <v>5385.702000000002</v>
      </c>
      <c r="T73" s="108">
        <f t="shared" si="53"/>
        <v>5251.3019999999979</v>
      </c>
      <c r="U73" s="108">
        <f t="shared" si="53"/>
        <v>4400.3400000000029</v>
      </c>
      <c r="V73" s="108">
        <f>'Monthly Data'!$BG583*42*31</f>
        <v>5001.3452580000003</v>
      </c>
      <c r="W73" s="108">
        <f>'Monthly Data'!$BG595*42*31</f>
        <v>4970.3342220000004</v>
      </c>
      <c r="X73" s="108">
        <f>'Monthly Data'!$BG607*42*31</f>
        <v>5019.4365479999997</v>
      </c>
      <c r="Y73" s="108">
        <f>'Monthly Data'!$BG619*42*31</f>
        <v>4844.9190719999997</v>
      </c>
      <c r="Z73" s="118">
        <f>'Monthly Data'!$BG631*42*31</f>
        <v>5028.7731899999999</v>
      </c>
      <c r="AA73" s="118">
        <f>'Monthly Data'!$BG643*42*31</f>
        <v>4963.5117419999997</v>
      </c>
      <c r="AB73" s="133">
        <f t="shared" si="49"/>
        <v>5264.3881762275932</v>
      </c>
      <c r="AC73" s="133">
        <f t="shared" si="50"/>
        <v>5289.9840503277928</v>
      </c>
      <c r="AD73" s="133">
        <f t="shared" si="51"/>
        <v>5302.8977030472433</v>
      </c>
      <c r="AE73" s="133">
        <f t="shared" si="51"/>
        <v>5277.067717081185</v>
      </c>
      <c r="AF73" s="133">
        <f t="shared" si="51"/>
        <v>5292.204146147219</v>
      </c>
      <c r="AG73" s="133">
        <f t="shared" si="51"/>
        <v>5271.7299015658009</v>
      </c>
      <c r="AH73" s="133">
        <f t="shared" si="51"/>
        <v>5256.6016571977671</v>
      </c>
      <c r="AI73" s="133">
        <f t="shared" si="51"/>
        <v>5187.7005365418954</v>
      </c>
      <c r="AJ73" s="133">
        <f t="shared" si="51"/>
        <v>5103.2494230616485</v>
      </c>
      <c r="AK73" s="133">
        <f t="shared" si="51"/>
        <v>5092.7666628957695</v>
      </c>
      <c r="AL73" s="133">
        <f t="shared" si="51"/>
        <v>5022.4701250183371</v>
      </c>
      <c r="AM73" s="133">
        <f t="shared" si="51"/>
        <v>5022.0942969063253</v>
      </c>
      <c r="AN73" s="133">
        <f t="shared" si="51"/>
        <v>4990.8414264312969</v>
      </c>
      <c r="AO73" s="133">
        <f t="shared" si="51"/>
        <v>4946.5924121374883</v>
      </c>
      <c r="AP73" s="133">
        <f t="shared" si="51"/>
        <v>4912.4931743303869</v>
      </c>
      <c r="AQ73" s="133">
        <f t="shared" si="51"/>
        <v>4876.015027721297</v>
      </c>
      <c r="AR73" s="133">
        <f t="shared" si="51"/>
        <v>4832.1638014584505</v>
      </c>
      <c r="AS73" s="133">
        <f t="shared" si="51"/>
        <v>4799.7759429667867</v>
      </c>
      <c r="AT73" s="133">
        <f t="shared" si="52"/>
        <v>4774.2938320688572</v>
      </c>
      <c r="AU73" s="133">
        <f t="shared" si="52"/>
        <v>4744.4922016817973</v>
      </c>
      <c r="AV73" s="133">
        <f t="shared" si="52"/>
        <v>4706.6253884558082</v>
      </c>
      <c r="AW73" s="133">
        <f t="shared" si="52"/>
        <v>4677.0319459391067</v>
      </c>
      <c r="AX73" s="133">
        <f t="shared" si="52"/>
        <v>4643.0678484971577</v>
      </c>
      <c r="AY73" s="133">
        <f t="shared" si="52"/>
        <v>4607.6428648996434</v>
      </c>
    </row>
    <row r="74" spans="1:51" x14ac:dyDescent="0.2">
      <c r="A74" s="19" t="s">
        <v>167</v>
      </c>
      <c r="B74" s="129"/>
      <c r="C74" s="129"/>
      <c r="D74" s="129"/>
      <c r="E74" s="129"/>
      <c r="F74" s="129"/>
      <c r="G74" s="129"/>
      <c r="H74" s="129"/>
      <c r="I74" s="129"/>
      <c r="J74" s="129"/>
      <c r="K74" s="129"/>
      <c r="L74" s="129">
        <f>'Monthly Data'!$AM464*42/1000</f>
        <v>4973.7659999999996</v>
      </c>
      <c r="M74" s="129">
        <f>'Monthly Data'!$AM476*42/1000</f>
        <v>4702.9080000000004</v>
      </c>
      <c r="N74" s="129">
        <f>'Monthly Data'!$AM488*42/1000</f>
        <v>4615.2120000000004</v>
      </c>
      <c r="O74" s="129">
        <f>'Monthly Data'!$AM500*42/1000</f>
        <v>4915.9740000000002</v>
      </c>
      <c r="P74" s="129">
        <f>'Monthly Data'!$AM512*42/1000</f>
        <v>4910.01</v>
      </c>
      <c r="Q74" s="129">
        <f>'Monthly Data'!$AM524*42/1000</f>
        <v>4854.4440000000004</v>
      </c>
      <c r="R74" s="129">
        <f>'Monthly Data'!$AM536*42/1000</f>
        <v>4994.0940000000001</v>
      </c>
      <c r="S74" s="108">
        <f t="shared" si="53"/>
        <v>4873.1339999999973</v>
      </c>
      <c r="T74" s="108">
        <f t="shared" si="53"/>
        <v>4938.8219999999983</v>
      </c>
      <c r="U74" s="108">
        <f t="shared" si="53"/>
        <v>4306.3859999999995</v>
      </c>
      <c r="V74" s="108">
        <f>'Monthly Data'!$BG584*42*30</f>
        <v>4894.5456000000004</v>
      </c>
      <c r="W74" s="108">
        <f>'Monthly Data'!$BG596*42*30</f>
        <v>5027.9657400000006</v>
      </c>
      <c r="X74" s="108">
        <f>'Monthly Data'!$BG608*42*30</f>
        <v>4926.0695399999995</v>
      </c>
      <c r="Y74" s="108">
        <f>'Monthly Data'!$BG620*42*30</f>
        <v>4453.3881000000001</v>
      </c>
      <c r="Z74" s="118">
        <f>'Monthly Data'!$BG632*42*30</f>
        <v>4838.8296599999994</v>
      </c>
      <c r="AA74" s="118">
        <f>'Monthly Data'!$BG644*42*30</f>
        <v>4978.4502599999996</v>
      </c>
      <c r="AB74" s="133">
        <f t="shared" si="49"/>
        <v>5136.6806784165774</v>
      </c>
      <c r="AC74" s="133">
        <f t="shared" si="50"/>
        <v>5124.1291017090125</v>
      </c>
      <c r="AD74" s="133">
        <f t="shared" si="51"/>
        <v>5123.2706507639687</v>
      </c>
      <c r="AE74" s="133">
        <f t="shared" si="51"/>
        <v>5144.741789412923</v>
      </c>
      <c r="AF74" s="133">
        <f t="shared" si="51"/>
        <v>5172.4450994684657</v>
      </c>
      <c r="AG74" s="133">
        <f t="shared" si="51"/>
        <v>5127.0476666957638</v>
      </c>
      <c r="AH74" s="133">
        <f t="shared" si="51"/>
        <v>5108.9991142235567</v>
      </c>
      <c r="AI74" s="133">
        <f t="shared" si="51"/>
        <v>5045.4351078199779</v>
      </c>
      <c r="AJ74" s="133">
        <f t="shared" si="51"/>
        <v>4969.9403087224409</v>
      </c>
      <c r="AK74" s="133">
        <f t="shared" si="51"/>
        <v>4958.654037355418</v>
      </c>
      <c r="AL74" s="133">
        <f t="shared" si="51"/>
        <v>4886.408586966164</v>
      </c>
      <c r="AM74" s="133">
        <f t="shared" si="51"/>
        <v>4886.4085210040812</v>
      </c>
      <c r="AN74" s="133">
        <f t="shared" si="51"/>
        <v>4857.0954040793649</v>
      </c>
      <c r="AO74" s="133">
        <f t="shared" si="51"/>
        <v>4814.6681544186895</v>
      </c>
      <c r="AP74" s="133">
        <f t="shared" si="51"/>
        <v>4780.9311186121713</v>
      </c>
      <c r="AQ74" s="133">
        <f t="shared" si="51"/>
        <v>4744.983838193747</v>
      </c>
      <c r="AR74" s="133">
        <f t="shared" si="51"/>
        <v>4702.5247571481796</v>
      </c>
      <c r="AS74" s="133">
        <f t="shared" si="51"/>
        <v>4671.1917212512881</v>
      </c>
      <c r="AT74" s="133">
        <f t="shared" si="52"/>
        <v>4646.4007362531129</v>
      </c>
      <c r="AU74" s="133">
        <f t="shared" si="52"/>
        <v>4617.2828394099142</v>
      </c>
      <c r="AV74" s="133">
        <f t="shared" si="52"/>
        <v>4580.4015850082287</v>
      </c>
      <c r="AW74" s="133">
        <f t="shared" si="52"/>
        <v>4551.6536694271426</v>
      </c>
      <c r="AX74" s="133">
        <f t="shared" si="52"/>
        <v>4518.62005834517</v>
      </c>
      <c r="AY74" s="133">
        <f t="shared" si="52"/>
        <v>4484.1320821039781</v>
      </c>
    </row>
    <row r="75" spans="1:51" x14ac:dyDescent="0.2">
      <c r="A75" s="19" t="s">
        <v>168</v>
      </c>
      <c r="B75" s="129"/>
      <c r="C75" s="129"/>
      <c r="D75" s="129"/>
      <c r="E75" s="129"/>
      <c r="F75" s="129"/>
      <c r="G75" s="129"/>
      <c r="H75" s="129"/>
      <c r="I75" s="129"/>
      <c r="J75" s="129"/>
      <c r="K75" s="129"/>
      <c r="L75" s="129">
        <f>'Monthly Data'!$AM465*42/1000</f>
        <v>4639.9080000000004</v>
      </c>
      <c r="M75" s="129">
        <f>'Monthly Data'!$AM477*42/1000</f>
        <v>4630.6679999999997</v>
      </c>
      <c r="N75" s="129">
        <f>'Monthly Data'!$AM489*42/1000</f>
        <v>4714.5420000000004</v>
      </c>
      <c r="O75" s="129">
        <f>'Monthly Data'!$AM501*42/1000</f>
        <v>5034.12</v>
      </c>
      <c r="P75" s="129">
        <f>'Monthly Data'!$AM513*42/1000</f>
        <v>5079.3540000000003</v>
      </c>
      <c r="Q75" s="129">
        <f>'Monthly Data'!$AM525*42/1000</f>
        <v>4683.7979999999998</v>
      </c>
      <c r="R75" s="129">
        <f>'Monthly Data'!$AM537*42/1000</f>
        <v>4741.6319999999996</v>
      </c>
      <c r="S75" s="108">
        <f t="shared" si="53"/>
        <v>5056.3380000000025</v>
      </c>
      <c r="T75" s="108">
        <f t="shared" si="53"/>
        <v>4991.1960000000008</v>
      </c>
      <c r="U75" s="108">
        <f t="shared" si="53"/>
        <v>4592.0700000000015</v>
      </c>
      <c r="V75" s="108">
        <f>'Monthly Data'!$BG585*42*31</f>
        <v>4707.7221240000008</v>
      </c>
      <c r="W75" s="108">
        <f>'Monthly Data'!$BG597*42*31</f>
        <v>4772.2258080000001</v>
      </c>
      <c r="X75" s="108">
        <f>'Monthly Data'!$BG609*42*31</f>
        <v>4596.1511399999999</v>
      </c>
      <c r="Y75" s="108">
        <f>'Monthly Data'!$BG621*42*31</f>
        <v>4732.0630139999994</v>
      </c>
      <c r="Z75" s="118">
        <f>'Monthly Data'!$BG633*42*31</f>
        <v>4817.6070179999997</v>
      </c>
      <c r="AA75" s="118">
        <f>'Monthly Data'!$BG645*42*31</f>
        <v>4954.0488059999998</v>
      </c>
      <c r="AB75" s="133">
        <f t="shared" si="49"/>
        <v>5061.9126954283884</v>
      </c>
      <c r="AC75" s="133">
        <f t="shared" si="50"/>
        <v>5087.9860993232742</v>
      </c>
      <c r="AD75" s="133">
        <f t="shared" si="51"/>
        <v>5148.7789150797526</v>
      </c>
      <c r="AE75" s="133">
        <f t="shared" si="51"/>
        <v>5117.9932674336724</v>
      </c>
      <c r="AF75" s="133">
        <f t="shared" si="51"/>
        <v>5144.7545132187706</v>
      </c>
      <c r="AG75" s="133">
        <f t="shared" si="51"/>
        <v>5099.1511542151775</v>
      </c>
      <c r="AH75" s="133">
        <f t="shared" si="51"/>
        <v>5090.5111708347386</v>
      </c>
      <c r="AI75" s="133">
        <f t="shared" si="51"/>
        <v>5030.6356455203304</v>
      </c>
      <c r="AJ75" s="133">
        <f t="shared" si="51"/>
        <v>4947.4922843933691</v>
      </c>
      <c r="AK75" s="133">
        <f t="shared" si="51"/>
        <v>4936.9417659618903</v>
      </c>
      <c r="AL75" s="133">
        <f t="shared" si="51"/>
        <v>4865.9899707528402</v>
      </c>
      <c r="AM75" s="133">
        <f t="shared" si="51"/>
        <v>4867.2565150782411</v>
      </c>
      <c r="AN75" s="133">
        <f t="shared" si="51"/>
        <v>4837.7567196353602</v>
      </c>
      <c r="AO75" s="133">
        <f t="shared" si="51"/>
        <v>4794.4614726860846</v>
      </c>
      <c r="AP75" s="133">
        <f t="shared" si="51"/>
        <v>4761.1774683141566</v>
      </c>
      <c r="AQ75" s="133">
        <f t="shared" si="51"/>
        <v>4725.6185161533931</v>
      </c>
      <c r="AR75" s="133">
        <f t="shared" si="51"/>
        <v>4683.4256822821399</v>
      </c>
      <c r="AS75" s="133">
        <f t="shared" si="51"/>
        <v>4652.0842834600344</v>
      </c>
      <c r="AT75" s="133">
        <f t="shared" si="52"/>
        <v>4627.2910202110306</v>
      </c>
      <c r="AU75" s="133">
        <f t="shared" si="52"/>
        <v>4598.3722817573871</v>
      </c>
      <c r="AV75" s="133">
        <f t="shared" si="52"/>
        <v>4561.6759389487097</v>
      </c>
      <c r="AW75" s="133">
        <f t="shared" si="52"/>
        <v>4533.0390480204715</v>
      </c>
      <c r="AX75" s="133">
        <f t="shared" si="52"/>
        <v>4500.1145660945285</v>
      </c>
      <c r="AY75" s="133">
        <f t="shared" si="52"/>
        <v>4465.7633512182829</v>
      </c>
    </row>
    <row r="76" spans="1:51" x14ac:dyDescent="0.2">
      <c r="A76" s="19" t="s">
        <v>169</v>
      </c>
      <c r="B76" s="129"/>
      <c r="C76" s="129"/>
      <c r="D76" s="129"/>
      <c r="E76" s="129"/>
      <c r="F76" s="129"/>
      <c r="G76" s="129"/>
      <c r="H76" s="129"/>
      <c r="I76" s="129"/>
      <c r="J76" s="129"/>
      <c r="K76" s="129"/>
      <c r="L76" s="129">
        <f>'Monthly Data'!$AM466*42/1000</f>
        <v>5219.634</v>
      </c>
      <c r="M76" s="129">
        <f>'Monthly Data'!$AM478*42/1000</f>
        <v>4873.3440000000001</v>
      </c>
      <c r="N76" s="129">
        <f>'Monthly Data'!$AM490*42/1000</f>
        <v>4808.58</v>
      </c>
      <c r="O76" s="129">
        <f>'Monthly Data'!$AM502*42/1000</f>
        <v>5044.9139999999998</v>
      </c>
      <c r="P76" s="129">
        <f>'Monthly Data'!$AM514*42/1000</f>
        <v>5096.91</v>
      </c>
      <c r="Q76" s="129">
        <f>'Monthly Data'!$AM526*42/1000</f>
        <v>5052.2219999999998</v>
      </c>
      <c r="R76" s="129">
        <f>'Monthly Data'!$AM538*42/1000</f>
        <v>5212.5780000000004</v>
      </c>
      <c r="S76" s="108">
        <f t="shared" si="53"/>
        <v>5344.71</v>
      </c>
      <c r="T76" s="108">
        <f t="shared" si="53"/>
        <v>5150.7120000000004</v>
      </c>
      <c r="U76" s="108">
        <f t="shared" si="53"/>
        <v>4675.9860000000008</v>
      </c>
      <c r="V76" s="108">
        <f>'Monthly Data'!$BG586*42*31</f>
        <v>5111.3955059999998</v>
      </c>
      <c r="W76" s="108">
        <f>'Monthly Data'!$BG598*42*31</f>
        <v>5054.5358639999995</v>
      </c>
      <c r="X76" s="108">
        <f>'Monthly Data'!$BG610*42*31</f>
        <v>5190.1248420000002</v>
      </c>
      <c r="Y76" s="108">
        <f>'Monthly Data'!$BG622*42*31</f>
        <v>4968.9085320000004</v>
      </c>
      <c r="Z76" s="118">
        <f>'Monthly Data'!$BG634*42*31</f>
        <v>4978.2282480000003</v>
      </c>
      <c r="AA76" s="118">
        <f>'Monthly Data'!$BG646*42*31</f>
        <v>5016.483612</v>
      </c>
      <c r="AB76" s="133">
        <f t="shared" si="49"/>
        <v>5345.2415432551616</v>
      </c>
      <c r="AC76" s="133">
        <f t="shared" si="50"/>
        <v>5369.574423503961</v>
      </c>
      <c r="AD76" s="133">
        <f t="shared" si="51"/>
        <v>5362.8069383438251</v>
      </c>
      <c r="AE76" s="133">
        <f t="shared" si="51"/>
        <v>5322.5472095935411</v>
      </c>
      <c r="AF76" s="133">
        <f t="shared" si="51"/>
        <v>5356.8522945180948</v>
      </c>
      <c r="AG76" s="133">
        <f t="shared" si="51"/>
        <v>5337.6562176511561</v>
      </c>
      <c r="AH76" s="133">
        <f t="shared" si="51"/>
        <v>5319.3521567183334</v>
      </c>
      <c r="AI76" s="133">
        <f t="shared" si="51"/>
        <v>5246.3978003479815</v>
      </c>
      <c r="AJ76" s="133">
        <f t="shared" si="51"/>
        <v>5161.0089028398388</v>
      </c>
      <c r="AK76" s="133">
        <f t="shared" si="51"/>
        <v>5153.1862795086226</v>
      </c>
      <c r="AL76" s="133">
        <f t="shared" si="51"/>
        <v>5081.6947639330256</v>
      </c>
      <c r="AM76" s="133">
        <f t="shared" si="51"/>
        <v>5080.578214679962</v>
      </c>
      <c r="AN76" s="133">
        <f t="shared" si="51"/>
        <v>5048.6599869633765</v>
      </c>
      <c r="AO76" s="133">
        <f t="shared" si="51"/>
        <v>5004.1731910341487</v>
      </c>
      <c r="AP76" s="133">
        <f t="shared" si="51"/>
        <v>4969.9992728788475</v>
      </c>
      <c r="AQ76" s="133">
        <f t="shared" si="51"/>
        <v>4932.9367852500727</v>
      </c>
      <c r="AR76" s="133">
        <f t="shared" si="51"/>
        <v>4888.4578243921178</v>
      </c>
      <c r="AS76" s="133">
        <f t="shared" si="51"/>
        <v>4855.69710194664</v>
      </c>
      <c r="AT76" s="133">
        <f t="shared" si="52"/>
        <v>4829.9824998726581</v>
      </c>
      <c r="AU76" s="133">
        <f t="shared" si="52"/>
        <v>4799.8563212367981</v>
      </c>
      <c r="AV76" s="133">
        <f t="shared" si="52"/>
        <v>4761.5120704406936</v>
      </c>
      <c r="AW76" s="133">
        <f t="shared" si="52"/>
        <v>4731.5618130964076</v>
      </c>
      <c r="AX76" s="133">
        <f t="shared" si="52"/>
        <v>4697.2104503502942</v>
      </c>
      <c r="AY76" s="133">
        <f t="shared" si="52"/>
        <v>4661.3819290775864</v>
      </c>
    </row>
    <row r="77" spans="1:51" x14ac:dyDescent="0.2">
      <c r="A77" s="19" t="s">
        <v>170</v>
      </c>
      <c r="B77" s="129"/>
      <c r="C77" s="129"/>
      <c r="D77" s="129"/>
      <c r="E77" s="129"/>
      <c r="F77" s="129"/>
      <c r="G77" s="129"/>
      <c r="H77" s="129"/>
      <c r="I77" s="129"/>
      <c r="J77" s="129"/>
      <c r="K77" s="129"/>
      <c r="L77" s="129">
        <f>'Monthly Data'!$AM467*42/1000</f>
        <v>4959.402</v>
      </c>
      <c r="M77" s="129">
        <f>'Monthly Data'!$AM479*42/1000</f>
        <v>4629.576</v>
      </c>
      <c r="N77" s="129">
        <f>'Monthly Data'!$AM491*42/1000</f>
        <v>4693.0379999999996</v>
      </c>
      <c r="O77" s="129">
        <f>'Monthly Data'!$AM503*42/1000</f>
        <v>4956.0839999999998</v>
      </c>
      <c r="P77" s="129">
        <f>'Monthly Data'!$AM515*42/1000</f>
        <v>5119.3379999999997</v>
      </c>
      <c r="Q77" s="129">
        <f>'Monthly Data'!$AM527*42/1000</f>
        <v>4929.1620000000003</v>
      </c>
      <c r="R77" s="129">
        <f>'Monthly Data'!$AM539*42/1000</f>
        <v>4940.7120000000004</v>
      </c>
      <c r="S77" s="108">
        <f t="shared" si="53"/>
        <v>4960.9980000000005</v>
      </c>
      <c r="T77" s="108">
        <f t="shared" si="53"/>
        <v>4854.0660000000025</v>
      </c>
      <c r="U77" s="108">
        <f t="shared" si="53"/>
        <v>4701.8160000000016</v>
      </c>
      <c r="V77" s="108">
        <f>'Monthly Data'!$BG587*42*30</f>
        <v>4998.4603200000001</v>
      </c>
      <c r="W77" s="108">
        <f>'Monthly Data'!$BG599*42*30</f>
        <v>5073.8473799999992</v>
      </c>
      <c r="X77" s="108">
        <f>'Monthly Data'!$BG611*42*30</f>
        <v>4784.5715399999999</v>
      </c>
      <c r="Y77" s="108">
        <f>'Monthly Data'!$BG623*42*30</f>
        <v>4607.7947999999997</v>
      </c>
      <c r="Z77" s="118">
        <f>'Monthly Data'!$BG635*42*30</f>
        <v>4962.0286799999994</v>
      </c>
      <c r="AA77" s="118">
        <f>'Monthly Data'!$BG647*42*30</f>
        <v>4995.2510999999995</v>
      </c>
      <c r="AB77" s="133">
        <f t="shared" si="49"/>
        <v>5178.8327645227682</v>
      </c>
      <c r="AC77" s="133">
        <f t="shared" si="50"/>
        <v>5165.2049556444408</v>
      </c>
      <c r="AD77" s="133">
        <f t="shared" si="51"/>
        <v>5202.1376381726632</v>
      </c>
      <c r="AE77" s="133">
        <f t="shared" si="51"/>
        <v>5206.4130506353185</v>
      </c>
      <c r="AF77" s="133">
        <f t="shared" si="51"/>
        <v>5221.2280396872875</v>
      </c>
      <c r="AG77" s="133">
        <f t="shared" si="51"/>
        <v>5181.4174515766954</v>
      </c>
      <c r="AH77" s="133">
        <f t="shared" si="51"/>
        <v>5165.6274101452127</v>
      </c>
      <c r="AI77" s="133">
        <f t="shared" si="51"/>
        <v>5104.4478678024961</v>
      </c>
      <c r="AJ77" s="133">
        <f t="shared" si="51"/>
        <v>5024.3921448963101</v>
      </c>
      <c r="AK77" s="133">
        <f t="shared" si="51"/>
        <v>5011.9476793880749</v>
      </c>
      <c r="AL77" s="133">
        <f t="shared" si="51"/>
        <v>4940.2454278215037</v>
      </c>
      <c r="AM77" s="133">
        <f t="shared" si="51"/>
        <v>4940.6599105424939</v>
      </c>
      <c r="AN77" s="133">
        <f t="shared" si="51"/>
        <v>4911.0398739754992</v>
      </c>
      <c r="AO77" s="133">
        <f t="shared" si="51"/>
        <v>4867.5578684500579</v>
      </c>
      <c r="AP77" s="133">
        <f t="shared" si="51"/>
        <v>4833.47835285784</v>
      </c>
      <c r="AQ77" s="133">
        <f t="shared" si="51"/>
        <v>4797.3723768102582</v>
      </c>
      <c r="AR77" s="133">
        <f t="shared" si="51"/>
        <v>4754.4666042753661</v>
      </c>
      <c r="AS77" s="133">
        <f t="shared" si="51"/>
        <v>4722.7330567458093</v>
      </c>
      <c r="AT77" s="133">
        <f t="shared" si="52"/>
        <v>4697.5995831697737</v>
      </c>
      <c r="AU77" s="133">
        <f t="shared" si="52"/>
        <v>4668.1928532543025</v>
      </c>
      <c r="AV77" s="133">
        <f t="shared" si="52"/>
        <v>4630.9376925383986</v>
      </c>
      <c r="AW77" s="133">
        <f t="shared" si="52"/>
        <v>4601.865427459592</v>
      </c>
      <c r="AX77" s="133">
        <f t="shared" si="52"/>
        <v>4568.4545251536956</v>
      </c>
      <c r="AY77" s="133">
        <f t="shared" si="52"/>
        <v>4533.5814553771115</v>
      </c>
    </row>
    <row r="78" spans="1:51" x14ac:dyDescent="0.2">
      <c r="A78" s="19" t="s">
        <v>171</v>
      </c>
      <c r="B78" s="129"/>
      <c r="C78" s="129"/>
      <c r="D78" s="129"/>
      <c r="E78" s="129"/>
      <c r="F78" s="129"/>
      <c r="G78" s="129"/>
      <c r="H78" s="129"/>
      <c r="I78" s="129"/>
      <c r="J78" s="129"/>
      <c r="K78" s="129"/>
      <c r="L78" s="129">
        <f>'Monthly Data'!$AM468*42/1000</f>
        <v>5212.41</v>
      </c>
      <c r="M78" s="129">
        <f>'Monthly Data'!$AM480*42/1000</f>
        <v>5015.808</v>
      </c>
      <c r="N78" s="129">
        <f>'Monthly Data'!$AM492*42/1000</f>
        <v>5258.442</v>
      </c>
      <c r="O78" s="129">
        <f>'Monthly Data'!$AM504*42/1000</f>
        <v>5554.71</v>
      </c>
      <c r="P78" s="129">
        <f>'Monthly Data'!$AM516*42/1000</f>
        <v>5226.3959999999997</v>
      </c>
      <c r="Q78" s="129">
        <f>'Monthly Data'!$AM528*42/1000</f>
        <v>5190.192</v>
      </c>
      <c r="R78" s="129">
        <f>'Monthly Data'!$AM540*42/1000</f>
        <v>5222.616</v>
      </c>
      <c r="S78" s="108">
        <f t="shared" si="53"/>
        <v>5552.7779999999984</v>
      </c>
      <c r="T78" s="108">
        <f t="shared" si="53"/>
        <v>5408.8020000000006</v>
      </c>
      <c r="U78" s="108">
        <f t="shared" si="53"/>
        <v>5154.1140000000005</v>
      </c>
      <c r="V78" s="108">
        <f>'Monthly Data'!$BG588*42*31</f>
        <v>5096.6217120000001</v>
      </c>
      <c r="W78" s="108">
        <f>'Monthly Data'!$BG600*42*31</f>
        <v>5346.4117140000008</v>
      </c>
      <c r="X78" s="108">
        <f>'Monthly Data'!$BG612*42*31</f>
        <v>5213.7301019999995</v>
      </c>
      <c r="Y78" s="108">
        <f>'Monthly Data'!$BG624*42*31</f>
        <v>5212.3291500000005</v>
      </c>
      <c r="Z78" s="118">
        <f>'Monthly Data'!$BG636*42*31</f>
        <v>5299.841778</v>
      </c>
      <c r="AA78" s="118">
        <f>'Monthly Data'!$BG648*42*31</f>
        <v>5255.4357659999996</v>
      </c>
      <c r="AB78" s="133">
        <f t="shared" si="49"/>
        <v>5582.6168602662656</v>
      </c>
      <c r="AC78" s="133">
        <f t="shared" si="50"/>
        <v>5593.8350564996863</v>
      </c>
      <c r="AD78" s="133">
        <f t="shared" si="51"/>
        <v>5627.1255167633935</v>
      </c>
      <c r="AE78" s="133">
        <f t="shared" si="51"/>
        <v>5585.1843929692732</v>
      </c>
      <c r="AF78" s="133">
        <f t="shared" si="51"/>
        <v>5605.7775082176004</v>
      </c>
      <c r="AG78" s="133">
        <f t="shared" si="51"/>
        <v>5584.5237431489704</v>
      </c>
      <c r="AH78" s="133">
        <f t="shared" si="51"/>
        <v>5567.330486340551</v>
      </c>
      <c r="AI78" s="133">
        <f t="shared" si="51"/>
        <v>5496.0957219804804</v>
      </c>
      <c r="AJ78" s="133">
        <f t="shared" si="51"/>
        <v>5404.8798931469364</v>
      </c>
      <c r="AK78" s="133">
        <f t="shared" si="51"/>
        <v>5394.516240034076</v>
      </c>
      <c r="AL78" s="133">
        <f t="shared" si="51"/>
        <v>5320.0532338034627</v>
      </c>
      <c r="AM78" s="133">
        <f t="shared" si="51"/>
        <v>5319.5686395158846</v>
      </c>
      <c r="AN78" s="133">
        <f t="shared" si="51"/>
        <v>5286.5894154185735</v>
      </c>
      <c r="AO78" s="133">
        <f t="shared" si="51"/>
        <v>5239.525827248116</v>
      </c>
      <c r="AP78" s="133">
        <f t="shared" si="51"/>
        <v>5203.5208991422396</v>
      </c>
      <c r="AQ78" s="133">
        <f t="shared" si="51"/>
        <v>5164.8734696289093</v>
      </c>
      <c r="AR78" s="133">
        <f t="shared" si="51"/>
        <v>5118.4149839306701</v>
      </c>
      <c r="AS78" s="133">
        <f t="shared" si="51"/>
        <v>5084.1139981213373</v>
      </c>
      <c r="AT78" s="133">
        <f t="shared" si="52"/>
        <v>5057.1044534027069</v>
      </c>
      <c r="AU78" s="133">
        <f t="shared" si="52"/>
        <v>5025.5538651564857</v>
      </c>
      <c r="AV78" s="133">
        <f t="shared" si="52"/>
        <v>4985.4411435426646</v>
      </c>
      <c r="AW78" s="133">
        <f t="shared" si="52"/>
        <v>4954.0930047831444</v>
      </c>
      <c r="AX78" s="133">
        <f t="shared" si="52"/>
        <v>4918.1168569955553</v>
      </c>
      <c r="AY78" s="133">
        <f t="shared" si="52"/>
        <v>4880.592196415847</v>
      </c>
    </row>
    <row r="79" spans="1:51" x14ac:dyDescent="0.2">
      <c r="A79" s="19" t="s">
        <v>172</v>
      </c>
      <c r="B79" s="129"/>
      <c r="C79" s="129"/>
      <c r="D79" s="129"/>
      <c r="E79" s="129"/>
      <c r="F79" s="129"/>
      <c r="G79" s="129"/>
      <c r="H79" s="129"/>
      <c r="I79" s="129"/>
      <c r="J79" s="129"/>
      <c r="K79" s="129"/>
      <c r="L79" s="129">
        <f>'Monthly Data'!$AM469*42/1000</f>
        <v>5177.8860000000004</v>
      </c>
      <c r="M79" s="129">
        <f>'Monthly Data'!$AM481*42/1000</f>
        <v>4847.9340000000002</v>
      </c>
      <c r="N79" s="129">
        <f>'Monthly Data'!$AM493*42/1000</f>
        <v>4905.4740000000002</v>
      </c>
      <c r="O79" s="129">
        <f>'Monthly Data'!$AM505*42/1000</f>
        <v>4935.6719999999996</v>
      </c>
      <c r="P79" s="129">
        <f>'Monthly Data'!$AM517*42/1000</f>
        <v>4712.6940000000004</v>
      </c>
      <c r="Q79" s="129">
        <f>'Monthly Data'!$AM529*42/1000</f>
        <v>4962.384</v>
      </c>
      <c r="R79" s="129">
        <f>'Monthly Data'!$AM541*42/1000</f>
        <v>5238.366</v>
      </c>
      <c r="S79" s="108">
        <f t="shared" si="53"/>
        <v>5198.8020000000024</v>
      </c>
      <c r="T79" s="108">
        <f t="shared" si="53"/>
        <v>5212.62</v>
      </c>
      <c r="U79" s="108">
        <f t="shared" si="53"/>
        <v>4787.6220000000003</v>
      </c>
      <c r="V79" s="108">
        <f>'Monthly Data'!$BG589*42*30</f>
        <v>5211.2503800000004</v>
      </c>
      <c r="W79" s="108">
        <f>'Monthly Data'!$BG601*42*30</f>
        <v>5043.9765599999992</v>
      </c>
      <c r="X79" s="108">
        <f>'Monthly Data'!$BG613*42*30</f>
        <v>4911.6664799999999</v>
      </c>
      <c r="Y79" s="108">
        <f>'Monthly Data'!$BG625*42*30</f>
        <v>4569.0372000000007</v>
      </c>
      <c r="Z79" s="118">
        <f>'Monthly Data'!$BG637*42*30</f>
        <v>4776.0615000000007</v>
      </c>
      <c r="AA79" s="118">
        <f>'Monthly Data'!$BG649*42*30</f>
        <v>4906.9817999999996</v>
      </c>
      <c r="AB79" s="133">
        <f t="shared" si="49"/>
        <v>5133.0802378235167</v>
      </c>
      <c r="AC79" s="133">
        <f t="shared" si="50"/>
        <v>5116.4237677668161</v>
      </c>
      <c r="AD79" s="133">
        <f t="shared" si="51"/>
        <v>5117.0275927715029</v>
      </c>
      <c r="AE79" s="133">
        <f t="shared" si="51"/>
        <v>5113.7554874922525</v>
      </c>
      <c r="AF79" s="133">
        <f t="shared" si="51"/>
        <v>5148.1103923960991</v>
      </c>
      <c r="AG79" s="133">
        <f t="shared" si="51"/>
        <v>5112.5111402944322</v>
      </c>
      <c r="AH79" s="133">
        <f t="shared" si="51"/>
        <v>5092.3335956599303</v>
      </c>
      <c r="AI79" s="133">
        <f t="shared" si="51"/>
        <v>5027.2065595640552</v>
      </c>
      <c r="AJ79" s="133">
        <f t="shared" si="51"/>
        <v>4949.602953886968</v>
      </c>
      <c r="AK79" s="133">
        <f t="shared" si="51"/>
        <v>4940.3003185710131</v>
      </c>
      <c r="AL79" s="133">
        <f t="shared" si="51"/>
        <v>4869.3281757235445</v>
      </c>
      <c r="AM79" s="133">
        <f t="shared" si="51"/>
        <v>4868.6656731557696</v>
      </c>
      <c r="AN79" s="133">
        <f t="shared" si="51"/>
        <v>4839.0889108323781</v>
      </c>
      <c r="AO79" s="133">
        <f t="shared" si="51"/>
        <v>4796.7255975380685</v>
      </c>
      <c r="AP79" s="133">
        <f t="shared" si="51"/>
        <v>4763.4700973201543</v>
      </c>
      <c r="AQ79" s="133">
        <f t="shared" si="51"/>
        <v>4727.7018203368352</v>
      </c>
      <c r="AR79" s="133">
        <f t="shared" si="51"/>
        <v>4685.2574436477971</v>
      </c>
      <c r="AS79" s="133">
        <f t="shared" si="51"/>
        <v>4654.0004350779463</v>
      </c>
      <c r="AT79" s="133">
        <f t="shared" si="52"/>
        <v>4629.326360788401</v>
      </c>
      <c r="AU79" s="133">
        <f t="shared" si="52"/>
        <v>4600.364457691885</v>
      </c>
      <c r="AV79" s="133">
        <f t="shared" si="52"/>
        <v>4563.6071774219545</v>
      </c>
      <c r="AW79" s="133">
        <f t="shared" si="52"/>
        <v>4534.9419581910552</v>
      </c>
      <c r="AX79" s="133">
        <f t="shared" si="52"/>
        <v>4502.0299591678158</v>
      </c>
      <c r="AY79" s="133">
        <f t="shared" si="52"/>
        <v>4467.6766327849464</v>
      </c>
    </row>
    <row r="80" spans="1:51" x14ac:dyDescent="0.2">
      <c r="A80" s="19" t="s">
        <v>173</v>
      </c>
      <c r="B80" s="129"/>
      <c r="C80" s="129"/>
      <c r="D80" s="129"/>
      <c r="E80" s="129"/>
      <c r="F80" s="129"/>
      <c r="G80" s="129"/>
      <c r="H80" s="129"/>
      <c r="I80" s="129"/>
      <c r="J80" s="129"/>
      <c r="K80" s="129"/>
      <c r="L80" s="129">
        <f>'Monthly Data'!$AM470*42/1000</f>
        <v>5016.8159999999998</v>
      </c>
      <c r="M80" s="129">
        <f>'Monthly Data'!$AM482*42/1000</f>
        <v>4594.5060000000003</v>
      </c>
      <c r="N80" s="129">
        <f>'Monthly Data'!$AM494*42/1000</f>
        <v>5060.5379999999996</v>
      </c>
      <c r="O80" s="129">
        <f>'Monthly Data'!$AM506*42/1000</f>
        <v>5440.0079999999998</v>
      </c>
      <c r="P80" s="129">
        <f>'Monthly Data'!$AM518*42/1000</f>
        <v>4988.13</v>
      </c>
      <c r="Q80" s="129">
        <f>'Monthly Data'!$AM530*42/1000</f>
        <v>5264.07</v>
      </c>
      <c r="R80" s="129">
        <f>'Monthly Data'!$AM542*42/1000</f>
        <v>5175.8280000000004</v>
      </c>
      <c r="S80" s="108">
        <f t="shared" si="53"/>
        <v>5130.4259999999977</v>
      </c>
      <c r="T80" s="108">
        <f t="shared" si="53"/>
        <v>5020.9320000000016</v>
      </c>
      <c r="U80" s="108">
        <f t="shared" si="53"/>
        <v>4946.2140000000009</v>
      </c>
      <c r="V80" s="108">
        <f>'Monthly Data'!$BG590*42*31</f>
        <v>5070.5517659999996</v>
      </c>
      <c r="W80" s="108">
        <f>'Monthly Data'!$BG602*42*31</f>
        <v>4867.8134399999999</v>
      </c>
      <c r="X80" s="108">
        <f>'Monthly Data'!$BG614*42*31</f>
        <v>4681.342302</v>
      </c>
      <c r="Y80" s="108">
        <f>'Monthly Data'!$BG626*42*31</f>
        <v>4914.3007480853994</v>
      </c>
      <c r="Z80" s="118">
        <f>'Monthly Data'!$BG638*42*31</f>
        <v>5018.3897399999996</v>
      </c>
      <c r="AA80" s="118">
        <f>'Monthly Data'!$BG650*42*31</f>
        <v>5047.1014439999999</v>
      </c>
      <c r="AB80" s="133">
        <f t="shared" si="49"/>
        <v>5201.193592301528</v>
      </c>
      <c r="AC80" s="133">
        <f t="shared" si="50"/>
        <v>5235.5068368606253</v>
      </c>
      <c r="AD80" s="133">
        <f t="shared" si="51"/>
        <v>5308.1013064398248</v>
      </c>
      <c r="AE80" s="133">
        <f t="shared" si="51"/>
        <v>5269.0525722266275</v>
      </c>
      <c r="AF80" s="133">
        <f t="shared" si="51"/>
        <v>5284.7227381957946</v>
      </c>
      <c r="AG80" s="133">
        <f t="shared" si="51"/>
        <v>5246.2027029116871</v>
      </c>
      <c r="AH80" s="133">
        <f t="shared" si="51"/>
        <v>5238.645261953855</v>
      </c>
      <c r="AI80" s="133">
        <f t="shared" si="51"/>
        <v>5177.1334415739348</v>
      </c>
      <c r="AJ80" s="133">
        <f t="shared" si="51"/>
        <v>5089.7469381180499</v>
      </c>
      <c r="AK80" s="133">
        <f t="shared" si="51"/>
        <v>5078.1319683607089</v>
      </c>
      <c r="AL80" s="133">
        <f t="shared" si="51"/>
        <v>5006.5398477005283</v>
      </c>
      <c r="AM80" s="133">
        <f t="shared" si="51"/>
        <v>5007.8885693279999</v>
      </c>
      <c r="AN80" s="133">
        <f t="shared" si="51"/>
        <v>4977.3300562623626</v>
      </c>
      <c r="AO80" s="133">
        <f t="shared" si="51"/>
        <v>4932.5191294767228</v>
      </c>
      <c r="AP80" s="133">
        <f t="shared" si="51"/>
        <v>4898.3177603157837</v>
      </c>
      <c r="AQ80" s="133">
        <f t="shared" si="51"/>
        <v>4861.9329434514375</v>
      </c>
      <c r="AR80" s="133">
        <f t="shared" si="51"/>
        <v>4818.4866426257095</v>
      </c>
      <c r="AS80" s="133">
        <f t="shared" si="51"/>
        <v>4786.1886934614504</v>
      </c>
      <c r="AT80" s="133">
        <f t="shared" si="52"/>
        <v>4760.6578763661182</v>
      </c>
      <c r="AU80" s="133">
        <f t="shared" si="52"/>
        <v>4730.9306211743233</v>
      </c>
      <c r="AV80" s="133">
        <f t="shared" si="52"/>
        <v>4693.1982212478706</v>
      </c>
      <c r="AW80" s="133">
        <f t="shared" si="52"/>
        <v>4663.7228596852465</v>
      </c>
      <c r="AX80" s="133">
        <f t="shared" si="52"/>
        <v>4629.8410378771714</v>
      </c>
      <c r="AY80" s="133">
        <f t="shared" si="52"/>
        <v>4594.5001449183037</v>
      </c>
    </row>
    <row r="81" spans="1:51" x14ac:dyDescent="0.2">
      <c r="A81" s="117" t="s">
        <v>174</v>
      </c>
      <c r="B81" s="130"/>
      <c r="C81" s="130"/>
      <c r="D81" s="130"/>
      <c r="E81" s="130"/>
      <c r="F81" s="130"/>
      <c r="G81" s="130"/>
      <c r="H81" s="130"/>
      <c r="I81" s="130"/>
      <c r="J81" s="130"/>
      <c r="K81" s="130"/>
      <c r="L81" s="130">
        <f>SUM(L69:L80)</f>
        <v>59769.401999999995</v>
      </c>
      <c r="M81" s="130">
        <f t="shared" ref="M81:Y81" si="54">SUM(M69:M80)</f>
        <v>57512.993999999999</v>
      </c>
      <c r="N81" s="130">
        <f t="shared" si="54"/>
        <v>58675.05</v>
      </c>
      <c r="O81" s="130">
        <f t="shared" si="54"/>
        <v>61890.948000000004</v>
      </c>
      <c r="P81" s="130">
        <f t="shared" si="54"/>
        <v>61247.004000000001</v>
      </c>
      <c r="Q81" s="130">
        <f t="shared" si="54"/>
        <v>59601.15</v>
      </c>
      <c r="R81" s="130">
        <f t="shared" si="54"/>
        <v>60280.458000000006</v>
      </c>
      <c r="S81" s="130">
        <f t="shared" si="54"/>
        <v>62380.626000000004</v>
      </c>
      <c r="T81" s="130">
        <f t="shared" si="54"/>
        <v>61837.650000000009</v>
      </c>
      <c r="U81" s="130">
        <f t="shared" si="54"/>
        <v>57048.180000000008</v>
      </c>
      <c r="V81" s="130">
        <f t="shared" si="54"/>
        <v>60004.329167999997</v>
      </c>
      <c r="W81" s="130">
        <f t="shared" si="54"/>
        <v>60837.640163999997</v>
      </c>
      <c r="X81" s="130">
        <f t="shared" si="54"/>
        <v>59137.57033799999</v>
      </c>
      <c r="Y81" s="130">
        <f t="shared" si="54"/>
        <v>57252.681892085398</v>
      </c>
      <c r="Z81" s="134">
        <f t="shared" ref="Z81:AY81" si="55">Z8</f>
        <v>60695.196740538595</v>
      </c>
      <c r="AA81" s="134">
        <f t="shared" si="55"/>
        <v>61993.623209405378</v>
      </c>
      <c r="AB81" s="134">
        <f t="shared" si="55"/>
        <v>63595.263163937212</v>
      </c>
      <c r="AC81" s="134">
        <f t="shared" si="55"/>
        <v>63737.135279575683</v>
      </c>
      <c r="AD81" s="134">
        <f t="shared" si="55"/>
        <v>64172.544675259385</v>
      </c>
      <c r="AE81" s="134">
        <f t="shared" si="55"/>
        <v>64141.211439622552</v>
      </c>
      <c r="AF81" s="134">
        <f t="shared" si="55"/>
        <v>64411.995174320065</v>
      </c>
      <c r="AG81" s="134">
        <f t="shared" si="55"/>
        <v>63847.178015683297</v>
      </c>
      <c r="AH81" s="134">
        <f t="shared" si="55"/>
        <v>63696.369667154147</v>
      </c>
      <c r="AI81" s="134">
        <f t="shared" si="55"/>
        <v>62932.942304619915</v>
      </c>
      <c r="AJ81" s="134">
        <f t="shared" si="55"/>
        <v>61939.101700669016</v>
      </c>
      <c r="AK81" s="134">
        <f t="shared" si="55"/>
        <v>61793.840189322378</v>
      </c>
      <c r="AL81" s="134">
        <f t="shared" si="55"/>
        <v>60902.46025957173</v>
      </c>
      <c r="AM81" s="134">
        <f t="shared" si="55"/>
        <v>60913.129195645568</v>
      </c>
      <c r="AN81" s="134">
        <f t="shared" si="55"/>
        <v>60546.055601967062</v>
      </c>
      <c r="AO81" s="134">
        <f t="shared" si="55"/>
        <v>60009.505811090654</v>
      </c>
      <c r="AP81" s="134">
        <f t="shared" si="55"/>
        <v>59590.127644504617</v>
      </c>
      <c r="AQ81" s="134">
        <f t="shared" si="55"/>
        <v>59144.318560314816</v>
      </c>
      <c r="AR81" s="134">
        <f t="shared" si="55"/>
        <v>58615.993245286823</v>
      </c>
      <c r="AS81" s="134">
        <f t="shared" si="55"/>
        <v>58224.443912870338</v>
      </c>
      <c r="AT81" s="134">
        <f t="shared" si="55"/>
        <v>57914.572525862386</v>
      </c>
      <c r="AU81" s="134">
        <f t="shared" si="55"/>
        <v>57552.109771849922</v>
      </c>
      <c r="AV81" s="134">
        <f t="shared" si="55"/>
        <v>57092.751311998196</v>
      </c>
      <c r="AW81" s="134">
        <f t="shared" si="55"/>
        <v>56734.397346889724</v>
      </c>
      <c r="AX81" s="134">
        <f t="shared" si="55"/>
        <v>56322.441387416067</v>
      </c>
      <c r="AY81" s="134">
        <f t="shared" si="55"/>
        <v>55892.512473245268</v>
      </c>
    </row>
    <row r="82" spans="1:51" x14ac:dyDescent="0.2"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08"/>
      <c r="R82" s="108"/>
      <c r="S82" s="108"/>
      <c r="T82" s="108"/>
      <c r="U82" s="108"/>
      <c r="V82" s="108"/>
      <c r="W82" s="108"/>
      <c r="X82" s="108"/>
      <c r="Y82" s="119"/>
      <c r="Z82" s="119"/>
      <c r="AA82" s="119"/>
      <c r="AB82" s="118"/>
      <c r="AC82" s="118"/>
      <c r="AD82" s="118"/>
      <c r="AE82" s="118"/>
      <c r="AF82" s="118"/>
      <c r="AG82" s="118"/>
      <c r="AH82" s="118"/>
      <c r="AI82" s="118"/>
      <c r="AJ82" s="118"/>
      <c r="AK82" s="118"/>
      <c r="AL82" s="118"/>
      <c r="AM82" s="118"/>
      <c r="AN82" s="118"/>
      <c r="AO82" s="118"/>
      <c r="AP82" s="118"/>
      <c r="AQ82" s="118"/>
      <c r="AR82" s="118"/>
      <c r="AS82" s="118"/>
      <c r="AT82" s="118"/>
      <c r="AU82" s="118"/>
      <c r="AV82" s="118"/>
      <c r="AW82" s="118"/>
      <c r="AX82" s="118"/>
      <c r="AY82" s="118"/>
    </row>
    <row r="83" spans="1:51" ht="12" thickBot="1" x14ac:dyDescent="0.25">
      <c r="A83" s="121" t="s">
        <v>252</v>
      </c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08"/>
      <c r="R83" s="108"/>
      <c r="S83" s="251"/>
      <c r="T83" s="108"/>
      <c r="U83" s="108"/>
      <c r="V83" s="108"/>
      <c r="W83" s="19"/>
      <c r="X83" s="118"/>
      <c r="Y83" s="118"/>
      <c r="Z83" s="118"/>
      <c r="AA83" s="118"/>
      <c r="AB83" s="118"/>
      <c r="AC83" s="118"/>
      <c r="AD83" s="118"/>
    </row>
    <row r="84" spans="1:51" ht="12" thickBot="1" x14ac:dyDescent="0.25">
      <c r="A84" s="122"/>
      <c r="B84" s="128">
        <f t="shared" ref="B84:AY84" si="56">B2</f>
        <v>2001</v>
      </c>
      <c r="C84" s="128">
        <f t="shared" si="56"/>
        <v>2002</v>
      </c>
      <c r="D84" s="128">
        <f t="shared" si="56"/>
        <v>2003</v>
      </c>
      <c r="E84" s="128">
        <f t="shared" si="56"/>
        <v>2004</v>
      </c>
      <c r="F84" s="128">
        <f t="shared" si="56"/>
        <v>2005</v>
      </c>
      <c r="G84" s="128">
        <f t="shared" si="56"/>
        <v>2006</v>
      </c>
      <c r="H84" s="128">
        <f t="shared" si="56"/>
        <v>2007</v>
      </c>
      <c r="I84" s="128">
        <f t="shared" si="56"/>
        <v>2008</v>
      </c>
      <c r="J84" s="128">
        <f t="shared" si="56"/>
        <v>2009</v>
      </c>
      <c r="K84" s="128">
        <f t="shared" si="56"/>
        <v>2010</v>
      </c>
      <c r="L84" s="128">
        <f t="shared" si="56"/>
        <v>2011</v>
      </c>
      <c r="M84" s="128">
        <f t="shared" si="56"/>
        <v>2012</v>
      </c>
      <c r="N84" s="128">
        <f t="shared" si="56"/>
        <v>2013</v>
      </c>
      <c r="O84" s="128">
        <f t="shared" si="56"/>
        <v>2014</v>
      </c>
      <c r="P84" s="128">
        <f t="shared" si="56"/>
        <v>2015</v>
      </c>
      <c r="Q84" s="128">
        <f t="shared" si="56"/>
        <v>2016</v>
      </c>
      <c r="R84" s="128">
        <f t="shared" si="56"/>
        <v>2017</v>
      </c>
      <c r="S84" s="128">
        <f t="shared" si="56"/>
        <v>2018</v>
      </c>
      <c r="T84" s="128">
        <f t="shared" si="56"/>
        <v>2019</v>
      </c>
      <c r="U84" s="128">
        <f t="shared" si="56"/>
        <v>2020</v>
      </c>
      <c r="V84" s="128">
        <f t="shared" si="56"/>
        <v>2021</v>
      </c>
      <c r="W84" s="128">
        <f t="shared" si="56"/>
        <v>2022</v>
      </c>
      <c r="X84" s="128">
        <f t="shared" si="56"/>
        <v>2023</v>
      </c>
      <c r="Y84" s="128">
        <f t="shared" si="56"/>
        <v>2024</v>
      </c>
      <c r="Z84" s="128">
        <f t="shared" si="56"/>
        <v>2025</v>
      </c>
      <c r="AA84" s="128">
        <f t="shared" si="56"/>
        <v>2026</v>
      </c>
      <c r="AB84" s="128">
        <f t="shared" si="56"/>
        <v>2027</v>
      </c>
      <c r="AC84" s="128">
        <f t="shared" si="56"/>
        <v>2028</v>
      </c>
      <c r="AD84" s="128">
        <f t="shared" si="56"/>
        <v>2029</v>
      </c>
      <c r="AE84" s="128">
        <f t="shared" si="56"/>
        <v>2030</v>
      </c>
      <c r="AF84" s="128">
        <f t="shared" si="56"/>
        <v>2031</v>
      </c>
      <c r="AG84" s="128">
        <f t="shared" si="56"/>
        <v>2032</v>
      </c>
      <c r="AH84" s="128">
        <f t="shared" si="56"/>
        <v>2033</v>
      </c>
      <c r="AI84" s="128">
        <f t="shared" si="56"/>
        <v>2034</v>
      </c>
      <c r="AJ84" s="128">
        <f t="shared" si="56"/>
        <v>2035</v>
      </c>
      <c r="AK84" s="128">
        <f t="shared" si="56"/>
        <v>2036</v>
      </c>
      <c r="AL84" s="128">
        <f t="shared" si="56"/>
        <v>2037</v>
      </c>
      <c r="AM84" s="128">
        <f t="shared" si="56"/>
        <v>2038</v>
      </c>
      <c r="AN84" s="128">
        <f t="shared" si="56"/>
        <v>2039</v>
      </c>
      <c r="AO84" s="128">
        <f t="shared" si="56"/>
        <v>2040</v>
      </c>
      <c r="AP84" s="128">
        <f t="shared" si="56"/>
        <v>2041</v>
      </c>
      <c r="AQ84" s="128">
        <f t="shared" si="56"/>
        <v>2042</v>
      </c>
      <c r="AR84" s="128">
        <f t="shared" si="56"/>
        <v>2043</v>
      </c>
      <c r="AS84" s="128">
        <f t="shared" si="56"/>
        <v>2044</v>
      </c>
      <c r="AT84" s="128">
        <f t="shared" si="56"/>
        <v>2045</v>
      </c>
      <c r="AU84" s="128">
        <f t="shared" si="56"/>
        <v>2046</v>
      </c>
      <c r="AV84" s="128">
        <f t="shared" si="56"/>
        <v>2047</v>
      </c>
      <c r="AW84" s="128">
        <f t="shared" si="56"/>
        <v>2048</v>
      </c>
      <c r="AX84" s="128">
        <f t="shared" si="56"/>
        <v>2049</v>
      </c>
      <c r="AY84" s="128">
        <f t="shared" si="56"/>
        <v>2050</v>
      </c>
    </row>
    <row r="85" spans="1:51" x14ac:dyDescent="0.2">
      <c r="A85" s="19" t="s">
        <v>162</v>
      </c>
      <c r="B85" s="108"/>
      <c r="C85" s="108"/>
      <c r="D85" s="108"/>
      <c r="E85" s="108"/>
      <c r="F85" s="108"/>
      <c r="G85" s="108"/>
      <c r="H85" s="108"/>
      <c r="I85" s="108"/>
      <c r="J85" s="108"/>
      <c r="K85" s="108"/>
      <c r="L85" s="108"/>
      <c r="M85" s="108"/>
      <c r="N85" s="108"/>
      <c r="O85" s="108"/>
      <c r="P85" s="108"/>
      <c r="Q85" s="108"/>
      <c r="R85" s="108"/>
      <c r="S85" s="108">
        <f>'Monthly Data'!$AR543-Diesel!$S69</f>
        <v>-1088.8500000000013</v>
      </c>
      <c r="T85" s="108">
        <f>'Monthly Data'!$AR555-Diesel!T69</f>
        <v>-751.96799999999985</v>
      </c>
      <c r="U85" s="108">
        <f>'Monthly Data'!$AR567-Diesel!U69</f>
        <v>-585.01799999999912</v>
      </c>
      <c r="V85" s="108">
        <f>'Monthly Data'!$AR579-Diesel!V69</f>
        <v>-592.34359800000038</v>
      </c>
      <c r="W85" s="108">
        <f>'Monthly Data'!$AR591-Diesel!W69</f>
        <v>-751.54695000000083</v>
      </c>
      <c r="X85" s="108">
        <f>'Monthly Data'!$AR603-Diesel!X69</f>
        <v>-615.7548599999991</v>
      </c>
      <c r="Y85" s="108">
        <f>'Monthly Data'!$AR603-Diesel!Y69</f>
        <v>-496.04377199999999</v>
      </c>
      <c r="Z85" s="177"/>
      <c r="AA85" s="177"/>
      <c r="AB85" s="177"/>
      <c r="AC85" s="177"/>
      <c r="AD85" s="177"/>
      <c r="AE85" s="177"/>
      <c r="AF85" s="177"/>
      <c r="AG85" s="177"/>
    </row>
    <row r="86" spans="1:51" x14ac:dyDescent="0.2">
      <c r="A86" s="19" t="s">
        <v>163</v>
      </c>
      <c r="B86" s="108"/>
      <c r="C86" s="108"/>
      <c r="D86" s="108"/>
      <c r="E86" s="108"/>
      <c r="F86" s="108"/>
      <c r="G86" s="108"/>
      <c r="H86" s="108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>
        <f>'Monthly Data'!$AR544-Diesel!$S70</f>
        <v>-578.2559999999994</v>
      </c>
      <c r="T86" s="108">
        <f>'Monthly Data'!$AR556-Diesel!T70</f>
        <v>-589.26000000000022</v>
      </c>
      <c r="U86" s="108">
        <f>'Monthly Data'!$AR568-Diesel!U70</f>
        <v>-474.22199999999884</v>
      </c>
      <c r="V86" s="108">
        <f>'Monthly Data'!$AR580-Diesel!V70</f>
        <v>-653.47027200000002</v>
      </c>
      <c r="W86" s="108">
        <f>'Monthly Data'!$AR592-Diesel!W70</f>
        <v>-646.99051200000031</v>
      </c>
      <c r="X86" s="108">
        <f>'Monthly Data'!$AR604-Diesel!X70</f>
        <v>-480.67000800000005</v>
      </c>
      <c r="Y86" s="108">
        <f>'Monthly Data'!$AR604-Diesel!Y70</f>
        <v>-399.36607200000071</v>
      </c>
      <c r="Z86" s="177"/>
      <c r="AA86" s="177"/>
      <c r="AB86" s="177"/>
      <c r="AC86" s="177"/>
      <c r="AD86" s="177"/>
      <c r="AE86" s="177"/>
      <c r="AF86" s="177"/>
      <c r="AG86" s="177"/>
    </row>
    <row r="87" spans="1:51" x14ac:dyDescent="0.2">
      <c r="A87" s="19" t="s">
        <v>164</v>
      </c>
      <c r="B87" s="108"/>
      <c r="C87" s="108"/>
      <c r="D87" s="108"/>
      <c r="E87" s="108"/>
      <c r="F87" s="108"/>
      <c r="G87" s="108"/>
      <c r="H87" s="108"/>
      <c r="I87" s="108"/>
      <c r="J87" s="108"/>
      <c r="K87" s="108"/>
      <c r="L87" s="108"/>
      <c r="M87" s="108"/>
      <c r="N87" s="108"/>
      <c r="O87" s="108"/>
      <c r="P87" s="108"/>
      <c r="Q87" s="108"/>
      <c r="R87" s="108"/>
      <c r="S87" s="108">
        <f>'Monthly Data'!$AR545-Diesel!$S71</f>
        <v>-407.27400000000125</v>
      </c>
      <c r="T87" s="108">
        <f>'Monthly Data'!$AR557-Diesel!T71</f>
        <v>-441.63000000000011</v>
      </c>
      <c r="U87" s="108">
        <f>'Monthly Data'!$AR569-Diesel!U71</f>
        <v>-384.7619999999979</v>
      </c>
      <c r="V87" s="108">
        <f>'Monthly Data'!$AR581-Diesel!V71</f>
        <v>-412.71577199999956</v>
      </c>
      <c r="W87" s="108">
        <f>'Monthly Data'!$AR593-Diesel!W71</f>
        <v>-395.55671399999937</v>
      </c>
      <c r="X87" s="108">
        <f>'Monthly Data'!$AR605-Diesel!X71</f>
        <v>-378.91845600000033</v>
      </c>
      <c r="Y87" s="108">
        <f>'Monthly Data'!$AR605-Diesel!Y71</f>
        <v>178.75678799999969</v>
      </c>
      <c r="Z87" s="177"/>
      <c r="AA87" s="177"/>
      <c r="AB87" s="177"/>
      <c r="AC87" s="177"/>
      <c r="AD87" s="177"/>
      <c r="AE87" s="177"/>
      <c r="AF87" s="177"/>
      <c r="AG87" s="177"/>
    </row>
    <row r="88" spans="1:51" x14ac:dyDescent="0.2">
      <c r="A88" s="19" t="s">
        <v>165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>
        <f>'Monthly Data'!$AR546-Diesel!$S72</f>
        <v>-270.85800000000017</v>
      </c>
      <c r="T88" s="108">
        <f>'Monthly Data'!$AR558-Diesel!T72</f>
        <v>-188.16000000000076</v>
      </c>
      <c r="U88" s="108">
        <f>'Monthly Data'!$AR570-Diesel!U72</f>
        <v>-252.62999999999829</v>
      </c>
      <c r="V88" s="108">
        <f>'Monthly Data'!$AR582-Diesel!V72</f>
        <v>-180.88686000000052</v>
      </c>
      <c r="W88" s="108">
        <f>'Monthly Data'!$AR594-Diesel!W72</f>
        <v>-221.63525999999911</v>
      </c>
      <c r="X88" s="108">
        <f>'Monthly Data'!$AR606-Diesel!X72</f>
        <v>-151.45452000000023</v>
      </c>
      <c r="Y88" s="108">
        <f>'Monthly Data'!$AR606-Diesel!Y72</f>
        <v>-45.608220000000074</v>
      </c>
      <c r="Z88" s="177"/>
      <c r="AA88" s="177"/>
      <c r="AB88" s="177"/>
      <c r="AC88" s="177"/>
      <c r="AD88" s="177"/>
      <c r="AE88" s="177"/>
      <c r="AF88" s="177"/>
      <c r="AG88" s="177"/>
    </row>
    <row r="89" spans="1:51" x14ac:dyDescent="0.2">
      <c r="A89" s="19" t="s">
        <v>166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>
        <f>'Monthly Data'!$AR547-Diesel!$S73</f>
        <v>-99.582000000003063</v>
      </c>
      <c r="T89" s="108">
        <f>'Monthly Data'!$AR559-Diesel!T73</f>
        <v>-108.40199999999732</v>
      </c>
      <c r="U89" s="108">
        <f>'Monthly Data'!$AR571-Diesel!U73</f>
        <v>-155.82000000000335</v>
      </c>
      <c r="V89" s="108">
        <f>'Monthly Data'!$AR583-Diesel!V73</f>
        <v>-105.82525800000076</v>
      </c>
      <c r="W89" s="108">
        <f>'Monthly Data'!$AR595-Diesel!W73</f>
        <v>-126.8942219999999</v>
      </c>
      <c r="X89" s="108">
        <f>'Monthly Data'!$AR607-Diesel!X73</f>
        <v>-136.93654799999968</v>
      </c>
      <c r="Y89" s="108">
        <f>'Monthly Data'!$AR607-Diesel!Y73</f>
        <v>37.580928000000313</v>
      </c>
      <c r="Z89" s="177"/>
      <c r="AA89" s="177"/>
      <c r="AB89" s="177"/>
      <c r="AC89" s="177"/>
      <c r="AD89" s="177"/>
      <c r="AE89" s="177"/>
      <c r="AF89" s="177"/>
      <c r="AG89" s="177"/>
    </row>
    <row r="90" spans="1:51" x14ac:dyDescent="0.2">
      <c r="A90" s="19" t="s">
        <v>167</v>
      </c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>
        <f>'Monthly Data'!$AR548-Diesel!$S74</f>
        <v>-9.5339999999969223</v>
      </c>
      <c r="T90" s="108">
        <f>'Monthly Data'!$AR560-Diesel!T74</f>
        <v>-37.421999999998661</v>
      </c>
      <c r="U90" s="108">
        <f>'Monthly Data'!$AR572-Diesel!U74</f>
        <v>-47.585999999999331</v>
      </c>
      <c r="V90" s="108">
        <f>'Monthly Data'!$AR584-Diesel!V74</f>
        <v>-68.745600000000195</v>
      </c>
      <c r="W90" s="108">
        <f>'Monthly Data'!$AR596-Diesel!W74</f>
        <v>-76.165740000000369</v>
      </c>
      <c r="X90" s="108">
        <f>'Monthly Data'!$AR608-Diesel!X74</f>
        <v>-112.86953999999969</v>
      </c>
      <c r="Y90" s="108">
        <f>'Monthly Data'!$AR608-Diesel!Y74</f>
        <v>359.8118999999997</v>
      </c>
      <c r="Z90" s="177"/>
      <c r="AA90" s="177"/>
      <c r="AB90" s="177"/>
      <c r="AC90" s="177"/>
      <c r="AD90" s="177"/>
      <c r="AE90" s="177"/>
      <c r="AF90" s="177"/>
      <c r="AG90" s="177"/>
    </row>
    <row r="91" spans="1:51" x14ac:dyDescent="0.2">
      <c r="A91" s="19" t="s">
        <v>168</v>
      </c>
      <c r="B91" s="108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>
        <f>'Monthly Data'!$AR549-Diesel!$S75</f>
        <v>-17.598000000002685</v>
      </c>
      <c r="T91" s="108">
        <f>'Monthly Data'!$AR561-Diesel!T75</f>
        <v>-17.556000000000495</v>
      </c>
      <c r="U91" s="108">
        <f>'Monthly Data'!$AR573-Diesel!U75</f>
        <v>-35.070000000001528</v>
      </c>
      <c r="V91" s="108">
        <f>'Monthly Data'!$AR585-Diesel!V75</f>
        <v>-46.56212400000004</v>
      </c>
      <c r="W91" s="108">
        <f>'Monthly Data'!$AR597-Diesel!W75</f>
        <v>-137.10580800000025</v>
      </c>
      <c r="X91" s="108">
        <f>'Monthly Data'!$AR609-Diesel!X75</f>
        <v>91.048860000000786</v>
      </c>
      <c r="Y91" s="108">
        <f>'Monthly Data'!$AR609-Diesel!Y75</f>
        <v>-44.863013999998657</v>
      </c>
      <c r="Z91" s="177"/>
      <c r="AA91" s="177"/>
      <c r="AB91" s="177"/>
      <c r="AC91" s="177"/>
      <c r="AD91" s="177"/>
      <c r="AE91" s="177"/>
      <c r="AF91" s="177"/>
      <c r="AG91" s="177"/>
    </row>
    <row r="92" spans="1:51" x14ac:dyDescent="0.2">
      <c r="A92" s="19" t="s">
        <v>169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>
        <f>'Monthly Data'!$AR550-Diesel!$S76</f>
        <v>-6.5100000000002183</v>
      </c>
      <c r="T92" s="108">
        <f>'Monthly Data'!$AR562-Diesel!T76</f>
        <v>-33.852000000000771</v>
      </c>
      <c r="U92" s="108">
        <f>'Monthly Data'!$AR574-Diesel!U76</f>
        <v>-14.826000000000022</v>
      </c>
      <c r="V92" s="108">
        <f>'Monthly Data'!$AR586-Diesel!V76</f>
        <v>-72.655506000000059</v>
      </c>
      <c r="W92" s="108">
        <f>'Monthly Data'!$AR598-Diesel!W76</f>
        <v>36.284136000000217</v>
      </c>
      <c r="X92" s="108">
        <f>'Monthly Data'!$AR610-Diesel!X76</f>
        <v>-307.62484200000017</v>
      </c>
      <c r="Y92" s="108">
        <f>'Monthly Data'!$AR610-Diesel!Y76</f>
        <v>-86.408532000000378</v>
      </c>
      <c r="Z92" s="177"/>
      <c r="AA92" s="177"/>
      <c r="AB92" s="177"/>
      <c r="AC92" s="177"/>
      <c r="AD92" s="177"/>
      <c r="AE92" s="177"/>
      <c r="AF92" s="177"/>
      <c r="AG92" s="177"/>
    </row>
    <row r="93" spans="1:51" x14ac:dyDescent="0.2">
      <c r="A93" s="19" t="s">
        <v>170</v>
      </c>
      <c r="B93" s="108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>
        <f>'Monthly Data'!$AR551-Diesel!$S77</f>
        <v>-84.798000000000684</v>
      </c>
      <c r="T93" s="108">
        <f>'Monthly Data'!$AR563-Diesel!T77</f>
        <v>-116.46600000000308</v>
      </c>
      <c r="U93" s="108">
        <f>'Monthly Data'!$AR575-Diesel!U77</f>
        <v>-90.216000000001259</v>
      </c>
      <c r="V93" s="108">
        <f>'Monthly Data'!$AR587-Diesel!V77</f>
        <v>-109.66031999999996</v>
      </c>
      <c r="W93" s="108">
        <f>'Monthly Data'!$AR599-Diesel!W77</f>
        <v>-122.04737999999907</v>
      </c>
      <c r="X93" s="108">
        <f>'Monthly Data'!$AR611-Diesel!X77</f>
        <v>-97.371539999999186</v>
      </c>
      <c r="Y93" s="108">
        <f>'Monthly Data'!$AR611-Diesel!Y77</f>
        <v>79.405200000001059</v>
      </c>
      <c r="Z93" s="177"/>
      <c r="AA93" s="177"/>
      <c r="AB93" s="177"/>
      <c r="AC93" s="177"/>
      <c r="AD93" s="177"/>
      <c r="AE93" s="177"/>
      <c r="AF93" s="177"/>
      <c r="AG93" s="177"/>
    </row>
    <row r="94" spans="1:51" x14ac:dyDescent="0.2">
      <c r="A94" s="19" t="s">
        <v>171</v>
      </c>
      <c r="B94" s="108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>
        <f>'Monthly Data'!$AR552-Diesel!$S78</f>
        <v>-240.61799999999766</v>
      </c>
      <c r="T94" s="108">
        <f>'Monthly Data'!$AR564-Diesel!T78</f>
        <v>-226.84200000000055</v>
      </c>
      <c r="U94" s="108">
        <f>'Monthly Data'!$AR576-Diesel!U78</f>
        <v>-167.45399999999972</v>
      </c>
      <c r="V94" s="108">
        <f>'Monthly Data'!$AR588-Diesel!V78</f>
        <v>-240.16171200000008</v>
      </c>
      <c r="W94" s="108">
        <f>'Monthly Data'!$AR600-Diesel!W78</f>
        <v>-255.59171400000105</v>
      </c>
      <c r="X94" s="108">
        <f>'Monthly Data'!$AR612-Diesel!X78</f>
        <v>-214.05010199999924</v>
      </c>
      <c r="Y94" s="108">
        <f>'Monthly Data'!$AR612-Diesel!Y78</f>
        <v>-212.64915000000019</v>
      </c>
      <c r="Z94" s="177"/>
      <c r="AA94" s="177"/>
      <c r="AB94" s="177"/>
      <c r="AC94" s="177"/>
      <c r="AD94" s="177"/>
      <c r="AE94" s="177"/>
      <c r="AF94" s="177"/>
      <c r="AG94" s="177"/>
    </row>
    <row r="95" spans="1:51" x14ac:dyDescent="0.2">
      <c r="A95" s="19" t="s">
        <v>172</v>
      </c>
      <c r="B95" s="108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>
        <f>'Monthly Data'!$AR553-Diesel!$S79</f>
        <v>-461.20200000000295</v>
      </c>
      <c r="T95" s="108">
        <f>'Monthly Data'!$AR565-Diesel!T79</f>
        <v>-424.61999999999989</v>
      </c>
      <c r="U95" s="108">
        <f>'Monthly Data'!$AR577-Diesel!U79</f>
        <v>-289.42200000000048</v>
      </c>
      <c r="V95" s="108">
        <f>'Monthly Data'!$AR589-Diesel!V79</f>
        <v>-360.2503799999995</v>
      </c>
      <c r="W95" s="108">
        <f>'Monthly Data'!$AR601-Diesel!W79</f>
        <v>-344.17655999999897</v>
      </c>
      <c r="X95" s="108">
        <f>'Monthly Data'!$AR613-Diesel!X79</f>
        <v>-300.0664799999995</v>
      </c>
      <c r="Y95" s="108">
        <f>'Monthly Data'!$AR613-Diesel!Y79</f>
        <v>42.562799999999697</v>
      </c>
      <c r="Z95" s="177"/>
      <c r="AA95" s="177"/>
      <c r="AB95" s="177"/>
      <c r="AC95" s="177"/>
      <c r="AD95" s="177"/>
      <c r="AE95" s="177"/>
      <c r="AF95" s="177"/>
      <c r="AG95" s="177"/>
    </row>
    <row r="96" spans="1:51" x14ac:dyDescent="0.2">
      <c r="A96" s="19" t="s">
        <v>173</v>
      </c>
      <c r="B96" s="108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>
        <f>'Monthly Data'!$AR554-Diesel!$S80</f>
        <v>-586.44599999999718</v>
      </c>
      <c r="T96" s="108">
        <f>'Monthly Data'!$AR566-Diesel!T80</f>
        <v>-581.1120000000019</v>
      </c>
      <c r="U96" s="108">
        <f>'Monthly Data'!$AR578-Diesel!U80</f>
        <v>-506.39400000000114</v>
      </c>
      <c r="V96" s="108">
        <f>'Monthly Data'!$AR590-Diesel!V80</f>
        <v>-578.65176599999904</v>
      </c>
      <c r="W96" s="108">
        <f>'Monthly Data'!$AR602-Diesel!W80</f>
        <v>-636.3134399999999</v>
      </c>
      <c r="X96" s="108">
        <f>'Monthly Data'!$AR614-Diesel!X80</f>
        <v>-332.66230199999973</v>
      </c>
      <c r="Y96" s="108">
        <f>'Monthly Data'!$AR614-Diesel!Y80</f>
        <v>-565.6207480853991</v>
      </c>
      <c r="Z96" s="177"/>
      <c r="AA96" s="177"/>
      <c r="AB96" s="177"/>
      <c r="AC96" s="177"/>
      <c r="AD96" s="177"/>
      <c r="AE96" s="177"/>
      <c r="AF96" s="177"/>
      <c r="AG96" s="177"/>
    </row>
    <row r="97" spans="1:51" x14ac:dyDescent="0.2">
      <c r="A97" s="117" t="s">
        <v>174</v>
      </c>
      <c r="B97" s="108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30">
        <f>SUM(S85:S96)</f>
        <v>-3851.5260000000035</v>
      </c>
      <c r="T97" s="130">
        <f t="shared" ref="T97:Y97" si="57">SUM(T85:T96)</f>
        <v>-3517.2900000000036</v>
      </c>
      <c r="U97" s="130">
        <f t="shared" si="57"/>
        <v>-3003.420000000001</v>
      </c>
      <c r="V97" s="130">
        <f t="shared" si="57"/>
        <v>-3421.9291680000001</v>
      </c>
      <c r="W97" s="130">
        <f t="shared" si="57"/>
        <v>-3677.7401639999989</v>
      </c>
      <c r="X97" s="130">
        <f t="shared" si="57"/>
        <v>-3037.3303379999961</v>
      </c>
      <c r="Y97" s="130">
        <f t="shared" si="57"/>
        <v>-1152.4418920853986</v>
      </c>
      <c r="Z97" s="118"/>
      <c r="AA97" s="118"/>
      <c r="AB97" s="118"/>
      <c r="AC97" s="118"/>
      <c r="AD97" s="118"/>
      <c r="AE97" s="118"/>
      <c r="AF97" s="118"/>
      <c r="AG97" s="118"/>
    </row>
    <row r="98" spans="1:51" x14ac:dyDescent="0.2">
      <c r="A98" s="114"/>
      <c r="B98" s="114"/>
      <c r="C98" s="114"/>
      <c r="D98" s="114"/>
      <c r="E98" s="114"/>
      <c r="F98" s="114"/>
      <c r="G98" s="114"/>
      <c r="H98" s="114"/>
      <c r="I98" s="114"/>
      <c r="J98" s="114"/>
      <c r="K98" s="114"/>
      <c r="L98" s="114"/>
      <c r="M98" s="114"/>
      <c r="N98" s="114"/>
      <c r="O98" s="114"/>
      <c r="P98" s="114"/>
      <c r="Q98" s="114"/>
      <c r="R98" s="114"/>
      <c r="S98" s="114"/>
      <c r="T98" s="114"/>
      <c r="U98" s="114"/>
      <c r="V98" s="114"/>
      <c r="W98" s="114"/>
      <c r="X98" s="145"/>
      <c r="Y98" s="145"/>
      <c r="Z98" s="145"/>
      <c r="AA98" s="145"/>
      <c r="AB98" s="145"/>
      <c r="AC98" s="145"/>
      <c r="AD98" s="145"/>
      <c r="AE98" s="145"/>
      <c r="AF98" s="145"/>
      <c r="AG98" s="145"/>
      <c r="AH98" s="145"/>
      <c r="AI98" s="145"/>
      <c r="AJ98" s="145"/>
      <c r="AK98" s="145"/>
      <c r="AL98" s="145"/>
      <c r="AM98" s="145"/>
      <c r="AN98" s="145"/>
      <c r="AO98" s="145"/>
      <c r="AP98" s="145"/>
      <c r="AQ98" s="145"/>
      <c r="AR98" s="145"/>
      <c r="AS98" s="145"/>
      <c r="AT98" s="145"/>
      <c r="AU98" s="145"/>
      <c r="AV98" s="145"/>
      <c r="AW98" s="145"/>
      <c r="AX98" s="145"/>
      <c r="AY98" s="145"/>
    </row>
    <row r="99" spans="1:51" ht="12" thickBot="1" x14ac:dyDescent="0.25">
      <c r="A99" s="121" t="s">
        <v>253</v>
      </c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21"/>
      <c r="Y99" s="121"/>
      <c r="Z99" s="121"/>
      <c r="AA99" s="121"/>
      <c r="AB99" s="121"/>
      <c r="AC99" s="121"/>
      <c r="AD99" s="121"/>
      <c r="AE99" s="121"/>
      <c r="AF99" s="121"/>
      <c r="AG99" s="121"/>
      <c r="AH99" s="121"/>
      <c r="AI99" s="121"/>
      <c r="AJ99" s="121"/>
      <c r="AK99" s="121"/>
      <c r="AL99" s="121"/>
      <c r="AM99" s="121"/>
      <c r="AN99" s="121"/>
      <c r="AO99" s="121"/>
      <c r="AP99" s="121"/>
      <c r="AQ99" s="121"/>
      <c r="AR99" s="121"/>
      <c r="AS99" s="121"/>
      <c r="AT99" s="121"/>
      <c r="AU99" s="121"/>
      <c r="AV99" s="121"/>
      <c r="AW99" s="121"/>
      <c r="AX99" s="121"/>
      <c r="AY99" s="121"/>
    </row>
    <row r="100" spans="1:51" ht="12" thickBot="1" x14ac:dyDescent="0.25">
      <c r="A100" s="122"/>
      <c r="B100" s="128">
        <f t="shared" ref="B100:AY100" si="58">B2</f>
        <v>2001</v>
      </c>
      <c r="C100" s="128">
        <f t="shared" si="58"/>
        <v>2002</v>
      </c>
      <c r="D100" s="128">
        <f t="shared" si="58"/>
        <v>2003</v>
      </c>
      <c r="E100" s="128">
        <f t="shared" si="58"/>
        <v>2004</v>
      </c>
      <c r="F100" s="128">
        <f t="shared" si="58"/>
        <v>2005</v>
      </c>
      <c r="G100" s="128">
        <f t="shared" si="58"/>
        <v>2006</v>
      </c>
      <c r="H100" s="128">
        <f t="shared" si="58"/>
        <v>2007</v>
      </c>
      <c r="I100" s="128">
        <f t="shared" si="58"/>
        <v>2008</v>
      </c>
      <c r="J100" s="128">
        <f t="shared" si="58"/>
        <v>2009</v>
      </c>
      <c r="K100" s="128">
        <f t="shared" si="58"/>
        <v>2010</v>
      </c>
      <c r="L100" s="128">
        <f t="shared" si="58"/>
        <v>2011</v>
      </c>
      <c r="M100" s="128">
        <f t="shared" si="58"/>
        <v>2012</v>
      </c>
      <c r="N100" s="128">
        <f t="shared" si="58"/>
        <v>2013</v>
      </c>
      <c r="O100" s="128">
        <f t="shared" si="58"/>
        <v>2014</v>
      </c>
      <c r="P100" s="128">
        <f t="shared" si="58"/>
        <v>2015</v>
      </c>
      <c r="Q100" s="128">
        <f t="shared" si="58"/>
        <v>2016</v>
      </c>
      <c r="R100" s="128">
        <f t="shared" si="58"/>
        <v>2017</v>
      </c>
      <c r="S100" s="128">
        <f t="shared" si="58"/>
        <v>2018</v>
      </c>
      <c r="T100" s="128">
        <f t="shared" si="58"/>
        <v>2019</v>
      </c>
      <c r="U100" s="128">
        <f t="shared" si="58"/>
        <v>2020</v>
      </c>
      <c r="V100" s="128">
        <f t="shared" si="58"/>
        <v>2021</v>
      </c>
      <c r="W100" s="128">
        <f t="shared" si="58"/>
        <v>2022</v>
      </c>
      <c r="X100" s="128">
        <f t="shared" si="58"/>
        <v>2023</v>
      </c>
      <c r="Y100" s="128">
        <f t="shared" si="58"/>
        <v>2024</v>
      </c>
      <c r="Z100" s="128">
        <f t="shared" si="58"/>
        <v>2025</v>
      </c>
      <c r="AA100" s="128">
        <f t="shared" si="58"/>
        <v>2026</v>
      </c>
      <c r="AB100" s="128">
        <f t="shared" si="58"/>
        <v>2027</v>
      </c>
      <c r="AC100" s="128">
        <f t="shared" si="58"/>
        <v>2028</v>
      </c>
      <c r="AD100" s="128">
        <f t="shared" si="58"/>
        <v>2029</v>
      </c>
      <c r="AE100" s="128">
        <f t="shared" si="58"/>
        <v>2030</v>
      </c>
      <c r="AF100" s="128">
        <f t="shared" si="58"/>
        <v>2031</v>
      </c>
      <c r="AG100" s="128">
        <f t="shared" si="58"/>
        <v>2032</v>
      </c>
      <c r="AH100" s="128">
        <f t="shared" si="58"/>
        <v>2033</v>
      </c>
      <c r="AI100" s="128">
        <f t="shared" si="58"/>
        <v>2034</v>
      </c>
      <c r="AJ100" s="128">
        <f t="shared" si="58"/>
        <v>2035</v>
      </c>
      <c r="AK100" s="128">
        <f t="shared" si="58"/>
        <v>2036</v>
      </c>
      <c r="AL100" s="128">
        <f t="shared" si="58"/>
        <v>2037</v>
      </c>
      <c r="AM100" s="128">
        <f t="shared" si="58"/>
        <v>2038</v>
      </c>
      <c r="AN100" s="128">
        <f t="shared" si="58"/>
        <v>2039</v>
      </c>
      <c r="AO100" s="128">
        <f t="shared" si="58"/>
        <v>2040</v>
      </c>
      <c r="AP100" s="128">
        <f t="shared" si="58"/>
        <v>2041</v>
      </c>
      <c r="AQ100" s="128">
        <f t="shared" si="58"/>
        <v>2042</v>
      </c>
      <c r="AR100" s="128">
        <f t="shared" si="58"/>
        <v>2043</v>
      </c>
      <c r="AS100" s="128">
        <f t="shared" si="58"/>
        <v>2044</v>
      </c>
      <c r="AT100" s="128">
        <f t="shared" si="58"/>
        <v>2045</v>
      </c>
      <c r="AU100" s="128">
        <f t="shared" si="58"/>
        <v>2046</v>
      </c>
      <c r="AV100" s="128">
        <f t="shared" si="58"/>
        <v>2047</v>
      </c>
      <c r="AW100" s="128">
        <f t="shared" si="58"/>
        <v>2048</v>
      </c>
      <c r="AX100" s="128">
        <f t="shared" si="58"/>
        <v>2049</v>
      </c>
      <c r="AY100" s="128">
        <f t="shared" si="58"/>
        <v>2050</v>
      </c>
    </row>
    <row r="101" spans="1:51" x14ac:dyDescent="0.2">
      <c r="A101" s="19" t="s">
        <v>162</v>
      </c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08">
        <f t="shared" ref="S101:AY108" si="59">S85+S69</f>
        <v>4687.2000000000007</v>
      </c>
      <c r="T101" s="108">
        <f t="shared" si="59"/>
        <v>4817.4000000000005</v>
      </c>
      <c r="U101" s="108">
        <f t="shared" si="59"/>
        <v>4583.04</v>
      </c>
      <c r="V101" s="108">
        <f t="shared" si="59"/>
        <v>4465.8599999999997</v>
      </c>
      <c r="W101" s="108">
        <f t="shared" si="59"/>
        <v>4557</v>
      </c>
      <c r="X101" s="108">
        <f t="shared" si="59"/>
        <v>4478.88</v>
      </c>
      <c r="Y101" s="108">
        <f t="shared" si="59"/>
        <v>4478.88</v>
      </c>
      <c r="Z101" s="118">
        <f t="shared" si="59"/>
        <v>5456.8719240419996</v>
      </c>
      <c r="AA101" s="118">
        <f t="shared" si="59"/>
        <v>5147.1406139999999</v>
      </c>
      <c r="AB101" s="118">
        <f t="shared" si="59"/>
        <v>5509.3283281433205</v>
      </c>
      <c r="AC101" s="118">
        <f t="shared" si="59"/>
        <v>5513.5927049476486</v>
      </c>
      <c r="AD101" s="118">
        <f t="shared" si="59"/>
        <v>5555.6585743556552</v>
      </c>
      <c r="AE101" s="118">
        <f t="shared" si="59"/>
        <v>5549.2011466169324</v>
      </c>
      <c r="AF101" s="118">
        <f t="shared" si="59"/>
        <v>5530.8945116563509</v>
      </c>
      <c r="AG101" s="118">
        <f t="shared" si="59"/>
        <v>5517.5235026608361</v>
      </c>
      <c r="AH101" s="118">
        <f t="shared" si="59"/>
        <v>5501.7915511984675</v>
      </c>
      <c r="AI101" s="118">
        <f t="shared" si="59"/>
        <v>5434.2232784191237</v>
      </c>
      <c r="AJ101" s="118">
        <f t="shared" si="59"/>
        <v>5345.610687962193</v>
      </c>
      <c r="AK101" s="118">
        <f t="shared" si="59"/>
        <v>5330.4333726169034</v>
      </c>
      <c r="AL101" s="118">
        <f t="shared" si="59"/>
        <v>5258.4618598725365</v>
      </c>
      <c r="AM101" s="118">
        <f t="shared" si="59"/>
        <v>5258.4421803918231</v>
      </c>
      <c r="AN101" s="118">
        <f t="shared" si="59"/>
        <v>5226.1491744622108</v>
      </c>
      <c r="AO101" s="118">
        <f t="shared" si="59"/>
        <v>5179.4348514233088</v>
      </c>
      <c r="AP101" s="118">
        <f t="shared" si="59"/>
        <v>5143.3103268647483</v>
      </c>
      <c r="AQ101" s="118">
        <f t="shared" si="59"/>
        <v>5105.4356746610265</v>
      </c>
      <c r="AR101" s="118">
        <f t="shared" si="59"/>
        <v>5059.5836433339509</v>
      </c>
      <c r="AS101" s="118">
        <f t="shared" si="59"/>
        <v>5025.6736016217064</v>
      </c>
      <c r="AT101" s="118">
        <f t="shared" si="59"/>
        <v>4998.9103458202535</v>
      </c>
      <c r="AU101" s="118">
        <f t="shared" si="59"/>
        <v>4967.6831472172153</v>
      </c>
      <c r="AV101" s="118">
        <f t="shared" si="59"/>
        <v>4928.0892440222487</v>
      </c>
      <c r="AW101" s="118">
        <f t="shared" si="59"/>
        <v>4897.1059899950487</v>
      </c>
      <c r="AX101" s="118">
        <f t="shared" si="59"/>
        <v>4861.5346903631089</v>
      </c>
      <c r="AY101" s="118">
        <f t="shared" si="59"/>
        <v>4824.4316589752807</v>
      </c>
    </row>
    <row r="102" spans="1:51" x14ac:dyDescent="0.2">
      <c r="A102" s="19" t="s">
        <v>163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08">
        <f t="shared" si="59"/>
        <v>4033.6800000000003</v>
      </c>
      <c r="T102" s="108">
        <f t="shared" si="59"/>
        <v>4398.2400000000007</v>
      </c>
      <c r="U102" s="108">
        <f t="shared" si="59"/>
        <v>4409.16</v>
      </c>
      <c r="V102" s="108">
        <f t="shared" si="59"/>
        <v>3951.36</v>
      </c>
      <c r="W102" s="108">
        <f t="shared" si="59"/>
        <v>4421.7599999999993</v>
      </c>
      <c r="X102" s="108">
        <f t="shared" si="59"/>
        <v>4151.28</v>
      </c>
      <c r="Y102" s="108">
        <f t="shared" si="59"/>
        <v>4151.28</v>
      </c>
      <c r="Z102" s="118">
        <f t="shared" si="59"/>
        <v>4714.725120000001</v>
      </c>
      <c r="AA102" s="118">
        <f t="shared" si="59"/>
        <v>4710.6020639999997</v>
      </c>
      <c r="AB102" s="118">
        <f t="shared" si="59"/>
        <v>5020.4748107008445</v>
      </c>
      <c r="AC102" s="118">
        <f t="shared" si="59"/>
        <v>4975.6660167946211</v>
      </c>
      <c r="AD102" s="118">
        <f t="shared" si="59"/>
        <v>5006.4504683084842</v>
      </c>
      <c r="AE102" s="118">
        <f t="shared" si="59"/>
        <v>4986.8471892622865</v>
      </c>
      <c r="AF102" s="118">
        <f t="shared" si="59"/>
        <v>5008.7520644690649</v>
      </c>
      <c r="AG102" s="118">
        <f t="shared" si="59"/>
        <v>4986.7935667910597</v>
      </c>
      <c r="AH102" s="118">
        <f t="shared" si="59"/>
        <v>4964.4041480655205</v>
      </c>
      <c r="AI102" s="118">
        <f t="shared" si="59"/>
        <v>4903.3150735943818</v>
      </c>
      <c r="AJ102" s="118">
        <f t="shared" si="59"/>
        <v>4824.6092243156891</v>
      </c>
      <c r="AK102" s="118">
        <f t="shared" si="59"/>
        <v>4815.1064130824989</v>
      </c>
      <c r="AL102" s="118">
        <f t="shared" si="59"/>
        <v>4747.6575237753568</v>
      </c>
      <c r="AM102" s="118">
        <f t="shared" si="59"/>
        <v>4746.6144054861034</v>
      </c>
      <c r="AN102" s="118">
        <f t="shared" si="59"/>
        <v>4717.8323059691429</v>
      </c>
      <c r="AO102" s="118">
        <f t="shared" si="59"/>
        <v>4676.1229511667834</v>
      </c>
      <c r="AP102" s="118">
        <f t="shared" si="59"/>
        <v>4643.8108142623487</v>
      </c>
      <c r="AQ102" s="118">
        <f t="shared" si="59"/>
        <v>4609.1550504067363</v>
      </c>
      <c r="AR102" s="118">
        <f t="shared" si="59"/>
        <v>4567.6915138393251</v>
      </c>
      <c r="AS102" s="118">
        <f t="shared" si="59"/>
        <v>4537.1959861390524</v>
      </c>
      <c r="AT102" s="118">
        <f t="shared" si="59"/>
        <v>4513.1033327867581</v>
      </c>
      <c r="AU102" s="118">
        <f t="shared" si="59"/>
        <v>4484.9032359667017</v>
      </c>
      <c r="AV102" s="118">
        <f t="shared" si="59"/>
        <v>4449.0889493324812</v>
      </c>
      <c r="AW102" s="118">
        <f t="shared" si="59"/>
        <v>4421.1255592904408</v>
      </c>
      <c r="AX102" s="118">
        <f t="shared" si="59"/>
        <v>4389.0350618351413</v>
      </c>
      <c r="AY102" s="118">
        <f t="shared" si="59"/>
        <v>4355.5430374174093</v>
      </c>
    </row>
    <row r="103" spans="1:51" x14ac:dyDescent="0.2">
      <c r="A103" s="19" t="s">
        <v>164</v>
      </c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08">
        <f t="shared" si="59"/>
        <v>4960.62</v>
      </c>
      <c r="T103" s="108">
        <f t="shared" si="59"/>
        <v>4908.54</v>
      </c>
      <c r="U103" s="108">
        <f t="shared" si="59"/>
        <v>4687.2000000000007</v>
      </c>
      <c r="V103" s="108">
        <f t="shared" si="59"/>
        <v>4817.4000000000005</v>
      </c>
      <c r="W103" s="108">
        <f t="shared" si="59"/>
        <v>4973.6400000000003</v>
      </c>
      <c r="X103" s="108">
        <f t="shared" si="59"/>
        <v>4895.5199999999995</v>
      </c>
      <c r="Y103" s="108">
        <f t="shared" si="59"/>
        <v>4895.5199999999995</v>
      </c>
      <c r="Z103" s="118">
        <f t="shared" si="59"/>
        <v>5034.6100560000004</v>
      </c>
      <c r="AA103" s="118">
        <f t="shared" si="59"/>
        <v>5158.7726819999989</v>
      </c>
      <c r="AB103" s="118">
        <f t="shared" si="59"/>
        <v>5418.5024317548741</v>
      </c>
      <c r="AC103" s="118">
        <f t="shared" si="59"/>
        <v>5391.4958052132552</v>
      </c>
      <c r="AD103" s="118">
        <f t="shared" si="59"/>
        <v>5371.5173998134242</v>
      </c>
      <c r="AE103" s="118">
        <f t="shared" si="59"/>
        <v>5384.3141787172617</v>
      </c>
      <c r="AF103" s="118">
        <f t="shared" si="59"/>
        <v>5419.2991167588452</v>
      </c>
      <c r="AG103" s="118">
        <f t="shared" si="59"/>
        <v>5383.1603168138627</v>
      </c>
      <c r="AH103" s="118">
        <f t="shared" si="59"/>
        <v>5359.1933984146044</v>
      </c>
      <c r="AI103" s="118">
        <f t="shared" si="59"/>
        <v>5289.2877925852217</v>
      </c>
      <c r="AJ103" s="118">
        <f t="shared" si="59"/>
        <v>5210.0214937076789</v>
      </c>
      <c r="AK103" s="118">
        <f t="shared" si="59"/>
        <v>5199.9361821540342</v>
      </c>
      <c r="AL103" s="118">
        <f t="shared" si="59"/>
        <v>5125.1117251992746</v>
      </c>
      <c r="AM103" s="118">
        <f t="shared" si="59"/>
        <v>5124.0051559239382</v>
      </c>
      <c r="AN103" s="118">
        <f t="shared" si="59"/>
        <v>5092.9184531206474</v>
      </c>
      <c r="AO103" s="118">
        <f t="shared" si="59"/>
        <v>5048.6497967825453</v>
      </c>
      <c r="AP103" s="118">
        <f t="shared" si="59"/>
        <v>5013.5565741878399</v>
      </c>
      <c r="AQ103" s="118">
        <f t="shared" si="59"/>
        <v>4975.8584001121762</v>
      </c>
      <c r="AR103" s="118">
        <f t="shared" si="59"/>
        <v>4931.1484350640794</v>
      </c>
      <c r="AS103" s="118">
        <f t="shared" si="59"/>
        <v>4898.2856166171769</v>
      </c>
      <c r="AT103" s="118">
        <f t="shared" si="59"/>
        <v>4872.3498833344556</v>
      </c>
      <c r="AU103" s="118">
        <f t="shared" si="59"/>
        <v>4841.8454616159852</v>
      </c>
      <c r="AV103" s="118">
        <f t="shared" si="59"/>
        <v>4803.15015292303</v>
      </c>
      <c r="AW103" s="118">
        <f t="shared" si="59"/>
        <v>4772.9802415479644</v>
      </c>
      <c r="AX103" s="118">
        <f t="shared" si="59"/>
        <v>4738.3480092246846</v>
      </c>
      <c r="AY103" s="118">
        <f t="shared" si="59"/>
        <v>4702.1933876166313</v>
      </c>
    </row>
    <row r="104" spans="1:51" x14ac:dyDescent="0.2">
      <c r="A104" s="19" t="s">
        <v>165</v>
      </c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08">
        <f t="shared" si="59"/>
        <v>4851.0000000000009</v>
      </c>
      <c r="T104" s="108">
        <f t="shared" si="59"/>
        <v>4913.9999999999991</v>
      </c>
      <c r="U104" s="108">
        <f t="shared" si="59"/>
        <v>4107.5999999999995</v>
      </c>
      <c r="V104" s="108">
        <f t="shared" si="59"/>
        <v>4838.3999999999996</v>
      </c>
      <c r="W104" s="108">
        <f t="shared" si="59"/>
        <v>4712.4000000000005</v>
      </c>
      <c r="X104" s="108">
        <f t="shared" si="59"/>
        <v>4662</v>
      </c>
      <c r="Y104" s="108">
        <f t="shared" si="59"/>
        <v>4662</v>
      </c>
      <c r="Z104" s="118">
        <f t="shared" si="59"/>
        <v>4918.49568</v>
      </c>
      <c r="AA104" s="118">
        <f t="shared" si="59"/>
        <v>4930.5286799999994</v>
      </c>
      <c r="AB104" s="118">
        <f t="shared" si="59"/>
        <v>5153.5209404395173</v>
      </c>
      <c r="AC104" s="118">
        <f t="shared" si="59"/>
        <v>5164.1792537199381</v>
      </c>
      <c r="AD104" s="118">
        <f t="shared" si="59"/>
        <v>5194.8741163296336</v>
      </c>
      <c r="AE104" s="118">
        <f t="shared" si="59"/>
        <v>5177.4537052631285</v>
      </c>
      <c r="AF104" s="118">
        <f t="shared" si="59"/>
        <v>5195.4172296914285</v>
      </c>
      <c r="AG104" s="118">
        <f t="shared" si="59"/>
        <v>5163.7886177285809</v>
      </c>
      <c r="AH104" s="118">
        <f t="shared" si="59"/>
        <v>5149.5818754891006</v>
      </c>
      <c r="AI104" s="118">
        <f t="shared" si="59"/>
        <v>5085.6412293316162</v>
      </c>
      <c r="AJ104" s="118">
        <f t="shared" si="59"/>
        <v>5003.5695044880486</v>
      </c>
      <c r="AK104" s="118">
        <f t="shared" si="59"/>
        <v>4992.6164620518703</v>
      </c>
      <c r="AL104" s="118">
        <f t="shared" si="59"/>
        <v>4922.2902342631041</v>
      </c>
      <c r="AM104" s="118">
        <f t="shared" si="59"/>
        <v>4922.4678096811222</v>
      </c>
      <c r="AN104" s="118">
        <f t="shared" si="59"/>
        <v>4892.372945579953</v>
      </c>
      <c r="AO104" s="118">
        <f t="shared" si="59"/>
        <v>4848.9394811108405</v>
      </c>
      <c r="AP104" s="118">
        <f t="shared" si="59"/>
        <v>4815.3046363438334</v>
      </c>
      <c r="AQ104" s="118">
        <f t="shared" si="59"/>
        <v>4779.4296995461091</v>
      </c>
      <c r="AR104" s="118">
        <f t="shared" si="59"/>
        <v>4736.5825067699352</v>
      </c>
      <c r="AS104" s="118">
        <f t="shared" si="59"/>
        <v>4704.8916392000701</v>
      </c>
      <c r="AT104" s="118">
        <f t="shared" si="59"/>
        <v>4679.8754760279744</v>
      </c>
      <c r="AU104" s="118">
        <f t="shared" si="59"/>
        <v>4650.6293153500656</v>
      </c>
      <c r="AV104" s="118">
        <f t="shared" si="59"/>
        <v>4613.5120331050757</v>
      </c>
      <c r="AW104" s="118">
        <f t="shared" si="59"/>
        <v>4584.5277447756926</v>
      </c>
      <c r="AX104" s="118">
        <f t="shared" si="59"/>
        <v>4551.2371332683661</v>
      </c>
      <c r="AY104" s="118">
        <f t="shared" si="59"/>
        <v>4516.5038255752006</v>
      </c>
    </row>
    <row r="105" spans="1:51" x14ac:dyDescent="0.2">
      <c r="A105" s="19" t="s">
        <v>166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08">
        <f t="shared" si="59"/>
        <v>5286.119999999999</v>
      </c>
      <c r="T105" s="108">
        <f t="shared" si="59"/>
        <v>5142.9000000000005</v>
      </c>
      <c r="U105" s="108">
        <f t="shared" si="59"/>
        <v>4244.5199999999995</v>
      </c>
      <c r="V105" s="108">
        <f t="shared" si="59"/>
        <v>4895.5199999999995</v>
      </c>
      <c r="W105" s="108">
        <f t="shared" si="59"/>
        <v>4843.4400000000005</v>
      </c>
      <c r="X105" s="108">
        <f t="shared" si="59"/>
        <v>4882.5</v>
      </c>
      <c r="Y105" s="108">
        <f t="shared" si="59"/>
        <v>4882.5</v>
      </c>
      <c r="Z105" s="118">
        <f t="shared" si="59"/>
        <v>5028.7731899999999</v>
      </c>
      <c r="AA105" s="118">
        <f t="shared" si="59"/>
        <v>4963.5117419999997</v>
      </c>
      <c r="AB105" s="118">
        <f t="shared" si="59"/>
        <v>5264.3881762275932</v>
      </c>
      <c r="AC105" s="118">
        <f t="shared" si="59"/>
        <v>5289.9840503277928</v>
      </c>
      <c r="AD105" s="118">
        <f t="shared" si="59"/>
        <v>5302.8977030472433</v>
      </c>
      <c r="AE105" s="118">
        <f t="shared" si="59"/>
        <v>5277.067717081185</v>
      </c>
      <c r="AF105" s="118">
        <f t="shared" si="59"/>
        <v>5292.204146147219</v>
      </c>
      <c r="AG105" s="118">
        <f t="shared" si="59"/>
        <v>5271.7299015658009</v>
      </c>
      <c r="AH105" s="118">
        <f t="shared" si="59"/>
        <v>5256.6016571977671</v>
      </c>
      <c r="AI105" s="118">
        <f t="shared" si="59"/>
        <v>5187.7005365418954</v>
      </c>
      <c r="AJ105" s="118">
        <f t="shared" si="59"/>
        <v>5103.2494230616485</v>
      </c>
      <c r="AK105" s="118">
        <f t="shared" si="59"/>
        <v>5092.7666628957695</v>
      </c>
      <c r="AL105" s="118">
        <f t="shared" si="59"/>
        <v>5022.4701250183371</v>
      </c>
      <c r="AM105" s="118">
        <f t="shared" si="59"/>
        <v>5022.0942969063253</v>
      </c>
      <c r="AN105" s="118">
        <f t="shared" si="59"/>
        <v>4990.8414264312969</v>
      </c>
      <c r="AO105" s="118">
        <f t="shared" si="59"/>
        <v>4946.5924121374883</v>
      </c>
      <c r="AP105" s="118">
        <f t="shared" si="59"/>
        <v>4912.4931743303869</v>
      </c>
      <c r="AQ105" s="118">
        <f t="shared" si="59"/>
        <v>4876.015027721297</v>
      </c>
      <c r="AR105" s="118">
        <f t="shared" si="59"/>
        <v>4832.1638014584505</v>
      </c>
      <c r="AS105" s="118">
        <f t="shared" si="59"/>
        <v>4799.7759429667867</v>
      </c>
      <c r="AT105" s="118">
        <f t="shared" si="59"/>
        <v>4774.2938320688572</v>
      </c>
      <c r="AU105" s="118">
        <f t="shared" si="59"/>
        <v>4744.4922016817973</v>
      </c>
      <c r="AV105" s="118">
        <f t="shared" si="59"/>
        <v>4706.6253884558082</v>
      </c>
      <c r="AW105" s="118">
        <f t="shared" si="59"/>
        <v>4677.0319459391067</v>
      </c>
      <c r="AX105" s="118">
        <f t="shared" si="59"/>
        <v>4643.0678484971577</v>
      </c>
      <c r="AY105" s="118">
        <f t="shared" si="59"/>
        <v>4607.6428648996434</v>
      </c>
    </row>
    <row r="106" spans="1:51" x14ac:dyDescent="0.2">
      <c r="A106" s="19" t="s">
        <v>167</v>
      </c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08">
        <f t="shared" si="59"/>
        <v>4863.6000000000004</v>
      </c>
      <c r="T106" s="108">
        <f t="shared" si="59"/>
        <v>4901.3999999999996</v>
      </c>
      <c r="U106" s="108">
        <f t="shared" si="59"/>
        <v>4258.8</v>
      </c>
      <c r="V106" s="108">
        <f t="shared" si="59"/>
        <v>4825.8</v>
      </c>
      <c r="W106" s="108">
        <f t="shared" si="59"/>
        <v>4951.8</v>
      </c>
      <c r="X106" s="108">
        <f t="shared" si="59"/>
        <v>4813.2</v>
      </c>
      <c r="Y106" s="108">
        <f t="shared" si="59"/>
        <v>4813.2</v>
      </c>
      <c r="Z106" s="118">
        <f t="shared" si="59"/>
        <v>4838.8296599999994</v>
      </c>
      <c r="AA106" s="118">
        <f t="shared" si="59"/>
        <v>4978.4502599999996</v>
      </c>
      <c r="AB106" s="118">
        <f t="shared" si="59"/>
        <v>5136.6806784165774</v>
      </c>
      <c r="AC106" s="118">
        <f t="shared" si="59"/>
        <v>5124.1291017090125</v>
      </c>
      <c r="AD106" s="118">
        <f t="shared" si="59"/>
        <v>5123.2706507639687</v>
      </c>
      <c r="AE106" s="118">
        <f t="shared" si="59"/>
        <v>5144.741789412923</v>
      </c>
      <c r="AF106" s="118">
        <f t="shared" si="59"/>
        <v>5172.4450994684657</v>
      </c>
      <c r="AG106" s="118">
        <f t="shared" si="59"/>
        <v>5127.0476666957638</v>
      </c>
      <c r="AH106" s="118">
        <f t="shared" si="59"/>
        <v>5108.9991142235567</v>
      </c>
      <c r="AI106" s="118">
        <f t="shared" si="59"/>
        <v>5045.4351078199779</v>
      </c>
      <c r="AJ106" s="118">
        <f t="shared" si="59"/>
        <v>4969.9403087224409</v>
      </c>
      <c r="AK106" s="118">
        <f t="shared" si="59"/>
        <v>4958.654037355418</v>
      </c>
      <c r="AL106" s="118">
        <f t="shared" si="59"/>
        <v>4886.408586966164</v>
      </c>
      <c r="AM106" s="118">
        <f t="shared" si="59"/>
        <v>4886.4085210040812</v>
      </c>
      <c r="AN106" s="118">
        <f t="shared" si="59"/>
        <v>4857.0954040793649</v>
      </c>
      <c r="AO106" s="118">
        <f t="shared" si="59"/>
        <v>4814.6681544186895</v>
      </c>
      <c r="AP106" s="118">
        <f t="shared" si="59"/>
        <v>4780.9311186121713</v>
      </c>
      <c r="AQ106" s="118">
        <f t="shared" si="59"/>
        <v>4744.983838193747</v>
      </c>
      <c r="AR106" s="118">
        <f t="shared" si="59"/>
        <v>4702.5247571481796</v>
      </c>
      <c r="AS106" s="118">
        <f t="shared" si="59"/>
        <v>4671.1917212512881</v>
      </c>
      <c r="AT106" s="118">
        <f t="shared" si="59"/>
        <v>4646.4007362531129</v>
      </c>
      <c r="AU106" s="118">
        <f t="shared" si="59"/>
        <v>4617.2828394099142</v>
      </c>
      <c r="AV106" s="118">
        <f t="shared" si="59"/>
        <v>4580.4015850082287</v>
      </c>
      <c r="AW106" s="118">
        <f t="shared" si="59"/>
        <v>4551.6536694271426</v>
      </c>
      <c r="AX106" s="118">
        <f t="shared" si="59"/>
        <v>4518.62005834517</v>
      </c>
      <c r="AY106" s="118">
        <f t="shared" si="59"/>
        <v>4484.1320821039781</v>
      </c>
    </row>
    <row r="107" spans="1:51" x14ac:dyDescent="0.2">
      <c r="A107" s="19" t="s">
        <v>168</v>
      </c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08">
        <f t="shared" si="59"/>
        <v>5038.74</v>
      </c>
      <c r="T107" s="108">
        <f t="shared" si="59"/>
        <v>4973.6400000000003</v>
      </c>
      <c r="U107" s="108">
        <f t="shared" si="59"/>
        <v>4557</v>
      </c>
      <c r="V107" s="108">
        <f t="shared" si="59"/>
        <v>4661.1600000000008</v>
      </c>
      <c r="W107" s="108">
        <f t="shared" si="59"/>
        <v>4635.12</v>
      </c>
      <c r="X107" s="108">
        <f t="shared" si="59"/>
        <v>4687.2000000000007</v>
      </c>
      <c r="Y107" s="108">
        <f t="shared" si="59"/>
        <v>4687.2000000000007</v>
      </c>
      <c r="Z107" s="118">
        <f t="shared" si="59"/>
        <v>4817.6070179999997</v>
      </c>
      <c r="AA107" s="118">
        <f t="shared" si="59"/>
        <v>4954.0488059999998</v>
      </c>
      <c r="AB107" s="118">
        <f t="shared" si="59"/>
        <v>5061.9126954283884</v>
      </c>
      <c r="AC107" s="118">
        <f t="shared" si="59"/>
        <v>5087.9860993232742</v>
      </c>
      <c r="AD107" s="118">
        <f t="shared" si="59"/>
        <v>5148.7789150797526</v>
      </c>
      <c r="AE107" s="118">
        <f t="shared" si="59"/>
        <v>5117.9932674336724</v>
      </c>
      <c r="AF107" s="118">
        <f t="shared" si="59"/>
        <v>5144.7545132187706</v>
      </c>
      <c r="AG107" s="118">
        <f t="shared" si="59"/>
        <v>5099.1511542151775</v>
      </c>
      <c r="AH107" s="118">
        <f t="shared" si="59"/>
        <v>5090.5111708347386</v>
      </c>
      <c r="AI107" s="118">
        <f t="shared" si="59"/>
        <v>5030.6356455203304</v>
      </c>
      <c r="AJ107" s="118">
        <f t="shared" si="59"/>
        <v>4947.4922843933691</v>
      </c>
      <c r="AK107" s="118">
        <f t="shared" si="59"/>
        <v>4936.9417659618903</v>
      </c>
      <c r="AL107" s="118">
        <f t="shared" si="59"/>
        <v>4865.9899707528402</v>
      </c>
      <c r="AM107" s="118">
        <f t="shared" si="59"/>
        <v>4867.2565150782411</v>
      </c>
      <c r="AN107" s="118">
        <f t="shared" si="59"/>
        <v>4837.7567196353602</v>
      </c>
      <c r="AO107" s="118">
        <f t="shared" si="59"/>
        <v>4794.4614726860846</v>
      </c>
      <c r="AP107" s="118">
        <f t="shared" si="59"/>
        <v>4761.1774683141566</v>
      </c>
      <c r="AQ107" s="118">
        <f t="shared" si="59"/>
        <v>4725.6185161533931</v>
      </c>
      <c r="AR107" s="118">
        <f t="shared" si="59"/>
        <v>4683.4256822821399</v>
      </c>
      <c r="AS107" s="118">
        <f t="shared" si="59"/>
        <v>4652.0842834600344</v>
      </c>
      <c r="AT107" s="118">
        <f t="shared" si="59"/>
        <v>4627.2910202110306</v>
      </c>
      <c r="AU107" s="118">
        <f t="shared" si="59"/>
        <v>4598.3722817573871</v>
      </c>
      <c r="AV107" s="118">
        <f t="shared" si="59"/>
        <v>4561.6759389487097</v>
      </c>
      <c r="AW107" s="118">
        <f t="shared" si="59"/>
        <v>4533.0390480204715</v>
      </c>
      <c r="AX107" s="118">
        <f t="shared" si="59"/>
        <v>4500.1145660945285</v>
      </c>
      <c r="AY107" s="118">
        <f t="shared" si="59"/>
        <v>4465.7633512182829</v>
      </c>
    </row>
    <row r="108" spans="1:51" x14ac:dyDescent="0.2">
      <c r="A108" s="19" t="s">
        <v>169</v>
      </c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08">
        <f t="shared" si="59"/>
        <v>5338.2</v>
      </c>
      <c r="T108" s="108">
        <f t="shared" si="59"/>
        <v>5116.8599999999997</v>
      </c>
      <c r="U108" s="108">
        <f t="shared" si="59"/>
        <v>4661.1600000000008</v>
      </c>
      <c r="V108" s="108">
        <f t="shared" si="59"/>
        <v>5038.74</v>
      </c>
      <c r="W108" s="108">
        <f t="shared" si="59"/>
        <v>5090.82</v>
      </c>
      <c r="X108" s="108">
        <f t="shared" si="59"/>
        <v>4882.5</v>
      </c>
      <c r="Y108" s="108">
        <f t="shared" si="59"/>
        <v>4882.5</v>
      </c>
      <c r="Z108" s="118">
        <f t="shared" si="59"/>
        <v>4978.2282480000003</v>
      </c>
      <c r="AA108" s="118">
        <f t="shared" si="59"/>
        <v>5016.483612</v>
      </c>
      <c r="AB108" s="118">
        <f t="shared" si="59"/>
        <v>5345.2415432551616</v>
      </c>
      <c r="AC108" s="118">
        <f t="shared" si="59"/>
        <v>5369.574423503961</v>
      </c>
      <c r="AD108" s="118">
        <f t="shared" si="59"/>
        <v>5362.8069383438251</v>
      </c>
      <c r="AE108" s="118">
        <f t="shared" si="59"/>
        <v>5322.5472095935411</v>
      </c>
      <c r="AF108" s="118">
        <f t="shared" si="59"/>
        <v>5356.8522945180948</v>
      </c>
      <c r="AG108" s="118">
        <f t="shared" si="59"/>
        <v>5337.6562176511561</v>
      </c>
      <c r="AH108" s="118">
        <f t="shared" si="59"/>
        <v>5319.3521567183334</v>
      </c>
      <c r="AI108" s="118">
        <f t="shared" si="59"/>
        <v>5246.3978003479815</v>
      </c>
      <c r="AJ108" s="118">
        <f t="shared" si="59"/>
        <v>5161.0089028398388</v>
      </c>
      <c r="AK108" s="118">
        <f t="shared" si="59"/>
        <v>5153.1862795086226</v>
      </c>
      <c r="AL108" s="118">
        <f t="shared" si="59"/>
        <v>5081.6947639330256</v>
      </c>
      <c r="AM108" s="118">
        <f t="shared" si="59"/>
        <v>5080.578214679962</v>
      </c>
      <c r="AN108" s="118">
        <f t="shared" si="59"/>
        <v>5048.6599869633765</v>
      </c>
      <c r="AO108" s="118">
        <f t="shared" si="59"/>
        <v>5004.1731910341487</v>
      </c>
      <c r="AP108" s="118">
        <f t="shared" si="59"/>
        <v>4969.9992728788475</v>
      </c>
      <c r="AQ108" s="118">
        <f t="shared" ref="AQ108:AY112" si="60">AQ92+AQ76</f>
        <v>4932.9367852500727</v>
      </c>
      <c r="AR108" s="118">
        <f t="shared" si="60"/>
        <v>4888.4578243921178</v>
      </c>
      <c r="AS108" s="118">
        <f t="shared" si="60"/>
        <v>4855.69710194664</v>
      </c>
      <c r="AT108" s="118">
        <f t="shared" si="60"/>
        <v>4829.9824998726581</v>
      </c>
      <c r="AU108" s="118">
        <f t="shared" si="60"/>
        <v>4799.8563212367981</v>
      </c>
      <c r="AV108" s="118">
        <f t="shared" si="60"/>
        <v>4761.5120704406936</v>
      </c>
      <c r="AW108" s="118">
        <f t="shared" si="60"/>
        <v>4731.5618130964076</v>
      </c>
      <c r="AX108" s="118">
        <f t="shared" si="60"/>
        <v>4697.2104503502942</v>
      </c>
      <c r="AY108" s="118">
        <f t="shared" si="60"/>
        <v>4661.3819290775864</v>
      </c>
    </row>
    <row r="109" spans="1:51" x14ac:dyDescent="0.2">
      <c r="A109" s="19" t="s">
        <v>170</v>
      </c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08">
        <f t="shared" ref="S109:AT112" si="61">S93+S77</f>
        <v>4876.2</v>
      </c>
      <c r="T109" s="108">
        <f t="shared" si="61"/>
        <v>4737.5999999999995</v>
      </c>
      <c r="U109" s="108">
        <f t="shared" si="61"/>
        <v>4611.6000000000004</v>
      </c>
      <c r="V109" s="108">
        <f t="shared" si="61"/>
        <v>4888.8</v>
      </c>
      <c r="W109" s="108">
        <f t="shared" si="61"/>
        <v>4951.8</v>
      </c>
      <c r="X109" s="108">
        <f t="shared" si="61"/>
        <v>4687.2000000000007</v>
      </c>
      <c r="Y109" s="108">
        <f t="shared" si="61"/>
        <v>4687.2000000000007</v>
      </c>
      <c r="Z109" s="118">
        <f t="shared" si="61"/>
        <v>4962.0286799999994</v>
      </c>
      <c r="AA109" s="118">
        <f t="shared" si="61"/>
        <v>4995.2510999999995</v>
      </c>
      <c r="AB109" s="118">
        <f t="shared" si="61"/>
        <v>5178.8327645227682</v>
      </c>
      <c r="AC109" s="118">
        <f t="shared" si="61"/>
        <v>5165.2049556444408</v>
      </c>
      <c r="AD109" s="118">
        <f t="shared" si="61"/>
        <v>5202.1376381726632</v>
      </c>
      <c r="AE109" s="118">
        <f t="shared" si="61"/>
        <v>5206.4130506353185</v>
      </c>
      <c r="AF109" s="118">
        <f t="shared" si="61"/>
        <v>5221.2280396872875</v>
      </c>
      <c r="AG109" s="118">
        <f t="shared" si="61"/>
        <v>5181.4174515766954</v>
      </c>
      <c r="AH109" s="118">
        <f t="shared" si="61"/>
        <v>5165.6274101452127</v>
      </c>
      <c r="AI109" s="118">
        <f t="shared" si="61"/>
        <v>5104.4478678024961</v>
      </c>
      <c r="AJ109" s="118">
        <f t="shared" si="61"/>
        <v>5024.3921448963101</v>
      </c>
      <c r="AK109" s="118">
        <f t="shared" si="61"/>
        <v>5011.9476793880749</v>
      </c>
      <c r="AL109" s="118">
        <f t="shared" si="61"/>
        <v>4940.2454278215037</v>
      </c>
      <c r="AM109" s="118">
        <f t="shared" si="61"/>
        <v>4940.6599105424939</v>
      </c>
      <c r="AN109" s="118">
        <f t="shared" si="61"/>
        <v>4911.0398739754992</v>
      </c>
      <c r="AO109" s="118">
        <f t="shared" si="61"/>
        <v>4867.5578684500579</v>
      </c>
      <c r="AP109" s="118">
        <f t="shared" si="61"/>
        <v>4833.47835285784</v>
      </c>
      <c r="AQ109" s="118">
        <f t="shared" si="61"/>
        <v>4797.3723768102582</v>
      </c>
      <c r="AR109" s="118">
        <f t="shared" si="61"/>
        <v>4754.4666042753661</v>
      </c>
      <c r="AS109" s="118">
        <f t="shared" si="61"/>
        <v>4722.7330567458093</v>
      </c>
      <c r="AT109" s="118">
        <f t="shared" si="61"/>
        <v>4697.5995831697737</v>
      </c>
      <c r="AU109" s="118">
        <f t="shared" si="60"/>
        <v>4668.1928532543025</v>
      </c>
      <c r="AV109" s="118">
        <f t="shared" si="60"/>
        <v>4630.9376925383986</v>
      </c>
      <c r="AW109" s="118">
        <f t="shared" si="60"/>
        <v>4601.865427459592</v>
      </c>
      <c r="AX109" s="118">
        <f t="shared" si="60"/>
        <v>4568.4545251536956</v>
      </c>
      <c r="AY109" s="118">
        <f t="shared" si="60"/>
        <v>4533.5814553771115</v>
      </c>
    </row>
    <row r="110" spans="1:51" x14ac:dyDescent="0.2">
      <c r="A110" s="19" t="s">
        <v>171</v>
      </c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08">
        <f t="shared" si="61"/>
        <v>5312.1600000000008</v>
      </c>
      <c r="T110" s="108">
        <f t="shared" si="61"/>
        <v>5181.96</v>
      </c>
      <c r="U110" s="108">
        <f t="shared" si="61"/>
        <v>4986.6600000000008</v>
      </c>
      <c r="V110" s="108">
        <f t="shared" si="61"/>
        <v>4856.46</v>
      </c>
      <c r="W110" s="108">
        <f t="shared" si="61"/>
        <v>5090.82</v>
      </c>
      <c r="X110" s="108">
        <f t="shared" si="61"/>
        <v>4999.68</v>
      </c>
      <c r="Y110" s="108">
        <f t="shared" si="61"/>
        <v>4999.68</v>
      </c>
      <c r="Z110" s="118">
        <f t="shared" si="61"/>
        <v>5299.841778</v>
      </c>
      <c r="AA110" s="118">
        <f t="shared" si="61"/>
        <v>5255.4357659999996</v>
      </c>
      <c r="AB110" s="118">
        <f t="shared" si="61"/>
        <v>5582.6168602662656</v>
      </c>
      <c r="AC110" s="118">
        <f t="shared" si="61"/>
        <v>5593.8350564996863</v>
      </c>
      <c r="AD110" s="118">
        <f t="shared" si="61"/>
        <v>5627.1255167633935</v>
      </c>
      <c r="AE110" s="118">
        <f t="shared" si="61"/>
        <v>5585.1843929692732</v>
      </c>
      <c r="AF110" s="118">
        <f t="shared" si="61"/>
        <v>5605.7775082176004</v>
      </c>
      <c r="AG110" s="118">
        <f t="shared" si="61"/>
        <v>5584.5237431489704</v>
      </c>
      <c r="AH110" s="118">
        <f t="shared" si="61"/>
        <v>5567.330486340551</v>
      </c>
      <c r="AI110" s="118">
        <f t="shared" si="61"/>
        <v>5496.0957219804804</v>
      </c>
      <c r="AJ110" s="118">
        <f t="shared" si="61"/>
        <v>5404.8798931469364</v>
      </c>
      <c r="AK110" s="118">
        <f t="shared" si="61"/>
        <v>5394.516240034076</v>
      </c>
      <c r="AL110" s="118">
        <f t="shared" si="61"/>
        <v>5320.0532338034627</v>
      </c>
      <c r="AM110" s="118">
        <f t="shared" si="61"/>
        <v>5319.5686395158846</v>
      </c>
      <c r="AN110" s="118">
        <f t="shared" si="61"/>
        <v>5286.5894154185735</v>
      </c>
      <c r="AO110" s="118">
        <f t="shared" si="61"/>
        <v>5239.525827248116</v>
      </c>
      <c r="AP110" s="118">
        <f t="shared" si="61"/>
        <v>5203.5208991422396</v>
      </c>
      <c r="AQ110" s="118">
        <f t="shared" si="61"/>
        <v>5164.8734696289093</v>
      </c>
      <c r="AR110" s="118">
        <f t="shared" si="61"/>
        <v>5118.4149839306701</v>
      </c>
      <c r="AS110" s="118">
        <f t="shared" si="61"/>
        <v>5084.1139981213373</v>
      </c>
      <c r="AT110" s="118">
        <f t="shared" si="61"/>
        <v>5057.1044534027069</v>
      </c>
      <c r="AU110" s="118">
        <f t="shared" si="60"/>
        <v>5025.5538651564857</v>
      </c>
      <c r="AV110" s="118">
        <f t="shared" si="60"/>
        <v>4985.4411435426646</v>
      </c>
      <c r="AW110" s="118">
        <f t="shared" si="60"/>
        <v>4954.0930047831444</v>
      </c>
      <c r="AX110" s="118">
        <f t="shared" si="60"/>
        <v>4918.1168569955553</v>
      </c>
      <c r="AY110" s="118">
        <f t="shared" si="60"/>
        <v>4880.592196415847</v>
      </c>
    </row>
    <row r="111" spans="1:51" x14ac:dyDescent="0.2">
      <c r="A111" s="19" t="s">
        <v>172</v>
      </c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08">
        <f t="shared" si="61"/>
        <v>4737.5999999999995</v>
      </c>
      <c r="T111" s="108">
        <f t="shared" si="61"/>
        <v>4788</v>
      </c>
      <c r="U111" s="108">
        <f t="shared" si="61"/>
        <v>4498.2</v>
      </c>
      <c r="V111" s="108">
        <f t="shared" si="61"/>
        <v>4851.0000000000009</v>
      </c>
      <c r="W111" s="108">
        <f t="shared" si="61"/>
        <v>4699.8</v>
      </c>
      <c r="X111" s="108">
        <f t="shared" si="61"/>
        <v>4611.6000000000004</v>
      </c>
      <c r="Y111" s="108">
        <f t="shared" si="61"/>
        <v>4611.6000000000004</v>
      </c>
      <c r="Z111" s="118">
        <f t="shared" si="61"/>
        <v>4776.0615000000007</v>
      </c>
      <c r="AA111" s="118">
        <f t="shared" si="61"/>
        <v>4906.9817999999996</v>
      </c>
      <c r="AB111" s="118">
        <f t="shared" si="61"/>
        <v>5133.0802378235167</v>
      </c>
      <c r="AC111" s="118">
        <f t="shared" si="61"/>
        <v>5116.4237677668161</v>
      </c>
      <c r="AD111" s="118">
        <f t="shared" si="61"/>
        <v>5117.0275927715029</v>
      </c>
      <c r="AE111" s="118">
        <f t="shared" si="61"/>
        <v>5113.7554874922525</v>
      </c>
      <c r="AF111" s="118">
        <f t="shared" si="61"/>
        <v>5148.1103923960991</v>
      </c>
      <c r="AG111" s="118">
        <f t="shared" si="61"/>
        <v>5112.5111402944322</v>
      </c>
      <c r="AH111" s="118">
        <f t="shared" si="61"/>
        <v>5092.3335956599303</v>
      </c>
      <c r="AI111" s="118">
        <f t="shared" si="61"/>
        <v>5027.2065595640552</v>
      </c>
      <c r="AJ111" s="118">
        <f t="shared" si="61"/>
        <v>4949.602953886968</v>
      </c>
      <c r="AK111" s="118">
        <f t="shared" si="61"/>
        <v>4940.3003185710131</v>
      </c>
      <c r="AL111" s="118">
        <f t="shared" si="61"/>
        <v>4869.3281757235445</v>
      </c>
      <c r="AM111" s="118">
        <f t="shared" si="61"/>
        <v>4868.6656731557696</v>
      </c>
      <c r="AN111" s="118">
        <f t="shared" si="61"/>
        <v>4839.0889108323781</v>
      </c>
      <c r="AO111" s="118">
        <f t="shared" si="61"/>
        <v>4796.7255975380685</v>
      </c>
      <c r="AP111" s="118">
        <f t="shared" si="61"/>
        <v>4763.4700973201543</v>
      </c>
      <c r="AQ111" s="118">
        <f t="shared" si="61"/>
        <v>4727.7018203368352</v>
      </c>
      <c r="AR111" s="118">
        <f t="shared" si="61"/>
        <v>4685.2574436477971</v>
      </c>
      <c r="AS111" s="118">
        <f t="shared" si="61"/>
        <v>4654.0004350779463</v>
      </c>
      <c r="AT111" s="118">
        <f t="shared" si="61"/>
        <v>4629.326360788401</v>
      </c>
      <c r="AU111" s="118">
        <f t="shared" si="60"/>
        <v>4600.364457691885</v>
      </c>
      <c r="AV111" s="118">
        <f t="shared" si="60"/>
        <v>4563.6071774219545</v>
      </c>
      <c r="AW111" s="118">
        <f t="shared" si="60"/>
        <v>4534.9419581910552</v>
      </c>
      <c r="AX111" s="118">
        <f t="shared" si="60"/>
        <v>4502.0299591678158</v>
      </c>
      <c r="AY111" s="118">
        <f t="shared" si="60"/>
        <v>4467.6766327849464</v>
      </c>
    </row>
    <row r="112" spans="1:51" x14ac:dyDescent="0.2">
      <c r="A112" s="19" t="s">
        <v>173</v>
      </c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08">
        <f t="shared" si="61"/>
        <v>4543.9800000000005</v>
      </c>
      <c r="T112" s="108">
        <f t="shared" si="61"/>
        <v>4439.82</v>
      </c>
      <c r="U112" s="108">
        <f t="shared" si="61"/>
        <v>4439.82</v>
      </c>
      <c r="V112" s="108">
        <f t="shared" si="61"/>
        <v>4491.9000000000005</v>
      </c>
      <c r="W112" s="108">
        <f t="shared" si="61"/>
        <v>4231.5</v>
      </c>
      <c r="X112" s="108">
        <f t="shared" si="61"/>
        <v>4348.68</v>
      </c>
      <c r="Y112" s="108">
        <f t="shared" si="61"/>
        <v>4348.68</v>
      </c>
      <c r="Z112" s="118">
        <f t="shared" si="61"/>
        <v>5018.3897399999996</v>
      </c>
      <c r="AA112" s="118">
        <f t="shared" si="61"/>
        <v>5047.1014439999999</v>
      </c>
      <c r="AB112" s="118">
        <f t="shared" si="61"/>
        <v>5201.193592301528</v>
      </c>
      <c r="AC112" s="118">
        <f t="shared" si="61"/>
        <v>5235.5068368606253</v>
      </c>
      <c r="AD112" s="118">
        <f t="shared" si="61"/>
        <v>5308.1013064398248</v>
      </c>
      <c r="AE112" s="118">
        <f t="shared" si="61"/>
        <v>5269.0525722266275</v>
      </c>
      <c r="AF112" s="118">
        <f t="shared" si="61"/>
        <v>5284.7227381957946</v>
      </c>
      <c r="AG112" s="118">
        <f t="shared" si="61"/>
        <v>5246.2027029116871</v>
      </c>
      <c r="AH112" s="118">
        <f t="shared" si="61"/>
        <v>5238.645261953855</v>
      </c>
      <c r="AI112" s="118">
        <f t="shared" si="61"/>
        <v>5177.1334415739348</v>
      </c>
      <c r="AJ112" s="118">
        <f t="shared" si="61"/>
        <v>5089.7469381180499</v>
      </c>
      <c r="AK112" s="118">
        <f t="shared" si="61"/>
        <v>5078.1319683607089</v>
      </c>
      <c r="AL112" s="118">
        <f t="shared" si="61"/>
        <v>5006.5398477005283</v>
      </c>
      <c r="AM112" s="118">
        <f t="shared" si="61"/>
        <v>5007.8885693279999</v>
      </c>
      <c r="AN112" s="118">
        <f t="shared" si="61"/>
        <v>4977.3300562623626</v>
      </c>
      <c r="AO112" s="118">
        <f t="shared" si="61"/>
        <v>4932.5191294767228</v>
      </c>
      <c r="AP112" s="118">
        <f t="shared" si="61"/>
        <v>4898.3177603157837</v>
      </c>
      <c r="AQ112" s="118">
        <f t="shared" si="61"/>
        <v>4861.9329434514375</v>
      </c>
      <c r="AR112" s="118">
        <f t="shared" si="61"/>
        <v>4818.4866426257095</v>
      </c>
      <c r="AS112" s="118">
        <f t="shared" si="61"/>
        <v>4786.1886934614504</v>
      </c>
      <c r="AT112" s="118">
        <f t="shared" si="61"/>
        <v>4760.6578763661182</v>
      </c>
      <c r="AU112" s="118">
        <f t="shared" si="60"/>
        <v>4730.9306211743233</v>
      </c>
      <c r="AV112" s="118">
        <f t="shared" si="60"/>
        <v>4693.1982212478706</v>
      </c>
      <c r="AW112" s="118">
        <f t="shared" si="60"/>
        <v>4663.7228596852465</v>
      </c>
      <c r="AX112" s="118">
        <f t="shared" si="60"/>
        <v>4629.8410378771714</v>
      </c>
      <c r="AY112" s="118">
        <f t="shared" si="60"/>
        <v>4594.5001449183037</v>
      </c>
    </row>
    <row r="113" spans="1:51" x14ac:dyDescent="0.2">
      <c r="A113" s="117" t="s">
        <v>174</v>
      </c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30">
        <f>SUM(S101:S112)</f>
        <v>58529.1</v>
      </c>
      <c r="T113" s="130">
        <f t="shared" ref="T113:AY113" si="62">SUM(T101:T112)</f>
        <v>58320.36</v>
      </c>
      <c r="U113" s="130">
        <f t="shared" si="62"/>
        <v>54044.76</v>
      </c>
      <c r="V113" s="130">
        <f t="shared" si="62"/>
        <v>56582.400000000001</v>
      </c>
      <c r="W113" s="130">
        <f t="shared" si="62"/>
        <v>57159.9</v>
      </c>
      <c r="X113" s="130">
        <f t="shared" si="62"/>
        <v>56100.24</v>
      </c>
      <c r="Y113" s="130">
        <f t="shared" si="62"/>
        <v>56100.24</v>
      </c>
      <c r="Z113" s="134">
        <f t="shared" si="62"/>
        <v>59844.462594042001</v>
      </c>
      <c r="AA113" s="134">
        <f t="shared" si="62"/>
        <v>60064.308570000001</v>
      </c>
      <c r="AB113" s="134">
        <f t="shared" si="62"/>
        <v>63005.773059280356</v>
      </c>
      <c r="AC113" s="134">
        <f t="shared" si="62"/>
        <v>63027.578072311066</v>
      </c>
      <c r="AD113" s="134">
        <f t="shared" si="62"/>
        <v>63320.646820189373</v>
      </c>
      <c r="AE113" s="134">
        <f t="shared" si="62"/>
        <v>63134.571706704395</v>
      </c>
      <c r="AF113" s="134">
        <f t="shared" si="62"/>
        <v>63380.457654425023</v>
      </c>
      <c r="AG113" s="134">
        <f t="shared" si="62"/>
        <v>63011.505982054026</v>
      </c>
      <c r="AH113" s="134">
        <f t="shared" si="62"/>
        <v>62814.371826241637</v>
      </c>
      <c r="AI113" s="134">
        <f t="shared" si="62"/>
        <v>62027.520055081492</v>
      </c>
      <c r="AJ113" s="134">
        <f t="shared" si="62"/>
        <v>61034.123759539165</v>
      </c>
      <c r="AK113" s="134">
        <f t="shared" si="62"/>
        <v>60904.537381980881</v>
      </c>
      <c r="AL113" s="134">
        <f t="shared" si="62"/>
        <v>60046.251474829674</v>
      </c>
      <c r="AM113" s="134">
        <f t="shared" si="62"/>
        <v>60044.649891693734</v>
      </c>
      <c r="AN113" s="134">
        <f t="shared" si="62"/>
        <v>59677.674672730165</v>
      </c>
      <c r="AO113" s="134">
        <f t="shared" si="62"/>
        <v>59149.370733472853</v>
      </c>
      <c r="AP113" s="134">
        <f t="shared" si="62"/>
        <v>58739.370495430354</v>
      </c>
      <c r="AQ113" s="134">
        <f t="shared" si="62"/>
        <v>58301.313602271999</v>
      </c>
      <c r="AR113" s="134">
        <f t="shared" si="62"/>
        <v>57778.203838767717</v>
      </c>
      <c r="AS113" s="134">
        <f t="shared" si="62"/>
        <v>57391.832076609302</v>
      </c>
      <c r="AT113" s="134">
        <f t="shared" si="62"/>
        <v>57086.895400102097</v>
      </c>
      <c r="AU113" s="134">
        <f t="shared" si="62"/>
        <v>56730.10660151286</v>
      </c>
      <c r="AV113" s="134">
        <f t="shared" si="62"/>
        <v>56277.239596987158</v>
      </c>
      <c r="AW113" s="134">
        <f t="shared" si="62"/>
        <v>55923.649262211307</v>
      </c>
      <c r="AX113" s="134">
        <f t="shared" si="62"/>
        <v>55517.610197172697</v>
      </c>
      <c r="AY113" s="134">
        <f t="shared" si="62"/>
        <v>55093.942566380225</v>
      </c>
    </row>
    <row r="114" spans="1:51" x14ac:dyDescent="0.2">
      <c r="A114" s="114"/>
      <c r="B114" s="114"/>
      <c r="C114" s="114"/>
      <c r="D114" s="114"/>
      <c r="E114" s="114"/>
      <c r="F114" s="114"/>
      <c r="G114" s="114"/>
      <c r="H114" s="114"/>
      <c r="I114" s="114"/>
      <c r="J114" s="114"/>
      <c r="K114" s="114"/>
      <c r="L114" s="114"/>
      <c r="M114" s="114"/>
      <c r="N114" s="114"/>
      <c r="O114" s="114"/>
      <c r="P114" s="114"/>
      <c r="Q114" s="114"/>
      <c r="R114" s="114"/>
      <c r="S114" s="114"/>
      <c r="T114" s="114"/>
      <c r="U114" s="114"/>
      <c r="V114" s="114"/>
      <c r="W114" s="114"/>
      <c r="X114" s="145"/>
      <c r="Y114" s="145"/>
      <c r="Z114" s="145"/>
      <c r="AA114" s="145"/>
      <c r="AB114" s="145"/>
      <c r="AC114" s="145"/>
      <c r="AD114" s="145"/>
      <c r="AE114" s="145"/>
      <c r="AF114" s="145"/>
      <c r="AG114" s="145"/>
      <c r="AH114" s="145"/>
      <c r="AI114" s="145"/>
      <c r="AJ114" s="145"/>
      <c r="AK114" s="145"/>
      <c r="AL114" s="145"/>
      <c r="AM114" s="145"/>
      <c r="AN114" s="145"/>
      <c r="AO114" s="145"/>
      <c r="AP114" s="145"/>
      <c r="AQ114" s="145"/>
      <c r="AR114" s="145"/>
      <c r="AS114" s="145"/>
      <c r="AT114" s="145"/>
      <c r="AU114" s="145"/>
      <c r="AV114" s="145"/>
      <c r="AW114" s="145"/>
      <c r="AX114" s="145"/>
      <c r="AY114" s="145"/>
    </row>
    <row r="115" spans="1:51" s="78" customFormat="1" ht="12" thickBot="1" x14ac:dyDescent="0.25">
      <c r="A115" s="255" t="s">
        <v>249</v>
      </c>
      <c r="B115" s="256"/>
      <c r="C115" s="256"/>
      <c r="D115" s="256"/>
      <c r="E115" s="256"/>
      <c r="F115" s="256"/>
      <c r="G115" s="256"/>
      <c r="H115" s="256"/>
      <c r="I115" s="256"/>
      <c r="J115" s="256"/>
      <c r="K115" s="256"/>
      <c r="L115" s="256"/>
      <c r="M115" s="256"/>
      <c r="N115" s="256"/>
      <c r="O115" s="256"/>
      <c r="P115" s="256"/>
      <c r="Q115" s="256"/>
      <c r="R115" s="256"/>
      <c r="S115" s="256"/>
      <c r="T115" s="256"/>
      <c r="U115" s="256"/>
      <c r="V115" s="256"/>
      <c r="W115" s="256"/>
      <c r="X115" s="257"/>
      <c r="Y115" s="257"/>
      <c r="Z115" s="257"/>
      <c r="AA115" s="257"/>
      <c r="AB115" s="257"/>
      <c r="AC115" s="257"/>
      <c r="AD115" s="257"/>
      <c r="AE115" s="257"/>
      <c r="AF115" s="257"/>
      <c r="AG115" s="257"/>
      <c r="AH115" s="257"/>
      <c r="AI115" s="257"/>
      <c r="AJ115" s="257"/>
      <c r="AK115" s="257"/>
      <c r="AL115" s="257"/>
      <c r="AM115" s="257"/>
      <c r="AN115" s="257"/>
      <c r="AO115" s="257"/>
      <c r="AP115" s="257"/>
      <c r="AQ115" s="257"/>
      <c r="AR115" s="257"/>
      <c r="AS115" s="257"/>
      <c r="AT115" s="257"/>
      <c r="AU115" s="257"/>
      <c r="AV115" s="257"/>
      <c r="AW115" s="257"/>
      <c r="AX115" s="257"/>
      <c r="AY115" s="257"/>
    </row>
    <row r="116" spans="1:51" s="78" customFormat="1" ht="12" thickBot="1" x14ac:dyDescent="0.25">
      <c r="A116" s="258"/>
      <c r="B116" s="259">
        <v>2001</v>
      </c>
      <c r="C116" s="259">
        <v>2002</v>
      </c>
      <c r="D116" s="259">
        <v>2003</v>
      </c>
      <c r="E116" s="259">
        <v>2004</v>
      </c>
      <c r="F116" s="259">
        <v>2005</v>
      </c>
      <c r="G116" s="259">
        <v>2006</v>
      </c>
      <c r="H116" s="259">
        <v>2007</v>
      </c>
      <c r="I116" s="259">
        <v>2008</v>
      </c>
      <c r="J116" s="259">
        <v>2009</v>
      </c>
      <c r="K116" s="259">
        <v>2010</v>
      </c>
      <c r="L116" s="259">
        <v>2011</v>
      </c>
      <c r="M116" s="259">
        <v>2012</v>
      </c>
      <c r="N116" s="259">
        <v>2013</v>
      </c>
      <c r="O116" s="259">
        <v>2014</v>
      </c>
      <c r="P116" s="259">
        <v>2015</v>
      </c>
      <c r="Q116" s="259">
        <v>2016</v>
      </c>
      <c r="R116" s="259">
        <v>2017</v>
      </c>
      <c r="S116" s="259">
        <v>2018</v>
      </c>
      <c r="T116" s="259">
        <v>2019</v>
      </c>
      <c r="U116" s="259">
        <v>2020</v>
      </c>
      <c r="V116" s="259">
        <v>2021</v>
      </c>
      <c r="W116" s="259">
        <v>2022</v>
      </c>
      <c r="X116" s="259">
        <v>2023</v>
      </c>
      <c r="Y116" s="259">
        <v>2024</v>
      </c>
      <c r="Z116" s="259">
        <v>2025</v>
      </c>
      <c r="AA116" s="259">
        <v>2026</v>
      </c>
      <c r="AB116" s="259">
        <v>2027</v>
      </c>
      <c r="AC116" s="259">
        <v>2028</v>
      </c>
      <c r="AD116" s="259">
        <v>2029</v>
      </c>
      <c r="AE116" s="259">
        <v>2030</v>
      </c>
      <c r="AF116" s="259">
        <v>2031</v>
      </c>
      <c r="AG116" s="259">
        <v>2032</v>
      </c>
      <c r="AH116" s="259">
        <v>2033</v>
      </c>
      <c r="AI116" s="259">
        <v>2033</v>
      </c>
      <c r="AJ116" s="259">
        <v>2033</v>
      </c>
      <c r="AK116" s="259">
        <v>2034</v>
      </c>
      <c r="AL116" s="259">
        <v>2035</v>
      </c>
      <c r="AM116" s="259">
        <v>2036</v>
      </c>
      <c r="AN116" s="259">
        <v>2037</v>
      </c>
      <c r="AO116" s="259">
        <v>2038</v>
      </c>
      <c r="AP116" s="259">
        <v>2039</v>
      </c>
      <c r="AQ116" s="259">
        <v>2040</v>
      </c>
      <c r="AR116" s="259">
        <v>2041</v>
      </c>
      <c r="AS116" s="259">
        <v>2042</v>
      </c>
      <c r="AT116" s="259">
        <v>2043</v>
      </c>
      <c r="AU116" s="259">
        <v>2044</v>
      </c>
      <c r="AV116" s="259">
        <v>2045</v>
      </c>
      <c r="AW116" s="259">
        <v>2046</v>
      </c>
      <c r="AX116" s="259">
        <v>2047</v>
      </c>
      <c r="AY116" s="259">
        <v>2048</v>
      </c>
    </row>
    <row r="117" spans="1:51" s="78" customFormat="1" x14ac:dyDescent="0.2">
      <c r="A117" s="78" t="s">
        <v>162</v>
      </c>
      <c r="B117" s="260"/>
      <c r="C117" s="260"/>
      <c r="D117" s="260"/>
      <c r="E117" s="260"/>
      <c r="F117" s="260"/>
      <c r="G117" s="260"/>
      <c r="H117" s="260"/>
      <c r="I117" s="260"/>
      <c r="J117" s="260"/>
      <c r="K117" s="260"/>
      <c r="L117" s="260"/>
      <c r="M117" s="260" t="e">
        <f>(#REF!)</f>
        <v>#REF!</v>
      </c>
      <c r="N117" s="260" t="e">
        <f>(#REF!)</f>
        <v>#REF!</v>
      </c>
      <c r="O117" s="260" t="e">
        <f>(#REF!)</f>
        <v>#REF!</v>
      </c>
      <c r="P117" s="260" t="e">
        <f>(#REF!)</f>
        <v>#REF!</v>
      </c>
      <c r="Q117" s="260" t="e">
        <f>(#REF!)</f>
        <v>#REF!</v>
      </c>
      <c r="R117" s="260" t="e">
        <f>(#REF!)</f>
        <v>#REF!</v>
      </c>
      <c r="S117" s="260">
        <f>'Monthly Data'!$AV543</f>
        <v>1300.278</v>
      </c>
      <c r="T117" s="260">
        <f>'Monthly Data'!$AV555</f>
        <v>1666.0139999999999</v>
      </c>
      <c r="U117" s="260">
        <f>'Monthly Data'!$AV567</f>
        <v>1609.944</v>
      </c>
      <c r="V117" s="260">
        <f>'Monthly Data'!$AV579</f>
        <v>1173.8579999999999</v>
      </c>
      <c r="W117" s="260">
        <f>'Monthly Data'!$AV591</f>
        <v>1219.848</v>
      </c>
      <c r="X117" s="260">
        <f>'Monthly Data'!$AV603</f>
        <v>1223.712</v>
      </c>
      <c r="Y117" s="260">
        <f>'Monthly Data'!$AV615</f>
        <v>1336.7760000000001</v>
      </c>
      <c r="Z117" s="261">
        <f t="shared" ref="Z117:Z127" si="63">Y$129*(SUM(U117:Y117)/SUM(U$129:Y$129))</f>
        <v>1454.5038854309944</v>
      </c>
      <c r="AA117" s="261">
        <f t="shared" ref="AA117:AA127" si="64">Z$129*(SUM(V117:Z117)/SUM(V$129:Z$129))</f>
        <v>1381.2831727258506</v>
      </c>
      <c r="AB117" s="261">
        <f t="shared" ref="AB117:AQ127" si="65">AA$129*(SUM(W117:AA117)/SUM(W$129:AA$129))</f>
        <v>1378.5850411984554</v>
      </c>
      <c r="AC117" s="261">
        <f t="shared" si="65"/>
        <v>1384.3835493387085</v>
      </c>
      <c r="AD117" s="261">
        <f t="shared" si="65"/>
        <v>1381.5771685444124</v>
      </c>
      <c r="AE117" s="261">
        <f t="shared" si="65"/>
        <v>1429.3640277538038</v>
      </c>
      <c r="AF117" s="261">
        <f t="shared" si="65"/>
        <v>1437.8665125719112</v>
      </c>
      <c r="AG117" s="261">
        <f t="shared" si="65"/>
        <v>1453.2670615048833</v>
      </c>
      <c r="AH117" s="261">
        <f t="shared" si="65"/>
        <v>1421.1078340951922</v>
      </c>
      <c r="AI117" s="261">
        <f t="shared" si="65"/>
        <v>1446.9464122257211</v>
      </c>
      <c r="AJ117" s="261">
        <f t="shared" si="65"/>
        <v>1479.0874444311844</v>
      </c>
      <c r="AK117" s="261">
        <f t="shared" si="65"/>
        <v>1486.0345567860134</v>
      </c>
      <c r="AL117" s="261">
        <f t="shared" si="65"/>
        <v>1499.2325705867866</v>
      </c>
      <c r="AM117" s="261">
        <f t="shared" si="65"/>
        <v>1446.791714475821</v>
      </c>
      <c r="AN117" s="261">
        <f t="shared" si="65"/>
        <v>1459.086990091979</v>
      </c>
      <c r="AO117" s="261">
        <f t="shared" si="65"/>
        <v>1473.9626411688882</v>
      </c>
      <c r="AP117" s="261">
        <f t="shared" si="65"/>
        <v>1473.1002335128262</v>
      </c>
      <c r="AQ117" s="261">
        <f t="shared" si="65"/>
        <v>1478.4710466499707</v>
      </c>
      <c r="AR117" s="261">
        <f t="shared" ref="AR117:AY127" si="66">AQ$129*(SUM(AM117:AQ117)/SUM(AM$129:AQ$129))</f>
        <v>1478.0669949375451</v>
      </c>
      <c r="AS117" s="261">
        <f t="shared" si="66"/>
        <v>1476.4797286663359</v>
      </c>
      <c r="AT117" s="261">
        <f t="shared" si="66"/>
        <v>1473.0305423179734</v>
      </c>
      <c r="AU117" s="261">
        <f t="shared" si="66"/>
        <v>1470.8027753566464</v>
      </c>
      <c r="AV117" s="261">
        <f t="shared" si="66"/>
        <v>1471.8136233721555</v>
      </c>
      <c r="AW117" s="261">
        <f t="shared" si="66"/>
        <v>1471.6938783107867</v>
      </c>
      <c r="AX117" s="261">
        <f t="shared" si="66"/>
        <v>1473.08361756469</v>
      </c>
      <c r="AY117" s="261">
        <f t="shared" si="66"/>
        <v>1473.7993449366024</v>
      </c>
    </row>
    <row r="118" spans="1:51" s="78" customFormat="1" x14ac:dyDescent="0.2">
      <c r="A118" s="78" t="s">
        <v>163</v>
      </c>
      <c r="B118" s="260"/>
      <c r="C118" s="260"/>
      <c r="D118" s="260"/>
      <c r="E118" s="260"/>
      <c r="F118" s="260"/>
      <c r="G118" s="260"/>
      <c r="H118" s="260"/>
      <c r="I118" s="260"/>
      <c r="J118" s="260"/>
      <c r="K118" s="260"/>
      <c r="L118" s="260"/>
      <c r="M118" s="260" t="e">
        <f>(#REF!)</f>
        <v>#REF!</v>
      </c>
      <c r="N118" s="260" t="e">
        <f>(#REF!)</f>
        <v>#REF!</v>
      </c>
      <c r="O118" s="260" t="e">
        <f>(#REF!)</f>
        <v>#REF!</v>
      </c>
      <c r="P118" s="260" t="e">
        <f>(#REF!)</f>
        <v>#REF!</v>
      </c>
      <c r="Q118" s="260" t="e">
        <f>(#REF!)</f>
        <v>#REF!</v>
      </c>
      <c r="R118" s="260" t="e">
        <f>(#REF!)</f>
        <v>#REF!</v>
      </c>
      <c r="S118" s="260">
        <f>'Monthly Data'!$AV544</f>
        <v>1216.068</v>
      </c>
      <c r="T118" s="260">
        <f>'Monthly Data'!$AV556</f>
        <v>1364.328</v>
      </c>
      <c r="U118" s="260">
        <f>'Monthly Data'!$AV568</f>
        <v>1601.6279999999999</v>
      </c>
      <c r="V118" s="260">
        <f>'Monthly Data'!$AV580</f>
        <v>1037.19</v>
      </c>
      <c r="W118" s="260">
        <f>'Monthly Data'!$AV592</f>
        <v>1038.8699999999999</v>
      </c>
      <c r="X118" s="260">
        <f>'Monthly Data'!$AV604</f>
        <v>1073.8979999999999</v>
      </c>
      <c r="Y118" s="260">
        <f>'Monthly Data'!$AV616</f>
        <v>1157.604</v>
      </c>
      <c r="Z118" s="261">
        <f t="shared" si="63"/>
        <v>1309.3782938064344</v>
      </c>
      <c r="AA118" s="261">
        <f t="shared" si="64"/>
        <v>1210.6336183639346</v>
      </c>
      <c r="AB118" s="261">
        <f t="shared" si="65"/>
        <v>1206.5278372162079</v>
      </c>
      <c r="AC118" s="261">
        <f t="shared" si="65"/>
        <v>1217.4738464206666</v>
      </c>
      <c r="AD118" s="261">
        <f t="shared" si="65"/>
        <v>1215.4591729306742</v>
      </c>
      <c r="AE118" s="261">
        <f t="shared" si="65"/>
        <v>1261.2763654794069</v>
      </c>
      <c r="AF118" s="261">
        <f t="shared" si="65"/>
        <v>1263.4208034811484</v>
      </c>
      <c r="AG118" s="261">
        <f t="shared" si="65"/>
        <v>1277.5889357976539</v>
      </c>
      <c r="AH118" s="261">
        <f t="shared" si="65"/>
        <v>1250.401589172151</v>
      </c>
      <c r="AI118" s="261">
        <f t="shared" si="65"/>
        <v>1273.2612827609858</v>
      </c>
      <c r="AJ118" s="261">
        <f t="shared" si="65"/>
        <v>1301.6017555667299</v>
      </c>
      <c r="AK118" s="261">
        <f t="shared" si="65"/>
        <v>1307.0107671896801</v>
      </c>
      <c r="AL118" s="261">
        <f t="shared" si="65"/>
        <v>1318.8708083932165</v>
      </c>
      <c r="AM118" s="261">
        <f t="shared" si="65"/>
        <v>1272.9056858396941</v>
      </c>
      <c r="AN118" s="261">
        <f t="shared" si="65"/>
        <v>1283.7048020187588</v>
      </c>
      <c r="AO118" s="261">
        <f t="shared" si="65"/>
        <v>1296.7448508979733</v>
      </c>
      <c r="AP118" s="261">
        <f t="shared" si="65"/>
        <v>1295.9164751403237</v>
      </c>
      <c r="AQ118" s="261">
        <f t="shared" si="65"/>
        <v>1300.698459770741</v>
      </c>
      <c r="AR118" s="261">
        <f t="shared" si="66"/>
        <v>1300.3616992116238</v>
      </c>
      <c r="AS118" s="261">
        <f t="shared" si="66"/>
        <v>1298.9534159775046</v>
      </c>
      <c r="AT118" s="261">
        <f t="shared" si="66"/>
        <v>1295.9083905234374</v>
      </c>
      <c r="AU118" s="261">
        <f t="shared" si="66"/>
        <v>1293.945220916097</v>
      </c>
      <c r="AV118" s="261">
        <f t="shared" si="66"/>
        <v>1294.8444837729357</v>
      </c>
      <c r="AW118" s="261">
        <f t="shared" si="66"/>
        <v>1294.7397290796446</v>
      </c>
      <c r="AX118" s="261">
        <f t="shared" si="66"/>
        <v>1295.9593382237861</v>
      </c>
      <c r="AY118" s="261">
        <f t="shared" si="66"/>
        <v>1296.5877413872126</v>
      </c>
    </row>
    <row r="119" spans="1:51" s="78" customFormat="1" x14ac:dyDescent="0.2">
      <c r="A119" s="78" t="s">
        <v>164</v>
      </c>
      <c r="B119" s="260"/>
      <c r="C119" s="260"/>
      <c r="D119" s="260"/>
      <c r="E119" s="260"/>
      <c r="F119" s="260"/>
      <c r="G119" s="260"/>
      <c r="H119" s="260"/>
      <c r="I119" s="260"/>
      <c r="J119" s="260"/>
      <c r="K119" s="260"/>
      <c r="L119" s="260"/>
      <c r="M119" s="260" t="e">
        <f>(#REF!)</f>
        <v>#REF!</v>
      </c>
      <c r="N119" s="260" t="e">
        <f>(#REF!)</f>
        <v>#REF!</v>
      </c>
      <c r="O119" s="260" t="e">
        <f>(#REF!)</f>
        <v>#REF!</v>
      </c>
      <c r="P119" s="260" t="e">
        <f>(#REF!)</f>
        <v>#REF!</v>
      </c>
      <c r="Q119" s="260" t="e">
        <f>(#REF!)</f>
        <v>#REF!</v>
      </c>
      <c r="R119" s="260" t="e">
        <f>(#REF!)</f>
        <v>#REF!</v>
      </c>
      <c r="S119" s="260">
        <f>'Monthly Data'!$AV545</f>
        <v>1468.6559999999999</v>
      </c>
      <c r="T119" s="260">
        <f>'Monthly Data'!$AV557</f>
        <v>1526.8679999999999</v>
      </c>
      <c r="U119" s="260">
        <f>'Monthly Data'!$AV569</f>
        <v>1857.5340000000001</v>
      </c>
      <c r="V119" s="260">
        <f>'Monthly Data'!$AV581</f>
        <v>1101.4079999999999</v>
      </c>
      <c r="W119" s="260">
        <f>'Monthly Data'!$AV593</f>
        <v>1564.7940000000001</v>
      </c>
      <c r="X119" s="260">
        <f>'Monthly Data'!$AV605</f>
        <v>1486.086</v>
      </c>
      <c r="Y119" s="260">
        <f>'Monthly Data'!$AV617</f>
        <v>1467.3119999999999</v>
      </c>
      <c r="Z119" s="261">
        <f t="shared" si="63"/>
        <v>1656.8086251215614</v>
      </c>
      <c r="AA119" s="261">
        <f t="shared" si="64"/>
        <v>1568.3031048485327</v>
      </c>
      <c r="AB119" s="261">
        <f t="shared" si="65"/>
        <v>1613.4528632190859</v>
      </c>
      <c r="AC119" s="261">
        <f t="shared" si="65"/>
        <v>1592.2195695377072</v>
      </c>
      <c r="AD119" s="261">
        <f t="shared" si="65"/>
        <v>1573.322693357826</v>
      </c>
      <c r="AE119" s="261">
        <f t="shared" si="65"/>
        <v>1639.0024249461667</v>
      </c>
      <c r="AF119" s="261">
        <f t="shared" si="65"/>
        <v>1651.0302933691028</v>
      </c>
      <c r="AG119" s="261">
        <f t="shared" si="65"/>
        <v>1672.3939675124761</v>
      </c>
      <c r="AH119" s="261">
        <f t="shared" si="65"/>
        <v>1629.9708298827256</v>
      </c>
      <c r="AI119" s="261">
        <f t="shared" si="65"/>
        <v>1658.7191731313515</v>
      </c>
      <c r="AJ119" s="261">
        <f t="shared" si="65"/>
        <v>1697.7165018488054</v>
      </c>
      <c r="AK119" s="261">
        <f t="shared" si="65"/>
        <v>1706.0273652402693</v>
      </c>
      <c r="AL119" s="261">
        <f t="shared" si="65"/>
        <v>1721.11712252538</v>
      </c>
      <c r="AM119" s="261">
        <f t="shared" si="65"/>
        <v>1660.1169093798112</v>
      </c>
      <c r="AN119" s="261">
        <f t="shared" si="65"/>
        <v>1674.3589746726766</v>
      </c>
      <c r="AO119" s="261">
        <f t="shared" si="65"/>
        <v>1691.7709458153818</v>
      </c>
      <c r="AP119" s="261">
        <f t="shared" si="65"/>
        <v>1690.7684074778888</v>
      </c>
      <c r="AQ119" s="261">
        <f t="shared" si="65"/>
        <v>1696.8496838649341</v>
      </c>
      <c r="AR119" s="261">
        <f t="shared" si="66"/>
        <v>1696.2973814856753</v>
      </c>
      <c r="AS119" s="261">
        <f t="shared" si="66"/>
        <v>1694.5334215189225</v>
      </c>
      <c r="AT119" s="261">
        <f t="shared" si="66"/>
        <v>1690.6173692383009</v>
      </c>
      <c r="AU119" s="261">
        <f t="shared" si="66"/>
        <v>1688.0438288195871</v>
      </c>
      <c r="AV119" s="261">
        <f t="shared" si="66"/>
        <v>1689.1864677044664</v>
      </c>
      <c r="AW119" s="261">
        <f t="shared" si="66"/>
        <v>1689.0445336314838</v>
      </c>
      <c r="AX119" s="261">
        <f t="shared" si="66"/>
        <v>1690.6518221134513</v>
      </c>
      <c r="AY119" s="261">
        <f t="shared" si="66"/>
        <v>1691.4764837157265</v>
      </c>
    </row>
    <row r="120" spans="1:51" s="78" customFormat="1" x14ac:dyDescent="0.2">
      <c r="A120" s="78" t="s">
        <v>165</v>
      </c>
      <c r="B120" s="260"/>
      <c r="C120" s="260"/>
      <c r="D120" s="260"/>
      <c r="E120" s="260"/>
      <c r="F120" s="260"/>
      <c r="G120" s="260"/>
      <c r="H120" s="260"/>
      <c r="I120" s="260"/>
      <c r="J120" s="260"/>
      <c r="K120" s="260"/>
      <c r="L120" s="260"/>
      <c r="M120" s="260" t="e">
        <f>(#REF!)</f>
        <v>#REF!</v>
      </c>
      <c r="N120" s="260" t="e">
        <f>(#REF!)</f>
        <v>#REF!</v>
      </c>
      <c r="O120" s="260" t="e">
        <f>(#REF!)</f>
        <v>#REF!</v>
      </c>
      <c r="P120" s="260" t="e">
        <f>(#REF!)</f>
        <v>#REF!</v>
      </c>
      <c r="Q120" s="260" t="e">
        <f>(#REF!)</f>
        <v>#REF!</v>
      </c>
      <c r="R120" s="260" t="e">
        <f>(#REF!)</f>
        <v>#REF!</v>
      </c>
      <c r="S120" s="260">
        <f>'Monthly Data'!$AV546</f>
        <v>1844.598</v>
      </c>
      <c r="T120" s="260">
        <f>'Monthly Data'!$AV558</f>
        <v>1589.1959999999999</v>
      </c>
      <c r="U120" s="260">
        <f>'Monthly Data'!$AV570</f>
        <v>1315.9860000000001</v>
      </c>
      <c r="V120" s="260">
        <f>'Monthly Data'!$AV582</f>
        <v>1311.492</v>
      </c>
      <c r="W120" s="260">
        <f>'Monthly Data'!$AV594</f>
        <v>1596.63</v>
      </c>
      <c r="X120" s="260">
        <f>'Monthly Data'!$AV606</f>
        <v>1285.0740000000001</v>
      </c>
      <c r="Y120" s="260">
        <f>'Monthly Data'!$AV618</f>
        <v>1547.91</v>
      </c>
      <c r="Z120" s="261">
        <f t="shared" si="63"/>
        <v>1563.7342989809158</v>
      </c>
      <c r="AA120" s="261">
        <f t="shared" si="64"/>
        <v>1574.431056793909</v>
      </c>
      <c r="AB120" s="261">
        <f t="shared" si="65"/>
        <v>1576.8792876515947</v>
      </c>
      <c r="AC120" s="261">
        <f t="shared" si="65"/>
        <v>1542.373795274573</v>
      </c>
      <c r="AD120" s="261">
        <f t="shared" si="65"/>
        <v>1554.843105060346</v>
      </c>
      <c r="AE120" s="261">
        <f t="shared" si="65"/>
        <v>1599.7182252514151</v>
      </c>
      <c r="AF120" s="261">
        <f t="shared" si="65"/>
        <v>1622.4897582877234</v>
      </c>
      <c r="AG120" s="261">
        <f t="shared" si="65"/>
        <v>1636.5951037359623</v>
      </c>
      <c r="AH120" s="261">
        <f t="shared" si="65"/>
        <v>1595.4884404184704</v>
      </c>
      <c r="AI120" s="261">
        <f t="shared" si="65"/>
        <v>1626.9116300097974</v>
      </c>
      <c r="AJ120" s="261">
        <f t="shared" si="65"/>
        <v>1662.7557787637406</v>
      </c>
      <c r="AK120" s="261">
        <f t="shared" si="65"/>
        <v>1672.0313462596835</v>
      </c>
      <c r="AL120" s="261">
        <f t="shared" si="65"/>
        <v>1685.9234029850779</v>
      </c>
      <c r="AM120" s="261">
        <f t="shared" si="65"/>
        <v>1626.4865218434416</v>
      </c>
      <c r="AN120" s="261">
        <f t="shared" si="65"/>
        <v>1640.7301217943898</v>
      </c>
      <c r="AO120" s="261">
        <f t="shared" si="65"/>
        <v>1657.4909593294387</v>
      </c>
      <c r="AP120" s="261">
        <f t="shared" si="65"/>
        <v>1656.6207938007728</v>
      </c>
      <c r="AQ120" s="261">
        <f t="shared" si="65"/>
        <v>1662.4867926410586</v>
      </c>
      <c r="AR120" s="261">
        <f t="shared" si="66"/>
        <v>1662.0140981814463</v>
      </c>
      <c r="AS120" s="261">
        <f t="shared" si="66"/>
        <v>1660.3014980092191</v>
      </c>
      <c r="AT120" s="261">
        <f t="shared" si="66"/>
        <v>1656.4255307390638</v>
      </c>
      <c r="AU120" s="261">
        <f t="shared" si="66"/>
        <v>1653.9169581553051</v>
      </c>
      <c r="AV120" s="261">
        <f t="shared" si="66"/>
        <v>1655.0296452183711</v>
      </c>
      <c r="AW120" s="261">
        <f t="shared" si="66"/>
        <v>1654.9007872803393</v>
      </c>
      <c r="AX120" s="261">
        <f t="shared" si="66"/>
        <v>1656.4741687682938</v>
      </c>
      <c r="AY120" s="261">
        <f t="shared" si="66"/>
        <v>1657.277313859151</v>
      </c>
    </row>
    <row r="121" spans="1:51" s="78" customFormat="1" x14ac:dyDescent="0.2">
      <c r="A121" s="78" t="s">
        <v>166</v>
      </c>
      <c r="B121" s="260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 t="e">
        <f>(#REF!)</f>
        <v>#REF!</v>
      </c>
      <c r="N121" s="260" t="e">
        <f>(#REF!)</f>
        <v>#REF!</v>
      </c>
      <c r="O121" s="260" t="e">
        <f>(#REF!)</f>
        <v>#REF!</v>
      </c>
      <c r="P121" s="260" t="e">
        <f>(#REF!)</f>
        <v>#REF!</v>
      </c>
      <c r="Q121" s="260" t="e">
        <f>(#REF!)</f>
        <v>#REF!</v>
      </c>
      <c r="R121" s="260" t="e">
        <f>(#REF!)</f>
        <v>#REF!</v>
      </c>
      <c r="S121" s="260">
        <f>'Monthly Data'!$AV547</f>
        <v>1786.134</v>
      </c>
      <c r="T121" s="260">
        <f>'Monthly Data'!$AV559</f>
        <v>1676.0940000000001</v>
      </c>
      <c r="U121" s="260">
        <f>'Monthly Data'!$AV571</f>
        <v>1040.424</v>
      </c>
      <c r="V121" s="260">
        <f>'Monthly Data'!$AV583</f>
        <v>1354.5840000000001</v>
      </c>
      <c r="W121" s="260">
        <f>'Monthly Data'!$AV595</f>
        <v>1538.3340000000001</v>
      </c>
      <c r="X121" s="260">
        <f>'Monthly Data'!$AV607</f>
        <v>1523.172</v>
      </c>
      <c r="Y121" s="260">
        <f>'Monthly Data'!$AV619</f>
        <v>1661.058</v>
      </c>
      <c r="Z121" s="261">
        <f t="shared" si="63"/>
        <v>1577.1356618088857</v>
      </c>
      <c r="AA121" s="261">
        <f t="shared" si="64"/>
        <v>1649.7474854232401</v>
      </c>
      <c r="AB121" s="261">
        <f t="shared" si="65"/>
        <v>1656.4064523347843</v>
      </c>
      <c r="AC121" s="261">
        <f t="shared" si="65"/>
        <v>1648.5272395028262</v>
      </c>
      <c r="AD121" s="261">
        <f t="shared" si="65"/>
        <v>1632.0434244622268</v>
      </c>
      <c r="AE121" s="261">
        <f t="shared" si="65"/>
        <v>1671.7151594095264</v>
      </c>
      <c r="AF121" s="261">
        <f t="shared" si="65"/>
        <v>1707.2903724836485</v>
      </c>
      <c r="AG121" s="261">
        <f t="shared" si="65"/>
        <v>1723.5780422268517</v>
      </c>
      <c r="AH121" s="261">
        <f t="shared" si="65"/>
        <v>1681.1453090790637</v>
      </c>
      <c r="AI121" s="261">
        <f t="shared" si="65"/>
        <v>1709.5127589509295</v>
      </c>
      <c r="AJ121" s="261">
        <f t="shared" si="65"/>
        <v>1747.5351560070458</v>
      </c>
      <c r="AK121" s="261">
        <f t="shared" si="65"/>
        <v>1759.2480595871959</v>
      </c>
      <c r="AL121" s="261">
        <f t="shared" si="65"/>
        <v>1773.8301688195877</v>
      </c>
      <c r="AM121" s="261">
        <f t="shared" si="65"/>
        <v>1710.9689329317405</v>
      </c>
      <c r="AN121" s="261">
        <f t="shared" si="65"/>
        <v>1725.400201597917</v>
      </c>
      <c r="AO121" s="261">
        <f t="shared" si="65"/>
        <v>1743.2971379394421</v>
      </c>
      <c r="AP121" s="261">
        <f t="shared" si="65"/>
        <v>1742.6418097762426</v>
      </c>
      <c r="AQ121" s="261">
        <f t="shared" si="65"/>
        <v>1748.7328727314057</v>
      </c>
      <c r="AR121" s="261">
        <f t="shared" si="66"/>
        <v>1748.1459714907855</v>
      </c>
      <c r="AS121" s="261">
        <f t="shared" si="66"/>
        <v>1746.3061729337205</v>
      </c>
      <c r="AT121" s="261">
        <f t="shared" si="66"/>
        <v>1742.293455391894</v>
      </c>
      <c r="AU121" s="261">
        <f t="shared" si="66"/>
        <v>1739.6781559168223</v>
      </c>
      <c r="AV121" s="261">
        <f t="shared" si="66"/>
        <v>1740.8246742088259</v>
      </c>
      <c r="AW121" s="261">
        <f t="shared" si="66"/>
        <v>1740.6762608683939</v>
      </c>
      <c r="AX121" s="261">
        <f t="shared" si="66"/>
        <v>1742.3336514476009</v>
      </c>
      <c r="AY121" s="261">
        <f t="shared" si="66"/>
        <v>1743.1890757752521</v>
      </c>
    </row>
    <row r="122" spans="1:51" s="78" customFormat="1" x14ac:dyDescent="0.2">
      <c r="A122" s="78" t="s">
        <v>167</v>
      </c>
      <c r="B122" s="260"/>
      <c r="C122" s="260"/>
      <c r="D122" s="260"/>
      <c r="E122" s="260"/>
      <c r="F122" s="260"/>
      <c r="G122" s="260"/>
      <c r="H122" s="260"/>
      <c r="I122" s="260"/>
      <c r="J122" s="260"/>
      <c r="K122" s="260"/>
      <c r="L122" s="260"/>
      <c r="M122" s="260" t="e">
        <f>(#REF!)</f>
        <v>#REF!</v>
      </c>
      <c r="N122" s="260" t="e">
        <f>(#REF!)</f>
        <v>#REF!</v>
      </c>
      <c r="O122" s="260" t="e">
        <f>(#REF!)</f>
        <v>#REF!</v>
      </c>
      <c r="P122" s="260" t="e">
        <f>(#REF!)</f>
        <v>#REF!</v>
      </c>
      <c r="Q122" s="260" t="e">
        <f>(#REF!)</f>
        <v>#REF!</v>
      </c>
      <c r="R122" s="260" t="e">
        <f>(#REF!)</f>
        <v>#REF!</v>
      </c>
      <c r="S122" s="260">
        <f>'Monthly Data'!$AV548</f>
        <v>1848.672</v>
      </c>
      <c r="T122" s="260">
        <f>'Monthly Data'!$AV560</f>
        <v>1909.992</v>
      </c>
      <c r="U122" s="260">
        <f>'Monthly Data'!$AV572</f>
        <v>1644.636</v>
      </c>
      <c r="V122" s="260">
        <f>'Monthly Data'!$AV584</f>
        <v>1584.3240000000001</v>
      </c>
      <c r="W122" s="260">
        <f>'Monthly Data'!$AV596</f>
        <v>1524.768</v>
      </c>
      <c r="X122" s="260">
        <f>'Monthly Data'!$AV608</f>
        <v>1504.3140000000001</v>
      </c>
      <c r="Y122" s="260">
        <f>'Monthly Data'!$AV620</f>
        <v>1835.19</v>
      </c>
      <c r="Z122" s="261">
        <f t="shared" si="63"/>
        <v>1793.3257024295438</v>
      </c>
      <c r="AA122" s="261">
        <f t="shared" si="64"/>
        <v>1776.4026268690777</v>
      </c>
      <c r="AB122" s="261">
        <f t="shared" si="65"/>
        <v>1757.3715889548516</v>
      </c>
      <c r="AC122" s="261">
        <f t="shared" si="65"/>
        <v>1770.9448928998886</v>
      </c>
      <c r="AD122" s="261">
        <f t="shared" si="65"/>
        <v>1779.5251873242739</v>
      </c>
      <c r="AE122" s="261">
        <f t="shared" si="65"/>
        <v>1817.8616323785104</v>
      </c>
      <c r="AF122" s="261">
        <f t="shared" si="65"/>
        <v>1840.3572812823852</v>
      </c>
      <c r="AG122" s="261">
        <f t="shared" si="65"/>
        <v>1858.31377957679</v>
      </c>
      <c r="AH122" s="261">
        <f t="shared" si="65"/>
        <v>1818.2832794323142</v>
      </c>
      <c r="AI122" s="261">
        <f t="shared" si="65"/>
        <v>1851.4144552434659</v>
      </c>
      <c r="AJ122" s="261">
        <f t="shared" si="65"/>
        <v>1890.1217344731795</v>
      </c>
      <c r="AK122" s="261">
        <f t="shared" si="65"/>
        <v>1900.7893963526101</v>
      </c>
      <c r="AL122" s="261">
        <f t="shared" si="65"/>
        <v>1917.4282650275959</v>
      </c>
      <c r="AM122" s="261">
        <f t="shared" si="65"/>
        <v>1850.4241586963146</v>
      </c>
      <c r="AN122" s="261">
        <f t="shared" si="65"/>
        <v>1866.009150894163</v>
      </c>
      <c r="AO122" s="261">
        <f t="shared" si="65"/>
        <v>1884.8471070607839</v>
      </c>
      <c r="AP122" s="261">
        <f t="shared" si="65"/>
        <v>1884.0000617755322</v>
      </c>
      <c r="AQ122" s="261">
        <f t="shared" si="65"/>
        <v>1890.8192806599081</v>
      </c>
      <c r="AR122" s="261">
        <f t="shared" si="66"/>
        <v>1890.291039709095</v>
      </c>
      <c r="AS122" s="261">
        <f t="shared" si="66"/>
        <v>1888.2348466643407</v>
      </c>
      <c r="AT122" s="261">
        <f t="shared" si="66"/>
        <v>1883.8202783797362</v>
      </c>
      <c r="AU122" s="261">
        <f t="shared" si="66"/>
        <v>1881.0041745043623</v>
      </c>
      <c r="AV122" s="261">
        <f t="shared" si="66"/>
        <v>1882.2854367387547</v>
      </c>
      <c r="AW122" s="261">
        <f t="shared" si="66"/>
        <v>1882.1283540014538</v>
      </c>
      <c r="AX122" s="261">
        <f t="shared" si="66"/>
        <v>1883.9032317107872</v>
      </c>
      <c r="AY122" s="261">
        <f t="shared" si="66"/>
        <v>1884.8208902943959</v>
      </c>
    </row>
    <row r="123" spans="1:51" s="78" customFormat="1" x14ac:dyDescent="0.2">
      <c r="A123" s="78" t="s">
        <v>168</v>
      </c>
      <c r="B123" s="260"/>
      <c r="C123" s="260"/>
      <c r="D123" s="260"/>
      <c r="E123" s="260"/>
      <c r="F123" s="260"/>
      <c r="G123" s="260"/>
      <c r="H123" s="260"/>
      <c r="I123" s="260"/>
      <c r="J123" s="260"/>
      <c r="K123" s="260"/>
      <c r="L123" s="260"/>
      <c r="M123" s="260" t="e">
        <f>(#REF!)</f>
        <v>#REF!</v>
      </c>
      <c r="N123" s="260" t="e">
        <f>(#REF!)</f>
        <v>#REF!</v>
      </c>
      <c r="O123" s="260" t="e">
        <f>(#REF!)</f>
        <v>#REF!</v>
      </c>
      <c r="P123" s="260" t="e">
        <f>(#REF!)</f>
        <v>#REF!</v>
      </c>
      <c r="Q123" s="260" t="e">
        <f>(#REF!)</f>
        <v>#REF!</v>
      </c>
      <c r="R123" s="260" t="e">
        <f>(#REF!)</f>
        <v>#REF!</v>
      </c>
      <c r="S123" s="260">
        <f>'Monthly Data'!$AV549</f>
        <v>1695.7919999999999</v>
      </c>
      <c r="T123" s="260">
        <f>'Monthly Data'!$AV561</f>
        <v>1788.864</v>
      </c>
      <c r="U123" s="260">
        <f>'Monthly Data'!$AV573</f>
        <v>1785.84</v>
      </c>
      <c r="V123" s="260">
        <f>'Monthly Data'!$AV585</f>
        <v>1668.4079999999999</v>
      </c>
      <c r="W123" s="260">
        <f>'Monthly Data'!$AV597</f>
        <v>1994.6220000000001</v>
      </c>
      <c r="X123" s="260">
        <f>'Monthly Data'!$AV609</f>
        <v>1588.566</v>
      </c>
      <c r="Y123" s="260">
        <f>'Monthly Data'!$AV621</f>
        <v>1749.8879999999999</v>
      </c>
      <c r="Z123" s="261">
        <f t="shared" si="63"/>
        <v>1947.1249538844295</v>
      </c>
      <c r="AA123" s="261">
        <f t="shared" si="64"/>
        <v>1928.7167515578979</v>
      </c>
      <c r="AB123" s="261">
        <f t="shared" si="65"/>
        <v>1918.839187656693</v>
      </c>
      <c r="AC123" s="261">
        <f t="shared" si="65"/>
        <v>1866.276427036599</v>
      </c>
      <c r="AD123" s="261">
        <f t="shared" si="65"/>
        <v>1874.6665273239287</v>
      </c>
      <c r="AE123" s="261">
        <f t="shared" si="65"/>
        <v>1952.6114393987154</v>
      </c>
      <c r="AF123" s="261">
        <f t="shared" si="65"/>
        <v>1972.4604508172215</v>
      </c>
      <c r="AG123" s="261">
        <f t="shared" si="65"/>
        <v>1986.5654663789217</v>
      </c>
      <c r="AH123" s="261">
        <f t="shared" si="65"/>
        <v>1935.7141297185906</v>
      </c>
      <c r="AI123" s="261">
        <f t="shared" si="65"/>
        <v>1974.8530769937645</v>
      </c>
      <c r="AJ123" s="261">
        <f t="shared" si="65"/>
        <v>2020.9772083591686</v>
      </c>
      <c r="AK123" s="261">
        <f t="shared" si="65"/>
        <v>2030.5568332678927</v>
      </c>
      <c r="AL123" s="261">
        <f t="shared" si="65"/>
        <v>2047.0021572949515</v>
      </c>
      <c r="AM123" s="261">
        <f t="shared" si="65"/>
        <v>1974.9427828966509</v>
      </c>
      <c r="AN123" s="261">
        <f t="shared" si="65"/>
        <v>1992.5531221039362</v>
      </c>
      <c r="AO123" s="261">
        <f t="shared" si="65"/>
        <v>2013.0916769696203</v>
      </c>
      <c r="AP123" s="261">
        <f t="shared" si="65"/>
        <v>2011.7365709957016</v>
      </c>
      <c r="AQ123" s="261">
        <f t="shared" si="65"/>
        <v>2018.8386421617136</v>
      </c>
      <c r="AR123" s="261">
        <f t="shared" si="66"/>
        <v>2018.3244435255604</v>
      </c>
      <c r="AS123" s="261">
        <f t="shared" si="66"/>
        <v>2016.292318607306</v>
      </c>
      <c r="AT123" s="261">
        <f t="shared" si="66"/>
        <v>2011.5795948802099</v>
      </c>
      <c r="AU123" s="261">
        <f t="shared" si="66"/>
        <v>2008.4896650990511</v>
      </c>
      <c r="AV123" s="261">
        <f t="shared" si="66"/>
        <v>2009.8481939693206</v>
      </c>
      <c r="AW123" s="261">
        <f t="shared" si="66"/>
        <v>2009.7047740954577</v>
      </c>
      <c r="AX123" s="261">
        <f t="shared" si="66"/>
        <v>2011.6192242459947</v>
      </c>
      <c r="AY123" s="261">
        <f t="shared" si="66"/>
        <v>2012.5895177831508</v>
      </c>
    </row>
    <row r="124" spans="1:51" s="78" customFormat="1" x14ac:dyDescent="0.2">
      <c r="A124" s="78" t="s">
        <v>169</v>
      </c>
      <c r="B124" s="260"/>
      <c r="C124" s="260"/>
      <c r="D124" s="260"/>
      <c r="E124" s="260"/>
      <c r="F124" s="260"/>
      <c r="G124" s="260"/>
      <c r="H124" s="260"/>
      <c r="I124" s="260"/>
      <c r="J124" s="260"/>
      <c r="K124" s="260"/>
      <c r="L124" s="260"/>
      <c r="M124" s="260" t="e">
        <f>(#REF!)</f>
        <v>#REF!</v>
      </c>
      <c r="N124" s="260" t="e">
        <f>(#REF!)</f>
        <v>#REF!</v>
      </c>
      <c r="O124" s="260" t="e">
        <f>(#REF!)</f>
        <v>#REF!</v>
      </c>
      <c r="P124" s="260" t="e">
        <f>(#REF!)</f>
        <v>#REF!</v>
      </c>
      <c r="Q124" s="260" t="e">
        <f>(#REF!)</f>
        <v>#REF!</v>
      </c>
      <c r="R124" s="260" t="e">
        <f>(#REF!)</f>
        <v>#REF!</v>
      </c>
      <c r="S124" s="260">
        <f>'Monthly Data'!$AV550</f>
        <v>1663.41</v>
      </c>
      <c r="T124" s="260">
        <f>'Monthly Data'!$AV562</f>
        <v>1992.06</v>
      </c>
      <c r="U124" s="260">
        <f>'Monthly Data'!$AV574</f>
        <v>1752.0719999999999</v>
      </c>
      <c r="V124" s="260">
        <f>'Monthly Data'!$AV586</f>
        <v>1509.732</v>
      </c>
      <c r="W124" s="260">
        <f>'Monthly Data'!$AV598</f>
        <v>1771.8119999999999</v>
      </c>
      <c r="X124" s="260">
        <f>'Monthly Data'!$AV610</f>
        <v>1489.2360000000001</v>
      </c>
      <c r="Y124" s="260">
        <f>'Monthly Data'!$AV622</f>
        <v>1973.2439999999999</v>
      </c>
      <c r="Z124" s="261">
        <f t="shared" si="63"/>
        <v>1882.5936692669673</v>
      </c>
      <c r="AA124" s="261">
        <f t="shared" si="64"/>
        <v>1859.3171400989831</v>
      </c>
      <c r="AB124" s="261">
        <f t="shared" si="65"/>
        <v>1870.3489658493127</v>
      </c>
      <c r="AC124" s="261">
        <f t="shared" si="65"/>
        <v>1854.3438942057494</v>
      </c>
      <c r="AD124" s="261">
        <f t="shared" si="65"/>
        <v>1880.4438758584706</v>
      </c>
      <c r="AE124" s="261">
        <f t="shared" si="65"/>
        <v>1913.9966355089412</v>
      </c>
      <c r="AF124" s="261">
        <f t="shared" si="65"/>
        <v>1938.8333305393032</v>
      </c>
      <c r="AG124" s="261">
        <f t="shared" si="65"/>
        <v>1960.266684197112</v>
      </c>
      <c r="AH124" s="261">
        <f t="shared" si="65"/>
        <v>1914.7185711924883</v>
      </c>
      <c r="AI124" s="261">
        <f t="shared" si="65"/>
        <v>1951.744999467423</v>
      </c>
      <c r="AJ124" s="261">
        <f t="shared" si="65"/>
        <v>1991.6272836006635</v>
      </c>
      <c r="AK124" s="261">
        <f t="shared" si="65"/>
        <v>2003.1737227430842</v>
      </c>
      <c r="AL124" s="261">
        <f t="shared" si="65"/>
        <v>2020.8432201145436</v>
      </c>
      <c r="AM124" s="261">
        <f t="shared" si="65"/>
        <v>1949.884688246796</v>
      </c>
      <c r="AN124" s="261">
        <f t="shared" si="65"/>
        <v>1966.5646979803128</v>
      </c>
      <c r="AO124" s="261">
        <f t="shared" si="65"/>
        <v>1986.3055055018772</v>
      </c>
      <c r="AP124" s="261">
        <f t="shared" si="65"/>
        <v>1985.4602224730468</v>
      </c>
      <c r="AQ124" s="261">
        <f t="shared" si="65"/>
        <v>1992.6426589308742</v>
      </c>
      <c r="AR124" s="261">
        <f t="shared" si="66"/>
        <v>1992.0539875966977</v>
      </c>
      <c r="AS124" s="261">
        <f t="shared" si="66"/>
        <v>1989.9184246109132</v>
      </c>
      <c r="AT124" s="261">
        <f t="shared" si="66"/>
        <v>1985.2523851041221</v>
      </c>
      <c r="AU124" s="261">
        <f t="shared" si="66"/>
        <v>1982.2904309803621</v>
      </c>
      <c r="AV124" s="261">
        <f t="shared" si="66"/>
        <v>1983.6381742986839</v>
      </c>
      <c r="AW124" s="261">
        <f t="shared" si="66"/>
        <v>1983.4704106934378</v>
      </c>
      <c r="AX124" s="261">
        <f t="shared" si="66"/>
        <v>1985.3445811522899</v>
      </c>
      <c r="AY124" s="261">
        <f t="shared" si="66"/>
        <v>1986.3098528725657</v>
      </c>
    </row>
    <row r="125" spans="1:51" s="78" customFormat="1" x14ac:dyDescent="0.2">
      <c r="A125" s="78" t="s">
        <v>170</v>
      </c>
      <c r="B125" s="260"/>
      <c r="C125" s="260"/>
      <c r="D125" s="260"/>
      <c r="E125" s="260"/>
      <c r="F125" s="260"/>
      <c r="G125" s="260"/>
      <c r="H125" s="260"/>
      <c r="I125" s="260"/>
      <c r="J125" s="260"/>
      <c r="K125" s="260"/>
      <c r="L125" s="260"/>
      <c r="M125" s="260" t="e">
        <f>(#REF!)</f>
        <v>#REF!</v>
      </c>
      <c r="N125" s="260" t="e">
        <f>(#REF!)</f>
        <v>#REF!</v>
      </c>
      <c r="O125" s="260" t="e">
        <f>(#REF!)</f>
        <v>#REF!</v>
      </c>
      <c r="P125" s="260" t="e">
        <f>(#REF!)</f>
        <v>#REF!</v>
      </c>
      <c r="Q125" s="260" t="e">
        <f>(#REF!)</f>
        <v>#REF!</v>
      </c>
      <c r="R125" s="260" t="e">
        <f>(#REF!)</f>
        <v>#REF!</v>
      </c>
      <c r="S125" s="260">
        <f>'Monthly Data'!$AV551</f>
        <v>1635.69</v>
      </c>
      <c r="T125" s="260">
        <f>'Monthly Data'!$AV563</f>
        <v>1798.0619999999999</v>
      </c>
      <c r="U125" s="260">
        <f>'Monthly Data'!$AV575</f>
        <v>1491.5039999999999</v>
      </c>
      <c r="V125" s="260">
        <f>'Monthly Data'!$AV587</f>
        <v>1174.53</v>
      </c>
      <c r="W125" s="260">
        <f>'Monthly Data'!$AV599</f>
        <v>1649.55</v>
      </c>
      <c r="X125" s="260">
        <f>'Monthly Data'!$AV611</f>
        <v>1317.162</v>
      </c>
      <c r="Y125" s="260">
        <f>'Monthly Data'!$AV623</f>
        <v>1839.0540000000001</v>
      </c>
      <c r="Z125" s="261">
        <f t="shared" si="63"/>
        <v>1655.6266993721501</v>
      </c>
      <c r="AA125" s="261">
        <f t="shared" si="64"/>
        <v>1645.7900998665625</v>
      </c>
      <c r="AB125" s="261">
        <f t="shared" si="65"/>
        <v>1689.2734362781791</v>
      </c>
      <c r="AC125" s="261">
        <f t="shared" si="65"/>
        <v>1664.7492058954538</v>
      </c>
      <c r="AD125" s="261">
        <f t="shared" si="65"/>
        <v>1692.12668782435</v>
      </c>
      <c r="AE125" s="261">
        <f t="shared" si="65"/>
        <v>1709.3326431313988</v>
      </c>
      <c r="AF125" s="261">
        <f t="shared" si="65"/>
        <v>1736.8184961943211</v>
      </c>
      <c r="AG125" s="261">
        <f t="shared" si="65"/>
        <v>1760.1218323969979</v>
      </c>
      <c r="AH125" s="261">
        <f t="shared" si="65"/>
        <v>1717.2411645109826</v>
      </c>
      <c r="AI125" s="261">
        <f t="shared" si="65"/>
        <v>1750.1124527641475</v>
      </c>
      <c r="AJ125" s="261">
        <f t="shared" si="65"/>
        <v>1784.6504353683008</v>
      </c>
      <c r="AK125" s="261">
        <f t="shared" si="65"/>
        <v>1796.178400272679</v>
      </c>
      <c r="AL125" s="261">
        <f t="shared" si="65"/>
        <v>1812.3652536747759</v>
      </c>
      <c r="AM125" s="261">
        <f t="shared" si="65"/>
        <v>1748.3159116722168</v>
      </c>
      <c r="AN125" s="261">
        <f t="shared" si="65"/>
        <v>1763.181190380282</v>
      </c>
      <c r="AO125" s="261">
        <f t="shared" si="65"/>
        <v>1780.8367327124474</v>
      </c>
      <c r="AP125" s="261">
        <f t="shared" si="65"/>
        <v>1780.2704135266547</v>
      </c>
      <c r="AQ125" s="261">
        <f t="shared" si="65"/>
        <v>1786.7055229258654</v>
      </c>
      <c r="AR125" s="261">
        <f t="shared" si="66"/>
        <v>1786.1023569325646</v>
      </c>
      <c r="AS125" s="261">
        <f t="shared" si="66"/>
        <v>1784.1829471372655</v>
      </c>
      <c r="AT125" s="261">
        <f t="shared" si="66"/>
        <v>1780.0118082684669</v>
      </c>
      <c r="AU125" s="261">
        <f t="shared" si="66"/>
        <v>1777.3798517355528</v>
      </c>
      <c r="AV125" s="261">
        <f t="shared" si="66"/>
        <v>1778.578614632265</v>
      </c>
      <c r="AW125" s="261">
        <f t="shared" si="66"/>
        <v>1778.4175572914689</v>
      </c>
      <c r="AX125" s="261">
        <f t="shared" si="66"/>
        <v>1780.1002548735655</v>
      </c>
      <c r="AY125" s="261">
        <f t="shared" si="66"/>
        <v>1780.969403084528</v>
      </c>
    </row>
    <row r="126" spans="1:51" s="78" customFormat="1" x14ac:dyDescent="0.2">
      <c r="A126" s="78" t="s">
        <v>171</v>
      </c>
      <c r="B126" s="260"/>
      <c r="C126" s="260"/>
      <c r="D126" s="260"/>
      <c r="E126" s="260"/>
      <c r="F126" s="260"/>
      <c r="G126" s="260"/>
      <c r="H126" s="260"/>
      <c r="I126" s="260"/>
      <c r="J126" s="260"/>
      <c r="K126" s="260"/>
      <c r="L126" s="260"/>
      <c r="M126" s="260" t="e">
        <f>(#REF!)</f>
        <v>#REF!</v>
      </c>
      <c r="N126" s="260" t="e">
        <f>(#REF!)</f>
        <v>#REF!</v>
      </c>
      <c r="O126" s="260" t="e">
        <f>(#REF!)</f>
        <v>#REF!</v>
      </c>
      <c r="P126" s="260" t="e">
        <f>(#REF!)</f>
        <v>#REF!</v>
      </c>
      <c r="Q126" s="260" t="e">
        <f>(#REF!)</f>
        <v>#REF!</v>
      </c>
      <c r="R126" s="260" t="e">
        <f>(#REF!)</f>
        <v>#REF!</v>
      </c>
      <c r="S126" s="260">
        <f>'Monthly Data'!$AV552</f>
        <v>1737.33</v>
      </c>
      <c r="T126" s="260">
        <f>'Monthly Data'!$AV564</f>
        <v>1568.7840000000001</v>
      </c>
      <c r="U126" s="260">
        <f>'Monthly Data'!$AV576</f>
        <v>1367.4780000000001</v>
      </c>
      <c r="V126" s="260">
        <f>'Monthly Data'!$AV588</f>
        <v>1337.952</v>
      </c>
      <c r="W126" s="260">
        <f>'Monthly Data'!$AV600</f>
        <v>1329.72</v>
      </c>
      <c r="X126" s="260">
        <f>'Monthly Data'!$AV612</f>
        <v>1389.9059999999999</v>
      </c>
      <c r="Y126" s="260">
        <f>'Monthly Data'!$AV624</f>
        <v>1709.4839999999999</v>
      </c>
      <c r="Z126" s="261">
        <f t="shared" si="63"/>
        <v>1580.8954886022887</v>
      </c>
      <c r="AA126" s="261">
        <f t="shared" si="64"/>
        <v>1583.7242158012361</v>
      </c>
      <c r="AB126" s="261">
        <f t="shared" si="65"/>
        <v>1582.2864969974526</v>
      </c>
      <c r="AC126" s="261">
        <f t="shared" si="65"/>
        <v>1603.3221683045488</v>
      </c>
      <c r="AD126" s="261">
        <f t="shared" si="65"/>
        <v>1605.5170906929573</v>
      </c>
      <c r="AE126" s="261">
        <f t="shared" si="65"/>
        <v>1629.0994531057479</v>
      </c>
      <c r="AF126" s="261">
        <f t="shared" si="65"/>
        <v>1654.6788727931612</v>
      </c>
      <c r="AG126" s="261">
        <f t="shared" si="65"/>
        <v>1673.6118817737602</v>
      </c>
      <c r="AH126" s="261">
        <f t="shared" si="65"/>
        <v>1637.6435373675943</v>
      </c>
      <c r="AI126" s="261">
        <f t="shared" si="65"/>
        <v>1665.794388394927</v>
      </c>
      <c r="AJ126" s="261">
        <f t="shared" si="65"/>
        <v>1699.7146895323276</v>
      </c>
      <c r="AK126" s="261">
        <f t="shared" si="65"/>
        <v>1710.4644825652369</v>
      </c>
      <c r="AL126" s="261">
        <f t="shared" si="65"/>
        <v>1725.726301559323</v>
      </c>
      <c r="AM126" s="261">
        <f t="shared" si="65"/>
        <v>1665.2061292210715</v>
      </c>
      <c r="AN126" s="261">
        <f t="shared" si="65"/>
        <v>1678.9612314489134</v>
      </c>
      <c r="AO126" s="261">
        <f t="shared" si="65"/>
        <v>1695.917901575855</v>
      </c>
      <c r="AP126" s="261">
        <f t="shared" si="65"/>
        <v>1695.3455972598531</v>
      </c>
      <c r="AQ126" s="261">
        <f t="shared" si="65"/>
        <v>1701.4798111206628</v>
      </c>
      <c r="AR126" s="261">
        <f t="shared" si="66"/>
        <v>1700.9435749715747</v>
      </c>
      <c r="AS126" s="261">
        <f t="shared" si="66"/>
        <v>1699.0660681332602</v>
      </c>
      <c r="AT126" s="261">
        <f t="shared" si="66"/>
        <v>1695.1148761233544</v>
      </c>
      <c r="AU126" s="261">
        <f t="shared" si="66"/>
        <v>1692.6049724725617</v>
      </c>
      <c r="AV126" s="261">
        <f t="shared" si="66"/>
        <v>1693.7489661403542</v>
      </c>
      <c r="AW126" s="261">
        <f t="shared" si="66"/>
        <v>1693.5972775447028</v>
      </c>
      <c r="AX126" s="261">
        <f t="shared" si="66"/>
        <v>1695.1941152251677</v>
      </c>
      <c r="AY126" s="261">
        <f t="shared" si="66"/>
        <v>1696.0250121778383</v>
      </c>
    </row>
    <row r="127" spans="1:51" s="78" customFormat="1" x14ac:dyDescent="0.2">
      <c r="A127" s="78" t="s">
        <v>172</v>
      </c>
      <c r="B127" s="260"/>
      <c r="C127" s="260"/>
      <c r="D127" s="260"/>
      <c r="E127" s="260"/>
      <c r="F127" s="260"/>
      <c r="G127" s="260"/>
      <c r="H127" s="260"/>
      <c r="I127" s="260"/>
      <c r="J127" s="260"/>
      <c r="K127" s="260"/>
      <c r="L127" s="260"/>
      <c r="M127" s="260" t="e">
        <f>(#REF!)</f>
        <v>#REF!</v>
      </c>
      <c r="N127" s="260" t="e">
        <f>(#REF!)</f>
        <v>#REF!</v>
      </c>
      <c r="O127" s="260" t="e">
        <f>(#REF!)</f>
        <v>#REF!</v>
      </c>
      <c r="P127" s="260" t="e">
        <f>(#REF!)</f>
        <v>#REF!</v>
      </c>
      <c r="Q127" s="260" t="e">
        <f>(#REF!)</f>
        <v>#REF!</v>
      </c>
      <c r="R127" s="260" t="e">
        <f>(#REF!)</f>
        <v>#REF!</v>
      </c>
      <c r="S127" s="260">
        <f>'Monthly Data'!$AV553</f>
        <v>1753.5419999999999</v>
      </c>
      <c r="T127" s="260">
        <f>'Monthly Data'!$AV565</f>
        <v>1445.9760000000001</v>
      </c>
      <c r="U127" s="260">
        <f>'Monthly Data'!$AV577</f>
        <v>1253.616</v>
      </c>
      <c r="V127" s="260">
        <f>'Monthly Data'!$AV589</f>
        <v>1420.566</v>
      </c>
      <c r="W127" s="260">
        <f>'Monthly Data'!$AV601</f>
        <v>1473.4860000000001</v>
      </c>
      <c r="X127" s="260">
        <f>'Monthly Data'!$AV613</f>
        <v>1417.08</v>
      </c>
      <c r="Y127" s="260">
        <f>'Monthly Data'!$AV625</f>
        <v>1756.566</v>
      </c>
      <c r="Z127" s="261">
        <f t="shared" si="63"/>
        <v>1622.2815028356101</v>
      </c>
      <c r="AA127" s="261">
        <f t="shared" si="64"/>
        <v>1657.4411020405248</v>
      </c>
      <c r="AB127" s="261">
        <f t="shared" si="65"/>
        <v>1651.6989006975434</v>
      </c>
      <c r="AC127" s="261">
        <f t="shared" si="65"/>
        <v>1656.1998264825679</v>
      </c>
      <c r="AD127" s="261">
        <f t="shared" si="65"/>
        <v>1662.1852933505422</v>
      </c>
      <c r="AE127" s="261">
        <f t="shared" si="65"/>
        <v>1689.314411651025</v>
      </c>
      <c r="AF127" s="261">
        <f t="shared" si="65"/>
        <v>1719.3635210728478</v>
      </c>
      <c r="AG127" s="261">
        <f t="shared" si="65"/>
        <v>1736.589737451324</v>
      </c>
      <c r="AH127" s="261">
        <f t="shared" si="65"/>
        <v>1697.2883692101275</v>
      </c>
      <c r="AI127" s="261">
        <f t="shared" si="65"/>
        <v>1727.5852159942251</v>
      </c>
      <c r="AJ127" s="261">
        <f t="shared" si="65"/>
        <v>1763.3577103701555</v>
      </c>
      <c r="AK127" s="261">
        <f t="shared" si="65"/>
        <v>1774.6709668591461</v>
      </c>
      <c r="AL127" s="261">
        <f t="shared" si="65"/>
        <v>1789.9764261666587</v>
      </c>
      <c r="AM127" s="261">
        <f t="shared" si="65"/>
        <v>1727.0712365595239</v>
      </c>
      <c r="AN127" s="261">
        <f t="shared" si="65"/>
        <v>1741.574581857325</v>
      </c>
      <c r="AO127" s="261">
        <f t="shared" si="65"/>
        <v>1759.2299103643577</v>
      </c>
      <c r="AP127" s="261">
        <f t="shared" si="65"/>
        <v>1758.5983846932386</v>
      </c>
      <c r="AQ127" s="261">
        <f t="shared" si="65"/>
        <v>1764.883114949582</v>
      </c>
      <c r="AR127" s="261">
        <f t="shared" si="66"/>
        <v>1764.3383260882376</v>
      </c>
      <c r="AS127" s="261">
        <f t="shared" si="66"/>
        <v>1762.4304891573679</v>
      </c>
      <c r="AT127" s="261">
        <f t="shared" si="66"/>
        <v>1758.3321996147192</v>
      </c>
      <c r="AU127" s="261">
        <f t="shared" si="66"/>
        <v>1755.7157886682592</v>
      </c>
      <c r="AV127" s="261">
        <f t="shared" si="66"/>
        <v>1756.8944999515643</v>
      </c>
      <c r="AW127" s="261">
        <f t="shared" si="66"/>
        <v>1756.7432360125169</v>
      </c>
      <c r="AX127" s="261">
        <f t="shared" si="66"/>
        <v>1758.4046360188142</v>
      </c>
      <c r="AY127" s="261">
        <f t="shared" si="66"/>
        <v>1759.2646087850085</v>
      </c>
    </row>
    <row r="128" spans="1:51" s="78" customFormat="1" x14ac:dyDescent="0.2">
      <c r="A128" s="78" t="s">
        <v>173</v>
      </c>
      <c r="B128" s="260"/>
      <c r="C128" s="260"/>
      <c r="D128" s="260"/>
      <c r="E128" s="260"/>
      <c r="F128" s="260"/>
      <c r="G128" s="260"/>
      <c r="H128" s="260"/>
      <c r="I128" s="260"/>
      <c r="J128" s="260"/>
      <c r="K128" s="260"/>
      <c r="L128" s="260"/>
      <c r="M128" s="260" t="e">
        <f>(#REF!)</f>
        <v>#REF!</v>
      </c>
      <c r="N128" s="260" t="e">
        <f>(#REF!)</f>
        <v>#REF!</v>
      </c>
      <c r="O128" s="260" t="e">
        <f>(#REF!)</f>
        <v>#REF!</v>
      </c>
      <c r="P128" s="260" t="e">
        <f>(#REF!)</f>
        <v>#REF!</v>
      </c>
      <c r="Q128" s="260" t="e">
        <f>(#REF!)</f>
        <v>#REF!</v>
      </c>
      <c r="R128" s="260" t="e">
        <f>(#REF!)</f>
        <v>#REF!</v>
      </c>
      <c r="S128" s="260">
        <f>'Monthly Data'!$AV554</f>
        <v>1803.816</v>
      </c>
      <c r="T128" s="260">
        <f>'Monthly Data'!$AV566</f>
        <v>1693.2719999999999</v>
      </c>
      <c r="U128" s="260">
        <f>'Monthly Data'!$AV578</f>
        <v>1522.1220000000001</v>
      </c>
      <c r="V128" s="260">
        <f>'Monthly Data'!$AV590</f>
        <v>1719.9</v>
      </c>
      <c r="W128" s="260">
        <f>'Monthly Data'!$AV602</f>
        <v>1752.87</v>
      </c>
      <c r="X128" s="260">
        <f>'Monthly Data'!$AV614</f>
        <v>1704.066</v>
      </c>
      <c r="Y128" s="260">
        <f>'Monthly Data'!$AV626</f>
        <v>1918.896</v>
      </c>
      <c r="Z128" s="261">
        <f t="shared" ref="Z128:AH128" si="67">Z129-SUM(Z117:Z127)</f>
        <v>1684.8921457556717</v>
      </c>
      <c r="AA128" s="261">
        <f>AA129-SUM(AA117:AA127)</f>
        <v>1941.690303458563</v>
      </c>
      <c r="AB128" s="261">
        <f t="shared" si="67"/>
        <v>1735.0724219472613</v>
      </c>
      <c r="AC128" s="261">
        <f t="shared" si="67"/>
        <v>1874.6340844119331</v>
      </c>
      <c r="AD128" s="261">
        <f t="shared" si="67"/>
        <v>2443.769539995079</v>
      </c>
      <c r="AE128" s="261">
        <f t="shared" si="67"/>
        <v>2375.2153084300189</v>
      </c>
      <c r="AF128" s="261">
        <f t="shared" si="67"/>
        <v>2448.7513584979934</v>
      </c>
      <c r="AG128" s="261">
        <f t="shared" si="67"/>
        <v>1743.0582445449218</v>
      </c>
      <c r="AH128" s="261">
        <f t="shared" si="67"/>
        <v>2720.944532538153</v>
      </c>
      <c r="AI128" s="261">
        <f t="shared" ref="AI128:AY128" si="68">AI129-SUM(AI117:AI127)</f>
        <v>2912.6375566704555</v>
      </c>
      <c r="AJ128" s="261">
        <f t="shared" si="68"/>
        <v>2672.9858488845457</v>
      </c>
      <c r="AK128" s="261">
        <f t="shared" si="68"/>
        <v>2812.6195849220676</v>
      </c>
      <c r="AL128" s="261">
        <f t="shared" si="68"/>
        <v>1887.1375076886907</v>
      </c>
      <c r="AM128" s="261">
        <f t="shared" si="68"/>
        <v>2742.3736956614375</v>
      </c>
      <c r="AN128" s="261">
        <f t="shared" si="68"/>
        <v>2767.8084725455992</v>
      </c>
      <c r="AO128" s="261">
        <f t="shared" si="68"/>
        <v>2541.3592857014301</v>
      </c>
      <c r="AP128" s="261">
        <f t="shared" si="68"/>
        <v>2586.9696711084616</v>
      </c>
      <c r="AQ128" s="261">
        <f t="shared" si="68"/>
        <v>2679.3014834872702</v>
      </c>
      <c r="AR128" s="261">
        <f t="shared" si="68"/>
        <v>2627.3954149468518</v>
      </c>
      <c r="AS128" s="261">
        <f t="shared" si="68"/>
        <v>2546.800645251551</v>
      </c>
      <c r="AT128" s="261">
        <f t="shared" si="68"/>
        <v>2563.4001826246276</v>
      </c>
      <c r="AU128" s="261">
        <f t="shared" si="68"/>
        <v>2612.3983756023044</v>
      </c>
      <c r="AV128" s="261">
        <f t="shared" si="68"/>
        <v>2580.3863669018683</v>
      </c>
      <c r="AW128" s="261">
        <f t="shared" si="68"/>
        <v>2598.8859430311713</v>
      </c>
      <c r="AX128" s="261">
        <f t="shared" si="68"/>
        <v>2604.0916799128681</v>
      </c>
      <c r="AY128" s="261">
        <f t="shared" si="68"/>
        <v>2606.6610861289919</v>
      </c>
    </row>
    <row r="129" spans="1:51" s="78" customFormat="1" x14ac:dyDescent="0.2">
      <c r="A129" s="262" t="s">
        <v>174</v>
      </c>
      <c r="B129" s="263"/>
      <c r="C129" s="263"/>
      <c r="D129" s="263"/>
      <c r="E129" s="263"/>
      <c r="F129" s="263"/>
      <c r="G129" s="263"/>
      <c r="H129" s="263"/>
      <c r="I129" s="263"/>
      <c r="J129" s="263"/>
      <c r="K129" s="263"/>
      <c r="L129" s="263"/>
      <c r="M129" s="263" t="e">
        <f t="shared" ref="M129:Y129" si="69">SUM(M117:M128)</f>
        <v>#REF!</v>
      </c>
      <c r="N129" s="263" t="e">
        <f t="shared" si="69"/>
        <v>#REF!</v>
      </c>
      <c r="O129" s="263" t="e">
        <f t="shared" si="69"/>
        <v>#REF!</v>
      </c>
      <c r="P129" s="263" t="e">
        <f t="shared" si="69"/>
        <v>#REF!</v>
      </c>
      <c r="Q129" s="263" t="e">
        <f t="shared" si="69"/>
        <v>#REF!</v>
      </c>
      <c r="R129" s="263" t="e">
        <f t="shared" si="69"/>
        <v>#REF!</v>
      </c>
      <c r="S129" s="263">
        <f t="shared" si="69"/>
        <v>19753.986000000001</v>
      </c>
      <c r="T129" s="263">
        <f t="shared" si="69"/>
        <v>20019.509999999998</v>
      </c>
      <c r="U129" s="263">
        <f t="shared" si="69"/>
        <v>18242.783999999996</v>
      </c>
      <c r="V129" s="263">
        <f t="shared" si="69"/>
        <v>16393.944</v>
      </c>
      <c r="W129" s="263">
        <f t="shared" si="69"/>
        <v>18455.303999999996</v>
      </c>
      <c r="X129" s="263">
        <f t="shared" si="69"/>
        <v>17002.272000000004</v>
      </c>
      <c r="Y129" s="263">
        <f t="shared" si="69"/>
        <v>19952.982000000004</v>
      </c>
      <c r="Z129" s="264">
        <f t="shared" ref="Z129:AY129" si="70">Z11</f>
        <v>19728.300927295451</v>
      </c>
      <c r="AA129" s="264">
        <f t="shared" si="70"/>
        <v>19777.480677848314</v>
      </c>
      <c r="AB129" s="264">
        <f t="shared" si="70"/>
        <v>19636.74248000142</v>
      </c>
      <c r="AC129" s="264">
        <f t="shared" si="70"/>
        <v>19675.448499311224</v>
      </c>
      <c r="AD129" s="264">
        <f t="shared" si="70"/>
        <v>20295.479766725086</v>
      </c>
      <c r="AE129" s="264">
        <f t="shared" si="70"/>
        <v>20688.507726444677</v>
      </c>
      <c r="AF129" s="264">
        <f t="shared" si="70"/>
        <v>20993.361051390766</v>
      </c>
      <c r="AG129" s="264">
        <f t="shared" si="70"/>
        <v>20481.95073709765</v>
      </c>
      <c r="AH129" s="264">
        <f t="shared" si="70"/>
        <v>21019.947586617855</v>
      </c>
      <c r="AI129" s="264">
        <f t="shared" si="70"/>
        <v>21549.493402607193</v>
      </c>
      <c r="AJ129" s="264">
        <f t="shared" si="70"/>
        <v>21712.131547205845</v>
      </c>
      <c r="AK129" s="264">
        <f t="shared" si="70"/>
        <v>21958.805482045558</v>
      </c>
      <c r="AL129" s="264">
        <f t="shared" si="70"/>
        <v>21199.453204836587</v>
      </c>
      <c r="AM129" s="264">
        <f t="shared" si="70"/>
        <v>21375.488367424521</v>
      </c>
      <c r="AN129" s="264">
        <f t="shared" si="70"/>
        <v>21559.933537386256</v>
      </c>
      <c r="AO129" s="264">
        <f t="shared" si="70"/>
        <v>21524.854655037496</v>
      </c>
      <c r="AP129" s="264">
        <f t="shared" si="70"/>
        <v>21561.42864154054</v>
      </c>
      <c r="AQ129" s="264">
        <f t="shared" si="70"/>
        <v>21721.909369893987</v>
      </c>
      <c r="AR129" s="264">
        <f t="shared" si="70"/>
        <v>21664.335289077655</v>
      </c>
      <c r="AS129" s="264">
        <f t="shared" si="70"/>
        <v>21563.499976667707</v>
      </c>
      <c r="AT129" s="264">
        <f t="shared" si="70"/>
        <v>21535.78661320591</v>
      </c>
      <c r="AU129" s="264">
        <f t="shared" si="70"/>
        <v>21556.27019822691</v>
      </c>
      <c r="AV129" s="264">
        <f t="shared" si="70"/>
        <v>21537.079146909564</v>
      </c>
      <c r="AW129" s="264">
        <f t="shared" si="70"/>
        <v>21554.002741840857</v>
      </c>
      <c r="AX129" s="264">
        <f t="shared" si="70"/>
        <v>21577.16032125731</v>
      </c>
      <c r="AY129" s="264">
        <f t="shared" si="70"/>
        <v>21588.970330800425</v>
      </c>
    </row>
    <row r="131" spans="1:51" ht="12" thickBot="1" x14ac:dyDescent="0.25">
      <c r="A131" s="121" t="s">
        <v>254</v>
      </c>
    </row>
    <row r="132" spans="1:51" s="121" customFormat="1" ht="12" thickBot="1" x14ac:dyDescent="0.25">
      <c r="A132" s="122"/>
      <c r="B132" s="128">
        <v>2001</v>
      </c>
      <c r="C132" s="128">
        <v>2002</v>
      </c>
      <c r="D132" s="128">
        <v>2003</v>
      </c>
      <c r="E132" s="128">
        <v>2004</v>
      </c>
      <c r="F132" s="128">
        <v>2005</v>
      </c>
      <c r="G132" s="128">
        <v>2006</v>
      </c>
      <c r="H132" s="128">
        <v>2007</v>
      </c>
      <c r="I132" s="128">
        <f t="shared" ref="I132:AY132" si="71">I2</f>
        <v>2008</v>
      </c>
      <c r="J132" s="128">
        <f t="shared" si="71"/>
        <v>2009</v>
      </c>
      <c r="K132" s="128">
        <f t="shared" si="71"/>
        <v>2010</v>
      </c>
      <c r="L132" s="128">
        <f t="shared" si="71"/>
        <v>2011</v>
      </c>
      <c r="M132" s="128">
        <f t="shared" si="71"/>
        <v>2012</v>
      </c>
      <c r="N132" s="128">
        <f t="shared" si="71"/>
        <v>2013</v>
      </c>
      <c r="O132" s="128">
        <f t="shared" si="71"/>
        <v>2014</v>
      </c>
      <c r="P132" s="128">
        <f t="shared" si="71"/>
        <v>2015</v>
      </c>
      <c r="Q132" s="128">
        <f t="shared" si="71"/>
        <v>2016</v>
      </c>
      <c r="R132" s="128">
        <f t="shared" si="71"/>
        <v>2017</v>
      </c>
      <c r="S132" s="128">
        <f t="shared" si="71"/>
        <v>2018</v>
      </c>
      <c r="T132" s="128">
        <f t="shared" si="71"/>
        <v>2019</v>
      </c>
      <c r="U132" s="128">
        <f t="shared" si="71"/>
        <v>2020</v>
      </c>
      <c r="V132" s="128">
        <f t="shared" si="71"/>
        <v>2021</v>
      </c>
      <c r="W132" s="128">
        <f t="shared" si="71"/>
        <v>2022</v>
      </c>
      <c r="X132" s="128">
        <f t="shared" si="71"/>
        <v>2023</v>
      </c>
      <c r="Y132" s="128">
        <f t="shared" si="71"/>
        <v>2024</v>
      </c>
      <c r="Z132" s="128">
        <f t="shared" si="71"/>
        <v>2025</v>
      </c>
      <c r="AA132" s="128">
        <f t="shared" si="71"/>
        <v>2026</v>
      </c>
      <c r="AB132" s="128">
        <f t="shared" si="71"/>
        <v>2027</v>
      </c>
      <c r="AC132" s="128">
        <f t="shared" si="71"/>
        <v>2028</v>
      </c>
      <c r="AD132" s="128">
        <f t="shared" si="71"/>
        <v>2029</v>
      </c>
      <c r="AE132" s="128">
        <f t="shared" si="71"/>
        <v>2030</v>
      </c>
      <c r="AF132" s="128">
        <f t="shared" si="71"/>
        <v>2031</v>
      </c>
      <c r="AG132" s="128">
        <f t="shared" si="71"/>
        <v>2032</v>
      </c>
      <c r="AH132" s="128">
        <f t="shared" si="71"/>
        <v>2033</v>
      </c>
      <c r="AI132" s="128">
        <f t="shared" si="71"/>
        <v>2034</v>
      </c>
      <c r="AJ132" s="128">
        <f t="shared" si="71"/>
        <v>2035</v>
      </c>
      <c r="AK132" s="128">
        <f t="shared" si="71"/>
        <v>2036</v>
      </c>
      <c r="AL132" s="128">
        <f t="shared" si="71"/>
        <v>2037</v>
      </c>
      <c r="AM132" s="128">
        <f t="shared" si="71"/>
        <v>2038</v>
      </c>
      <c r="AN132" s="128">
        <f t="shared" si="71"/>
        <v>2039</v>
      </c>
      <c r="AO132" s="128">
        <f t="shared" si="71"/>
        <v>2040</v>
      </c>
      <c r="AP132" s="128">
        <f t="shared" si="71"/>
        <v>2041</v>
      </c>
      <c r="AQ132" s="128">
        <f t="shared" si="71"/>
        <v>2042</v>
      </c>
      <c r="AR132" s="128">
        <f t="shared" si="71"/>
        <v>2043</v>
      </c>
      <c r="AS132" s="128">
        <f t="shared" si="71"/>
        <v>2044</v>
      </c>
      <c r="AT132" s="128">
        <f t="shared" si="71"/>
        <v>2045</v>
      </c>
      <c r="AU132" s="128">
        <f t="shared" si="71"/>
        <v>2046</v>
      </c>
      <c r="AV132" s="128">
        <f t="shared" si="71"/>
        <v>2047</v>
      </c>
      <c r="AW132" s="128">
        <f t="shared" si="71"/>
        <v>2048</v>
      </c>
      <c r="AX132" s="128">
        <f t="shared" si="71"/>
        <v>2049</v>
      </c>
      <c r="AY132" s="128">
        <f t="shared" si="71"/>
        <v>2050</v>
      </c>
    </row>
    <row r="133" spans="1:51" x14ac:dyDescent="0.2">
      <c r="A133" s="19" t="s">
        <v>162</v>
      </c>
      <c r="B133" s="129">
        <f>'Monthly Data'!AO339*42/1000</f>
        <v>4964.6099999999997</v>
      </c>
      <c r="C133" s="129">
        <f>'Monthly Data'!AO351*42/1000</f>
        <v>5751.69</v>
      </c>
      <c r="D133" s="129">
        <f>'Monthly Data'!AO363*42/1000</f>
        <v>4728.7380000000003</v>
      </c>
      <c r="E133" s="129">
        <f>'Monthly Data'!AO375*42/1000</f>
        <v>5157.2219999999998</v>
      </c>
      <c r="F133" s="129">
        <f>'Monthly Data'!AO387*42/1000</f>
        <v>5119.59</v>
      </c>
      <c r="G133" s="129">
        <f>'Monthly Data'!AO399*42/1000</f>
        <v>5855.8919999999998</v>
      </c>
      <c r="H133" s="129">
        <f>'Monthly Data'!AO411*42/1000</f>
        <v>5863.5360000000001</v>
      </c>
      <c r="I133" s="129">
        <f>'Monthly Data'!AO423*42/1000</f>
        <v>5500.4459999999999</v>
      </c>
      <c r="J133" s="129">
        <f>'Monthly Data'!AO435*42/1000</f>
        <v>6036.66</v>
      </c>
      <c r="K133" s="129">
        <f>'Monthly Data'!AO447*42/1000</f>
        <v>6868.134</v>
      </c>
      <c r="L133" s="129">
        <f>'Monthly Data'!AO459*42/1000</f>
        <v>6849.6120000000001</v>
      </c>
      <c r="M133" s="129">
        <f>'Monthly Data'!AO471*42/1000</f>
        <v>6182.82</v>
      </c>
      <c r="N133" s="129">
        <f>'Monthly Data'!AO483*42/1000</f>
        <v>5513.2560000000003</v>
      </c>
      <c r="O133" s="129">
        <f>'Monthly Data'!AO495*42/1000</f>
        <v>4816.0559999999996</v>
      </c>
      <c r="P133" s="129">
        <f>'Monthly Data'!AO507*42/1000</f>
        <v>5569.5360000000001</v>
      </c>
      <c r="Q133" s="129">
        <f>'Monthly Data'!AO519*42/1000</f>
        <v>6744.99</v>
      </c>
      <c r="R133" s="129">
        <f>'Monthly Data'!AO531*42/1000</f>
        <v>7150.3739999999998</v>
      </c>
      <c r="S133" s="129">
        <f>'Monthly Data'!$AO543*42/1000</f>
        <v>5936.28</v>
      </c>
      <c r="T133" s="129">
        <f>'Monthly Data'!$AO555*42/1000</f>
        <v>5885.4179999999997</v>
      </c>
      <c r="U133" s="129">
        <f>'Monthly Data'!$AO567*42/1000</f>
        <v>6013.98</v>
      </c>
      <c r="V133" s="129">
        <f>'Monthly Data'!$AO579*42/1000</f>
        <v>6890.4359999999997</v>
      </c>
      <c r="W133" s="129">
        <f>'Monthly Data'!$AO591*42/1000</f>
        <v>5261.8440000000001</v>
      </c>
      <c r="X133" s="129">
        <f>'Monthly Data'!$AO603*42/1000</f>
        <v>5166.5460000000003</v>
      </c>
      <c r="Y133" s="129">
        <f>'Monthly Data'!$AO615*42/1000</f>
        <v>5405.0219999999999</v>
      </c>
      <c r="Z133" s="133">
        <f t="shared" ref="Z133:AY133" si="72">Y144+Z21+Z37-Z69-Z117</f>
        <v>5283.4122618566735</v>
      </c>
      <c r="AA133" s="133">
        <f t="shared" si="72"/>
        <v>6367.2620043681472</v>
      </c>
      <c r="AB133" s="133">
        <f t="shared" si="72"/>
        <v>7682.8928227355082</v>
      </c>
      <c r="AC133" s="133">
        <f t="shared" si="72"/>
        <v>7428.8267566454651</v>
      </c>
      <c r="AD133" s="133">
        <f t="shared" si="72"/>
        <v>7497.1740383680881</v>
      </c>
      <c r="AE133" s="133">
        <f t="shared" si="72"/>
        <v>7115.9005241895866</v>
      </c>
      <c r="AF133" s="133">
        <f t="shared" si="72"/>
        <v>6942.0147287719828</v>
      </c>
      <c r="AG133" s="133">
        <f t="shared" si="72"/>
        <v>6695.9257984614451</v>
      </c>
      <c r="AH133" s="133">
        <f t="shared" si="72"/>
        <v>6856.2691887268102</v>
      </c>
      <c r="AI133" s="133">
        <f t="shared" si="72"/>
        <v>6262.9395257931574</v>
      </c>
      <c r="AJ133" s="133">
        <f t="shared" si="72"/>
        <v>5574.5264276516973</v>
      </c>
      <c r="AK133" s="133">
        <f t="shared" si="72"/>
        <v>5322.0133860121996</v>
      </c>
      <c r="AL133" s="133">
        <f t="shared" si="72"/>
        <v>4609.7532510204874</v>
      </c>
      <c r="AM133" s="133">
        <f t="shared" si="72"/>
        <v>5113.9932204338784</v>
      </c>
      <c r="AN133" s="133">
        <f t="shared" si="72"/>
        <v>5010.04151376351</v>
      </c>
      <c r="AO133" s="133">
        <f t="shared" si="72"/>
        <v>4694.1838880580599</v>
      </c>
      <c r="AP133" s="133">
        <f t="shared" si="72"/>
        <v>4536.7583001199391</v>
      </c>
      <c r="AQ133" s="133">
        <f t="shared" si="72"/>
        <v>4339.1019331826192</v>
      </c>
      <c r="AR133" s="133">
        <f t="shared" si="72"/>
        <v>4026.7742885033385</v>
      </c>
      <c r="AS133" s="133">
        <f t="shared" si="72"/>
        <v>3890.5694553960411</v>
      </c>
      <c r="AT133" s="133">
        <f t="shared" si="72"/>
        <v>3843.3689685923136</v>
      </c>
      <c r="AU133" s="133">
        <f t="shared" si="72"/>
        <v>3736.8063566641067</v>
      </c>
      <c r="AV133" s="133">
        <f t="shared" si="72"/>
        <v>3571.1936228481236</v>
      </c>
      <c r="AW133" s="133">
        <f t="shared" si="72"/>
        <v>3469.1715137490469</v>
      </c>
      <c r="AX133" s="133">
        <f t="shared" si="72"/>
        <v>3305.3128976264588</v>
      </c>
      <c r="AY133" s="133">
        <f t="shared" si="72"/>
        <v>3124.8766598164011</v>
      </c>
    </row>
    <row r="134" spans="1:51" x14ac:dyDescent="0.2">
      <c r="A134" s="19" t="s">
        <v>163</v>
      </c>
      <c r="B134" s="129">
        <f>'Monthly Data'!AO340*42/1000</f>
        <v>4914.9660000000003</v>
      </c>
      <c r="C134" s="129">
        <f>'Monthly Data'!AO352*42/1000</f>
        <v>5460.1679999999997</v>
      </c>
      <c r="D134" s="129">
        <f>'Monthly Data'!AO364*42/1000</f>
        <v>4102.7280000000001</v>
      </c>
      <c r="E134" s="129">
        <f>'Monthly Data'!AO376*42/1000</f>
        <v>4712.3159999999998</v>
      </c>
      <c r="F134" s="129">
        <f>'Monthly Data'!AO388*42/1000</f>
        <v>4927.692</v>
      </c>
      <c r="G134" s="129">
        <f>'Monthly Data'!AO400*42/1000</f>
        <v>5696.67</v>
      </c>
      <c r="H134" s="129">
        <f>'Monthly Data'!AO412*42/1000</f>
        <v>5196.366</v>
      </c>
      <c r="I134" s="129">
        <f>'Monthly Data'!AO424*42/1000</f>
        <v>4940.7120000000004</v>
      </c>
      <c r="J134" s="129">
        <f>'Monthly Data'!AO436*42/1000</f>
        <v>6220.41</v>
      </c>
      <c r="K134" s="129">
        <f>'Monthly Data'!AO448*42/1000</f>
        <v>6523.9859999999999</v>
      </c>
      <c r="L134" s="129">
        <f>'Monthly Data'!AO460*42/1000</f>
        <v>6471.2340000000004</v>
      </c>
      <c r="M134" s="129">
        <f>'Monthly Data'!AO472*42/1000</f>
        <v>5850.1379999999999</v>
      </c>
      <c r="N134" s="129">
        <f>'Monthly Data'!AO484*42/1000</f>
        <v>5122.4459999999999</v>
      </c>
      <c r="O134" s="129">
        <f>'Monthly Data'!AO496*42/1000</f>
        <v>4750.326</v>
      </c>
      <c r="P134" s="129">
        <f>'Monthly Data'!AO508*42/1000</f>
        <v>5191.5360000000001</v>
      </c>
      <c r="Q134" s="129">
        <f>'Monthly Data'!AO520*42/1000</f>
        <v>6824.8320000000003</v>
      </c>
      <c r="R134" s="129">
        <f>'Monthly Data'!AO532*42/1000</f>
        <v>6838.9440000000004</v>
      </c>
      <c r="S134" s="129">
        <f>'Monthly Data'!$AO544*42/1000</f>
        <v>5833.2960000000003</v>
      </c>
      <c r="T134" s="129">
        <f>'Monthly Data'!$AO556*42/1000</f>
        <v>5725.5659999999998</v>
      </c>
      <c r="U134" s="129">
        <f>'Monthly Data'!$AO568*42/1000</f>
        <v>5582.5559999999996</v>
      </c>
      <c r="V134" s="129">
        <f>'Monthly Data'!$AO580*42/1000</f>
        <v>6048.5039999999999</v>
      </c>
      <c r="W134" s="129">
        <f>'Monthly Data'!$AO592*42/1000</f>
        <v>5065.62</v>
      </c>
      <c r="X134" s="129">
        <f>'Monthly Data'!$AO604*42/1000</f>
        <v>5242.482</v>
      </c>
      <c r="Y134" s="129">
        <f>'Monthly Data'!$AO616*42/1000</f>
        <v>4947.4319999999998</v>
      </c>
      <c r="Z134" s="133">
        <f t="shared" ref="Z134:AY143" si="73">Z133+Z22+Z38-Z70-Z118</f>
        <v>5096.2772363315798</v>
      </c>
      <c r="AA134" s="133">
        <f t="shared" si="73"/>
        <v>6260.9099313956904</v>
      </c>
      <c r="AB134" s="133">
        <f t="shared" si="73"/>
        <v>7468.1734349999551</v>
      </c>
      <c r="AC134" s="133">
        <f t="shared" si="73"/>
        <v>7250.9300336889801</v>
      </c>
      <c r="AD134" s="133">
        <f t="shared" si="73"/>
        <v>7273.9455520751071</v>
      </c>
      <c r="AE134" s="133">
        <f t="shared" si="73"/>
        <v>6919.5790175422308</v>
      </c>
      <c r="AF134" s="133">
        <f t="shared" si="73"/>
        <v>6754.7296887935654</v>
      </c>
      <c r="AG134" s="133">
        <f t="shared" si="73"/>
        <v>6485.915189221806</v>
      </c>
      <c r="AH134" s="133">
        <f t="shared" si="73"/>
        <v>6657.9556082895142</v>
      </c>
      <c r="AI134" s="133">
        <f t="shared" si="73"/>
        <v>6073.0798333296925</v>
      </c>
      <c r="AJ134" s="133">
        <f t="shared" si="73"/>
        <v>5418.5476669551936</v>
      </c>
      <c r="AK134" s="133">
        <f t="shared" si="73"/>
        <v>5142.2573436719676</v>
      </c>
      <c r="AL134" s="133">
        <f t="shared" si="73"/>
        <v>4459.0100162932013</v>
      </c>
      <c r="AM134" s="133">
        <f t="shared" si="73"/>
        <v>4980.3511721372124</v>
      </c>
      <c r="AN134" s="133">
        <f t="shared" si="73"/>
        <v>4865.2340314128587</v>
      </c>
      <c r="AO134" s="133">
        <f t="shared" si="73"/>
        <v>4549.313812315364</v>
      </c>
      <c r="AP134" s="133">
        <f t="shared" si="73"/>
        <v>4395.5758000693677</v>
      </c>
      <c r="AQ134" s="133">
        <f t="shared" si="73"/>
        <v>4198.6158842564073</v>
      </c>
      <c r="AR134" s="133">
        <f t="shared" si="73"/>
        <v>3900.3009857821562</v>
      </c>
      <c r="AS134" s="133">
        <f t="shared" si="73"/>
        <v>3768.6203649211593</v>
      </c>
      <c r="AT134" s="133">
        <f t="shared" si="73"/>
        <v>3721.0056457106202</v>
      </c>
      <c r="AU134" s="133">
        <f t="shared" si="73"/>
        <v>3616.2439224901027</v>
      </c>
      <c r="AV134" s="133">
        <f t="shared" si="73"/>
        <v>3457.1358073117035</v>
      </c>
      <c r="AW134" s="133">
        <f t="shared" si="73"/>
        <v>3354.6936577086108</v>
      </c>
      <c r="AX134" s="133">
        <f t="shared" si="73"/>
        <v>3193.2378391642142</v>
      </c>
      <c r="AY134" s="133">
        <f t="shared" si="73"/>
        <v>3017.239871419371</v>
      </c>
    </row>
    <row r="135" spans="1:51" x14ac:dyDescent="0.2">
      <c r="A135" s="19" t="s">
        <v>164</v>
      </c>
      <c r="B135" s="129">
        <f>'Monthly Data'!AO341*42/1000</f>
        <v>4410.8819999999996</v>
      </c>
      <c r="C135" s="129">
        <f>'Monthly Data'!AO353*42/1000</f>
        <v>5170.1580000000004</v>
      </c>
      <c r="D135" s="129">
        <f>'Monthly Data'!AO365*42/1000</f>
        <v>4141.2839999999997</v>
      </c>
      <c r="E135" s="129">
        <f>'Monthly Data'!AO377*42/1000</f>
        <v>4383.96</v>
      </c>
      <c r="F135" s="129">
        <f>'Monthly Data'!AO389*42/1000</f>
        <v>4428.6059999999998</v>
      </c>
      <c r="G135" s="129">
        <f>'Monthly Data'!AO401*42/1000</f>
        <v>5062.848</v>
      </c>
      <c r="H135" s="129">
        <f>'Monthly Data'!AO413*42/1000</f>
        <v>5040.2939999999999</v>
      </c>
      <c r="I135" s="129">
        <f>'Monthly Data'!AO425*42/1000</f>
        <v>4526.9279999999999</v>
      </c>
      <c r="J135" s="129">
        <f>'Monthly Data'!AO437*42/1000</f>
        <v>6102.6419999999998</v>
      </c>
      <c r="K135" s="129">
        <f>'Monthly Data'!AO449*42/1000</f>
        <v>6166.3140000000003</v>
      </c>
      <c r="L135" s="129">
        <f>'Monthly Data'!AO461*42/1000</f>
        <v>6268.0379999999996</v>
      </c>
      <c r="M135" s="129">
        <f>'Monthly Data'!AO473*42/1000</f>
        <v>5615.2740000000003</v>
      </c>
      <c r="N135" s="129">
        <f>'Monthly Data'!AO485*42/1000</f>
        <v>4986.9539999999997</v>
      </c>
      <c r="O135" s="129">
        <f>'Monthly Data'!AO497*42/1000</f>
        <v>4839.5339999999997</v>
      </c>
      <c r="P135" s="129">
        <f>'Monthly Data'!AO509*42/1000</f>
        <v>5405.0640000000003</v>
      </c>
      <c r="Q135" s="129">
        <f>'Monthly Data'!AO521*42/1000</f>
        <v>6723.0659999999998</v>
      </c>
      <c r="R135" s="129">
        <f>'Monthly Data'!AO533*42/1000</f>
        <v>6385.2179999999998</v>
      </c>
      <c r="S135" s="129">
        <f>'Monthly Data'!$AO545*42/1000</f>
        <v>5480.076</v>
      </c>
      <c r="T135" s="129">
        <f>'Monthly Data'!$AO557*42/1000</f>
        <v>5551.2240000000002</v>
      </c>
      <c r="U135" s="129">
        <f>'Monthly Data'!$AO569*42/1000</f>
        <v>5324.8440000000001</v>
      </c>
      <c r="V135" s="129">
        <f>'Monthly Data'!$AO581*42/1000</f>
        <v>6135.3180000000002</v>
      </c>
      <c r="W135" s="129">
        <f>'Monthly Data'!$AO593*42/1000</f>
        <v>4815.6360000000004</v>
      </c>
      <c r="X135" s="129">
        <f>'Monthly Data'!$AO605*42/1000</f>
        <v>4716.2640000000001</v>
      </c>
      <c r="Y135" s="129">
        <f>'Monthly Data'!$AO617*42/1000</f>
        <v>5088.93</v>
      </c>
      <c r="Z135" s="133">
        <f t="shared" si="73"/>
        <v>5155.743075818491</v>
      </c>
      <c r="AA135" s="133">
        <f t="shared" si="73"/>
        <v>6327.6602492440024</v>
      </c>
      <c r="AB135" s="133">
        <f t="shared" si="73"/>
        <v>7275.9845859460756</v>
      </c>
      <c r="AC135" s="133">
        <f t="shared" si="73"/>
        <v>7117.5493661649944</v>
      </c>
      <c r="AD135" s="133">
        <f t="shared" si="73"/>
        <v>7242.8510295458836</v>
      </c>
      <c r="AE135" s="133">
        <f t="shared" si="73"/>
        <v>6859.0416733208122</v>
      </c>
      <c r="AF135" s="133">
        <f t="shared" si="73"/>
        <v>6680.1324084557591</v>
      </c>
      <c r="AG135" s="133">
        <f t="shared" si="73"/>
        <v>6374.216943016736</v>
      </c>
      <c r="AH135" s="133">
        <f t="shared" si="73"/>
        <v>6578.6347902871921</v>
      </c>
      <c r="AI135" s="133">
        <f t="shared" si="73"/>
        <v>6009.5450115155018</v>
      </c>
      <c r="AJ135" s="133">
        <f t="shared" si="73"/>
        <v>5369.3703429815469</v>
      </c>
      <c r="AK135" s="133">
        <f t="shared" si="73"/>
        <v>5059.7038628243663</v>
      </c>
      <c r="AL135" s="133">
        <f t="shared" si="73"/>
        <v>4403.3739930910597</v>
      </c>
      <c r="AM135" s="133">
        <f t="shared" si="73"/>
        <v>4954.3196703799367</v>
      </c>
      <c r="AN135" s="133">
        <f t="shared" si="73"/>
        <v>4823.1262414694938</v>
      </c>
      <c r="AO135" s="133">
        <f t="shared" si="73"/>
        <v>4499.8997867940852</v>
      </c>
      <c r="AP135" s="133">
        <f t="shared" si="73"/>
        <v>4347.9032311843939</v>
      </c>
      <c r="AQ135" s="133">
        <f t="shared" si="73"/>
        <v>4148.859153604727</v>
      </c>
      <c r="AR135" s="133">
        <f t="shared" si="73"/>
        <v>3863.5369929792323</v>
      </c>
      <c r="AS135" s="133">
        <f t="shared" si="73"/>
        <v>3734.2499411569415</v>
      </c>
      <c r="AT135" s="133">
        <f t="shared" si="73"/>
        <v>3683.9494407996535</v>
      </c>
      <c r="AU135" s="133">
        <f t="shared" si="73"/>
        <v>3579.1691006532074</v>
      </c>
      <c r="AV135" s="133">
        <f t="shared" si="73"/>
        <v>3424.5430714858453</v>
      </c>
      <c r="AW135" s="133">
        <f t="shared" si="73"/>
        <v>3319.2729081132425</v>
      </c>
      <c r="AX135" s="133">
        <f t="shared" si="73"/>
        <v>3157.6639392863353</v>
      </c>
      <c r="AY135" s="133">
        <f t="shared" si="73"/>
        <v>2983.8489026928828</v>
      </c>
    </row>
    <row r="136" spans="1:51" x14ac:dyDescent="0.2">
      <c r="A136" s="19" t="s">
        <v>165</v>
      </c>
      <c r="B136" s="129">
        <f>'Monthly Data'!AO342*42/1000</f>
        <v>4407.6899999999996</v>
      </c>
      <c r="C136" s="129">
        <f>'Monthly Data'!AO354*42/1000</f>
        <v>5140.674</v>
      </c>
      <c r="D136" s="129">
        <f>'Monthly Data'!AO366*42/1000</f>
        <v>4081.6019999999999</v>
      </c>
      <c r="E136" s="129">
        <f>'Monthly Data'!AO378*42/1000</f>
        <v>4263.21</v>
      </c>
      <c r="F136" s="129">
        <f>'Monthly Data'!AO390*42/1000</f>
        <v>4426.884</v>
      </c>
      <c r="G136" s="129">
        <f>'Monthly Data'!AO402*42/1000</f>
        <v>4892.6220000000003</v>
      </c>
      <c r="H136" s="129">
        <f>'Monthly Data'!AO414*42/1000</f>
        <v>5095.0619999999999</v>
      </c>
      <c r="I136" s="129">
        <f>'Monthly Data'!AO426*42/1000</f>
        <v>4496.1419999999998</v>
      </c>
      <c r="J136" s="129">
        <f>'Monthly Data'!AO438*42/1000</f>
        <v>6302.4359999999997</v>
      </c>
      <c r="K136" s="129">
        <f>'Monthly Data'!AO450*42/1000</f>
        <v>6081.6840000000002</v>
      </c>
      <c r="L136" s="129">
        <f>'Monthly Data'!AO462*42/1000</f>
        <v>6002.598</v>
      </c>
      <c r="M136" s="129">
        <f>'Monthly Data'!AO474*42/1000</f>
        <v>5235.93</v>
      </c>
      <c r="N136" s="129">
        <f>'Monthly Data'!AO486*42/1000</f>
        <v>4989.2219999999998</v>
      </c>
      <c r="O136" s="129">
        <f>'Monthly Data'!AO498*42/1000</f>
        <v>4901.0640000000003</v>
      </c>
      <c r="P136" s="129">
        <f>'Monthly Data'!AO510*42/1000</f>
        <v>5450.5919999999996</v>
      </c>
      <c r="Q136" s="129">
        <f>'Monthly Data'!AO522*42/1000</f>
        <v>6499.1220000000003</v>
      </c>
      <c r="R136" s="129">
        <f>'Monthly Data'!AO534*42/1000</f>
        <v>6508.1940000000004</v>
      </c>
      <c r="S136" s="129">
        <f>'Monthly Data'!$AO546*42/1000</f>
        <v>5078.9759999999997</v>
      </c>
      <c r="T136" s="129">
        <f>'Monthly Data'!$AO558*42/1000</f>
        <v>5387.5079999999998</v>
      </c>
      <c r="U136" s="129">
        <f>'Monthly Data'!$AO570*42/1000</f>
        <v>6338.7240000000002</v>
      </c>
      <c r="V136" s="129">
        <f>'Monthly Data'!$AO582*42/1000</f>
        <v>5763.1559999999999</v>
      </c>
      <c r="W136" s="129">
        <f>'Monthly Data'!$AO594*42/1000</f>
        <v>4464.2219999999998</v>
      </c>
      <c r="X136" s="129">
        <f>'Monthly Data'!$AO606*42/1000</f>
        <v>4706.5619999999999</v>
      </c>
      <c r="Y136" s="129">
        <f>'Monthly Data'!$AO618*42/1000</f>
        <v>4949.3639999999996</v>
      </c>
      <c r="Z136" s="133">
        <f t="shared" si="73"/>
        <v>5173.6548982616414</v>
      </c>
      <c r="AA136" s="133">
        <f t="shared" si="73"/>
        <v>6309.6742764271175</v>
      </c>
      <c r="AB136" s="133">
        <f t="shared" si="73"/>
        <v>7097.4201506039208</v>
      </c>
      <c r="AC136" s="133">
        <f t="shared" si="73"/>
        <v>7017.5773830569096</v>
      </c>
      <c r="AD136" s="133">
        <f t="shared" si="73"/>
        <v>7138.0207013582231</v>
      </c>
      <c r="AE136" s="133">
        <f t="shared" si="73"/>
        <v>6767.2338438881334</v>
      </c>
      <c r="AF136" s="133">
        <f t="shared" si="73"/>
        <v>6577.1080234471556</v>
      </c>
      <c r="AG136" s="133">
        <f t="shared" si="73"/>
        <v>6249.1574758336519</v>
      </c>
      <c r="AH136" s="133">
        <f t="shared" si="73"/>
        <v>6479.9500905493751</v>
      </c>
      <c r="AI136" s="133">
        <f t="shared" si="73"/>
        <v>5913.5480539165901</v>
      </c>
      <c r="AJ136" s="133">
        <f t="shared" si="73"/>
        <v>5291.6834860289046</v>
      </c>
      <c r="AK136" s="133">
        <f t="shared" si="73"/>
        <v>4949.8204365278571</v>
      </c>
      <c r="AL136" s="133">
        <f t="shared" si="73"/>
        <v>4319.0357290759257</v>
      </c>
      <c r="AM136" s="133">
        <f t="shared" si="73"/>
        <v>4897.6623886574007</v>
      </c>
      <c r="AN136" s="133">
        <f t="shared" si="73"/>
        <v>4749.7342213231659</v>
      </c>
      <c r="AO136" s="133">
        <f t="shared" si="73"/>
        <v>4420.2265479917642</v>
      </c>
      <c r="AP136" s="133">
        <f t="shared" si="73"/>
        <v>4269.7765970912287</v>
      </c>
      <c r="AQ136" s="133">
        <f t="shared" si="73"/>
        <v>4068.3051825370558</v>
      </c>
      <c r="AR136" s="133">
        <f t="shared" si="73"/>
        <v>3794.6684516111864</v>
      </c>
      <c r="AS136" s="133">
        <f t="shared" si="73"/>
        <v>3667.13303126336</v>
      </c>
      <c r="AT136" s="133">
        <f t="shared" si="73"/>
        <v>3613.9541061899454</v>
      </c>
      <c r="AU136" s="133">
        <f t="shared" si="73"/>
        <v>3508.78457499058</v>
      </c>
      <c r="AV136" s="133">
        <f t="shared" si="73"/>
        <v>3358.0265237121293</v>
      </c>
      <c r="AW136" s="133">
        <f t="shared" si="73"/>
        <v>3249.6584299685619</v>
      </c>
      <c r="AX136" s="133">
        <f t="shared" si="73"/>
        <v>3087.5340566861469</v>
      </c>
      <c r="AY136" s="133">
        <f t="shared" si="73"/>
        <v>2915.4519365591277</v>
      </c>
    </row>
    <row r="137" spans="1:51" x14ac:dyDescent="0.2">
      <c r="A137" s="19" t="s">
        <v>166</v>
      </c>
      <c r="B137" s="129">
        <f>'Monthly Data'!AO343*42/1000</f>
        <v>4499.9639999999999</v>
      </c>
      <c r="C137" s="129">
        <f>'Monthly Data'!AO355*42/1000</f>
        <v>5334.8819999999996</v>
      </c>
      <c r="D137" s="129">
        <f>'Monthly Data'!AO367*42/1000</f>
        <v>4480.9380000000001</v>
      </c>
      <c r="E137" s="129">
        <f>'Monthly Data'!AO379*42/1000</f>
        <v>4513.2780000000002</v>
      </c>
      <c r="F137" s="129">
        <f>'Monthly Data'!AO391*42/1000</f>
        <v>4719.4979999999996</v>
      </c>
      <c r="G137" s="129">
        <f>'Monthly Data'!AO403*42/1000</f>
        <v>5205.9840000000004</v>
      </c>
      <c r="H137" s="129">
        <f>'Monthly Data'!AO415*42/1000</f>
        <v>5253.4859999999999</v>
      </c>
      <c r="I137" s="129">
        <f>'Monthly Data'!AO427*42/1000</f>
        <v>4785.5219999999999</v>
      </c>
      <c r="J137" s="129">
        <f>'Monthly Data'!AO439*42/1000</f>
        <v>6581.652</v>
      </c>
      <c r="K137" s="129">
        <f>'Monthly Data'!AO451*42/1000</f>
        <v>6301.7219999999998</v>
      </c>
      <c r="L137" s="129">
        <f>'Monthly Data'!AO463*42/1000</f>
        <v>6083.5739999999996</v>
      </c>
      <c r="M137" s="129">
        <f>'Monthly Data'!AO475*42/1000</f>
        <v>5100.6899999999996</v>
      </c>
      <c r="N137" s="129">
        <f>'Monthly Data'!AO487*42/1000</f>
        <v>5129.5439999999999</v>
      </c>
      <c r="O137" s="129">
        <f>'Monthly Data'!AO499*42/1000</f>
        <v>5105.6880000000001</v>
      </c>
      <c r="P137" s="129">
        <f>'Monthly Data'!AO511*42/1000</f>
        <v>5686.884</v>
      </c>
      <c r="Q137" s="129">
        <f>'Monthly Data'!AO523*42/1000</f>
        <v>6507.7740000000003</v>
      </c>
      <c r="R137" s="129">
        <f>'Monthly Data'!AO535*42/1000</f>
        <v>6478.3739999999998</v>
      </c>
      <c r="S137" s="129">
        <f>'Monthly Data'!$AO547*42/1000</f>
        <v>4854.3599999999997</v>
      </c>
      <c r="T137" s="129">
        <f>'Monthly Data'!$AO559*42/1000</f>
        <v>5454.33</v>
      </c>
      <c r="U137" s="129">
        <f>'Monthly Data'!$AO571*42/1000</f>
        <v>7418.3339999999998</v>
      </c>
      <c r="V137" s="129">
        <f>'Monthly Data'!$AO583*42/1000</f>
        <v>5863.2</v>
      </c>
      <c r="W137" s="129">
        <f>'Monthly Data'!$AO595*42/1000</f>
        <v>4607.9040000000005</v>
      </c>
      <c r="X137" s="129">
        <f>'Monthly Data'!$AO607*42/1000</f>
        <v>4751.88</v>
      </c>
      <c r="Y137" s="129">
        <f>'Monthly Data'!$AO619*42/1000</f>
        <v>5051.634</v>
      </c>
      <c r="Z137" s="133">
        <f t="shared" si="73"/>
        <v>5434.2946136302025</v>
      </c>
      <c r="AA137" s="133">
        <f t="shared" si="73"/>
        <v>6662.1535527349752</v>
      </c>
      <c r="AB137" s="133">
        <f t="shared" si="73"/>
        <v>7206.2157725447723</v>
      </c>
      <c r="AC137" s="133">
        <f t="shared" si="73"/>
        <v>7163.6034714853522</v>
      </c>
      <c r="AD137" s="133">
        <f t="shared" si="73"/>
        <v>7318.7810800135539</v>
      </c>
      <c r="AE137" s="133">
        <f t="shared" si="73"/>
        <v>6967.095351234384</v>
      </c>
      <c r="AF137" s="133">
        <f t="shared" si="73"/>
        <v>6774.5376353029405</v>
      </c>
      <c r="AG137" s="133">
        <f t="shared" si="73"/>
        <v>6404.9457270072262</v>
      </c>
      <c r="AH137" s="133">
        <f t="shared" si="73"/>
        <v>6660.4168782922043</v>
      </c>
      <c r="AI137" s="133">
        <f t="shared" si="73"/>
        <v>6101.2625358396463</v>
      </c>
      <c r="AJ137" s="133">
        <f t="shared" si="73"/>
        <v>5496.542441278184</v>
      </c>
      <c r="AK137" s="133">
        <f t="shared" si="73"/>
        <v>5119.4414135886764</v>
      </c>
      <c r="AL137" s="133">
        <f t="shared" si="73"/>
        <v>4510.6343568509874</v>
      </c>
      <c r="AM137" s="133">
        <f t="shared" si="73"/>
        <v>5118.3673515617375</v>
      </c>
      <c r="AN137" s="133">
        <f t="shared" si="73"/>
        <v>4952.3204987222953</v>
      </c>
      <c r="AO137" s="133">
        <f t="shared" si="73"/>
        <v>4614.0984098915451</v>
      </c>
      <c r="AP137" s="133">
        <f t="shared" si="73"/>
        <v>4463.3450137651216</v>
      </c>
      <c r="AQ137" s="133">
        <f t="shared" si="73"/>
        <v>4257.3939123802065</v>
      </c>
      <c r="AR137" s="133">
        <f t="shared" si="73"/>
        <v>3994.3936925990988</v>
      </c>
      <c r="AS137" s="133">
        <f t="shared" si="73"/>
        <v>3867.3420304811289</v>
      </c>
      <c r="AT137" s="133">
        <f t="shared" si="73"/>
        <v>3809.7971517325686</v>
      </c>
      <c r="AU137" s="133">
        <f t="shared" si="73"/>
        <v>3702.7155352984573</v>
      </c>
      <c r="AV137" s="133">
        <f t="shared" si="73"/>
        <v>3554.3144634658047</v>
      </c>
      <c r="AW137" s="133">
        <f t="shared" si="73"/>
        <v>3441.2689301237324</v>
      </c>
      <c r="AX137" s="133">
        <f t="shared" si="73"/>
        <v>3277.0172784847823</v>
      </c>
      <c r="AY137" s="133">
        <f t="shared" si="73"/>
        <v>3105.1089852853588</v>
      </c>
    </row>
    <row r="138" spans="1:51" x14ac:dyDescent="0.2">
      <c r="A138" s="19" t="s">
        <v>167</v>
      </c>
      <c r="B138" s="129">
        <f>'Monthly Data'!AO344*42/1000</f>
        <v>4782.8339999999998</v>
      </c>
      <c r="C138" s="129">
        <f>'Monthly Data'!AO356*42/1000</f>
        <v>5591.2079999999996</v>
      </c>
      <c r="D138" s="129">
        <f>'Monthly Data'!AO368*42/1000</f>
        <v>4712.5680000000002</v>
      </c>
      <c r="E138" s="129">
        <f>'Monthly Data'!AO380*42/1000</f>
        <v>4800.2640000000001</v>
      </c>
      <c r="F138" s="129">
        <f>'Monthly Data'!AO392*42/1000</f>
        <v>5028.2820000000002</v>
      </c>
      <c r="G138" s="129">
        <f>'Monthly Data'!AO404*42/1000</f>
        <v>5456.3040000000001</v>
      </c>
      <c r="H138" s="129">
        <f>'Monthly Data'!AO416*42/1000</f>
        <v>5199.6000000000004</v>
      </c>
      <c r="I138" s="129">
        <f>'Monthly Data'!AO428*42/1000</f>
        <v>5111.82</v>
      </c>
      <c r="J138" s="129">
        <f>'Monthly Data'!AO440*42/1000</f>
        <v>6834.366</v>
      </c>
      <c r="K138" s="129">
        <f>'Monthly Data'!AO452*42/1000</f>
        <v>6633.6480000000001</v>
      </c>
      <c r="L138" s="129">
        <f>'Monthly Data'!AO464*42/1000</f>
        <v>6042.54</v>
      </c>
      <c r="M138" s="129">
        <f>'Monthly Data'!AO476*42/1000</f>
        <v>5035.38</v>
      </c>
      <c r="N138" s="129">
        <f>'Monthly Data'!AO488*42/1000</f>
        <v>5143.4459999999999</v>
      </c>
      <c r="O138" s="129">
        <f>'Monthly Data'!AO500*42/1000</f>
        <v>5106.57</v>
      </c>
      <c r="P138" s="129">
        <f>'Monthly Data'!AO512*42/1000</f>
        <v>5864.7120000000004</v>
      </c>
      <c r="Q138" s="129">
        <f>'Monthly Data'!AO524*42/1000</f>
        <v>6290.2139999999999</v>
      </c>
      <c r="R138" s="129">
        <f>'Monthly Data'!AO536*42/1000</f>
        <v>6386.52</v>
      </c>
      <c r="S138" s="129">
        <f>'Monthly Data'!$AO548*42/1000</f>
        <v>5063.058</v>
      </c>
      <c r="T138" s="129">
        <f>'Monthly Data'!$AO560*42/1000</f>
        <v>5505.9480000000003</v>
      </c>
      <c r="U138" s="129">
        <f>'Monthly Data'!$AO572*42/1000</f>
        <v>7431.7740000000003</v>
      </c>
      <c r="V138" s="129">
        <f>'Monthly Data'!$AO584*42/1000</f>
        <v>5885.5860000000002</v>
      </c>
      <c r="W138" s="129">
        <f>'Monthly Data'!$AO596*42/1000</f>
        <v>4675.8180000000002</v>
      </c>
      <c r="X138" s="129">
        <f>'Monthly Data'!$AO608*42/1000</f>
        <v>4729.116</v>
      </c>
      <c r="Y138" s="129">
        <f>'Monthly Data'!$AO620*42/1000</f>
        <v>5171.2079999999996</v>
      </c>
      <c r="Z138" s="133">
        <f t="shared" si="73"/>
        <v>5474.6646694058509</v>
      </c>
      <c r="AA138" s="133">
        <f t="shared" si="73"/>
        <v>6752.7698323213572</v>
      </c>
      <c r="AB138" s="133">
        <f t="shared" si="73"/>
        <v>7180.88523262936</v>
      </c>
      <c r="AC138" s="133">
        <f t="shared" si="73"/>
        <v>7165.5836216459411</v>
      </c>
      <c r="AD138" s="133">
        <f t="shared" si="73"/>
        <v>7351.8882945040314</v>
      </c>
      <c r="AE138" s="133">
        <f t="shared" si="73"/>
        <v>6981.0970016370411</v>
      </c>
      <c r="AF138" s="133">
        <f t="shared" si="73"/>
        <v>6792.2083421426205</v>
      </c>
      <c r="AG138" s="133">
        <f t="shared" si="73"/>
        <v>6399.1239239950328</v>
      </c>
      <c r="AH138" s="133">
        <f t="shared" si="73"/>
        <v>6678.4034598458175</v>
      </c>
      <c r="AI138" s="133">
        <f t="shared" si="73"/>
        <v>6119.1172203793139</v>
      </c>
      <c r="AJ138" s="133">
        <f t="shared" si="73"/>
        <v>5522.6723095529442</v>
      </c>
      <c r="AK138" s="133">
        <f t="shared" si="73"/>
        <v>5112.6244016435039</v>
      </c>
      <c r="AL138" s="133">
        <f t="shared" si="73"/>
        <v>4524.9103393316436</v>
      </c>
      <c r="AM138" s="133">
        <f t="shared" si="73"/>
        <v>5166.1947613321245</v>
      </c>
      <c r="AN138" s="133">
        <f t="shared" si="73"/>
        <v>4980.138089193757</v>
      </c>
      <c r="AO138" s="133">
        <f t="shared" si="73"/>
        <v>4631.3002447487488</v>
      </c>
      <c r="AP138" s="133">
        <f t="shared" si="73"/>
        <v>4480.7042724168796</v>
      </c>
      <c r="AQ138" s="133">
        <f t="shared" si="73"/>
        <v>4269.5967949222522</v>
      </c>
      <c r="AR138" s="133">
        <f t="shared" si="73"/>
        <v>4016.3535086240422</v>
      </c>
      <c r="AS138" s="133">
        <f t="shared" si="73"/>
        <v>3889.4986656182264</v>
      </c>
      <c r="AT138" s="133">
        <f t="shared" si="73"/>
        <v>3827.7983044508819</v>
      </c>
      <c r="AU138" s="133">
        <f t="shared" si="73"/>
        <v>3718.9030675033641</v>
      </c>
      <c r="AV138" s="133">
        <f t="shared" si="73"/>
        <v>3572.3486724133882</v>
      </c>
      <c r="AW138" s="133">
        <f t="shared" si="73"/>
        <v>3454.437810467246</v>
      </c>
      <c r="AX138" s="133">
        <f t="shared" si="73"/>
        <v>3287.6520247646417</v>
      </c>
      <c r="AY138" s="133">
        <f t="shared" si="73"/>
        <v>3115.5394303223911</v>
      </c>
    </row>
    <row r="139" spans="1:51" x14ac:dyDescent="0.2">
      <c r="A139" s="19" t="s">
        <v>168</v>
      </c>
      <c r="B139" s="129">
        <f>'Monthly Data'!AO345*42/1000</f>
        <v>5257.3919999999998</v>
      </c>
      <c r="C139" s="129">
        <f>'Monthly Data'!AO357*42/1000</f>
        <v>5619.39</v>
      </c>
      <c r="D139" s="129">
        <f>'Monthly Data'!AO369*42/1000</f>
        <v>4957.8900000000003</v>
      </c>
      <c r="E139" s="129">
        <f>'Monthly Data'!AO381*42/1000</f>
        <v>5118.75</v>
      </c>
      <c r="F139" s="129">
        <f>'Monthly Data'!AO393*42/1000</f>
        <v>5596.71</v>
      </c>
      <c r="G139" s="129">
        <f>'Monthly Data'!AO405*42/1000</f>
        <v>5775.2520000000004</v>
      </c>
      <c r="H139" s="129">
        <f>'Monthly Data'!AO417*42/1000</f>
        <v>5472.4740000000002</v>
      </c>
      <c r="I139" s="129">
        <f>'Monthly Data'!AO429*42/1000</f>
        <v>5498.0519999999997</v>
      </c>
      <c r="J139" s="129">
        <f>'Monthly Data'!AO441*42/1000</f>
        <v>6969.48</v>
      </c>
      <c r="K139" s="129">
        <f>'Monthly Data'!AO453*42/1000</f>
        <v>6998.3760000000002</v>
      </c>
      <c r="L139" s="129">
        <f>'Monthly Data'!AO465*42/1000</f>
        <v>6487.11</v>
      </c>
      <c r="M139" s="129">
        <f>'Monthly Data'!AO477*42/1000</f>
        <v>5311.0680000000002</v>
      </c>
      <c r="N139" s="129">
        <f>'Monthly Data'!AO489*42/1000</f>
        <v>5292.84</v>
      </c>
      <c r="O139" s="129">
        <f>'Monthly Data'!AO501*42/1000</f>
        <v>5269.1940000000004</v>
      </c>
      <c r="P139" s="129">
        <f>'Monthly Data'!AO513*42/1000</f>
        <v>5966.2259999999997</v>
      </c>
      <c r="Q139" s="129">
        <f>'Monthly Data'!AO525*42/1000</f>
        <v>6573.2939999999999</v>
      </c>
      <c r="R139" s="129">
        <f>'Monthly Data'!AO537*42/1000</f>
        <v>6362.7479999999996</v>
      </c>
      <c r="S139" s="129">
        <f>'Monthly Data'!$AO549*42/1000</f>
        <v>5343.03</v>
      </c>
      <c r="T139" s="129">
        <f>'Monthly Data'!$AO561*42/1000</f>
        <v>5782.308</v>
      </c>
      <c r="U139" s="129">
        <f>'Monthly Data'!$AO573*42/1000</f>
        <v>7509.6</v>
      </c>
      <c r="V139" s="129">
        <f>'Monthly Data'!$AO585*42/1000</f>
        <v>5969.8379999999997</v>
      </c>
      <c r="W139" s="129">
        <f>'Monthly Data'!$AO597*42/1000</f>
        <v>4728.8220000000001</v>
      </c>
      <c r="X139" s="129">
        <f>'Monthly Data'!$AO609*42/1000</f>
        <v>5048.7359999999999</v>
      </c>
      <c r="Y139" s="129">
        <f>'Monthly Data'!$AO621*42/1000</f>
        <v>5443.326</v>
      </c>
      <c r="Z139" s="133">
        <f t="shared" si="73"/>
        <v>5629.8788107571972</v>
      </c>
      <c r="AA139" s="133">
        <f t="shared" si="73"/>
        <v>6912.0204278211504</v>
      </c>
      <c r="AB139" s="133">
        <f t="shared" si="73"/>
        <v>7312.7278835516008</v>
      </c>
      <c r="AC139" s="133">
        <f t="shared" si="73"/>
        <v>7360.3717401065205</v>
      </c>
      <c r="AD139" s="133">
        <f t="shared" si="73"/>
        <v>7527.9918650899144</v>
      </c>
      <c r="AE139" s="133">
        <f t="shared" si="73"/>
        <v>7132.3941504931736</v>
      </c>
      <c r="AF139" s="133">
        <f t="shared" si="73"/>
        <v>6950.2319112521163</v>
      </c>
      <c r="AG139" s="133">
        <f t="shared" si="73"/>
        <v>6544.6863020781921</v>
      </c>
      <c r="AH139" s="133">
        <f t="shared" si="73"/>
        <v>6848.7120140767447</v>
      </c>
      <c r="AI139" s="133">
        <f t="shared" si="73"/>
        <v>6277.7354697262235</v>
      </c>
      <c r="AJ139" s="133">
        <f t="shared" si="73"/>
        <v>5685.7530189047811</v>
      </c>
      <c r="AK139" s="133">
        <f t="shared" si="73"/>
        <v>5242.4767876290171</v>
      </c>
      <c r="AL139" s="133">
        <f t="shared" si="73"/>
        <v>4674.713403357584</v>
      </c>
      <c r="AM139" s="133">
        <f t="shared" si="73"/>
        <v>5351.9385094685549</v>
      </c>
      <c r="AN139" s="133">
        <f t="shared" si="73"/>
        <v>5142.4687444457913</v>
      </c>
      <c r="AO139" s="133">
        <f t="shared" si="73"/>
        <v>4780.6718404559397</v>
      </c>
      <c r="AP139" s="133">
        <f t="shared" si="73"/>
        <v>4629.2630216826601</v>
      </c>
      <c r="AQ139" s="133">
        <f t="shared" si="73"/>
        <v>4411.2204380857293</v>
      </c>
      <c r="AR139" s="133">
        <f t="shared" si="73"/>
        <v>4166.1213106088935</v>
      </c>
      <c r="AS139" s="133">
        <f t="shared" si="73"/>
        <v>4038.1288542770189</v>
      </c>
      <c r="AT139" s="133">
        <f t="shared" si="73"/>
        <v>3971.307114329531</v>
      </c>
      <c r="AU139" s="133">
        <f t="shared" si="73"/>
        <v>3859.4629018871465</v>
      </c>
      <c r="AV139" s="133">
        <f t="shared" si="73"/>
        <v>3713.248598211117</v>
      </c>
      <c r="AW139" s="133">
        <f t="shared" si="73"/>
        <v>3589.0782705075735</v>
      </c>
      <c r="AX139" s="133">
        <f t="shared" si="73"/>
        <v>3418.2514277042983</v>
      </c>
      <c r="AY139" s="133">
        <f t="shared" si="73"/>
        <v>3244.4967315191279</v>
      </c>
    </row>
    <row r="140" spans="1:51" x14ac:dyDescent="0.2">
      <c r="A140" s="19" t="s">
        <v>169</v>
      </c>
      <c r="B140" s="129">
        <f>'Monthly Data'!AO346*42/1000</f>
        <v>5124.1679999999997</v>
      </c>
      <c r="C140" s="129">
        <f>'Monthly Data'!AO358*42/1000</f>
        <v>5484.5280000000002</v>
      </c>
      <c r="D140" s="129">
        <f>'Monthly Data'!AO370*42/1000</f>
        <v>5314.0079999999998</v>
      </c>
      <c r="E140" s="129">
        <f>'Monthly Data'!AO382*42/1000</f>
        <v>5492.6760000000004</v>
      </c>
      <c r="F140" s="129">
        <f>'Monthly Data'!AO394*42/1000</f>
        <v>5840.4780000000001</v>
      </c>
      <c r="G140" s="129">
        <f>'Monthly Data'!AO406*42/1000</f>
        <v>6093.4859999999999</v>
      </c>
      <c r="H140" s="129">
        <f>'Monthly Data'!AO418*42/1000</f>
        <v>5651.8980000000001</v>
      </c>
      <c r="I140" s="129">
        <f>'Monthly Data'!AO430*42/1000</f>
        <v>5584.866</v>
      </c>
      <c r="J140" s="129">
        <f>'Monthly Data'!AO442*42/1000</f>
        <v>7083.2579999999998</v>
      </c>
      <c r="K140" s="129">
        <f>'Monthly Data'!AO454*42/1000</f>
        <v>7154.0280000000002</v>
      </c>
      <c r="L140" s="129">
        <f>'Monthly Data'!AO466*42/1000</f>
        <v>6512.6880000000001</v>
      </c>
      <c r="M140" s="129">
        <f>'Monthly Data'!AO478*42/1000</f>
        <v>5346.9780000000001</v>
      </c>
      <c r="N140" s="129">
        <f>'Monthly Data'!AO490*42/1000</f>
        <v>5420.52</v>
      </c>
      <c r="O140" s="129">
        <f>'Monthly Data'!AO502*42/1000</f>
        <v>5389.1459999999997</v>
      </c>
      <c r="P140" s="129">
        <f>'Monthly Data'!AO514*42/1000</f>
        <v>6406.2179999999998</v>
      </c>
      <c r="Q140" s="129">
        <f>'Monthly Data'!AO526*42/1000</f>
        <v>6734.1959999999999</v>
      </c>
      <c r="R140" s="129">
        <f>'Monthly Data'!AO538*42/1000</f>
        <v>6207.8519999999999</v>
      </c>
      <c r="S140" s="129">
        <f>'Monthly Data'!$AO550*42/1000</f>
        <v>5555.1719999999996</v>
      </c>
      <c r="T140" s="129">
        <f>'Monthly Data'!$AO562*42/1000</f>
        <v>5696.7120000000004</v>
      </c>
      <c r="U140" s="129">
        <f>'Monthly Data'!$AO574*42/1000</f>
        <v>7550.0460000000003</v>
      </c>
      <c r="V140" s="129">
        <f>'Monthly Data'!$AO586*42/1000</f>
        <v>5780.25</v>
      </c>
      <c r="W140" s="129">
        <f>'Monthly Data'!$AO598*42/1000</f>
        <v>4751.1239999999998</v>
      </c>
      <c r="X140" s="129">
        <f>'Monthly Data'!$AO610*42/1000</f>
        <v>4909.38</v>
      </c>
      <c r="Y140" s="129">
        <f>'Monthly Data'!$AO622*42/1000</f>
        <v>5268.7740000000003</v>
      </c>
      <c r="Z140" s="133">
        <f t="shared" si="73"/>
        <v>5705.8094831116459</v>
      </c>
      <c r="AA140" s="133">
        <f t="shared" si="73"/>
        <v>7096.7751533795981</v>
      </c>
      <c r="AB140" s="133">
        <f t="shared" si="73"/>
        <v>7243.5899369795698</v>
      </c>
      <c r="AC140" s="133">
        <f t="shared" si="73"/>
        <v>7320.8145503397227</v>
      </c>
      <c r="AD140" s="133">
        <f t="shared" si="73"/>
        <v>7511.0639780475431</v>
      </c>
      <c r="AE140" s="133">
        <f t="shared" si="73"/>
        <v>7144.7642489744185</v>
      </c>
      <c r="AF140" s="133">
        <f t="shared" si="73"/>
        <v>6958.0676614608228</v>
      </c>
      <c r="AG140" s="133">
        <f t="shared" si="73"/>
        <v>6506.2103736154049</v>
      </c>
      <c r="AH140" s="133">
        <f t="shared" si="73"/>
        <v>6838.4214969396144</v>
      </c>
      <c r="AI140" s="133">
        <f t="shared" si="73"/>
        <v>6270.1992274826134</v>
      </c>
      <c r="AJ140" s="133">
        <f t="shared" si="73"/>
        <v>5692.5030301427596</v>
      </c>
      <c r="AK140" s="133">
        <f t="shared" si="73"/>
        <v>5211.7897375018138</v>
      </c>
      <c r="AL140" s="133">
        <f t="shared" si="73"/>
        <v>4663.5260806763854</v>
      </c>
      <c r="AM140" s="133">
        <f t="shared" si="73"/>
        <v>5377.8042941324275</v>
      </c>
      <c r="AN140" s="133">
        <f t="shared" si="73"/>
        <v>5148.1450053686149</v>
      </c>
      <c r="AO140" s="133">
        <f t="shared" si="73"/>
        <v>4775.4095806992755</v>
      </c>
      <c r="AP140" s="133">
        <f t="shared" si="73"/>
        <v>4623.5410969812028</v>
      </c>
      <c r="AQ140" s="133">
        <f t="shared" si="73"/>
        <v>4399.9273148660086</v>
      </c>
      <c r="AR140" s="133">
        <f t="shared" si="73"/>
        <v>4165.4378788999747</v>
      </c>
      <c r="AS140" s="133">
        <f t="shared" si="73"/>
        <v>4037.9880670361754</v>
      </c>
      <c r="AT140" s="133">
        <f t="shared" si="73"/>
        <v>3967.0719863056183</v>
      </c>
      <c r="AU140" s="133">
        <f t="shared" si="73"/>
        <v>3853.413201592361</v>
      </c>
      <c r="AV140" s="133">
        <f t="shared" si="73"/>
        <v>3709.2381232833777</v>
      </c>
      <c r="AW140" s="133">
        <f t="shared" si="73"/>
        <v>3580.1793448793869</v>
      </c>
      <c r="AX140" s="133">
        <f t="shared" si="73"/>
        <v>3406.816162118329</v>
      </c>
      <c r="AY140" s="133">
        <f t="shared" si="73"/>
        <v>3232.9456511837634</v>
      </c>
    </row>
    <row r="141" spans="1:51" x14ac:dyDescent="0.2">
      <c r="A141" s="19" t="s">
        <v>170</v>
      </c>
      <c r="B141" s="129">
        <f>'Monthly Data'!AO347*42/1000</f>
        <v>5333.6220000000003</v>
      </c>
      <c r="C141" s="129">
        <f>'Monthly Data'!AO359*42/1000</f>
        <v>5327.826</v>
      </c>
      <c r="D141" s="129">
        <f>'Monthly Data'!AO371*42/1000</f>
        <v>5514.3059999999996</v>
      </c>
      <c r="E141" s="129">
        <f>'Monthly Data'!AO383*42/1000</f>
        <v>5170.0739999999996</v>
      </c>
      <c r="F141" s="129">
        <f>'Monthly Data'!AO395*42/1000</f>
        <v>5364.1980000000003</v>
      </c>
      <c r="G141" s="129">
        <f>'Monthly Data'!AO407*42/1000</f>
        <v>6270.9359999999997</v>
      </c>
      <c r="H141" s="129">
        <f>'Monthly Data'!AO419*42/1000</f>
        <v>5637.9120000000003</v>
      </c>
      <c r="I141" s="129">
        <f>'Monthly Data'!AO431*42/1000</f>
        <v>5362.518</v>
      </c>
      <c r="J141" s="129">
        <f>'Monthly Data'!AO443*42/1000</f>
        <v>7254.7020000000002</v>
      </c>
      <c r="K141" s="129">
        <f>'Monthly Data'!AO455*42/1000</f>
        <v>7002.87</v>
      </c>
      <c r="L141" s="129">
        <f>'Monthly Data'!AO467*42/1000</f>
        <v>6442.7579999999998</v>
      </c>
      <c r="M141" s="129">
        <f>'Monthly Data'!AO479*42/1000</f>
        <v>5350.1279999999997</v>
      </c>
      <c r="N141" s="129">
        <f>'Monthly Data'!AO491*42/1000</f>
        <v>5431.692</v>
      </c>
      <c r="O141" s="129">
        <f>'Monthly Data'!AO503*42/1000</f>
        <v>5520.3119999999999</v>
      </c>
      <c r="P141" s="129">
        <f>'Monthly Data'!AO515*42/1000</f>
        <v>6274.9260000000004</v>
      </c>
      <c r="Q141" s="129">
        <f>'Monthly Data'!AO527*42/1000</f>
        <v>6764.1419999999998</v>
      </c>
      <c r="R141" s="129">
        <f>'Monthly Data'!AO539*42/1000</f>
        <v>5767.902</v>
      </c>
      <c r="S141" s="129">
        <f>'Monthly Data'!$AO551*42/1000</f>
        <v>5764.4579999999996</v>
      </c>
      <c r="T141" s="129">
        <f>'Monthly Data'!$AO563*42/1000</f>
        <v>5537.1959999999999</v>
      </c>
      <c r="U141" s="129">
        <f>'Monthly Data'!$AO575*42/1000</f>
        <v>7245.0839999999998</v>
      </c>
      <c r="V141" s="129">
        <f>'Monthly Data'!$AO587*42/1000</f>
        <v>5547.99</v>
      </c>
      <c r="W141" s="129">
        <f>'Monthly Data'!$AO599*42/1000</f>
        <v>4642.3019999999997</v>
      </c>
      <c r="X141" s="129">
        <f>'Monthly Data'!$AO611*42/1000</f>
        <v>5005.1400000000003</v>
      </c>
      <c r="Y141" s="129">
        <f>'Monthly Data'!$AO623*42/1000</f>
        <v>5220.4319999999998</v>
      </c>
      <c r="Z141" s="133">
        <f t="shared" si="73"/>
        <v>5600.2616464446446</v>
      </c>
      <c r="AA141" s="133">
        <f t="shared" si="73"/>
        <v>7123.2785622613264</v>
      </c>
      <c r="AB141" s="133">
        <f t="shared" si="73"/>
        <v>7146.7566086396237</v>
      </c>
      <c r="AC141" s="133">
        <f t="shared" si="73"/>
        <v>7271.4435472491623</v>
      </c>
      <c r="AD141" s="133">
        <f t="shared" si="73"/>
        <v>7437.2219725244886</v>
      </c>
      <c r="AE141" s="133">
        <f t="shared" si="73"/>
        <v>7069.564656773945</v>
      </c>
      <c r="AF141" s="133">
        <f t="shared" si="73"/>
        <v>6899.3021675764921</v>
      </c>
      <c r="AG141" s="133">
        <f t="shared" si="73"/>
        <v>6423.4376902653503</v>
      </c>
      <c r="AH141" s="133">
        <f t="shared" si="73"/>
        <v>6776.5314558750488</v>
      </c>
      <c r="AI141" s="133">
        <f t="shared" si="73"/>
        <v>6205.568802357303</v>
      </c>
      <c r="AJ141" s="133">
        <f t="shared" si="73"/>
        <v>5644.0004778750335</v>
      </c>
      <c r="AK141" s="133">
        <f t="shared" si="73"/>
        <v>5133.1143931790803</v>
      </c>
      <c r="AL141" s="133">
        <f t="shared" si="73"/>
        <v>4607.50642592858</v>
      </c>
      <c r="AM141" s="133">
        <f t="shared" si="73"/>
        <v>5351.7637264512377</v>
      </c>
      <c r="AN141" s="133">
        <f t="shared" si="73"/>
        <v>5103.544847275225</v>
      </c>
      <c r="AO141" s="133">
        <f t="shared" si="73"/>
        <v>4723.0416240599534</v>
      </c>
      <c r="AP141" s="133">
        <f t="shared" si="73"/>
        <v>4572.3497992545308</v>
      </c>
      <c r="AQ141" s="133">
        <f t="shared" si="73"/>
        <v>4344.7982092796865</v>
      </c>
      <c r="AR141" s="133">
        <f t="shared" si="73"/>
        <v>4121.1279663193918</v>
      </c>
      <c r="AS141" s="133">
        <f t="shared" si="73"/>
        <v>3994.8253457454312</v>
      </c>
      <c r="AT141" s="133">
        <f t="shared" si="73"/>
        <v>3920.5754509286689</v>
      </c>
      <c r="AU141" s="133">
        <f t="shared" si="73"/>
        <v>3805.9211082868342</v>
      </c>
      <c r="AV141" s="133">
        <f t="shared" si="73"/>
        <v>3664.7062976970583</v>
      </c>
      <c r="AW141" s="133">
        <f t="shared" si="73"/>
        <v>3531.7570093082968</v>
      </c>
      <c r="AX141" s="133">
        <f t="shared" si="73"/>
        <v>3357.0013037023496</v>
      </c>
      <c r="AY141" s="133">
        <f t="shared" si="73"/>
        <v>3184.0372084336545</v>
      </c>
    </row>
    <row r="142" spans="1:51" x14ac:dyDescent="0.2">
      <c r="A142" s="19" t="s">
        <v>171</v>
      </c>
      <c r="B142" s="129">
        <f>'Monthly Data'!AO348*42/1000</f>
        <v>5414.598</v>
      </c>
      <c r="C142" s="129">
        <f>'Monthly Data'!AO360*42/1000</f>
        <v>5100.1859999999997</v>
      </c>
      <c r="D142" s="129">
        <f>'Monthly Data'!AO372*42/1000</f>
        <v>5546.8140000000003</v>
      </c>
      <c r="E142" s="129">
        <f>'Monthly Data'!AO384*42/1000</f>
        <v>4969.6499999999996</v>
      </c>
      <c r="F142" s="129">
        <f>'Monthly Data'!AO396*42/1000</f>
        <v>5237.82</v>
      </c>
      <c r="G142" s="129">
        <f>'Monthly Data'!AO408*42/1000</f>
        <v>5999.4059999999999</v>
      </c>
      <c r="H142" s="129">
        <f>'Monthly Data'!AO420*42/1000</f>
        <v>5646.1019999999999</v>
      </c>
      <c r="I142" s="129">
        <f>'Monthly Data'!AO432*42/1000</f>
        <v>5358.99</v>
      </c>
      <c r="J142" s="129">
        <f>'Monthly Data'!AO444*42/1000</f>
        <v>7188.8879999999999</v>
      </c>
      <c r="K142" s="129">
        <f>'Monthly Data'!AO456*42/1000</f>
        <v>6783.42</v>
      </c>
      <c r="L142" s="129">
        <f>'Monthly Data'!AO468*42/1000</f>
        <v>5977.7340000000004</v>
      </c>
      <c r="M142" s="129">
        <f>'Monthly Data'!AO480*42/1000</f>
        <v>4983.4260000000004</v>
      </c>
      <c r="N142" s="129">
        <f>'Monthly Data'!AO492*42/1000</f>
        <v>4957.47</v>
      </c>
      <c r="O142" s="129">
        <f>'Monthly Data'!AO504*42/1000</f>
        <v>5055.6239999999998</v>
      </c>
      <c r="P142" s="129">
        <f>'Monthly Data'!AO516*42/1000</f>
        <v>6032.25</v>
      </c>
      <c r="Q142" s="129">
        <f>'Monthly Data'!AO528*42/1000</f>
        <v>6498.03</v>
      </c>
      <c r="R142" s="129">
        <f>'Monthly Data'!AO540*42/1000</f>
        <v>5462.2259999999997</v>
      </c>
      <c r="S142" s="129">
        <f>'Monthly Data'!$AO552*42/1000</f>
        <v>5240.4660000000003</v>
      </c>
      <c r="T142" s="129">
        <f>'Monthly Data'!$AO564*42/1000</f>
        <v>5043.0659999999998</v>
      </c>
      <c r="U142" s="129">
        <f>'Monthly Data'!$AO576*42/1000</f>
        <v>6561.87</v>
      </c>
      <c r="V142" s="129">
        <f>'Monthly Data'!$AO588*42/1000</f>
        <v>5578.0619999999999</v>
      </c>
      <c r="W142" s="129">
        <f>'Monthly Data'!$AO600*42/1000</f>
        <v>4640.6639999999998</v>
      </c>
      <c r="X142" s="129">
        <f>'Monthly Data'!$AO612*42/1000</f>
        <v>4638.1859999999997</v>
      </c>
      <c r="Y142" s="129">
        <f>'Monthly Data'!$AO624*42/1000</f>
        <v>4950.12</v>
      </c>
      <c r="Z142" s="133">
        <f t="shared" si="73"/>
        <v>5380.926556008234</v>
      </c>
      <c r="AA142" s="133">
        <f t="shared" si="73"/>
        <v>7145.5141958056865</v>
      </c>
      <c r="AB142" s="133">
        <f t="shared" si="73"/>
        <v>6882.0155425313096</v>
      </c>
      <c r="AC142" s="133">
        <f t="shared" si="73"/>
        <v>6998.9578301844886</v>
      </c>
      <c r="AD142" s="133">
        <f t="shared" si="73"/>
        <v>7204.9687256719071</v>
      </c>
      <c r="AE142" s="133">
        <f t="shared" si="73"/>
        <v>6858.2306341148615</v>
      </c>
      <c r="AF142" s="133">
        <f t="shared" si="73"/>
        <v>6702.7474376918417</v>
      </c>
      <c r="AG142" s="133">
        <f t="shared" si="73"/>
        <v>6180.2361504108194</v>
      </c>
      <c r="AH142" s="133">
        <f t="shared" si="73"/>
        <v>6552.9659304896568</v>
      </c>
      <c r="AI142" s="133">
        <f t="shared" si="73"/>
        <v>5996.6756917001057</v>
      </c>
      <c r="AJ142" s="133">
        <f t="shared" si="73"/>
        <v>5459.6035189792719</v>
      </c>
      <c r="AK142" s="133">
        <f t="shared" si="73"/>
        <v>4916.4512445056307</v>
      </c>
      <c r="AL142" s="133">
        <f t="shared" si="73"/>
        <v>4416.1388514494465</v>
      </c>
      <c r="AM142" s="133">
        <f t="shared" si="73"/>
        <v>5187.9604640007092</v>
      </c>
      <c r="AN142" s="133">
        <f t="shared" si="73"/>
        <v>4925.0182932328426</v>
      </c>
      <c r="AO142" s="133">
        <f t="shared" si="73"/>
        <v>4539.7637351925005</v>
      </c>
      <c r="AP142" s="133">
        <f t="shared" si="73"/>
        <v>4391.4250119376056</v>
      </c>
      <c r="AQ142" s="133">
        <f t="shared" si="73"/>
        <v>4162.0604304130575</v>
      </c>
      <c r="AR142" s="133">
        <f t="shared" si="73"/>
        <v>3952.1376267842961</v>
      </c>
      <c r="AS142" s="133">
        <f t="shared" si="73"/>
        <v>3828.7970218583268</v>
      </c>
      <c r="AT142" s="133">
        <f t="shared" si="73"/>
        <v>3752.1171188759936</v>
      </c>
      <c r="AU142" s="133">
        <f t="shared" si="73"/>
        <v>3637.785473307762</v>
      </c>
      <c r="AV142" s="133">
        <f t="shared" si="73"/>
        <v>3501.7368707014048</v>
      </c>
      <c r="AW142" s="133">
        <f t="shared" si="73"/>
        <v>3366.4477533408626</v>
      </c>
      <c r="AX142" s="133">
        <f t="shared" si="73"/>
        <v>3192.2114607530802</v>
      </c>
      <c r="AY142" s="133">
        <f t="shared" si="73"/>
        <v>3022.1117762573358</v>
      </c>
    </row>
    <row r="143" spans="1:51" x14ac:dyDescent="0.2">
      <c r="A143" s="19" t="s">
        <v>172</v>
      </c>
      <c r="B143" s="129">
        <f>'Monthly Data'!AO349*42/1000</f>
        <v>5835.6059999999998</v>
      </c>
      <c r="C143" s="129">
        <f>'Monthly Data'!AO361*42/1000</f>
        <v>5224.9260000000004</v>
      </c>
      <c r="D143" s="129">
        <f>'Monthly Data'!AO373*42/1000</f>
        <v>5717.7539999999999</v>
      </c>
      <c r="E143" s="129">
        <f>'Monthly Data'!AO385*42/1000</f>
        <v>5174.5680000000002</v>
      </c>
      <c r="F143" s="129">
        <f>'Monthly Data'!AO397*42/1000</f>
        <v>5614.7280000000001</v>
      </c>
      <c r="G143" s="129">
        <f>'Monthly Data'!AO409*42/1000</f>
        <v>5906.2920000000004</v>
      </c>
      <c r="H143" s="129">
        <f>'Monthly Data'!AO421*42/1000</f>
        <v>5661.6</v>
      </c>
      <c r="I143" s="129">
        <f>'Monthly Data'!AO433*42/1000</f>
        <v>5706.7920000000004</v>
      </c>
      <c r="J143" s="129">
        <f>'Monthly Data'!AO445*42/1000</f>
        <v>7187.25</v>
      </c>
      <c r="K143" s="129">
        <f>'Monthly Data'!AO457*42/1000</f>
        <v>6803.6220000000003</v>
      </c>
      <c r="L143" s="129">
        <f>'Monthly Data'!AO469*42/1000</f>
        <v>6041.9939999999997</v>
      </c>
      <c r="M143" s="129">
        <f>'Monthly Data'!AO481*42/1000</f>
        <v>4955.7060000000001</v>
      </c>
      <c r="N143" s="129">
        <f>'Monthly Data'!AO493*42/1000</f>
        <v>5086.9560000000001</v>
      </c>
      <c r="O143" s="129">
        <f>'Monthly Data'!AO505*42/1000</f>
        <v>5301.03</v>
      </c>
      <c r="P143" s="129">
        <f>'Monthly Data'!AO517*42/1000</f>
        <v>6602.82</v>
      </c>
      <c r="Q143" s="129">
        <f>'Monthly Data'!AO529*42/1000</f>
        <v>6773.6760000000004</v>
      </c>
      <c r="R143" s="129">
        <f>'Monthly Data'!AO541*42/1000</f>
        <v>5602.2539999999999</v>
      </c>
      <c r="S143" s="129">
        <f>'Monthly Data'!$AO553*42/1000</f>
        <v>5314.8059999999996</v>
      </c>
      <c r="T143" s="129">
        <f>'Monthly Data'!$AO565*42/1000</f>
        <v>5301.2820000000002</v>
      </c>
      <c r="U143" s="129">
        <f>'Monthly Data'!$AO577*42/1000</f>
        <v>6602.61</v>
      </c>
      <c r="V143" s="129">
        <f>'Monthly Data'!$AO589*42/1000</f>
        <v>5531.0640000000003</v>
      </c>
      <c r="W143" s="129">
        <f>'Monthly Data'!$AO601*42/1000</f>
        <v>5065.2420000000002</v>
      </c>
      <c r="X143" s="129">
        <f>'Monthly Data'!$AO613*42/1000</f>
        <v>4778.8860000000004</v>
      </c>
      <c r="Y143" s="129">
        <f>'Monthly Data'!$AO625*42/1000</f>
        <v>5251.47</v>
      </c>
      <c r="Z143" s="133">
        <f t="shared" si="73"/>
        <v>5824.3024590330642</v>
      </c>
      <c r="AA143" s="133">
        <f t="shared" si="73"/>
        <v>7610.6704742345419</v>
      </c>
      <c r="AB143" s="133">
        <f t="shared" si="73"/>
        <v>7180.4183514491033</v>
      </c>
      <c r="AC143" s="133">
        <f t="shared" si="73"/>
        <v>7316.1093130324252</v>
      </c>
      <c r="AD143" s="133">
        <f t="shared" si="73"/>
        <v>7563.5619716332212</v>
      </c>
      <c r="AE143" s="133">
        <f t="shared" si="73"/>
        <v>7228.3524050727883</v>
      </c>
      <c r="AF143" s="133">
        <f t="shared" si="73"/>
        <v>7066.5327558065419</v>
      </c>
      <c r="AG143" s="133">
        <f t="shared" si="73"/>
        <v>6509.7763497537871</v>
      </c>
      <c r="AH143" s="133">
        <f t="shared" si="73"/>
        <v>6903.8032906143635</v>
      </c>
      <c r="AI143" s="133">
        <f t="shared" si="73"/>
        <v>6352.5210946411007</v>
      </c>
      <c r="AJ143" s="133">
        <f t="shared" si="73"/>
        <v>5829.0530812858069</v>
      </c>
      <c r="AK143" s="133">
        <f t="shared" si="73"/>
        <v>5250.3512896641278</v>
      </c>
      <c r="AL143" s="133">
        <f t="shared" si="73"/>
        <v>4770.6319587033277</v>
      </c>
      <c r="AM143" s="133">
        <f t="shared" si="73"/>
        <v>5571.4983891087304</v>
      </c>
      <c r="AN143" s="133">
        <f t="shared" si="73"/>
        <v>5289.2335559278172</v>
      </c>
      <c r="AO143" s="133">
        <f t="shared" si="73"/>
        <v>4893.5924297680958</v>
      </c>
      <c r="AP143" s="133">
        <f t="shared" si="73"/>
        <v>4743.8999208281775</v>
      </c>
      <c r="AQ143" s="133">
        <f t="shared" si="73"/>
        <v>4508.8621475650525</v>
      </c>
      <c r="AR143" s="133">
        <f t="shared" si="73"/>
        <v>4308.1076489394136</v>
      </c>
      <c r="AS143" s="133">
        <f t="shared" si="73"/>
        <v>4184.241718999423</v>
      </c>
      <c r="AT143" s="133">
        <f t="shared" si="73"/>
        <v>4102.4121981515</v>
      </c>
      <c r="AU143" s="133">
        <f t="shared" ref="AU143:AY144" si="74">AU142+AU31+AU47-AU79-AU127</f>
        <v>3985.2270748882429</v>
      </c>
      <c r="AV143" s="133">
        <f t="shared" si="74"/>
        <v>3850.2981486111548</v>
      </c>
      <c r="AW143" s="133">
        <f t="shared" si="74"/>
        <v>3709.3410600432289</v>
      </c>
      <c r="AX143" s="133">
        <f t="shared" si="74"/>
        <v>3531.8524119385538</v>
      </c>
      <c r="AY143" s="133">
        <f t="shared" si="74"/>
        <v>3360.7659067508162</v>
      </c>
    </row>
    <row r="144" spans="1:51" x14ac:dyDescent="0.2">
      <c r="A144" s="19" t="s">
        <v>173</v>
      </c>
      <c r="B144" s="129">
        <f>'Monthly Data'!AO350*42/1000</f>
        <v>6069.5460000000003</v>
      </c>
      <c r="C144" s="129">
        <f>'Monthly Data'!AO362*42/1000</f>
        <v>5631.57</v>
      </c>
      <c r="D144" s="129">
        <f>'Monthly Data'!AO374*42/1000</f>
        <v>5734.7640000000001</v>
      </c>
      <c r="E144" s="129">
        <f>'Monthly Data'!AO386*42/1000</f>
        <v>5303.424</v>
      </c>
      <c r="F144" s="129">
        <f>'Monthly Data'!AO398*42/1000</f>
        <v>5712.924</v>
      </c>
      <c r="G144" s="129">
        <f>'Monthly Data'!AO410*42/1000</f>
        <v>6033.3419999999996</v>
      </c>
      <c r="H144" s="129">
        <f>'Monthly Data'!AO422*42/1000</f>
        <v>5625.6480000000001</v>
      </c>
      <c r="I144" s="129">
        <f>'Monthly Data'!AO434*42/1000</f>
        <v>6132.5460000000003</v>
      </c>
      <c r="J144" s="129">
        <f>'Monthly Data'!AO446*42/1000</f>
        <v>6970.4880000000003</v>
      </c>
      <c r="K144" s="129">
        <f>'Monthly Data'!AO458*42/1000</f>
        <v>6900.8519999999999</v>
      </c>
      <c r="L144" s="129">
        <f>'Monthly Data'!AO470*42/1000</f>
        <v>6266.9040000000005</v>
      </c>
      <c r="M144" s="129">
        <f>'Monthly Data'!AO482*42/1000</f>
        <v>5661.9780000000001</v>
      </c>
      <c r="N144" s="129">
        <f>'Monthly Data'!AO494*42/1000</f>
        <v>5356.8059999999996</v>
      </c>
      <c r="O144" s="129">
        <f>'Monthly Data'!AO506*42/1000</f>
        <v>5724.0119999999997</v>
      </c>
      <c r="P144" s="129">
        <f>'Monthly Data'!AO518*42/1000</f>
        <v>6775.692</v>
      </c>
      <c r="Q144" s="129">
        <f>'Monthly Data'!AO530*42/1000</f>
        <v>6975.99</v>
      </c>
      <c r="R144" s="129">
        <f>'Monthly Data'!AO542*42/1000</f>
        <v>6116.7960000000003</v>
      </c>
      <c r="S144" s="129">
        <f>'Monthly Data'!$AO554*42/1000</f>
        <v>5886.8040000000001</v>
      </c>
      <c r="T144" s="129">
        <f>'Monthly Data'!$AO566*42/1000</f>
        <v>5883.4859999999999</v>
      </c>
      <c r="U144" s="129">
        <f>'Monthly Data'!$AO578*42/1000</f>
        <v>6769.8959999999997</v>
      </c>
      <c r="V144" s="129">
        <f>'Monthly Data'!$AO590*42/1000</f>
        <v>5461.6379999999999</v>
      </c>
      <c r="W144" s="129">
        <f>'Monthly Data'!$AO602*42/1000</f>
        <v>4993.7579999999998</v>
      </c>
      <c r="X144" s="129">
        <f>'Monthly Data'!$AO614*42/1000</f>
        <v>5489.9459999999999</v>
      </c>
      <c r="Y144" s="129">
        <f>'Monthly Data'!$AO626*42/1000</f>
        <v>5474.1959999999999</v>
      </c>
      <c r="Z144" s="133">
        <f t="shared" ref="Z144:AT144" si="75">Z143+Z32+Z48-Z80-Z128</f>
        <v>6186.7400786625358</v>
      </c>
      <c r="AA144" s="133">
        <f t="shared" si="75"/>
        <v>7811.4415908142328</v>
      </c>
      <c r="AB144" s="133">
        <f t="shared" si="75"/>
        <v>7496.7694875324596</v>
      </c>
      <c r="AC144" s="133">
        <f t="shared" si="75"/>
        <v>7583.4756955101693</v>
      </c>
      <c r="AD144" s="133">
        <f t="shared" si="75"/>
        <v>7188.2253661557006</v>
      </c>
      <c r="AE144" s="133">
        <f t="shared" si="75"/>
        <v>6977.7886163226249</v>
      </c>
      <c r="AF144" s="133">
        <f t="shared" si="75"/>
        <v>6782.7630621544231</v>
      </c>
      <c r="AG144" s="133">
        <f t="shared" si="75"/>
        <v>6923.8784098151064</v>
      </c>
      <c r="AH144" s="133">
        <f t="shared" si="75"/>
        <v>6319.3506704492102</v>
      </c>
      <c r="AI144" s="133">
        <f t="shared" si="75"/>
        <v>5597.7698536034823</v>
      </c>
      <c r="AJ144" s="133">
        <f t="shared" si="75"/>
        <v>5371.6628517857234</v>
      </c>
      <c r="AK144" s="133">
        <f t="shared" si="75"/>
        <v>4631.9523631792563</v>
      </c>
      <c r="AL144" s="133">
        <f t="shared" si="75"/>
        <v>5115.5942204749581</v>
      </c>
      <c r="AM144" s="133">
        <f t="shared" si="75"/>
        <v>5024.9528084148706</v>
      </c>
      <c r="AN144" s="133">
        <f t="shared" si="75"/>
        <v>4710.8178521024402</v>
      </c>
      <c r="AO144" s="133">
        <f t="shared" si="75"/>
        <v>4550.3254170204691</v>
      </c>
      <c r="AP144" s="133">
        <f t="shared" si="75"/>
        <v>4353.3682604892056</v>
      </c>
      <c r="AQ144" s="133">
        <f t="shared" si="75"/>
        <v>4026.4921516420609</v>
      </c>
      <c r="AR144" s="133">
        <f t="shared" si="75"/>
        <v>3886.4773667661675</v>
      </c>
      <c r="AS144" s="133">
        <f t="shared" si="75"/>
        <v>3840.9429234062409</v>
      </c>
      <c r="AT144" s="133">
        <f t="shared" si="75"/>
        <v>3733.4950169227304</v>
      </c>
      <c r="AU144" s="133">
        <f t="shared" si="74"/>
        <v>3561.8609041971531</v>
      </c>
      <c r="AV144" s="133">
        <f t="shared" si="74"/>
        <v>3461.3958784740444</v>
      </c>
      <c r="AW144" s="133">
        <f t="shared" si="74"/>
        <v>3296.0483107166501</v>
      </c>
      <c r="AX144" s="133">
        <f t="shared" si="74"/>
        <v>3111.8629875051029</v>
      </c>
      <c r="AY144" s="133">
        <f t="shared" si="74"/>
        <v>2938.2464796843524</v>
      </c>
    </row>
    <row r="145" spans="1:51" x14ac:dyDescent="0.2">
      <c r="A145" s="114"/>
      <c r="B145" s="140"/>
      <c r="C145" s="140"/>
      <c r="D145" s="140"/>
      <c r="E145" s="140"/>
      <c r="F145" s="140"/>
      <c r="G145" s="140"/>
      <c r="H145" s="140"/>
      <c r="I145" s="140"/>
      <c r="J145" s="140"/>
      <c r="K145" s="140"/>
      <c r="L145" s="140"/>
      <c r="M145" s="140"/>
      <c r="N145" s="140"/>
      <c r="O145" s="140"/>
      <c r="P145" s="140"/>
      <c r="Q145" s="140"/>
      <c r="R145" s="140"/>
      <c r="S145" s="140"/>
      <c r="T145" s="140"/>
      <c r="U145" s="140"/>
      <c r="V145" s="140"/>
      <c r="W145" s="140"/>
      <c r="X145" s="178"/>
      <c r="Y145" s="178"/>
      <c r="Z145" s="178"/>
      <c r="AA145" s="178"/>
      <c r="AB145" s="178"/>
      <c r="AC145" s="178"/>
      <c r="AD145" s="178"/>
      <c r="AE145" s="178"/>
      <c r="AF145" s="178"/>
      <c r="AG145" s="178"/>
      <c r="AH145" s="178"/>
      <c r="AI145" s="178"/>
      <c r="AJ145" s="178"/>
      <c r="AK145" s="178"/>
      <c r="AL145" s="178"/>
      <c r="AM145" s="178"/>
      <c r="AN145" s="178"/>
      <c r="AO145" s="178"/>
      <c r="AP145" s="178"/>
      <c r="AQ145" s="178"/>
      <c r="AR145" s="178"/>
      <c r="AS145" s="178"/>
      <c r="AT145" s="178"/>
      <c r="AU145" s="178"/>
      <c r="AV145" s="178"/>
      <c r="AW145" s="178"/>
      <c r="AX145" s="178"/>
      <c r="AY145" s="178"/>
    </row>
    <row r="159" spans="1:51" x14ac:dyDescent="0.2">
      <c r="AD159" s="265"/>
    </row>
    <row r="160" spans="1:51" x14ac:dyDescent="0.2">
      <c r="A160" s="121"/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0" manualMin="0" displayEmptyCellsAs="gap" xr2:uid="{6E553198-1052-4F0D-810B-EF5E57549B7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Diesel!AG85:AG96</xm:f>
              <xm:sqref>AG97</xm:sqref>
            </x14:sparkline>
            <x14:sparkline>
              <xm:f>Diesel!AF85:AF96</xm:f>
              <xm:sqref>AF97</xm:sqref>
            </x14:sparkline>
            <x14:sparkline>
              <xm:f>Diesel!AE85:AE96</xm:f>
              <xm:sqref>AE97</xm:sqref>
            </x14:sparkline>
            <x14:sparkline>
              <xm:f>Diesel!AD85:AD96</xm:f>
              <xm:sqref>AD97</xm:sqref>
            </x14:sparkline>
            <x14:sparkline>
              <xm:f>Diesel!AC85:AC96</xm:f>
              <xm:sqref>AC97</xm:sqref>
            </x14:sparkline>
            <x14:sparkline>
              <xm:f>Diesel!AB85:AB96</xm:f>
              <xm:sqref>AB97</xm:sqref>
            </x14:sparkline>
            <x14:sparkline>
              <xm:f>Diesel!AA85:AA96</xm:f>
              <xm:sqref>AA97</xm:sqref>
            </x14:sparkline>
            <x14:sparkline>
              <xm:f>Diesel!Z85:Z96</xm:f>
              <xm:sqref>Z97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Data Sources</vt:lpstr>
      <vt:lpstr>Capacity</vt:lpstr>
      <vt:lpstr>Annual data</vt:lpstr>
      <vt:lpstr>Monthly Data</vt:lpstr>
      <vt:lpstr>BD</vt:lpstr>
      <vt:lpstr>RD</vt:lpstr>
      <vt:lpstr>SAF</vt:lpstr>
      <vt:lpstr>Jet Fuel</vt:lpstr>
      <vt:lpstr>Diesel</vt:lpstr>
      <vt:lpstr>BD!Print_Area</vt:lpstr>
      <vt:lpstr>RD!Print_Area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2025-07-17T09:36:10Z</dcterms:created>
  <dcterms:modified xsi:type="dcterms:W3CDTF">2026-02-13T11:19:22Z</dcterms:modified>
</cp:coreProperties>
</file>