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rem\Dropbox\HigbyBarrett\Data and Reports\"/>
    </mc:Choice>
  </mc:AlternateContent>
  <xr:revisionPtr revIDLastSave="0" documentId="8_{91A9A270-B6CA-4849-8215-94047B982B97}" xr6:coauthVersionLast="47" xr6:coauthVersionMax="47" xr10:uidLastSave="{00000000-0000-0000-0000-000000000000}"/>
  <bookViews>
    <workbookView xWindow="4140" yWindow="-12450" windowWidth="21600" windowHeight="11775" xr2:uid="{F465F619-8C7D-4D28-A3B6-C50890111D11}"/>
  </bookViews>
  <sheets>
    <sheet name="Sheet2 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8" i="1" l="1"/>
</calcChain>
</file>

<file path=xl/sharedStrings.xml><?xml version="1.0" encoding="utf-8"?>
<sst xmlns="http://schemas.openxmlformats.org/spreadsheetml/2006/main" count="106" uniqueCount="74">
  <si>
    <t>UAN New Orleans, $/tonne</t>
  </si>
  <si>
    <t>Urea New Orleans, $/tonne</t>
  </si>
  <si>
    <t>DAP Tampa, $/tonne</t>
  </si>
  <si>
    <t>Fertilizer</t>
  </si>
  <si>
    <t>National Weekly Ag Energy Round-Up</t>
  </si>
  <si>
    <t>NW_GR210</t>
  </si>
  <si>
    <t>EIA Diesel Prices</t>
  </si>
  <si>
    <t>X</t>
  </si>
  <si>
    <t>Midwest, $/gal.</t>
  </si>
  <si>
    <t>Farm Diesel:</t>
  </si>
  <si>
    <t>IA, $/gal.</t>
  </si>
  <si>
    <t>Ethanol:</t>
  </si>
  <si>
    <t>Class III, CME Futures, Spot Month, $/cwt.</t>
  </si>
  <si>
    <t>Milk:</t>
  </si>
  <si>
    <t>Oklahoma City, Steers, 450-500 lb., $/cwt.</t>
  </si>
  <si>
    <t>Oklahoma City, Steers, 500-550 lb., $/cwt.</t>
  </si>
  <si>
    <t>AMS_1281</t>
  </si>
  <si>
    <t>Oklahoma City, Steers, 750-800 lb., $/cwt.</t>
  </si>
  <si>
    <t>Feeder Cattle:</t>
  </si>
  <si>
    <t>AMS_2485</t>
  </si>
  <si>
    <t>NE, $/cwt.</t>
  </si>
  <si>
    <t>Choice Steers:</t>
  </si>
  <si>
    <t>AMS_2810</t>
  </si>
  <si>
    <t>National Avg., 40 lbs., $/head</t>
  </si>
  <si>
    <t>Feeder Pigs:</t>
  </si>
  <si>
    <t>AMS_2675</t>
  </si>
  <si>
    <t>National Base, $/carcass wt.</t>
  </si>
  <si>
    <t>Hogs:</t>
  </si>
  <si>
    <t>AMS_2887</t>
  </si>
  <si>
    <t>Sunflower Price</t>
  </si>
  <si>
    <t>Fargo, ND, Nu Sun, $/cwt.</t>
  </si>
  <si>
    <t>Sunflower:</t>
  </si>
  <si>
    <t>Minneapolis, MN, No.2, heavy, $/bu.</t>
  </si>
  <si>
    <t>Oats:</t>
  </si>
  <si>
    <t>Golden Triangle</t>
  </si>
  <si>
    <t>AMS_2771</t>
  </si>
  <si>
    <t>MT, feed, $/cwt.</t>
  </si>
  <si>
    <t>Barley:</t>
  </si>
  <si>
    <t>AR, Long Grain, $/cwt.</t>
  </si>
  <si>
    <t>Rice:</t>
  </si>
  <si>
    <t>CNWWCMR</t>
  </si>
  <si>
    <t>Daily Report</t>
  </si>
  <si>
    <t>ET-ST, 41-4-34, cents/lb.</t>
  </si>
  <si>
    <t>Cotton:</t>
  </si>
  <si>
    <t>US #2 Sorghum KC Terminal/Mills/Processors</t>
  </si>
  <si>
    <t>AMS_2932</t>
  </si>
  <si>
    <t>St. Louis, MS River ($/bu)</t>
  </si>
  <si>
    <t>Sorghum:</t>
  </si>
  <si>
    <t>US #1 Durum Wheat</t>
  </si>
  <si>
    <t>Northeast MT, No. 1 HAD, $/bu.</t>
  </si>
  <si>
    <t>Portland, OR, SWW, $/bu.</t>
  </si>
  <si>
    <t>St. Louis, MO, SRW, $/bu.</t>
  </si>
  <si>
    <t>US #1 Milling NS/DNS Wheat 14%</t>
  </si>
  <si>
    <t>AMS_3046</t>
  </si>
  <si>
    <t>Minneapolis, MN, 14 pct, DNS, $/bu.</t>
  </si>
  <si>
    <t>Kansas City, MO, HRW, $/bu.</t>
  </si>
  <si>
    <t>Historic</t>
  </si>
  <si>
    <t>Current</t>
  </si>
  <si>
    <t>Wheat:</t>
  </si>
  <si>
    <t>Decatur, IL, 48 pct, ton</t>
  </si>
  <si>
    <t>Soybean Meal:</t>
  </si>
  <si>
    <t>St. Louis, MO, $/bu.</t>
  </si>
  <si>
    <t>S. Central IL, $/bu.</t>
  </si>
  <si>
    <t>Soybeans:</t>
  </si>
  <si>
    <t>Northwest, IA, $/ton</t>
  </si>
  <si>
    <t>Northeast, IA, $/ton</t>
  </si>
  <si>
    <t>DDGs:</t>
  </si>
  <si>
    <t>Omaha, NE, $/bu.</t>
  </si>
  <si>
    <t>South Central, IL $/bu.</t>
  </si>
  <si>
    <t>Corn:</t>
  </si>
  <si>
    <t>Year Ago</t>
  </si>
  <si>
    <t>Last Week</t>
  </si>
  <si>
    <t>This Week</t>
  </si>
  <si>
    <t>#N/A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</si>
</sst>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1" x14ac:knownFonts="1">
    <font>
      <sz val="10"/>
      <color theme="1"/>
      <name val="Arial Narrow"/>
      <family val="2"/>
    </font>
    <font>
      <sz val="10"/>
      <color theme="1"/>
      <name val="Arial Narrow"/>
      <family val="2"/>
    </font>
    <font>
      <sz val="9"/>
      <color theme="1"/>
      <name val="Abadi"/>
      <family val="2"/>
    </font>
    <font>
      <sz val="10"/>
      <color theme="1"/>
      <name val="Abadi"/>
      <family val="2"/>
    </font>
    <font>
      <sz val="11"/>
      <name val="Arial"/>
      <family val="2"/>
    </font>
    <font>
      <b/>
      <sz val="11"/>
      <color theme="3"/>
      <name val="Arial Narrow"/>
      <family val="2"/>
    </font>
    <font>
      <sz val="10"/>
      <name val="Arial"/>
      <family val="2"/>
    </font>
    <font>
      <sz val="10"/>
      <color theme="0"/>
      <name val="Arial Narrow"/>
      <family val="2"/>
    </font>
    <font>
      <sz val="9"/>
      <color theme="0"/>
      <name val="Abadi"/>
      <family val="2"/>
    </font>
    <font>
      <b/>
      <sz val="11"/>
      <name val="Arial"/>
      <family val="2"/>
    </font>
    <font>
      <u/>
      <sz val="10"/>
      <color theme="1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61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1" applyNumberFormat="0" applyFill="0" applyAlignment="0" applyProtection="0"/>
    <xf numFmtId="0" fontId="5" fillId="0" borderId="0" applyNumberFormat="0" applyFill="0" applyBorder="0" applyAlignment="0" applyProtection="0"/>
    <xf numFmtId="0" fontId="10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9" fontId="0" fillId="0" borderId="0" xfId="2" applyFont="1"/>
    <xf numFmtId="43" fontId="4" fillId="2" borderId="0" xfId="1" applyFont="1" applyFill="1" applyBorder="1" applyAlignment="1">
      <alignment horizontal="right" vertical="center"/>
    </xf>
    <xf numFmtId="0" fontId="4" fillId="2" borderId="0" xfId="3" applyFont="1" applyFill="1" applyBorder="1"/>
    <xf numFmtId="0" fontId="3" fillId="2" borderId="0" xfId="0" applyFont="1" applyFill="1"/>
    <xf numFmtId="43" fontId="6" fillId="2" borderId="0" xfId="1" applyFont="1" applyFill="1" applyBorder="1" applyAlignment="1">
      <alignment horizontal="right" vertical="center"/>
    </xf>
    <xf numFmtId="0" fontId="0" fillId="3" borderId="0" xfId="0" applyFill="1"/>
    <xf numFmtId="0" fontId="7" fillId="2" borderId="0" xfId="0" applyFont="1" applyFill="1"/>
    <xf numFmtId="0" fontId="8" fillId="2" borderId="0" xfId="0" applyFont="1" applyFill="1"/>
    <xf numFmtId="0" fontId="9" fillId="2" borderId="0" xfId="3" applyFont="1" applyFill="1" applyBorder="1"/>
    <xf numFmtId="0" fontId="10" fillId="0" borderId="0" xfId="5"/>
    <xf numFmtId="43" fontId="0" fillId="0" borderId="0" xfId="0" applyNumberFormat="1"/>
    <xf numFmtId="43" fontId="4" fillId="4" borderId="0" xfId="1" applyFont="1" applyFill="1" applyBorder="1" applyAlignment="1">
      <alignment horizontal="right" vertical="center"/>
    </xf>
    <xf numFmtId="0" fontId="4" fillId="4" borderId="0" xfId="3" applyFont="1" applyFill="1" applyBorder="1"/>
    <xf numFmtId="0" fontId="9" fillId="4" borderId="0" xfId="3" applyFont="1" applyFill="1" applyBorder="1"/>
    <xf numFmtId="43" fontId="4" fillId="5" borderId="0" xfId="1" applyFont="1" applyFill="1" applyBorder="1" applyAlignment="1">
      <alignment horizontal="right" vertical="center"/>
    </xf>
    <xf numFmtId="0" fontId="4" fillId="5" borderId="0" xfId="3" applyFont="1" applyFill="1" applyBorder="1"/>
    <xf numFmtId="0" fontId="9" fillId="5" borderId="0" xfId="3" applyFont="1" applyFill="1" applyBorder="1"/>
    <xf numFmtId="43" fontId="4" fillId="5" borderId="0" xfId="1" applyFont="1" applyFill="1" applyBorder="1" applyAlignment="1">
      <alignment horizontal="center" vertical="center"/>
    </xf>
    <xf numFmtId="43" fontId="4" fillId="6" borderId="0" xfId="1" applyFont="1" applyFill="1" applyBorder="1" applyAlignment="1">
      <alignment horizontal="right" vertical="center"/>
    </xf>
    <xf numFmtId="0" fontId="4" fillId="6" borderId="0" xfId="3" applyFont="1" applyFill="1" applyBorder="1"/>
    <xf numFmtId="0" fontId="9" fillId="6" borderId="0" xfId="3" applyFont="1" applyFill="1" applyBorder="1"/>
    <xf numFmtId="43" fontId="4" fillId="6" borderId="0" xfId="1" applyFont="1" applyFill="1" applyBorder="1" applyAlignment="1">
      <alignment horizontal="center" vertical="center"/>
    </xf>
    <xf numFmtId="0" fontId="4" fillId="6" borderId="0" xfId="3" applyFont="1" applyFill="1" applyBorder="1" applyAlignment="1">
      <alignment vertical="center"/>
    </xf>
    <xf numFmtId="14" fontId="6" fillId="6" borderId="0" xfId="3" applyNumberFormat="1" applyFont="1" applyFill="1" applyBorder="1" applyAlignment="1">
      <alignment horizontal="center" vertical="center"/>
    </xf>
    <xf numFmtId="0" fontId="9" fillId="6" borderId="0" xfId="4" applyFont="1" applyFill="1" applyBorder="1" applyAlignment="1">
      <alignment horizontal="center" vertical="center"/>
    </xf>
    <xf numFmtId="0" fontId="4" fillId="6" borderId="0" xfId="0" applyFont="1" applyFill="1"/>
    <xf numFmtId="0" fontId="2" fillId="3" borderId="0" xfId="0" applyFont="1" applyFill="1"/>
    <xf numFmtId="0" fontId="3" fillId="3" borderId="0" xfId="0" applyFont="1" applyFill="1"/>
  </cellXfs>
  <cellStyles count="6">
    <cellStyle name="Comma" xfId="1" builtinId="3"/>
    <cellStyle name="Heading 3" xfId="3" builtinId="18"/>
    <cellStyle name="Heading 4" xfId="4" builtinId="19"/>
    <cellStyle name="Hyperlink" xfId="5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petroleum/gasdiesel/" TargetMode="External"/><Relationship Id="rId2" Type="http://schemas.openxmlformats.org/officeDocument/2006/relationships/hyperlink" Target="https://www.ams.usda.gov/mnreports/cnddsq.pdf" TargetMode="External"/><Relationship Id="rId1" Type="http://schemas.openxmlformats.org/officeDocument/2006/relationships/hyperlink" Target="https://www.sunflowernsa.com/growers/Marketing/daily-oilseed-sunflower-price/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472E1-C574-4422-8D8D-6DEE4FD14796}">
  <dimension ref="A1:R61"/>
  <sheetViews>
    <sheetView tabSelected="1" zoomScale="93" zoomScaleNormal="93" workbookViewId="0">
      <selection activeCell="D3" sqref="D3:F52"/>
    </sheetView>
  </sheetViews>
  <sheetFormatPr defaultColWidth="9" defaultRowHeight="12.75" x14ac:dyDescent="0.2"/>
  <cols>
    <col min="2" max="2" width="1.83203125" style="2" customWidth="1"/>
    <col min="3" max="3" width="39.1640625" style="1" bestFit="1" customWidth="1"/>
    <col min="4" max="6" width="11.6640625" customWidth="1"/>
  </cols>
  <sheetData>
    <row r="1" spans="1:16" x14ac:dyDescent="0.2">
      <c r="A1" s="8"/>
      <c r="B1" s="30"/>
      <c r="C1" s="29"/>
      <c r="D1" s="8"/>
      <c r="E1" s="8"/>
      <c r="F1" s="8"/>
      <c r="G1" s="8"/>
    </row>
    <row r="2" spans="1:16" ht="15" x14ac:dyDescent="0.2">
      <c r="A2" s="8"/>
      <c r="B2" s="28"/>
      <c r="C2" s="28"/>
      <c r="D2" s="27" t="s">
        <v>72</v>
      </c>
      <c r="E2" s="27" t="s">
        <v>71</v>
      </c>
      <c r="F2" s="27" t="s">
        <v>70</v>
      </c>
      <c r="G2" s="8"/>
    </row>
    <row r="3" spans="1:16" ht="15.75" customHeight="1" x14ac:dyDescent="0.25">
      <c r="A3" s="8"/>
      <c r="B3" s="23"/>
      <c r="C3" s="23"/>
      <c r="D3" s="26">
        <v>45722</v>
      </c>
      <c r="E3" s="26">
        <v>45715</v>
      </c>
      <c r="F3" s="26">
        <v>45357</v>
      </c>
      <c r="G3" s="8"/>
    </row>
    <row r="4" spans="1:16" ht="12.75" customHeight="1" x14ac:dyDescent="0.25">
      <c r="A4" s="8"/>
      <c r="B4" s="23" t="s">
        <v>69</v>
      </c>
      <c r="C4" s="23"/>
      <c r="D4" s="25"/>
      <c r="E4" s="25"/>
      <c r="F4" s="25"/>
      <c r="G4" s="8"/>
    </row>
    <row r="5" spans="1:16" ht="12.75" customHeight="1" x14ac:dyDescent="0.25">
      <c r="A5" s="8"/>
      <c r="B5" s="23"/>
      <c r="C5" s="22" t="s">
        <v>68</v>
      </c>
      <c r="D5" s="21">
        <v>4.5</v>
      </c>
      <c r="E5" s="21">
        <v>4.68</v>
      </c>
      <c r="F5" s="21">
        <v>4.3600000000000003</v>
      </c>
      <c r="G5" s="8"/>
    </row>
    <row r="6" spans="1:16" ht="12.75" customHeight="1" x14ac:dyDescent="0.25">
      <c r="A6" s="8"/>
      <c r="B6" s="23"/>
      <c r="C6" s="22" t="s">
        <v>67</v>
      </c>
      <c r="D6" s="21">
        <v>4.3475000000000001</v>
      </c>
      <c r="E6" s="21">
        <v>4.4550000000000001</v>
      </c>
      <c r="F6" s="21">
        <v>4.4325000000000001</v>
      </c>
      <c r="G6" s="8"/>
    </row>
    <row r="7" spans="1:16" ht="12.75" customHeight="1" x14ac:dyDescent="0.25">
      <c r="A7" s="8"/>
      <c r="B7" s="23" t="s">
        <v>66</v>
      </c>
      <c r="C7" s="23"/>
      <c r="D7" s="21"/>
      <c r="E7" s="21"/>
      <c r="F7" s="21"/>
      <c r="G7" s="8"/>
    </row>
    <row r="8" spans="1:16" ht="12.75" customHeight="1" x14ac:dyDescent="0.25">
      <c r="A8" s="8"/>
      <c r="B8" s="23"/>
      <c r="C8" s="22" t="s">
        <v>65</v>
      </c>
      <c r="D8" s="24" t="s">
        <v>73</v>
      </c>
      <c r="E8" s="24">
        <v>151.66999999999999</v>
      </c>
      <c r="F8" s="21">
        <v>177.5</v>
      </c>
      <c r="G8" s="8"/>
    </row>
    <row r="9" spans="1:16" ht="12.75" customHeight="1" x14ac:dyDescent="0.25">
      <c r="A9" s="8"/>
      <c r="B9" s="23"/>
      <c r="C9" s="22" t="s">
        <v>64</v>
      </c>
      <c r="D9" s="24" t="s">
        <v>73</v>
      </c>
      <c r="E9" s="24">
        <v>147.33000000000001</v>
      </c>
      <c r="F9" s="21">
        <v>175.2</v>
      </c>
      <c r="G9" s="8"/>
    </row>
    <row r="10" spans="1:16" ht="12.75" customHeight="1" x14ac:dyDescent="0.25">
      <c r="A10" s="8"/>
      <c r="B10" s="23" t="s">
        <v>63</v>
      </c>
      <c r="C10" s="23"/>
      <c r="D10" s="21"/>
      <c r="E10" s="21"/>
      <c r="F10" s="21"/>
      <c r="G10" s="8"/>
    </row>
    <row r="11" spans="1:16" ht="12.75" customHeight="1" x14ac:dyDescent="0.25">
      <c r="A11" s="8"/>
      <c r="B11" s="23"/>
      <c r="C11" s="22" t="s">
        <v>62</v>
      </c>
      <c r="D11" s="21">
        <v>9.8000000000000007</v>
      </c>
      <c r="E11" s="21">
        <v>10.039999999999999</v>
      </c>
      <c r="F11" s="21">
        <v>11.74</v>
      </c>
      <c r="G11" s="8"/>
    </row>
    <row r="12" spans="1:16" ht="12.75" customHeight="1" x14ac:dyDescent="0.25">
      <c r="A12" s="8"/>
      <c r="B12" s="23"/>
      <c r="C12" s="22" t="s">
        <v>61</v>
      </c>
      <c r="D12" s="21">
        <v>10.15</v>
      </c>
      <c r="E12" s="21">
        <v>10.130000000000001</v>
      </c>
      <c r="F12" s="21">
        <v>12.07</v>
      </c>
      <c r="G12" s="8"/>
    </row>
    <row r="13" spans="1:16" ht="12.75" customHeight="1" x14ac:dyDescent="0.25">
      <c r="A13" s="8"/>
      <c r="B13" s="23" t="s">
        <v>60</v>
      </c>
      <c r="C13" s="23"/>
      <c r="D13" s="21"/>
      <c r="E13" s="21"/>
      <c r="F13" s="21"/>
      <c r="G13" s="8"/>
    </row>
    <row r="14" spans="1:16" ht="12.75" customHeight="1" x14ac:dyDescent="0.25">
      <c r="A14" s="8"/>
      <c r="B14" s="23"/>
      <c r="C14" s="22" t="s">
        <v>59</v>
      </c>
      <c r="D14" s="21">
        <v>276.8</v>
      </c>
      <c r="E14" s="24">
        <v>277.2</v>
      </c>
      <c r="F14" s="21">
        <v>347.4</v>
      </c>
      <c r="G14" s="8"/>
    </row>
    <row r="15" spans="1:16" ht="12.75" customHeight="1" x14ac:dyDescent="0.25">
      <c r="A15" s="8"/>
      <c r="B15" s="23" t="s">
        <v>58</v>
      </c>
      <c r="C15" s="23"/>
      <c r="D15" s="21"/>
      <c r="E15" s="21"/>
      <c r="F15" s="21"/>
      <c r="G15" s="8"/>
      <c r="O15" t="s">
        <v>57</v>
      </c>
      <c r="P15" t="s">
        <v>56</v>
      </c>
    </row>
    <row r="16" spans="1:16" ht="12.75" customHeight="1" x14ac:dyDescent="0.25">
      <c r="A16" s="8"/>
      <c r="B16" s="23"/>
      <c r="C16" s="22" t="s">
        <v>55</v>
      </c>
      <c r="D16" s="21">
        <v>6.34</v>
      </c>
      <c r="E16" s="21">
        <v>6.41</v>
      </c>
      <c r="F16" s="21">
        <v>7.08</v>
      </c>
      <c r="G16" s="8"/>
    </row>
    <row r="17" spans="1:18" ht="12.75" customHeight="1" x14ac:dyDescent="0.25">
      <c r="A17" s="8"/>
      <c r="B17" s="23"/>
      <c r="C17" s="22" t="s">
        <v>54</v>
      </c>
      <c r="D17" s="21">
        <v>7.7050000000000001</v>
      </c>
      <c r="E17" s="21">
        <v>7.6775000000000002</v>
      </c>
      <c r="F17" s="21">
        <v>8.3774999999999995</v>
      </c>
      <c r="G17" s="8"/>
      <c r="O17" t="s">
        <v>53</v>
      </c>
      <c r="P17" t="s">
        <v>53</v>
      </c>
      <c r="R17" t="s">
        <v>52</v>
      </c>
    </row>
    <row r="18" spans="1:18" ht="12.75" customHeight="1" x14ac:dyDescent="0.25">
      <c r="A18" s="8"/>
      <c r="B18" s="23"/>
      <c r="C18" s="22" t="s">
        <v>51</v>
      </c>
      <c r="D18" s="21">
        <v>5.48</v>
      </c>
      <c r="E18" s="21">
        <v>5.56</v>
      </c>
      <c r="F18" s="21">
        <v>5.43</v>
      </c>
      <c r="G18" s="8"/>
    </row>
    <row r="19" spans="1:18" ht="12.75" customHeight="1" x14ac:dyDescent="0.25">
      <c r="A19" s="8"/>
      <c r="B19" s="23"/>
      <c r="C19" s="22" t="s">
        <v>50</v>
      </c>
      <c r="D19" s="21">
        <v>6.17</v>
      </c>
      <c r="E19" s="21">
        <v>5.89</v>
      </c>
      <c r="F19" s="21">
        <v>10.125</v>
      </c>
      <c r="G19" s="8"/>
    </row>
    <row r="20" spans="1:18" ht="12.75" customHeight="1" x14ac:dyDescent="0.25">
      <c r="A20" s="8"/>
      <c r="B20" s="23"/>
      <c r="C20" s="22" t="s">
        <v>49</v>
      </c>
      <c r="D20" s="21">
        <v>6.875</v>
      </c>
      <c r="E20" s="21">
        <v>6.6875</v>
      </c>
      <c r="F20" s="21">
        <v>7.6875</v>
      </c>
      <c r="G20" s="8"/>
      <c r="I20" t="s">
        <v>7</v>
      </c>
      <c r="O20" t="s">
        <v>35</v>
      </c>
      <c r="P20" t="s">
        <v>35</v>
      </c>
      <c r="R20" t="s">
        <v>48</v>
      </c>
    </row>
    <row r="21" spans="1:18" ht="12.75" customHeight="1" x14ac:dyDescent="0.25">
      <c r="A21" s="8"/>
      <c r="B21" s="23" t="s">
        <v>47</v>
      </c>
      <c r="C21" s="23"/>
      <c r="D21" s="21"/>
      <c r="E21" s="21"/>
      <c r="F21" s="21"/>
      <c r="G21" s="8"/>
    </row>
    <row r="22" spans="1:18" ht="12.75" customHeight="1" x14ac:dyDescent="0.25">
      <c r="A22" s="8"/>
      <c r="B22" s="23"/>
      <c r="C22" s="22" t="s">
        <v>46</v>
      </c>
      <c r="D22" s="21">
        <v>3.8075000000000001</v>
      </c>
      <c r="E22" s="21">
        <v>4.2975000000000003</v>
      </c>
      <c r="F22" s="21">
        <v>4.4874999999999998</v>
      </c>
      <c r="G22" s="8"/>
      <c r="I22" t="s">
        <v>7</v>
      </c>
      <c r="O22" t="s">
        <v>45</v>
      </c>
      <c r="P22" t="s">
        <v>45</v>
      </c>
      <c r="R22" t="s">
        <v>44</v>
      </c>
    </row>
    <row r="23" spans="1:18" ht="12.75" customHeight="1" x14ac:dyDescent="0.25">
      <c r="A23" s="8"/>
      <c r="B23" s="23" t="s">
        <v>43</v>
      </c>
      <c r="C23" s="23"/>
      <c r="D23" s="21"/>
      <c r="E23" s="21"/>
      <c r="F23" s="21"/>
      <c r="G23" s="8"/>
    </row>
    <row r="24" spans="1:18" ht="12.75" customHeight="1" x14ac:dyDescent="0.25">
      <c r="A24" s="8"/>
      <c r="B24" s="23"/>
      <c r="C24" s="22" t="s">
        <v>42</v>
      </c>
      <c r="D24" s="21">
        <v>58.17</v>
      </c>
      <c r="E24" s="21">
        <v>60.66</v>
      </c>
      <c r="F24" s="21">
        <v>87.78</v>
      </c>
      <c r="G24" s="8"/>
      <c r="I24" t="s">
        <v>7</v>
      </c>
      <c r="O24" s="12" t="s">
        <v>41</v>
      </c>
      <c r="P24" t="s">
        <v>40</v>
      </c>
    </row>
    <row r="25" spans="1:18" ht="12.75" customHeight="1" x14ac:dyDescent="0.25">
      <c r="A25" s="8"/>
      <c r="B25" s="23" t="s">
        <v>39</v>
      </c>
      <c r="C25" s="23"/>
      <c r="D25" s="21"/>
      <c r="E25" s="21"/>
      <c r="F25" s="21"/>
      <c r="G25" s="8"/>
    </row>
    <row r="26" spans="1:18" ht="12.75" customHeight="1" x14ac:dyDescent="0.25">
      <c r="A26" s="8"/>
      <c r="B26" s="23"/>
      <c r="C26" s="22" t="s">
        <v>38</v>
      </c>
      <c r="D26" s="21">
        <v>34.5</v>
      </c>
      <c r="E26" s="21">
        <v>34.5</v>
      </c>
      <c r="F26" s="21">
        <v>34.5</v>
      </c>
      <c r="G26" s="8"/>
    </row>
    <row r="27" spans="1:18" ht="12.75" customHeight="1" x14ac:dyDescent="0.25">
      <c r="A27" s="8"/>
      <c r="B27" s="23" t="s">
        <v>37</v>
      </c>
      <c r="C27" s="23"/>
      <c r="D27" s="21"/>
      <c r="E27" s="21"/>
      <c r="F27" s="21"/>
      <c r="G27" s="8"/>
    </row>
    <row r="28" spans="1:18" ht="12.75" customHeight="1" x14ac:dyDescent="0.25">
      <c r="A28" s="8"/>
      <c r="B28" s="23"/>
      <c r="C28" s="22" t="s">
        <v>36</v>
      </c>
      <c r="D28" s="21">
        <v>3</v>
      </c>
      <c r="E28" s="21">
        <v>3.4</v>
      </c>
      <c r="F28" s="21">
        <v>3.4249999999999998</v>
      </c>
      <c r="G28" s="8"/>
      <c r="I28" t="s">
        <v>7</v>
      </c>
      <c r="O28" t="s">
        <v>35</v>
      </c>
      <c r="P28" t="s">
        <v>35</v>
      </c>
      <c r="R28" t="s">
        <v>34</v>
      </c>
    </row>
    <row r="29" spans="1:18" ht="12.75" customHeight="1" x14ac:dyDescent="0.25">
      <c r="A29" s="8"/>
      <c r="B29" s="23" t="s">
        <v>33</v>
      </c>
      <c r="C29" s="23"/>
      <c r="D29" s="21"/>
      <c r="E29" s="21"/>
      <c r="F29" s="21"/>
      <c r="G29" s="8"/>
    </row>
    <row r="30" spans="1:18" ht="12.75" customHeight="1" x14ac:dyDescent="0.25">
      <c r="A30" s="8"/>
      <c r="B30" s="23"/>
      <c r="C30" s="22" t="s">
        <v>32</v>
      </c>
      <c r="D30" s="21">
        <v>4.21</v>
      </c>
      <c r="E30" s="21">
        <v>4.0999999999999996</v>
      </c>
      <c r="F30" s="21">
        <v>4.1900000000000004</v>
      </c>
      <c r="G30" s="8"/>
    </row>
    <row r="31" spans="1:18" ht="12.75" customHeight="1" x14ac:dyDescent="0.25">
      <c r="A31" s="8"/>
      <c r="B31" s="23" t="s">
        <v>31</v>
      </c>
      <c r="C31" s="23"/>
      <c r="D31" s="21"/>
      <c r="E31" s="21"/>
      <c r="F31" s="21"/>
      <c r="G31" s="8"/>
    </row>
    <row r="32" spans="1:18" ht="12.75" customHeight="1" x14ac:dyDescent="0.25">
      <c r="A32" s="8"/>
      <c r="B32" s="23"/>
      <c r="C32" s="22" t="s">
        <v>30</v>
      </c>
      <c r="D32" s="21" t="e">
        <v>#N/A</v>
      </c>
      <c r="E32" s="21">
        <v>14.5</v>
      </c>
      <c r="F32" s="21" t="e">
        <v>#N/A</v>
      </c>
      <c r="G32" s="8"/>
      <c r="I32" t="s">
        <v>7</v>
      </c>
      <c r="L32" s="12" t="s">
        <v>29</v>
      </c>
      <c r="O32" t="s">
        <v>28</v>
      </c>
      <c r="P32" t="s">
        <v>28</v>
      </c>
    </row>
    <row r="33" spans="1:18" ht="12.75" customHeight="1" x14ac:dyDescent="0.25">
      <c r="A33" s="8"/>
      <c r="B33" s="19" t="s">
        <v>27</v>
      </c>
      <c r="C33" s="19"/>
      <c r="D33" s="17"/>
      <c r="E33" s="17"/>
      <c r="F33" s="17"/>
      <c r="G33" s="8"/>
    </row>
    <row r="34" spans="1:18" ht="12.75" customHeight="1" x14ac:dyDescent="0.25">
      <c r="A34" s="8"/>
      <c r="B34" s="19"/>
      <c r="C34" s="18" t="s">
        <v>26</v>
      </c>
      <c r="D34" s="17">
        <v>90.28</v>
      </c>
      <c r="E34" s="17">
        <v>89.86</v>
      </c>
      <c r="F34" s="17">
        <v>74.63</v>
      </c>
      <c r="G34" s="8"/>
      <c r="I34" t="s">
        <v>7</v>
      </c>
      <c r="O34" t="s">
        <v>25</v>
      </c>
      <c r="P34" t="s">
        <v>25</v>
      </c>
    </row>
    <row r="35" spans="1:18" ht="12.75" customHeight="1" x14ac:dyDescent="0.25">
      <c r="A35" s="8"/>
      <c r="B35" s="19" t="s">
        <v>24</v>
      </c>
      <c r="C35" s="19"/>
      <c r="D35" s="17"/>
      <c r="E35" s="17"/>
      <c r="F35" s="17"/>
      <c r="G35" s="8"/>
    </row>
    <row r="36" spans="1:18" ht="12.75" customHeight="1" x14ac:dyDescent="0.25">
      <c r="A36" s="8"/>
      <c r="B36" s="19"/>
      <c r="C36" s="18" t="s">
        <v>23</v>
      </c>
      <c r="D36" s="17">
        <v>109.15</v>
      </c>
      <c r="E36" s="17">
        <v>115.58</v>
      </c>
      <c r="F36" s="17">
        <v>85.45</v>
      </c>
      <c r="G36" s="8"/>
      <c r="I36" t="s">
        <v>7</v>
      </c>
      <c r="O36" t="s">
        <v>22</v>
      </c>
      <c r="P36" t="s">
        <v>22</v>
      </c>
    </row>
    <row r="37" spans="1:18" ht="12.75" customHeight="1" x14ac:dyDescent="0.25">
      <c r="A37" s="8"/>
      <c r="B37" s="19" t="s">
        <v>21</v>
      </c>
      <c r="C37" s="19"/>
      <c r="D37" s="17"/>
      <c r="E37" s="17"/>
      <c r="F37" s="17"/>
      <c r="G37" s="8"/>
    </row>
    <row r="38" spans="1:18" ht="12.75" customHeight="1" x14ac:dyDescent="0.25">
      <c r="A38" s="8"/>
      <c r="B38" s="19"/>
      <c r="C38" s="18" t="s">
        <v>20</v>
      </c>
      <c r="D38" s="17">
        <v>197.81</v>
      </c>
      <c r="E38" s="17">
        <v>199.61</v>
      </c>
      <c r="F38" s="17">
        <v>183.47</v>
      </c>
      <c r="G38" s="8"/>
      <c r="I38" t="s">
        <v>7</v>
      </c>
      <c r="O38" t="s">
        <v>19</v>
      </c>
      <c r="P38" t="s">
        <v>19</v>
      </c>
    </row>
    <row r="39" spans="1:18" ht="12.75" customHeight="1" x14ac:dyDescent="0.25">
      <c r="A39" s="8"/>
      <c r="B39" s="19" t="s">
        <v>18</v>
      </c>
      <c r="C39" s="19"/>
      <c r="D39" s="17"/>
      <c r="E39" s="17"/>
      <c r="F39" s="17"/>
      <c r="G39" s="8"/>
    </row>
    <row r="40" spans="1:18" ht="12.75" customHeight="1" x14ac:dyDescent="0.25">
      <c r="A40" s="8"/>
      <c r="B40" s="19"/>
      <c r="C40" s="18" t="s">
        <v>17</v>
      </c>
      <c r="D40" s="17">
        <v>274.55</v>
      </c>
      <c r="E40" s="17">
        <v>283.64</v>
      </c>
      <c r="F40" s="20">
        <v>233.5</v>
      </c>
      <c r="G40" s="8"/>
      <c r="I40" t="s">
        <v>7</v>
      </c>
      <c r="O40" t="s">
        <v>16</v>
      </c>
      <c r="P40" t="s">
        <v>16</v>
      </c>
    </row>
    <row r="41" spans="1:18" ht="12.75" customHeight="1" x14ac:dyDescent="0.25">
      <c r="A41" s="8"/>
      <c r="B41" s="19"/>
      <c r="C41" s="18" t="s">
        <v>15</v>
      </c>
      <c r="D41" s="17">
        <v>369.34</v>
      </c>
      <c r="E41" s="17">
        <v>362.3</v>
      </c>
      <c r="F41" s="20">
        <v>308.55</v>
      </c>
      <c r="G41" s="8"/>
      <c r="I41" t="s">
        <v>7</v>
      </c>
    </row>
    <row r="42" spans="1:18" ht="12.75" customHeight="1" x14ac:dyDescent="0.25">
      <c r="A42" s="8"/>
      <c r="B42" s="19"/>
      <c r="C42" s="18" t="s">
        <v>14</v>
      </c>
      <c r="D42" s="17">
        <v>382.34</v>
      </c>
      <c r="E42" s="17">
        <v>375.95</v>
      </c>
      <c r="F42" s="20">
        <v>338.62</v>
      </c>
      <c r="G42" s="8"/>
      <c r="I42" t="s">
        <v>7</v>
      </c>
    </row>
    <row r="43" spans="1:18" ht="12.75" customHeight="1" x14ac:dyDescent="0.25">
      <c r="A43" s="8"/>
      <c r="B43" s="19" t="s">
        <v>13</v>
      </c>
      <c r="C43" s="19"/>
      <c r="D43" s="17"/>
      <c r="E43" s="17"/>
      <c r="F43" s="17"/>
      <c r="G43" s="8"/>
    </row>
    <row r="44" spans="1:18" ht="12.75" customHeight="1" x14ac:dyDescent="0.25">
      <c r="A44" s="8"/>
      <c r="B44" s="19"/>
      <c r="C44" s="18" t="s">
        <v>12</v>
      </c>
      <c r="D44" s="17">
        <v>18.32</v>
      </c>
      <c r="E44" s="17">
        <v>20.23</v>
      </c>
      <c r="F44" s="17">
        <v>16.579999999999998</v>
      </c>
      <c r="G44" s="8"/>
    </row>
    <row r="45" spans="1:18" ht="12.75" customHeight="1" x14ac:dyDescent="0.25">
      <c r="A45" s="8"/>
      <c r="B45" s="16" t="s">
        <v>11</v>
      </c>
      <c r="C45" s="16"/>
      <c r="D45" s="14"/>
      <c r="E45" s="14"/>
      <c r="F45" s="14"/>
      <c r="G45" s="8"/>
    </row>
    <row r="46" spans="1:18" ht="12.75" customHeight="1" x14ac:dyDescent="0.25">
      <c r="A46" s="8"/>
      <c r="B46" s="16"/>
      <c r="C46" s="15" t="s">
        <v>10</v>
      </c>
      <c r="D46" s="14">
        <v>1.6063000000000001</v>
      </c>
      <c r="E46" s="14">
        <v>1.5786</v>
      </c>
      <c r="F46" s="14">
        <v>1.3619000000000001</v>
      </c>
      <c r="G46" s="8"/>
    </row>
    <row r="47" spans="1:18" ht="12.75" customHeight="1" x14ac:dyDescent="0.25">
      <c r="A47" s="8"/>
      <c r="B47" s="16" t="s">
        <v>9</v>
      </c>
      <c r="C47" s="16"/>
      <c r="D47" s="14"/>
      <c r="E47" s="14"/>
      <c r="F47" s="14"/>
      <c r="G47" s="8"/>
      <c r="J47">
        <v>-0.36799999999999999</v>
      </c>
    </row>
    <row r="48" spans="1:18" ht="12.75" customHeight="1" x14ac:dyDescent="0.25">
      <c r="A48" s="8"/>
      <c r="B48" s="16"/>
      <c r="C48" s="15" t="s">
        <v>8</v>
      </c>
      <c r="D48" s="14">
        <v>3.5510000000000002</v>
      </c>
      <c r="E48" s="14">
        <v>3.6480000000000001</v>
      </c>
      <c r="F48" s="14">
        <v>3.1830000000000003</v>
      </c>
      <c r="G48" s="8"/>
      <c r="I48" t="s">
        <v>7</v>
      </c>
      <c r="J48" s="13">
        <f>D48+J47</f>
        <v>3.1830000000000003</v>
      </c>
      <c r="M48" s="12" t="s">
        <v>6</v>
      </c>
      <c r="O48" t="s">
        <v>5</v>
      </c>
      <c r="P48" t="s">
        <v>5</v>
      </c>
      <c r="R48" t="s">
        <v>4</v>
      </c>
    </row>
    <row r="49" spans="1:17" ht="15" x14ac:dyDescent="0.25">
      <c r="A49" s="8"/>
      <c r="B49" s="11" t="s">
        <v>3</v>
      </c>
      <c r="C49" s="10"/>
      <c r="D49" s="9"/>
      <c r="E49" s="9"/>
      <c r="F49" s="9"/>
      <c r="G49" s="8"/>
    </row>
    <row r="50" spans="1:17" ht="14.25" x14ac:dyDescent="0.2">
      <c r="A50" s="8"/>
      <c r="B50" s="6"/>
      <c r="C50" s="5" t="s">
        <v>2</v>
      </c>
      <c r="D50" s="4" t="s">
        <v>73</v>
      </c>
      <c r="E50" s="4" t="s">
        <v>73</v>
      </c>
      <c r="F50" s="7" t="s">
        <v>73</v>
      </c>
      <c r="G50" s="8"/>
    </row>
    <row r="51" spans="1:17" ht="14.25" x14ac:dyDescent="0.2">
      <c r="B51" s="6"/>
      <c r="C51" s="5" t="s">
        <v>1</v>
      </c>
      <c r="D51" s="4" t="s">
        <v>73</v>
      </c>
      <c r="E51" s="4" t="s">
        <v>73</v>
      </c>
      <c r="F51" s="7" t="s">
        <v>73</v>
      </c>
    </row>
    <row r="52" spans="1:17" ht="14.25" x14ac:dyDescent="0.2">
      <c r="B52" s="6"/>
      <c r="C52" s="5" t="s">
        <v>0</v>
      </c>
      <c r="D52" s="4" t="s">
        <v>73</v>
      </c>
      <c r="E52" s="4" t="s">
        <v>73</v>
      </c>
      <c r="F52" s="4" t="s">
        <v>73</v>
      </c>
    </row>
    <row r="61" spans="1:17" x14ac:dyDescent="0.2">
      <c r="O61" s="3"/>
      <c r="P61" s="3"/>
      <c r="Q61" s="3"/>
    </row>
  </sheetData>
  <hyperlinks>
    <hyperlink ref="L32" r:id="rId1" xr:uid="{8C4F399B-ED90-416F-8099-6FFE04128A2F}"/>
    <hyperlink ref="O24" r:id="rId2" xr:uid="{C4E1AD29-9244-4F56-85D4-561318F72E28}"/>
    <hyperlink ref="M48" r:id="rId3" xr:uid="{1D9A55C2-7FA0-49E4-8114-DA23C14976C6}"/>
  </hyperlinks>
  <pageMargins left="0.7" right="0.7" top="0.75" bottom="0.75" header="0.3" footer="0.3"/>
  <pageSetup orientation="portrait"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Prx>
  <Cntr/>
</Prx>
</file>

<file path=customXml/itemProps1.xml><?xml version="1.0" encoding="utf-8"?>
<ds:datastoreItem xmlns:ds="http://schemas.openxmlformats.org/officeDocument/2006/customXml" ds:itemID="{BDF0C521-A58B-4A84-80A8-072004974D8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Morciani, Joao (BR)</dc:creator>
  <cp:lastModifiedBy>Tore Alden</cp:lastModifiedBy>
  <dcterms:created xsi:type="dcterms:W3CDTF">2025-03-06T18:42:26Z</dcterms:created>
  <dcterms:modified xsi:type="dcterms:W3CDTF">2025-03-06T19:51:58Z</dcterms:modified>
</cp:coreProperties>
</file>