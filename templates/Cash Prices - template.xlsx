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40" yWindow="-12450" windowWidth="21600" windowHeight="11775" tabRatio="600" firstSheet="0" activeTab="0" autoFilterDateGrouping="1"/>
  </bookViews>
  <sheets>
    <sheet xmlns:r="http://schemas.openxmlformats.org/officeDocument/2006/relationships" name="Sheet2 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 Narrow"/>
      <family val="2"/>
      <color theme="1"/>
      <sz val="10"/>
    </font>
    <font>
      <name val="Arial Narrow"/>
      <family val="2"/>
      <color theme="1"/>
      <sz val="10"/>
    </font>
    <font>
      <name val="Abadi"/>
      <family val="2"/>
      <color theme="1"/>
      <sz val="9"/>
    </font>
    <font>
      <name val="Abadi"/>
      <family val="2"/>
      <color theme="1"/>
      <sz val="10"/>
    </font>
    <font>
      <name val="Arial"/>
      <family val="2"/>
      <sz val="11"/>
    </font>
    <font>
      <name val="Arial Narrow"/>
      <family val="2"/>
      <b val="1"/>
      <color theme="3"/>
      <sz val="11"/>
    </font>
    <font>
      <name val="Arial"/>
      <family val="2"/>
      <sz val="10"/>
    </font>
    <font>
      <name val="Arial Narrow"/>
      <family val="2"/>
      <color theme="0"/>
      <sz val="10"/>
    </font>
    <font>
      <name val="Abadi"/>
      <family val="2"/>
      <color theme="0"/>
      <sz val="9"/>
    </font>
    <font>
      <name val="Arial"/>
      <family val="2"/>
      <b val="1"/>
      <sz val="11"/>
    </font>
    <font>
      <name val="Arial Narrow"/>
      <family val="2"/>
      <color theme="10"/>
      <sz val="10"/>
      <u val="single"/>
    </font>
  </fonts>
  <fills count="7">
    <fill>
      <patternFill/>
    </fill>
    <fill>
      <patternFill patternType="gray125"/>
    </fill>
    <fill>
      <patternFill patternType="solid">
        <fgColor rgb="FFFF616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"/>
      </bottom>
      <diagonal/>
    </border>
  </borders>
  <cellStyleXfs count="6">
    <xf numFmtId="0" fontId="1" fillId="0" borderId="0"/>
    <xf numFmtId="43" fontId="1" fillId="0" borderId="0"/>
    <xf numFmtId="9" fontId="1" fillId="0" borderId="0"/>
    <xf numFmtId="0" fontId="5" fillId="0" borderId="1"/>
    <xf numFmtId="0" fontId="5" fillId="0" borderId="0"/>
    <xf numFmtId="0" fontId="10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0" borderId="0" pivotButton="0" quotePrefix="0" xfId="2"/>
    <xf numFmtId="43" fontId="4" fillId="2" borderId="0" applyAlignment="1" pivotButton="0" quotePrefix="0" xfId="1">
      <alignment horizontal="right" vertical="center"/>
    </xf>
    <xf numFmtId="0" fontId="4" fillId="2" borderId="0" pivotButton="0" quotePrefix="0" xfId="3"/>
    <xf numFmtId="0" fontId="3" fillId="2" borderId="0" pivotButton="0" quotePrefix="0" xfId="0"/>
    <xf numFmtId="43" fontId="6" fillId="2" borderId="0" applyAlignment="1" pivotButton="0" quotePrefix="0" xfId="1">
      <alignment horizontal="right" vertical="center"/>
    </xf>
    <xf numFmtId="0" fontId="0" fillId="3" borderId="0" pivotButton="0" quotePrefix="0" xfId="0"/>
    <xf numFmtId="0" fontId="7" fillId="2" borderId="0" pivotButton="0" quotePrefix="0" xfId="0"/>
    <xf numFmtId="0" fontId="8" fillId="2" borderId="0" pivotButton="0" quotePrefix="0" xfId="0"/>
    <xf numFmtId="0" fontId="9" fillId="2" borderId="0" pivotButton="0" quotePrefix="0" xfId="3"/>
    <xf numFmtId="0" fontId="10" fillId="0" borderId="0" pivotButton="0" quotePrefix="0" xfId="5"/>
    <xf numFmtId="43" fontId="0" fillId="0" borderId="0" pivotButton="0" quotePrefix="0" xfId="0"/>
    <xf numFmtId="43" fontId="4" fillId="4" borderId="0" applyAlignment="1" pivotButton="0" quotePrefix="0" xfId="1">
      <alignment horizontal="right" vertical="center"/>
    </xf>
    <xf numFmtId="0" fontId="4" fillId="4" borderId="0" pivotButton="0" quotePrefix="0" xfId="3"/>
    <xf numFmtId="0" fontId="9" fillId="4" borderId="0" pivotButton="0" quotePrefix="0" xfId="3"/>
    <xf numFmtId="43" fontId="4" fillId="5" borderId="0" applyAlignment="1" pivotButton="0" quotePrefix="0" xfId="1">
      <alignment horizontal="right" vertical="center"/>
    </xf>
    <xf numFmtId="0" fontId="4" fillId="5" borderId="0" pivotButton="0" quotePrefix="0" xfId="3"/>
    <xf numFmtId="0" fontId="9" fillId="5" borderId="0" pivotButton="0" quotePrefix="0" xfId="3"/>
    <xf numFmtId="43" fontId="4" fillId="5" borderId="0" applyAlignment="1" pivotButton="0" quotePrefix="0" xfId="1">
      <alignment horizontal="center" vertical="center"/>
    </xf>
    <xf numFmtId="43" fontId="4" fillId="6" borderId="0" applyAlignment="1" pivotButton="0" quotePrefix="0" xfId="1">
      <alignment horizontal="right" vertical="center"/>
    </xf>
    <xf numFmtId="0" fontId="4" fillId="6" borderId="0" pivotButton="0" quotePrefix="0" xfId="3"/>
    <xf numFmtId="0" fontId="9" fillId="6" borderId="0" pivotButton="0" quotePrefix="0" xfId="3"/>
    <xf numFmtId="43" fontId="4" fillId="6" borderId="0" applyAlignment="1" pivotButton="0" quotePrefix="0" xfId="1">
      <alignment horizontal="center" vertical="center"/>
    </xf>
    <xf numFmtId="0" fontId="4" fillId="6" borderId="0" applyAlignment="1" pivotButton="0" quotePrefix="0" xfId="3">
      <alignment vertical="center"/>
    </xf>
    <xf numFmtId="14" fontId="6" fillId="6" borderId="0" applyAlignment="1" pivotButton="0" quotePrefix="0" xfId="3">
      <alignment horizontal="center" vertical="center"/>
    </xf>
    <xf numFmtId="0" fontId="9" fillId="6" borderId="0" applyAlignment="1" pivotButton="0" quotePrefix="0" xfId="4">
      <alignment horizontal="center" vertical="center"/>
    </xf>
    <xf numFmtId="0" fontId="4" fillId="6" borderId="0" pivotButton="0" quotePrefix="0" xfId="0"/>
    <xf numFmtId="0" fontId="2" fillId="3" borderId="0" pivotButton="0" quotePrefix="0" xfId="0"/>
    <xf numFmtId="0" fontId="3" fillId="3" borderId="0" pivotButton="0" quotePrefix="0" xfId="0"/>
  </cellXfs>
  <cellStyles count="6">
    <cellStyle name="Normal" xfId="0" builtinId="0"/>
    <cellStyle name="Comma" xfId="1" builtinId="3"/>
    <cellStyle name="Percent" xfId="2" builtinId="5"/>
    <cellStyle name="Heading 3" xfId="3" builtinId="18"/>
    <cellStyle name="Heading 4" xfId="4" builtinId="19"/>
    <cellStyle name="Hyperlink" xfId="5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ams.usda.gov/mnreports/cnddsq.pdf" TargetMode="External" Id="rId1"/><Relationship Type="http://schemas.openxmlformats.org/officeDocument/2006/relationships/hyperlink" Target="https://www.sunflowernsa.com/growers/Marketing/daily-oilseed-sunflower-price/" TargetMode="External" Id="rId2"/><Relationship Type="http://schemas.openxmlformats.org/officeDocument/2006/relationships/hyperlink" Target="https://www.eia.gov/petroleum/gasdiesel/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tabSelected="1" zoomScale="93" zoomScaleNormal="93" workbookViewId="0">
      <selection activeCell="D3" sqref="D3:F52"/>
    </sheetView>
  </sheetViews>
  <sheetFormatPr baseColWidth="8" defaultColWidth="9" defaultRowHeight="12.75"/>
  <cols>
    <col width="1.83203125" customWidth="1" style="2" min="2" max="2"/>
    <col width="39.1640625" bestFit="1" customWidth="1" style="1" min="3" max="3"/>
    <col width="11.6640625" customWidth="1" min="4" max="6"/>
  </cols>
  <sheetData>
    <row r="1">
      <c r="A1" s="8" t="n"/>
      <c r="B1" s="30" t="n"/>
      <c r="C1" s="29" t="n"/>
      <c r="D1" s="8" t="n"/>
      <c r="E1" s="8" t="n"/>
      <c r="F1" s="8" t="n"/>
      <c r="G1" s="8" t="n"/>
    </row>
    <row r="2" ht="15" customHeight="1">
      <c r="A2" s="8" t="n"/>
      <c r="B2" s="28" t="n"/>
      <c r="C2" s="28" t="n"/>
      <c r="D2" s="27" t="inlineStr">
        <is>
          <t>This Week</t>
        </is>
      </c>
      <c r="E2" s="27" t="inlineStr">
        <is>
          <t>Last Week</t>
        </is>
      </c>
      <c r="F2" s="27" t="inlineStr">
        <is>
          <t>Year Ago</t>
        </is>
      </c>
      <c r="G2" s="8" t="n"/>
    </row>
    <row r="3" ht="15.75" customHeight="1">
      <c r="A3" s="8" t="n"/>
      <c r="B3" s="23" t="n"/>
      <c r="C3" s="23" t="n"/>
      <c r="D3" s="26" t="n">
        <v>45722</v>
      </c>
      <c r="E3" s="26" t="n">
        <v>45715</v>
      </c>
      <c r="F3" s="26" t="n">
        <v>45357</v>
      </c>
      <c r="G3" s="8" t="n"/>
    </row>
    <row r="4" ht="12.75" customHeight="1">
      <c r="A4" s="8" t="n"/>
      <c r="B4" s="23" t="inlineStr">
        <is>
          <t>Corn:</t>
        </is>
      </c>
      <c r="C4" s="23" t="n"/>
      <c r="D4" s="25" t="n"/>
      <c r="E4" s="25" t="n"/>
      <c r="F4" s="25" t="n"/>
      <c r="G4" s="8" t="n"/>
    </row>
    <row r="5" ht="12.75" customHeight="1">
      <c r="A5" s="8" t="n"/>
      <c r="B5" s="23" t="n"/>
      <c r="C5" s="22" t="inlineStr">
        <is>
          <t>South Central, IL $/bu.</t>
        </is>
      </c>
      <c r="D5" s="21" t="n">
        <v>4.5</v>
      </c>
      <c r="E5" s="21" t="n">
        <v>4.68</v>
      </c>
      <c r="F5" s="21" t="n">
        <v>4.36</v>
      </c>
      <c r="G5" s="8" t="n"/>
    </row>
    <row r="6" ht="12.75" customHeight="1">
      <c r="A6" s="8" t="n"/>
      <c r="B6" s="23" t="n"/>
      <c r="C6" s="22" t="inlineStr">
        <is>
          <t>Omaha, NE, $/bu.</t>
        </is>
      </c>
      <c r="D6" s="21" t="n">
        <v>4.3475</v>
      </c>
      <c r="E6" s="21" t="n">
        <v>4.455</v>
      </c>
      <c r="F6" s="21" t="n">
        <v>4.4325</v>
      </c>
      <c r="G6" s="8" t="n"/>
    </row>
    <row r="7" ht="12.75" customHeight="1">
      <c r="A7" s="8" t="n"/>
      <c r="B7" s="23" t="inlineStr">
        <is>
          <t>DDGs:</t>
        </is>
      </c>
      <c r="C7" s="23" t="n"/>
      <c r="D7" s="21" t="n"/>
      <c r="E7" s="21" t="n"/>
      <c r="F7" s="21" t="n"/>
      <c r="G7" s="8" t="n"/>
    </row>
    <row r="8" ht="12.75" customHeight="1">
      <c r="A8" s="8" t="n"/>
      <c r="B8" s="23" t="n"/>
      <c r="C8" s="22" t="inlineStr">
        <is>
          <t>Northeast, IA, $/ton</t>
        </is>
      </c>
      <c r="D8" s="24" t="inlineStr">
        <is>
          <t>#N/A</t>
        </is>
      </c>
      <c r="E8" s="24" t="n">
        <v>151.67</v>
      </c>
      <c r="F8" s="21" t="n">
        <v>177.5</v>
      </c>
      <c r="G8" s="8" t="n"/>
    </row>
    <row r="9" ht="12.75" customHeight="1">
      <c r="A9" s="8" t="n"/>
      <c r="B9" s="23" t="n"/>
      <c r="C9" s="22" t="inlineStr">
        <is>
          <t>Northwest, IA, $/ton</t>
        </is>
      </c>
      <c r="D9" s="24" t="inlineStr">
        <is>
          <t>#N/A</t>
        </is>
      </c>
      <c r="E9" s="24" t="n">
        <v>147.33</v>
      </c>
      <c r="F9" s="21" t="n">
        <v>175.2</v>
      </c>
      <c r="G9" s="8" t="n"/>
    </row>
    <row r="10" ht="12.75" customHeight="1">
      <c r="A10" s="8" t="n"/>
      <c r="B10" s="23" t="inlineStr">
        <is>
          <t>Soybeans:</t>
        </is>
      </c>
      <c r="C10" s="23" t="n"/>
      <c r="D10" s="21" t="n"/>
      <c r="E10" s="21" t="n"/>
      <c r="F10" s="21" t="n"/>
      <c r="G10" s="8" t="n"/>
    </row>
    <row r="11" ht="12.75" customHeight="1">
      <c r="A11" s="8" t="n"/>
      <c r="B11" s="23" t="n"/>
      <c r="C11" s="22" t="inlineStr">
        <is>
          <t>S. Central IL, $/bu.</t>
        </is>
      </c>
      <c r="D11" s="21" t="n">
        <v>9.800000000000001</v>
      </c>
      <c r="E11" s="21" t="n">
        <v>10.04</v>
      </c>
      <c r="F11" s="21" t="n">
        <v>11.74</v>
      </c>
      <c r="G11" s="8" t="n"/>
    </row>
    <row r="12" ht="12.75" customHeight="1">
      <c r="A12" s="8" t="n"/>
      <c r="B12" s="23" t="n"/>
      <c r="C12" s="22" t="inlineStr">
        <is>
          <t>St. Louis, MO, $/bu.</t>
        </is>
      </c>
      <c r="D12" s="21" t="n">
        <v>10.15</v>
      </c>
      <c r="E12" s="21" t="n">
        <v>10.13</v>
      </c>
      <c r="F12" s="21" t="n">
        <v>12.07</v>
      </c>
      <c r="G12" s="8" t="n"/>
    </row>
    <row r="13" ht="12.75" customHeight="1">
      <c r="A13" s="8" t="n"/>
      <c r="B13" s="23" t="inlineStr">
        <is>
          <t>Soybean Meal:</t>
        </is>
      </c>
      <c r="C13" s="23" t="n"/>
      <c r="D13" s="21" t="n"/>
      <c r="E13" s="21" t="n"/>
      <c r="F13" s="21" t="n"/>
      <c r="G13" s="8" t="n"/>
    </row>
    <row r="14" ht="12.75" customHeight="1">
      <c r="A14" s="8" t="n"/>
      <c r="B14" s="23" t="n"/>
      <c r="C14" s="22" t="inlineStr">
        <is>
          <t>Decatur, IL, 48 pct, ton</t>
        </is>
      </c>
      <c r="D14" s="21" t="n">
        <v>276.8</v>
      </c>
      <c r="E14" s="24" t="n">
        <v>277.2</v>
      </c>
      <c r="F14" s="21" t="n">
        <v>347.4</v>
      </c>
      <c r="G14" s="8" t="n"/>
    </row>
    <row r="15" ht="12.75" customHeight="1">
      <c r="A15" s="8" t="n"/>
      <c r="B15" s="23" t="inlineStr">
        <is>
          <t>Wheat:</t>
        </is>
      </c>
      <c r="C15" s="23" t="n"/>
      <c r="D15" s="21" t="n"/>
      <c r="E15" s="21" t="n"/>
      <c r="F15" s="21" t="n"/>
      <c r="G15" s="8" t="n"/>
      <c r="O15" t="inlineStr">
        <is>
          <t>Current</t>
        </is>
      </c>
      <c r="P15" t="inlineStr">
        <is>
          <t>Historic</t>
        </is>
      </c>
    </row>
    <row r="16" ht="12.75" customHeight="1">
      <c r="A16" s="8" t="n"/>
      <c r="B16" s="23" t="n"/>
      <c r="C16" s="22" t="inlineStr">
        <is>
          <t>Kansas City, MO, HRW, $/bu.</t>
        </is>
      </c>
      <c r="D16" s="21" t="n">
        <v>6.34</v>
      </c>
      <c r="E16" s="21" t="n">
        <v>6.41</v>
      </c>
      <c r="F16" s="21" t="n">
        <v>7.08</v>
      </c>
      <c r="G16" s="8" t="n"/>
    </row>
    <row r="17" ht="12.75" customHeight="1">
      <c r="A17" s="8" t="n"/>
      <c r="B17" s="23" t="n"/>
      <c r="C17" s="22" t="inlineStr">
        <is>
          <t>Minneapolis, MN, 14 pct, DNS, $/bu.</t>
        </is>
      </c>
      <c r="D17" s="21" t="n">
        <v>7.705</v>
      </c>
      <c r="E17" s="21" t="n">
        <v>7.6775</v>
      </c>
      <c r="F17" s="21" t="n">
        <v>8.3775</v>
      </c>
      <c r="G17" s="8" t="n"/>
      <c r="O17" t="inlineStr">
        <is>
          <t>AMS_3046</t>
        </is>
      </c>
      <c r="P17" t="inlineStr">
        <is>
          <t>AMS_3046</t>
        </is>
      </c>
      <c r="R17" t="inlineStr">
        <is>
          <t>US #1 Milling NS/DNS Wheat 14%</t>
        </is>
      </c>
    </row>
    <row r="18" ht="12.75" customHeight="1">
      <c r="A18" s="8" t="n"/>
      <c r="B18" s="23" t="n"/>
      <c r="C18" s="22" t="inlineStr">
        <is>
          <t>St. Louis, MO, SRW, $/bu.</t>
        </is>
      </c>
      <c r="D18" s="21" t="n">
        <v>5.48</v>
      </c>
      <c r="E18" s="21" t="n">
        <v>5.56</v>
      </c>
      <c r="F18" s="21" t="n">
        <v>5.43</v>
      </c>
      <c r="G18" s="8" t="n"/>
    </row>
    <row r="19" ht="12.75" customHeight="1">
      <c r="A19" s="8" t="n"/>
      <c r="B19" s="23" t="n"/>
      <c r="C19" s="22" t="inlineStr">
        <is>
          <t>Portland, OR, SWW, $/bu.</t>
        </is>
      </c>
      <c r="D19" s="21" t="n">
        <v>6.17</v>
      </c>
      <c r="E19" s="21" t="n">
        <v>5.89</v>
      </c>
      <c r="F19" s="21" t="n">
        <v>10.125</v>
      </c>
      <c r="G19" s="8" t="n"/>
    </row>
    <row r="20" ht="12.75" customHeight="1">
      <c r="A20" s="8" t="n"/>
      <c r="B20" s="23" t="n"/>
      <c r="C20" s="22" t="inlineStr">
        <is>
          <t>Northeast MT, No. 1 HAD, $/bu.</t>
        </is>
      </c>
      <c r="D20" s="21" t="n">
        <v>6.875</v>
      </c>
      <c r="E20" s="21" t="n">
        <v>6.6875</v>
      </c>
      <c r="F20" s="21" t="n">
        <v>7.6875</v>
      </c>
      <c r="G20" s="8" t="n"/>
      <c r="I20" t="inlineStr">
        <is>
          <t>X</t>
        </is>
      </c>
      <c r="O20" t="inlineStr">
        <is>
          <t>AMS_2771</t>
        </is>
      </c>
      <c r="P20" t="inlineStr">
        <is>
          <t>AMS_2771</t>
        </is>
      </c>
      <c r="R20" t="inlineStr">
        <is>
          <t>US #1 Durum Wheat</t>
        </is>
      </c>
    </row>
    <row r="21" ht="12.75" customHeight="1">
      <c r="A21" s="8" t="n"/>
      <c r="B21" s="23" t="inlineStr">
        <is>
          <t>Sorghum:</t>
        </is>
      </c>
      <c r="C21" s="23" t="n"/>
      <c r="D21" s="21" t="n"/>
      <c r="E21" s="21" t="n"/>
      <c r="F21" s="21" t="n"/>
      <c r="G21" s="8" t="n"/>
    </row>
    <row r="22" ht="12.75" customHeight="1">
      <c r="A22" s="8" t="n"/>
      <c r="B22" s="23" t="n"/>
      <c r="C22" s="22" t="inlineStr">
        <is>
          <t>St. Louis, MS River ($/bu)</t>
        </is>
      </c>
      <c r="D22" s="21" t="n">
        <v>3.8075</v>
      </c>
      <c r="E22" s="21" t="n">
        <v>4.2975</v>
      </c>
      <c r="F22" s="21" t="n">
        <v>4.4875</v>
      </c>
      <c r="G22" s="8" t="n"/>
      <c r="I22" t="inlineStr">
        <is>
          <t>X</t>
        </is>
      </c>
      <c r="O22" t="inlineStr">
        <is>
          <t>AMS_2932</t>
        </is>
      </c>
      <c r="P22" t="inlineStr">
        <is>
          <t>AMS_2932</t>
        </is>
      </c>
      <c r="R22" t="inlineStr">
        <is>
          <t>US #2 Sorghum KC Terminal/Mills/Processors</t>
        </is>
      </c>
    </row>
    <row r="23" ht="12.75" customHeight="1">
      <c r="A23" s="8" t="n"/>
      <c r="B23" s="23" t="inlineStr">
        <is>
          <t>Cotton:</t>
        </is>
      </c>
      <c r="C23" s="23" t="n"/>
      <c r="D23" s="21" t="n"/>
      <c r="E23" s="21" t="n"/>
      <c r="F23" s="21" t="n"/>
      <c r="G23" s="8" t="n"/>
    </row>
    <row r="24" ht="12.75" customHeight="1">
      <c r="A24" s="8" t="n"/>
      <c r="B24" s="23" t="n"/>
      <c r="C24" s="22" t="inlineStr">
        <is>
          <t>ET-ST, 41-4-34, cents/lb.</t>
        </is>
      </c>
      <c r="D24" s="21" t="n">
        <v>58.17</v>
      </c>
      <c r="E24" s="21" t="n">
        <v>60.66</v>
      </c>
      <c r="F24" s="21" t="n">
        <v>87.78</v>
      </c>
      <c r="G24" s="8" t="n"/>
      <c r="I24" t="inlineStr">
        <is>
          <t>X</t>
        </is>
      </c>
      <c r="O24" s="12" t="inlineStr">
        <is>
          <t>Daily Report</t>
        </is>
      </c>
      <c r="P24" t="inlineStr">
        <is>
          <t>CNWWCMR</t>
        </is>
      </c>
    </row>
    <row r="25" ht="12.75" customHeight="1">
      <c r="A25" s="8" t="n"/>
      <c r="B25" s="23" t="inlineStr">
        <is>
          <t>Rice:</t>
        </is>
      </c>
      <c r="C25" s="23" t="n"/>
      <c r="D25" s="21" t="n"/>
      <c r="E25" s="21" t="n"/>
      <c r="F25" s="21" t="n"/>
      <c r="G25" s="8" t="n"/>
    </row>
    <row r="26" ht="12.75" customHeight="1">
      <c r="A26" s="8" t="n"/>
      <c r="B26" s="23" t="n"/>
      <c r="C26" s="22" t="inlineStr">
        <is>
          <t>AR, Long Grain, $/cwt.</t>
        </is>
      </c>
      <c r="D26" s="21" t="n">
        <v>34.5</v>
      </c>
      <c r="E26" s="21" t="n">
        <v>34.5</v>
      </c>
      <c r="F26" s="21" t="n">
        <v>34.5</v>
      </c>
      <c r="G26" s="8" t="n"/>
    </row>
    <row r="27" ht="12.75" customHeight="1">
      <c r="A27" s="8" t="n"/>
      <c r="B27" s="23" t="inlineStr">
        <is>
          <t>Barley:</t>
        </is>
      </c>
      <c r="C27" s="23" t="n"/>
      <c r="D27" s="21" t="n"/>
      <c r="E27" s="21" t="n"/>
      <c r="F27" s="21" t="n"/>
      <c r="G27" s="8" t="n"/>
    </row>
    <row r="28" ht="12.75" customHeight="1">
      <c r="A28" s="8" t="n"/>
      <c r="B28" s="23" t="n"/>
      <c r="C28" s="22" t="inlineStr">
        <is>
          <t>MT, feed, $/cwt.</t>
        </is>
      </c>
      <c r="D28" s="21" t="n">
        <v>3</v>
      </c>
      <c r="E28" s="21" t="n">
        <v>3.4</v>
      </c>
      <c r="F28" s="21" t="n">
        <v>3.425</v>
      </c>
      <c r="G28" s="8" t="n"/>
      <c r="I28" t="inlineStr">
        <is>
          <t>X</t>
        </is>
      </c>
      <c r="O28" t="inlineStr">
        <is>
          <t>AMS_2771</t>
        </is>
      </c>
      <c r="P28" t="inlineStr">
        <is>
          <t>AMS_2771</t>
        </is>
      </c>
      <c r="R28" t="inlineStr">
        <is>
          <t>Golden Triangle</t>
        </is>
      </c>
    </row>
    <row r="29" ht="12.75" customHeight="1">
      <c r="A29" s="8" t="n"/>
      <c r="B29" s="23" t="inlineStr">
        <is>
          <t>Oats:</t>
        </is>
      </c>
      <c r="C29" s="23" t="n"/>
      <c r="D29" s="21" t="n"/>
      <c r="E29" s="21" t="n"/>
      <c r="F29" s="21" t="n"/>
      <c r="G29" s="8" t="n"/>
    </row>
    <row r="30" ht="12.75" customHeight="1">
      <c r="A30" s="8" t="n"/>
      <c r="B30" s="23" t="n"/>
      <c r="C30" s="22" t="inlineStr">
        <is>
          <t>Minneapolis, MN, No.2, heavy, $/bu.</t>
        </is>
      </c>
      <c r="D30" s="21" t="n">
        <v>4.21</v>
      </c>
      <c r="E30" s="21" t="n">
        <v>4.1</v>
      </c>
      <c r="F30" s="21" t="n">
        <v>4.19</v>
      </c>
      <c r="G30" s="8" t="n"/>
    </row>
    <row r="31" ht="12.75" customHeight="1">
      <c r="A31" s="8" t="n"/>
      <c r="B31" s="23" t="inlineStr">
        <is>
          <t>Sunflower:</t>
        </is>
      </c>
      <c r="C31" s="23" t="n"/>
      <c r="D31" s="21" t="n"/>
      <c r="E31" s="21" t="n"/>
      <c r="F31" s="21" t="n"/>
      <c r="G31" s="8" t="n"/>
    </row>
    <row r="32" ht="12.75" customHeight="1">
      <c r="A32" s="8" t="n"/>
      <c r="B32" s="23" t="n"/>
      <c r="C32" s="22" t="inlineStr">
        <is>
          <t>Fargo, ND, Nu Sun, $/cwt.</t>
        </is>
      </c>
      <c r="D32" s="21" t="e">
        <v>#N/A</v>
      </c>
      <c r="E32" s="21" t="n">
        <v>14.5</v>
      </c>
      <c r="F32" s="21" t="e">
        <v>#N/A</v>
      </c>
      <c r="G32" s="8" t="n"/>
      <c r="I32" t="inlineStr">
        <is>
          <t>X</t>
        </is>
      </c>
      <c r="L32" s="12" t="inlineStr">
        <is>
          <t>Sunflower Price</t>
        </is>
      </c>
      <c r="O32" t="inlineStr">
        <is>
          <t>AMS_2887</t>
        </is>
      </c>
      <c r="P32" t="inlineStr">
        <is>
          <t>AMS_2887</t>
        </is>
      </c>
    </row>
    <row r="33" ht="12.75" customHeight="1">
      <c r="A33" s="8" t="n"/>
      <c r="B33" s="19" t="inlineStr">
        <is>
          <t>Hogs:</t>
        </is>
      </c>
      <c r="C33" s="19" t="n"/>
      <c r="D33" s="17" t="n"/>
      <c r="E33" s="17" t="n"/>
      <c r="F33" s="17" t="n"/>
      <c r="G33" s="8" t="n"/>
    </row>
    <row r="34" ht="12.75" customHeight="1">
      <c r="A34" s="8" t="n"/>
      <c r="B34" s="19" t="n"/>
      <c r="C34" s="18" t="inlineStr">
        <is>
          <t>National Base, $/carcass wt.</t>
        </is>
      </c>
      <c r="D34" s="17" t="n">
        <v>90.28</v>
      </c>
      <c r="E34" s="17" t="n">
        <v>89.86</v>
      </c>
      <c r="F34" s="17" t="n">
        <v>74.63</v>
      </c>
      <c r="G34" s="8" t="n"/>
      <c r="I34" t="inlineStr">
        <is>
          <t>X</t>
        </is>
      </c>
      <c r="O34" t="inlineStr">
        <is>
          <t>AMS_2675</t>
        </is>
      </c>
      <c r="P34" t="inlineStr">
        <is>
          <t>AMS_2675</t>
        </is>
      </c>
    </row>
    <row r="35" ht="12.75" customHeight="1">
      <c r="A35" s="8" t="n"/>
      <c r="B35" s="19" t="inlineStr">
        <is>
          <t>Feeder Pigs:</t>
        </is>
      </c>
      <c r="C35" s="19" t="n"/>
      <c r="D35" s="17" t="n"/>
      <c r="E35" s="17" t="n"/>
      <c r="F35" s="17" t="n"/>
      <c r="G35" s="8" t="n"/>
    </row>
    <row r="36" ht="12.75" customHeight="1">
      <c r="A36" s="8" t="n"/>
      <c r="B36" s="19" t="n"/>
      <c r="C36" s="18" t="inlineStr">
        <is>
          <t>National Avg., 40 lbs., $/head</t>
        </is>
      </c>
      <c r="D36" s="17" t="n">
        <v>109.15</v>
      </c>
      <c r="E36" s="17" t="n">
        <v>115.58</v>
      </c>
      <c r="F36" s="17" t="n">
        <v>85.45</v>
      </c>
      <c r="G36" s="8" t="n"/>
      <c r="I36" t="inlineStr">
        <is>
          <t>X</t>
        </is>
      </c>
      <c r="O36" t="inlineStr">
        <is>
          <t>AMS_2810</t>
        </is>
      </c>
      <c r="P36" t="inlineStr">
        <is>
          <t>AMS_2810</t>
        </is>
      </c>
    </row>
    <row r="37" ht="12.75" customHeight="1">
      <c r="A37" s="8" t="n"/>
      <c r="B37" s="19" t="inlineStr">
        <is>
          <t>Choice Steers:</t>
        </is>
      </c>
      <c r="C37" s="19" t="n"/>
      <c r="D37" s="17" t="n"/>
      <c r="E37" s="17" t="n"/>
      <c r="F37" s="17" t="n"/>
      <c r="G37" s="8" t="n"/>
    </row>
    <row r="38" ht="12.75" customHeight="1">
      <c r="A38" s="8" t="n"/>
      <c r="B38" s="19" t="n"/>
      <c r="C38" s="18" t="inlineStr">
        <is>
          <t>NE, $/cwt.</t>
        </is>
      </c>
      <c r="D38" s="17" t="n">
        <v>197.81</v>
      </c>
      <c r="E38" s="17" t="n">
        <v>199.61</v>
      </c>
      <c r="F38" s="17" t="n">
        <v>183.47</v>
      </c>
      <c r="G38" s="8" t="n"/>
      <c r="I38" t="inlineStr">
        <is>
          <t>X</t>
        </is>
      </c>
      <c r="O38" t="inlineStr">
        <is>
          <t>AMS_2485</t>
        </is>
      </c>
      <c r="P38" t="inlineStr">
        <is>
          <t>AMS_2485</t>
        </is>
      </c>
    </row>
    <row r="39" ht="12.75" customHeight="1">
      <c r="A39" s="8" t="n"/>
      <c r="B39" s="19" t="inlineStr">
        <is>
          <t>Feeder Cattle:</t>
        </is>
      </c>
      <c r="C39" s="19" t="n"/>
      <c r="D39" s="17" t="n"/>
      <c r="E39" s="17" t="n"/>
      <c r="F39" s="17" t="n"/>
      <c r="G39" s="8" t="n"/>
    </row>
    <row r="40" ht="12.75" customHeight="1">
      <c r="A40" s="8" t="n"/>
      <c r="B40" s="19" t="n"/>
      <c r="C40" s="18" t="inlineStr">
        <is>
          <t>Oklahoma City, Steers, 750-800 lb., $/cwt.</t>
        </is>
      </c>
      <c r="D40" s="17" t="n">
        <v>274.55</v>
      </c>
      <c r="E40" s="17" t="n">
        <v>283.64</v>
      </c>
      <c r="F40" s="20" t="n">
        <v>233.5</v>
      </c>
      <c r="G40" s="8" t="n"/>
      <c r="I40" t="inlineStr">
        <is>
          <t>X</t>
        </is>
      </c>
      <c r="O40" t="inlineStr">
        <is>
          <t>AMS_1281</t>
        </is>
      </c>
      <c r="P40" t="inlineStr">
        <is>
          <t>AMS_1281</t>
        </is>
      </c>
    </row>
    <row r="41" ht="12.75" customHeight="1">
      <c r="A41" s="8" t="n"/>
      <c r="B41" s="19" t="n"/>
      <c r="C41" s="18" t="inlineStr">
        <is>
          <t>Oklahoma City, Steers, 500-550 lb., $/cwt.</t>
        </is>
      </c>
      <c r="D41" s="17" t="n">
        <v>369.34</v>
      </c>
      <c r="E41" s="17" t="n">
        <v>362.3</v>
      </c>
      <c r="F41" s="20" t="n">
        <v>308.55</v>
      </c>
      <c r="G41" s="8" t="n"/>
      <c r="I41" t="inlineStr">
        <is>
          <t>X</t>
        </is>
      </c>
    </row>
    <row r="42" ht="12.75" customHeight="1">
      <c r="A42" s="8" t="n"/>
      <c r="B42" s="19" t="n"/>
      <c r="C42" s="18" t="inlineStr">
        <is>
          <t>Oklahoma City, Steers, 450-500 lb., $/cwt.</t>
        </is>
      </c>
      <c r="D42" s="17" t="n">
        <v>382.34</v>
      </c>
      <c r="E42" s="17" t="n">
        <v>375.95</v>
      </c>
      <c r="F42" s="20" t="n">
        <v>338.62</v>
      </c>
      <c r="G42" s="8" t="n"/>
      <c r="I42" t="inlineStr">
        <is>
          <t>X</t>
        </is>
      </c>
    </row>
    <row r="43" ht="12.75" customHeight="1">
      <c r="A43" s="8" t="n"/>
      <c r="B43" s="19" t="inlineStr">
        <is>
          <t>Milk:</t>
        </is>
      </c>
      <c r="C43" s="19" t="n"/>
      <c r="D43" s="17" t="n"/>
      <c r="E43" s="17" t="n"/>
      <c r="F43" s="17" t="n"/>
      <c r="G43" s="8" t="n"/>
    </row>
    <row r="44" ht="12.75" customHeight="1">
      <c r="A44" s="8" t="n"/>
      <c r="B44" s="19" t="n"/>
      <c r="C44" s="18" t="inlineStr">
        <is>
          <t>Class III, CME Futures, Spot Month, $/cwt.</t>
        </is>
      </c>
      <c r="D44" s="17" t="n">
        <v>18.32</v>
      </c>
      <c r="E44" s="17" t="n">
        <v>20.23</v>
      </c>
      <c r="F44" s="17" t="n">
        <v>16.58</v>
      </c>
      <c r="G44" s="8" t="n"/>
    </row>
    <row r="45" ht="12.75" customHeight="1">
      <c r="A45" s="8" t="n"/>
      <c r="B45" s="16" t="inlineStr">
        <is>
          <t>Ethanol:</t>
        </is>
      </c>
      <c r="C45" s="16" t="n"/>
      <c r="D45" s="14" t="n"/>
      <c r="E45" s="14" t="n"/>
      <c r="F45" s="14" t="n"/>
      <c r="G45" s="8" t="n"/>
    </row>
    <row r="46" ht="12.75" customHeight="1">
      <c r="A46" s="8" t="n"/>
      <c r="B46" s="16" t="n"/>
      <c r="C46" s="15" t="inlineStr">
        <is>
          <t>IA, $/gal.</t>
        </is>
      </c>
      <c r="D46" s="14" t="n">
        <v>1.6063</v>
      </c>
      <c r="E46" s="14" t="n">
        <v>1.5786</v>
      </c>
      <c r="F46" s="14" t="n">
        <v>1.3619</v>
      </c>
      <c r="G46" s="8" t="n"/>
    </row>
    <row r="47" ht="12.75" customHeight="1">
      <c r="A47" s="8" t="n"/>
      <c r="B47" s="16" t="inlineStr">
        <is>
          <t>Farm Diesel:</t>
        </is>
      </c>
      <c r="C47" s="16" t="n"/>
      <c r="D47" s="14" t="n"/>
      <c r="E47" s="14" t="n"/>
      <c r="F47" s="14" t="n"/>
      <c r="G47" s="8" t="n"/>
      <c r="J47" t="n">
        <v>-0.368</v>
      </c>
    </row>
    <row r="48" ht="12.75" customHeight="1">
      <c r="A48" s="8" t="n"/>
      <c r="B48" s="16" t="n"/>
      <c r="C48" s="15" t="inlineStr">
        <is>
          <t>Midwest, $/gal.</t>
        </is>
      </c>
      <c r="D48" s="14" t="n">
        <v>3.551</v>
      </c>
      <c r="E48" s="14" t="n">
        <v>3.648</v>
      </c>
      <c r="F48" s="14" t="n">
        <v>3.183</v>
      </c>
      <c r="G48" s="8" t="n"/>
      <c r="I48" t="inlineStr">
        <is>
          <t>X</t>
        </is>
      </c>
      <c r="J48" s="13">
        <f>D48+J47</f>
        <v/>
      </c>
      <c r="M48" s="12" t="inlineStr">
        <is>
          <t>EIA Diesel Prices</t>
        </is>
      </c>
      <c r="O48" t="inlineStr">
        <is>
          <t>NW_GR210</t>
        </is>
      </c>
      <c r="P48" t="inlineStr">
        <is>
          <t>NW_GR210</t>
        </is>
      </c>
      <c r="R48" t="inlineStr">
        <is>
          <t>National Weekly Ag Energy Round-Up</t>
        </is>
      </c>
    </row>
    <row r="49" ht="15" customHeight="1">
      <c r="A49" s="8" t="n"/>
      <c r="B49" s="11" t="inlineStr">
        <is>
          <t>Fertilizer</t>
        </is>
      </c>
      <c r="C49" s="10" t="n"/>
      <c r="D49" s="9" t="n"/>
      <c r="E49" s="9" t="n"/>
      <c r="F49" s="9" t="n"/>
      <c r="G49" s="8" t="n"/>
    </row>
    <row r="50" ht="14.25" customHeight="1">
      <c r="A50" s="8" t="n"/>
      <c r="B50" s="6" t="n"/>
      <c r="C50" s="5" t="inlineStr">
        <is>
          <t>DAP IL retail, $/ton</t>
        </is>
      </c>
      <c r="D50" s="4" t="inlineStr">
        <is>
          <t>#N/A</t>
        </is>
      </c>
      <c r="E50" s="4" t="inlineStr">
        <is>
          <t>#N/A</t>
        </is>
      </c>
      <c r="F50" s="7" t="inlineStr">
        <is>
          <t>#N/A</t>
        </is>
      </c>
      <c r="G50" s="8" t="n"/>
    </row>
    <row r="51" ht="14.25" customHeight="1">
      <c r="B51" s="6" t="n"/>
      <c r="C51" s="5" t="inlineStr">
        <is>
          <t>Urea IL retail, $/ton</t>
        </is>
      </c>
      <c r="D51" s="4" t="inlineStr">
        <is>
          <t>#N/A</t>
        </is>
      </c>
      <c r="E51" s="4" t="inlineStr">
        <is>
          <t>#N/A</t>
        </is>
      </c>
      <c r="F51" s="7" t="inlineStr">
        <is>
          <t>#N/A</t>
        </is>
      </c>
    </row>
    <row r="52" ht="14.25" customHeight="1">
      <c r="B52" s="6" t="n"/>
      <c r="C52" s="5" t="inlineStr">
        <is>
          <t>UAN 28% IL retail, $/ton</t>
        </is>
      </c>
      <c r="D52" s="4" t="inlineStr">
        <is>
          <t>#N/A</t>
        </is>
      </c>
      <c r="E52" s="4" t="inlineStr">
        <is>
          <t>#N/A</t>
        </is>
      </c>
      <c r="F52" s="4" t="inlineStr">
        <is>
          <t>#N/A</t>
        </is>
      </c>
    </row>
    <row r="61">
      <c r="O61" s="3" t="n"/>
      <c r="P61" s="3" t="n"/>
      <c r="Q61" s="3" t="n"/>
    </row>
  </sheetData>
  <hyperlinks>
    <hyperlink xmlns:r="http://schemas.openxmlformats.org/officeDocument/2006/relationships" ref="O24" r:id="rId1"/>
    <hyperlink xmlns:r="http://schemas.openxmlformats.org/officeDocument/2006/relationships" ref="L32" r:id="rId2"/>
    <hyperlink xmlns:r="http://schemas.openxmlformats.org/officeDocument/2006/relationships" ref="M48" r:id="rId3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Morciani, Joao (BR)</dc:creator>
  <dcterms:created xmlns:dcterms="http://purl.org/dc/terms/" xmlns:xsi="http://www.w3.org/2001/XMLSchema-instance" xsi:type="dcterms:W3CDTF">2025-03-06T18:42:26Z</dcterms:created>
  <dcterms:modified xmlns:dcterms="http://purl.org/dc/terms/" xmlns:xsi="http://www.w3.org/2001/XMLSchema-instance" xsi:type="dcterms:W3CDTF">2026-07-16T20:53:49Z</dcterms:modified>
  <cp:lastModifiedBy>Tore Alden</cp:lastModifiedBy>
</cp:coreProperties>
</file>