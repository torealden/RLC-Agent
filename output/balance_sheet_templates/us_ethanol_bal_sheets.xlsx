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an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b val="1"/>
      <color rgb="001F4E79"/>
      <sz val="11"/>
    </font>
    <font>
      <name val="Calibr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US BIOFUEL AND FUEL COMPLEX</t>
        </is>
      </c>
    </row>
    <row r="2">
      <c r="A2" s="2" t="inlineStr">
        <is>
          <t>US FUEL ETHANOL SUPPLY AND DEMAND (Million Gallons)</t>
        </is>
      </c>
    </row>
    <row r="3">
      <c r="B3" s="3" t="n">
        <v>2010</v>
      </c>
      <c r="C3" s="3" t="n">
        <v>2011</v>
      </c>
      <c r="D3" s="3" t="n">
        <v>2012</v>
      </c>
      <c r="E3" s="3" t="n">
        <v>2013</v>
      </c>
      <c r="F3" s="3" t="n">
        <v>2014</v>
      </c>
      <c r="G3" s="3" t="n">
        <v>2015</v>
      </c>
      <c r="H3" s="3" t="n">
        <v>2016</v>
      </c>
      <c r="I3" s="3" t="n">
        <v>2017</v>
      </c>
      <c r="J3" s="3" t="n">
        <v>2018</v>
      </c>
      <c r="K3" s="3" t="n">
        <v>2019</v>
      </c>
      <c r="L3" s="3" t="n">
        <v>2020</v>
      </c>
      <c r="M3" s="3" t="n">
        <v>2021</v>
      </c>
      <c r="N3" s="3" t="n">
        <v>2022</v>
      </c>
      <c r="O3" s="3" t="n">
        <v>2023</v>
      </c>
      <c r="P3" s="3" t="n">
        <v>2024</v>
      </c>
      <c r="Q3" s="3" t="n">
        <v>2025</v>
      </c>
      <c r="R3" s="3" t="n">
        <v>2026</v>
      </c>
      <c r="S3" s="3" t="n">
        <v>2027</v>
      </c>
      <c r="T3" s="3" t="n">
        <v>2028</v>
      </c>
      <c r="U3" s="3" t="n">
        <v>2029</v>
      </c>
      <c r="V3" s="3" t="n">
        <v>2030</v>
      </c>
    </row>
    <row r="5">
      <c r="A5" s="4" t="inlineStr">
        <is>
          <t>Beginning Stocks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6">
      <c r="A6" s="6" t="inlineStr">
        <is>
          <t>Production</t>
        </is>
      </c>
    </row>
    <row r="7">
      <c r="A7" s="4" t="inlineStr">
        <is>
          <t>Imports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</row>
    <row r="8">
      <c r="A8" s="7" t="inlineStr">
        <is>
          <t>Total Supply</t>
        </is>
      </c>
      <c r="B8" s="8">
        <f>B5+B6+B7</f>
        <v/>
      </c>
      <c r="C8" s="8">
        <f>C5+C6+C7</f>
        <v/>
      </c>
      <c r="D8" s="8">
        <f>D5+D6+D7</f>
        <v/>
      </c>
      <c r="E8" s="8">
        <f>E5+E6+E7</f>
        <v/>
      </c>
      <c r="F8" s="8">
        <f>F5+F6+F7</f>
        <v/>
      </c>
      <c r="G8" s="8">
        <f>G5+G6+G7</f>
        <v/>
      </c>
      <c r="H8" s="8">
        <f>H5+H6+H7</f>
        <v/>
      </c>
      <c r="I8" s="8">
        <f>I5+I6+I7</f>
        <v/>
      </c>
      <c r="J8" s="8">
        <f>J5+J6+J7</f>
        <v/>
      </c>
      <c r="K8" s="8">
        <f>K5+K6+K7</f>
        <v/>
      </c>
      <c r="L8" s="8">
        <f>L5+L6+L7</f>
        <v/>
      </c>
      <c r="M8" s="8">
        <f>M5+M6+M7</f>
        <v/>
      </c>
      <c r="N8" s="8">
        <f>N5+N6+N7</f>
        <v/>
      </c>
      <c r="O8" s="8">
        <f>O5+O6+O7</f>
        <v/>
      </c>
      <c r="P8" s="8">
        <f>P5+P6+P7</f>
        <v/>
      </c>
      <c r="Q8" s="8">
        <f>Q5+Q6+Q7</f>
        <v/>
      </c>
      <c r="R8" s="8">
        <f>R5+R6+R7</f>
        <v/>
      </c>
      <c r="S8" s="8">
        <f>S5+S6+S7</f>
        <v/>
      </c>
      <c r="T8" s="8">
        <f>T5+T6+T7</f>
        <v/>
      </c>
      <c r="U8" s="8">
        <f>U5+U6+U7</f>
        <v/>
      </c>
      <c r="V8" s="8">
        <f>V5+V6+V7</f>
        <v/>
      </c>
    </row>
    <row r="10">
      <c r="A10" s="6" t="inlineStr">
        <is>
          <t>Domestic Consumption</t>
        </is>
      </c>
    </row>
    <row r="11">
      <c r="A11" s="4" t="inlineStr">
        <is>
          <t>Losses and Co-Products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</row>
    <row r="12">
      <c r="A12" s="6" t="inlineStr">
        <is>
          <t>Exports</t>
        </is>
      </c>
    </row>
    <row r="13">
      <c r="A13" s="7" t="inlineStr">
        <is>
          <t>Total Use</t>
        </is>
      </c>
      <c r="B13" s="8">
        <f>B10+B11+B12</f>
        <v/>
      </c>
      <c r="C13" s="8">
        <f>C10+C11+C12</f>
        <v/>
      </c>
      <c r="D13" s="8">
        <f>D10+D11+D12</f>
        <v/>
      </c>
      <c r="E13" s="8">
        <f>E10+E11+E12</f>
        <v/>
      </c>
      <c r="F13" s="8">
        <f>F10+F11+F12</f>
        <v/>
      </c>
      <c r="G13" s="8">
        <f>G10+G11+G12</f>
        <v/>
      </c>
      <c r="H13" s="8">
        <f>H10+H11+H12</f>
        <v/>
      </c>
      <c r="I13" s="8">
        <f>I10+I11+I12</f>
        <v/>
      </c>
      <c r="J13" s="8">
        <f>J10+J11+J12</f>
        <v/>
      </c>
      <c r="K13" s="8">
        <f>K10+K11+K12</f>
        <v/>
      </c>
      <c r="L13" s="8">
        <f>L10+L11+L12</f>
        <v/>
      </c>
      <c r="M13" s="8">
        <f>M10+M11+M12</f>
        <v/>
      </c>
      <c r="N13" s="8">
        <f>N10+N11+N12</f>
        <v/>
      </c>
      <c r="O13" s="8">
        <f>O10+O11+O12</f>
        <v/>
      </c>
      <c r="P13" s="8">
        <f>P10+P11+P12</f>
        <v/>
      </c>
      <c r="Q13" s="8">
        <f>Q10+Q11+Q12</f>
        <v/>
      </c>
      <c r="R13" s="8">
        <f>R10+R11+R12</f>
        <v/>
      </c>
      <c r="S13" s="8">
        <f>S10+S11+S12</f>
        <v/>
      </c>
      <c r="T13" s="8">
        <f>T10+T11+T12</f>
        <v/>
      </c>
      <c r="U13" s="8">
        <f>U10+U11+U12</f>
        <v/>
      </c>
      <c r="V13" s="8">
        <f>V10+V11+V12</f>
        <v/>
      </c>
    </row>
    <row r="15">
      <c r="A15" s="7" t="inlineStr">
        <is>
          <t>Ending Stocks</t>
        </is>
      </c>
      <c r="B15" s="8">
        <f>B8-B13</f>
        <v/>
      </c>
      <c r="C15" s="8">
        <f>C8-C13</f>
        <v/>
      </c>
      <c r="D15" s="8">
        <f>D8-D13</f>
        <v/>
      </c>
      <c r="E15" s="8">
        <f>E8-E13</f>
        <v/>
      </c>
      <c r="F15" s="8">
        <f>F8-F13</f>
        <v/>
      </c>
      <c r="G15" s="8">
        <f>G8-G13</f>
        <v/>
      </c>
      <c r="H15" s="8">
        <f>H8-H13</f>
        <v/>
      </c>
      <c r="I15" s="8">
        <f>I8-I13</f>
        <v/>
      </c>
      <c r="J15" s="8">
        <f>J8-J13</f>
        <v/>
      </c>
      <c r="K15" s="8">
        <f>K8-K13</f>
        <v/>
      </c>
      <c r="L15" s="8">
        <f>L8-L13</f>
        <v/>
      </c>
      <c r="M15" s="8">
        <f>M8-M13</f>
        <v/>
      </c>
      <c r="N15" s="8">
        <f>N8-N13</f>
        <v/>
      </c>
      <c r="O15" s="8">
        <f>O8-O13</f>
        <v/>
      </c>
      <c r="P15" s="8">
        <f>P8-P13</f>
        <v/>
      </c>
      <c r="Q15" s="8">
        <f>Q8-Q13</f>
        <v/>
      </c>
      <c r="R15" s="8">
        <f>R8-R13</f>
        <v/>
      </c>
      <c r="S15" s="8">
        <f>S8-S13</f>
        <v/>
      </c>
      <c r="T15" s="8">
        <f>T8-T13</f>
        <v/>
      </c>
      <c r="U15" s="8">
        <f>U8-U13</f>
        <v/>
      </c>
      <c r="V15" s="8">
        <f>V8-V13</f>
        <v/>
      </c>
    </row>
    <row r="17">
      <c r="A17" s="4" t="inlineStr">
        <is>
          <t>Capacity (MMGY)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>
      <c r="A18" s="7" t="inlineStr">
        <is>
          <t>Operating Rate (%)</t>
        </is>
      </c>
      <c r="B18" s="8">
        <f>IF(B17&gt;0,B6/B17*100,"")</f>
        <v/>
      </c>
      <c r="C18" s="8">
        <f>IF(C17&gt;0,C6/C17*100,"")</f>
        <v/>
      </c>
      <c r="D18" s="8">
        <f>IF(D17&gt;0,D6/D17*100,"")</f>
        <v/>
      </c>
      <c r="E18" s="8">
        <f>IF(E17&gt;0,E6/E17*100,"")</f>
        <v/>
      </c>
      <c r="F18" s="8">
        <f>IF(F17&gt;0,F6/F17*100,"")</f>
        <v/>
      </c>
      <c r="G18" s="8">
        <f>IF(G17&gt;0,G6/G17*100,"")</f>
        <v/>
      </c>
      <c r="H18" s="8">
        <f>IF(H17&gt;0,H6/H17*100,"")</f>
        <v/>
      </c>
      <c r="I18" s="8">
        <f>IF(I17&gt;0,I6/I17*100,"")</f>
        <v/>
      </c>
      <c r="J18" s="8">
        <f>IF(J17&gt;0,J6/J17*100,"")</f>
        <v/>
      </c>
      <c r="K18" s="8">
        <f>IF(K17&gt;0,K6/K17*100,"")</f>
        <v/>
      </c>
      <c r="L18" s="8">
        <f>IF(L17&gt;0,L6/L17*100,"")</f>
        <v/>
      </c>
      <c r="M18" s="8">
        <f>IF(M17&gt;0,M6/M17*100,"")</f>
        <v/>
      </c>
      <c r="N18" s="8">
        <f>IF(N17&gt;0,N6/N17*100,"")</f>
        <v/>
      </c>
      <c r="O18" s="8">
        <f>IF(O17&gt;0,O6/O17*100,"")</f>
        <v/>
      </c>
      <c r="P18" s="8">
        <f>IF(P17&gt;0,P6/P17*100,"")</f>
        <v/>
      </c>
      <c r="Q18" s="8">
        <f>IF(Q17&gt;0,Q6/Q17*100,"")</f>
        <v/>
      </c>
      <c r="R18" s="8">
        <f>IF(R17&gt;0,R6/R17*100,"")</f>
        <v/>
      </c>
      <c r="S18" s="8">
        <f>IF(S17&gt;0,S6/S17*100,"")</f>
        <v/>
      </c>
      <c r="T18" s="8">
        <f>IF(T17&gt;0,T6/T17*100,"")</f>
        <v/>
      </c>
      <c r="U18" s="8">
        <f>IF(U17&gt;0,U6/U17*100,"")</f>
        <v/>
      </c>
      <c r="V18" s="8">
        <f>IF(V17&gt;0,V6/V17*100,"")</f>
        <v/>
      </c>
    </row>
    <row r="19">
      <c r="A19" s="7" t="inlineStr">
        <is>
          <t>Stocks/Use Ratio</t>
        </is>
      </c>
      <c r="B19" s="8">
        <f>IF(B13&gt;0,B15/B13,"")</f>
        <v/>
      </c>
      <c r="C19" s="8">
        <f>IF(C13&gt;0,C15/C13,"")</f>
        <v/>
      </c>
      <c r="D19" s="8">
        <f>IF(D13&gt;0,D15/D13,"")</f>
        <v/>
      </c>
      <c r="E19" s="8">
        <f>IF(E13&gt;0,E15/E13,"")</f>
        <v/>
      </c>
      <c r="F19" s="8">
        <f>IF(F13&gt;0,F15/F13,"")</f>
        <v/>
      </c>
      <c r="G19" s="8">
        <f>IF(G13&gt;0,G15/G13,"")</f>
        <v/>
      </c>
      <c r="H19" s="8">
        <f>IF(H13&gt;0,H15/H13,"")</f>
        <v/>
      </c>
      <c r="I19" s="8">
        <f>IF(I13&gt;0,I15/I13,"")</f>
        <v/>
      </c>
      <c r="J19" s="8">
        <f>IF(J13&gt;0,J15/J13,"")</f>
        <v/>
      </c>
      <c r="K19" s="8">
        <f>IF(K13&gt;0,K15/K13,"")</f>
        <v/>
      </c>
      <c r="L19" s="8">
        <f>IF(L13&gt;0,L15/L13,"")</f>
        <v/>
      </c>
      <c r="M19" s="8">
        <f>IF(M13&gt;0,M15/M13,"")</f>
        <v/>
      </c>
      <c r="N19" s="8">
        <f>IF(N13&gt;0,N15/N13,"")</f>
        <v/>
      </c>
      <c r="O19" s="8">
        <f>IF(O13&gt;0,O15/O13,"")</f>
        <v/>
      </c>
      <c r="P19" s="8">
        <f>IF(P13&gt;0,P15/P13,"")</f>
        <v/>
      </c>
      <c r="Q19" s="8">
        <f>IF(Q13&gt;0,Q15/Q13,"")</f>
        <v/>
      </c>
      <c r="R19" s="8">
        <f>IF(R13&gt;0,R15/R13,"")</f>
        <v/>
      </c>
      <c r="S19" s="8">
        <f>IF(S13&gt;0,S15/S13,"")</f>
        <v/>
      </c>
      <c r="T19" s="8">
        <f>IF(T13&gt;0,T15/T13,"")</f>
        <v/>
      </c>
      <c r="U19" s="8">
        <f>IF(U13&gt;0,U15/U13,"")</f>
        <v/>
      </c>
      <c r="V19" s="8">
        <f>IF(V13&gt;0,V15/V13,"")</f>
        <v/>
      </c>
    </row>
    <row r="20">
      <c r="A20" s="6" t="inlineStr">
        <is>
          <t>Average Price ($/gal)</t>
        </is>
      </c>
    </row>
    <row r="22">
      <c r="A22" s="9" t="inlineStr">
        <is>
          <t>Bold, green numbers in shaded cells are RLC forecasts and estimates.</t>
        </is>
      </c>
    </row>
    <row r="24">
      <c r="A24" s="10" t="inlineStr">
        <is>
          <t>US ETHANOL PRODUCTION</t>
        </is>
      </c>
    </row>
    <row r="25">
      <c r="A25" s="11" t="inlineStr">
        <is>
          <t>(million gallons)</t>
        </is>
      </c>
      <c r="B25" s="3" t="n">
        <v>2010</v>
      </c>
      <c r="C25" s="3" t="n">
        <v>2011</v>
      </c>
      <c r="D25" s="3" t="n">
        <v>2012</v>
      </c>
      <c r="E25" s="3" t="n">
        <v>2013</v>
      </c>
      <c r="F25" s="3" t="n">
        <v>2014</v>
      </c>
      <c r="G25" s="3" t="n">
        <v>2015</v>
      </c>
      <c r="H25" s="3" t="n">
        <v>2016</v>
      </c>
      <c r="I25" s="3" t="n">
        <v>2017</v>
      </c>
      <c r="J25" s="3" t="n">
        <v>2018</v>
      </c>
      <c r="K25" s="3" t="n">
        <v>2019</v>
      </c>
      <c r="L25" s="3" t="n">
        <v>2020</v>
      </c>
      <c r="M25" s="3" t="n">
        <v>2021</v>
      </c>
      <c r="N25" s="3" t="n">
        <v>2022</v>
      </c>
      <c r="O25" s="3" t="n">
        <v>2023</v>
      </c>
      <c r="P25" s="3" t="n">
        <v>2024</v>
      </c>
      <c r="Q25" s="3" t="n">
        <v>2025</v>
      </c>
      <c r="R25" s="3" t="n">
        <v>2026</v>
      </c>
      <c r="S25" s="3" t="n">
        <v>2027</v>
      </c>
      <c r="T25" s="3" t="n">
        <v>2028</v>
      </c>
      <c r="U25" s="3" t="n">
        <v>2029</v>
      </c>
      <c r="V25" s="3" t="n">
        <v>2030</v>
      </c>
    </row>
    <row r="26">
      <c r="A26" s="4" t="inlineStr">
        <is>
          <t>Jan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</row>
    <row r="27">
      <c r="A27" s="6" t="inlineStr">
        <is>
          <t>Feb</t>
        </is>
      </c>
    </row>
    <row r="28">
      <c r="A28" s="4" t="inlineStr">
        <is>
          <t>Mar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</row>
    <row r="29">
      <c r="A29" s="6" t="inlineStr">
        <is>
          <t>Apr</t>
        </is>
      </c>
    </row>
    <row r="30">
      <c r="A30" s="4" t="inlineStr">
        <is>
          <t>May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>
      <c r="A31" s="6" t="inlineStr">
        <is>
          <t>Jun</t>
        </is>
      </c>
    </row>
    <row r="32">
      <c r="A32" s="4" t="inlineStr">
        <is>
          <t>Jul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</row>
    <row r="33">
      <c r="A33" s="6" t="inlineStr">
        <is>
          <t>Aug</t>
        </is>
      </c>
    </row>
    <row r="34">
      <c r="A34" s="4" t="inlineStr">
        <is>
          <t>Sep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</row>
    <row r="35">
      <c r="A35" s="6" t="inlineStr">
        <is>
          <t>Oct</t>
        </is>
      </c>
    </row>
    <row r="36">
      <c r="A36" s="4" t="inlineStr">
        <is>
          <t>Nov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>
      <c r="A37" s="6" t="inlineStr">
        <is>
          <t>Dec</t>
        </is>
      </c>
    </row>
    <row r="38">
      <c r="A38" s="7" t="inlineStr">
        <is>
          <t xml:space="preserve">  Calendar-year Total</t>
        </is>
      </c>
      <c r="B38" s="7">
        <f>SUM(B26:B37)</f>
        <v/>
      </c>
      <c r="C38" s="7">
        <f>SUM(C26:C37)</f>
        <v/>
      </c>
      <c r="D38" s="7">
        <f>SUM(D26:D37)</f>
        <v/>
      </c>
      <c r="E38" s="7">
        <f>SUM(E26:E37)</f>
        <v/>
      </c>
      <c r="F38" s="7">
        <f>SUM(F26:F37)</f>
        <v/>
      </c>
      <c r="G38" s="7">
        <f>SUM(G26:G37)</f>
        <v/>
      </c>
      <c r="H38" s="7">
        <f>SUM(H26:H37)</f>
        <v/>
      </c>
      <c r="I38" s="7">
        <f>SUM(I26:I37)</f>
        <v/>
      </c>
      <c r="J38" s="7">
        <f>SUM(J26:J37)</f>
        <v/>
      </c>
      <c r="K38" s="7">
        <f>SUM(K26:K37)</f>
        <v/>
      </c>
      <c r="L38" s="7">
        <f>SUM(L26:L37)</f>
        <v/>
      </c>
      <c r="M38" s="7">
        <f>SUM(M26:M37)</f>
        <v/>
      </c>
      <c r="N38" s="7">
        <f>SUM(N26:N37)</f>
        <v/>
      </c>
      <c r="O38" s="7">
        <f>SUM(O26:O37)</f>
        <v/>
      </c>
      <c r="P38" s="7">
        <f>SUM(P26:P37)</f>
        <v/>
      </c>
      <c r="Q38" s="7">
        <f>SUM(Q26:Q37)</f>
        <v/>
      </c>
      <c r="R38" s="7">
        <f>SUM(R26:R37)</f>
        <v/>
      </c>
      <c r="S38" s="7">
        <f>SUM(S26:S37)</f>
        <v/>
      </c>
      <c r="T38" s="7">
        <f>SUM(T26:T37)</f>
        <v/>
      </c>
      <c r="U38" s="7">
        <f>SUM(U26:U37)</f>
        <v/>
      </c>
      <c r="V38" s="7">
        <f>SUM(V26:V37)</f>
        <v/>
      </c>
    </row>
    <row r="40">
      <c r="A40" s="10" t="inlineStr">
        <is>
          <t>US ETHANOL IMPORTS</t>
        </is>
      </c>
    </row>
    <row r="41">
      <c r="A41" s="11" t="inlineStr">
        <is>
          <t>(million gallons)</t>
        </is>
      </c>
      <c r="B41" s="3" t="n">
        <v>2010</v>
      </c>
      <c r="C41" s="3" t="n">
        <v>2011</v>
      </c>
      <c r="D41" s="3" t="n">
        <v>2012</v>
      </c>
      <c r="E41" s="3" t="n">
        <v>2013</v>
      </c>
      <c r="F41" s="3" t="n">
        <v>2014</v>
      </c>
      <c r="G41" s="3" t="n">
        <v>2015</v>
      </c>
      <c r="H41" s="3" t="n">
        <v>2016</v>
      </c>
      <c r="I41" s="3" t="n">
        <v>2017</v>
      </c>
      <c r="J41" s="3" t="n">
        <v>2018</v>
      </c>
      <c r="K41" s="3" t="n">
        <v>2019</v>
      </c>
      <c r="L41" s="3" t="n">
        <v>2020</v>
      </c>
      <c r="M41" s="3" t="n">
        <v>2021</v>
      </c>
      <c r="N41" s="3" t="n">
        <v>2022</v>
      </c>
      <c r="O41" s="3" t="n">
        <v>2023</v>
      </c>
      <c r="P41" s="3" t="n">
        <v>2024</v>
      </c>
      <c r="Q41" s="3" t="n">
        <v>2025</v>
      </c>
      <c r="R41" s="3" t="n">
        <v>2026</v>
      </c>
      <c r="S41" s="3" t="n">
        <v>2027</v>
      </c>
      <c r="T41" s="3" t="n">
        <v>2028</v>
      </c>
      <c r="U41" s="3" t="n">
        <v>2029</v>
      </c>
      <c r="V41" s="3" t="n">
        <v>2030</v>
      </c>
    </row>
    <row r="42">
      <c r="A42" s="4" t="inlineStr">
        <is>
          <t>Jan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>
      <c r="A43" s="6" t="inlineStr">
        <is>
          <t>Feb</t>
        </is>
      </c>
    </row>
    <row r="44">
      <c r="A44" s="4" t="inlineStr">
        <is>
          <t>Mar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>
      <c r="A45" s="6" t="inlineStr">
        <is>
          <t>Apr</t>
        </is>
      </c>
    </row>
    <row r="46">
      <c r="A46" s="4" t="inlineStr">
        <is>
          <t>May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>
      <c r="A47" s="6" t="inlineStr">
        <is>
          <t>Jun</t>
        </is>
      </c>
    </row>
    <row r="48">
      <c r="A48" s="4" t="inlineStr">
        <is>
          <t>Jul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>
      <c r="A49" s="6" t="inlineStr">
        <is>
          <t>Aug</t>
        </is>
      </c>
    </row>
    <row r="50">
      <c r="A50" s="4" t="inlineStr">
        <is>
          <t>Sep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</row>
    <row r="51">
      <c r="A51" s="6" t="inlineStr">
        <is>
          <t>Oct</t>
        </is>
      </c>
    </row>
    <row r="52">
      <c r="A52" s="4" t="inlineStr">
        <is>
          <t>Nov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</row>
    <row r="53">
      <c r="A53" s="6" t="inlineStr">
        <is>
          <t>Dec</t>
        </is>
      </c>
    </row>
    <row r="54">
      <c r="A54" s="7" t="inlineStr">
        <is>
          <t xml:space="preserve">  Calendar-year Total</t>
        </is>
      </c>
      <c r="B54" s="7">
        <f>SUM(B42:B53)</f>
        <v/>
      </c>
      <c r="C54" s="7">
        <f>SUM(C42:C53)</f>
        <v/>
      </c>
      <c r="D54" s="7">
        <f>SUM(D42:D53)</f>
        <v/>
      </c>
      <c r="E54" s="7">
        <f>SUM(E42:E53)</f>
        <v/>
      </c>
      <c r="F54" s="7">
        <f>SUM(F42:F53)</f>
        <v/>
      </c>
      <c r="G54" s="7">
        <f>SUM(G42:G53)</f>
        <v/>
      </c>
      <c r="H54" s="7">
        <f>SUM(H42:H53)</f>
        <v/>
      </c>
      <c r="I54" s="7">
        <f>SUM(I42:I53)</f>
        <v/>
      </c>
      <c r="J54" s="7">
        <f>SUM(J42:J53)</f>
        <v/>
      </c>
      <c r="K54" s="7">
        <f>SUM(K42:K53)</f>
        <v/>
      </c>
      <c r="L54" s="7">
        <f>SUM(L42:L53)</f>
        <v/>
      </c>
      <c r="M54" s="7">
        <f>SUM(M42:M53)</f>
        <v/>
      </c>
      <c r="N54" s="7">
        <f>SUM(N42:N53)</f>
        <v/>
      </c>
      <c r="O54" s="7">
        <f>SUM(O42:O53)</f>
        <v/>
      </c>
      <c r="P54" s="7">
        <f>SUM(P42:P53)</f>
        <v/>
      </c>
      <c r="Q54" s="7">
        <f>SUM(Q42:Q53)</f>
        <v/>
      </c>
      <c r="R54" s="7">
        <f>SUM(R42:R53)</f>
        <v/>
      </c>
      <c r="S54" s="7">
        <f>SUM(S42:S53)</f>
        <v/>
      </c>
      <c r="T54" s="7">
        <f>SUM(T42:T53)</f>
        <v/>
      </c>
      <c r="U54" s="7">
        <f>SUM(U42:U53)</f>
        <v/>
      </c>
      <c r="V54" s="7">
        <f>SUM(V42:V53)</f>
        <v/>
      </c>
    </row>
    <row r="56">
      <c r="A56" s="10" t="inlineStr">
        <is>
          <t>US ETHANOL EXPORTS</t>
        </is>
      </c>
    </row>
    <row r="57">
      <c r="A57" s="11" t="inlineStr">
        <is>
          <t>(million gallons)</t>
        </is>
      </c>
      <c r="B57" s="3" t="n">
        <v>2010</v>
      </c>
      <c r="C57" s="3" t="n">
        <v>2011</v>
      </c>
      <c r="D57" s="3" t="n">
        <v>2012</v>
      </c>
      <c r="E57" s="3" t="n">
        <v>2013</v>
      </c>
      <c r="F57" s="3" t="n">
        <v>2014</v>
      </c>
      <c r="G57" s="3" t="n">
        <v>2015</v>
      </c>
      <c r="H57" s="3" t="n">
        <v>2016</v>
      </c>
      <c r="I57" s="3" t="n">
        <v>2017</v>
      </c>
      <c r="J57" s="3" t="n">
        <v>2018</v>
      </c>
      <c r="K57" s="3" t="n">
        <v>2019</v>
      </c>
      <c r="L57" s="3" t="n">
        <v>2020</v>
      </c>
      <c r="M57" s="3" t="n">
        <v>2021</v>
      </c>
      <c r="N57" s="3" t="n">
        <v>2022</v>
      </c>
      <c r="O57" s="3" t="n">
        <v>2023</v>
      </c>
      <c r="P57" s="3" t="n">
        <v>2024</v>
      </c>
      <c r="Q57" s="3" t="n">
        <v>2025</v>
      </c>
      <c r="R57" s="3" t="n">
        <v>2026</v>
      </c>
      <c r="S57" s="3" t="n">
        <v>2027</v>
      </c>
      <c r="T57" s="3" t="n">
        <v>2028</v>
      </c>
      <c r="U57" s="3" t="n">
        <v>2029</v>
      </c>
      <c r="V57" s="3" t="n">
        <v>2030</v>
      </c>
    </row>
    <row r="58">
      <c r="A58" s="4" t="inlineStr">
        <is>
          <t>Jan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</row>
    <row r="59">
      <c r="A59" s="6" t="inlineStr">
        <is>
          <t>Feb</t>
        </is>
      </c>
    </row>
    <row r="60">
      <c r="A60" s="4" t="inlineStr">
        <is>
          <t>Mar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</row>
    <row r="61">
      <c r="A61" s="6" t="inlineStr">
        <is>
          <t>Apr</t>
        </is>
      </c>
    </row>
    <row r="62">
      <c r="A62" s="4" t="inlineStr">
        <is>
          <t>May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</row>
    <row r="63">
      <c r="A63" s="6" t="inlineStr">
        <is>
          <t>Jun</t>
        </is>
      </c>
    </row>
    <row r="64">
      <c r="A64" s="4" t="inlineStr">
        <is>
          <t>Jul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</row>
    <row r="65">
      <c r="A65" s="6" t="inlineStr">
        <is>
          <t>Aug</t>
        </is>
      </c>
    </row>
    <row r="66">
      <c r="A66" s="4" t="inlineStr">
        <is>
          <t>Sep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</row>
    <row r="67">
      <c r="A67" s="6" t="inlineStr">
        <is>
          <t>Oct</t>
        </is>
      </c>
    </row>
    <row r="68">
      <c r="A68" s="4" t="inlineStr">
        <is>
          <t>Nov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</row>
    <row r="69">
      <c r="A69" s="6" t="inlineStr">
        <is>
          <t>Dec</t>
        </is>
      </c>
    </row>
    <row r="70">
      <c r="A70" s="7" t="inlineStr">
        <is>
          <t xml:space="preserve">  Calendar-year Total</t>
        </is>
      </c>
      <c r="B70" s="7">
        <f>SUM(B58:B69)</f>
        <v/>
      </c>
      <c r="C70" s="7">
        <f>SUM(C58:C69)</f>
        <v/>
      </c>
      <c r="D70" s="7">
        <f>SUM(D58:D69)</f>
        <v/>
      </c>
      <c r="E70" s="7">
        <f>SUM(E58:E69)</f>
        <v/>
      </c>
      <c r="F70" s="7">
        <f>SUM(F58:F69)</f>
        <v/>
      </c>
      <c r="G70" s="7">
        <f>SUM(G58:G69)</f>
        <v/>
      </c>
      <c r="H70" s="7">
        <f>SUM(H58:H69)</f>
        <v/>
      </c>
      <c r="I70" s="7">
        <f>SUM(I58:I69)</f>
        <v/>
      </c>
      <c r="J70" s="7">
        <f>SUM(J58:J69)</f>
        <v/>
      </c>
      <c r="K70" s="7">
        <f>SUM(K58:K69)</f>
        <v/>
      </c>
      <c r="L70" s="7">
        <f>SUM(L58:L69)</f>
        <v/>
      </c>
      <c r="M70" s="7">
        <f>SUM(M58:M69)</f>
        <v/>
      </c>
      <c r="N70" s="7">
        <f>SUM(N58:N69)</f>
        <v/>
      </c>
      <c r="O70" s="7">
        <f>SUM(O58:O69)</f>
        <v/>
      </c>
      <c r="P70" s="7">
        <f>SUM(P58:P69)</f>
        <v/>
      </c>
      <c r="Q70" s="7">
        <f>SUM(Q58:Q69)</f>
        <v/>
      </c>
      <c r="R70" s="7">
        <f>SUM(R58:R69)</f>
        <v/>
      </c>
      <c r="S70" s="7">
        <f>SUM(S58:S69)</f>
        <v/>
      </c>
      <c r="T70" s="7">
        <f>SUM(T58:T69)</f>
        <v/>
      </c>
      <c r="U70" s="7">
        <f>SUM(U58:U69)</f>
        <v/>
      </c>
      <c r="V70" s="7">
        <f>SUM(V58:V69)</f>
        <v/>
      </c>
    </row>
    <row r="72">
      <c r="A72" s="10" t="inlineStr">
        <is>
          <t>US ETHANOL CONSUMPTION</t>
        </is>
      </c>
    </row>
    <row r="73">
      <c r="A73" s="11" t="inlineStr">
        <is>
          <t>(million gallons)</t>
        </is>
      </c>
      <c r="B73" s="3" t="n">
        <v>2010</v>
      </c>
      <c r="C73" s="3" t="n">
        <v>2011</v>
      </c>
      <c r="D73" s="3" t="n">
        <v>2012</v>
      </c>
      <c r="E73" s="3" t="n">
        <v>2013</v>
      </c>
      <c r="F73" s="3" t="n">
        <v>2014</v>
      </c>
      <c r="G73" s="3" t="n">
        <v>2015</v>
      </c>
      <c r="H73" s="3" t="n">
        <v>2016</v>
      </c>
      <c r="I73" s="3" t="n">
        <v>2017</v>
      </c>
      <c r="J73" s="3" t="n">
        <v>2018</v>
      </c>
      <c r="K73" s="3" t="n">
        <v>2019</v>
      </c>
      <c r="L73" s="3" t="n">
        <v>2020</v>
      </c>
      <c r="M73" s="3" t="n">
        <v>2021</v>
      </c>
      <c r="N73" s="3" t="n">
        <v>2022</v>
      </c>
      <c r="O73" s="3" t="n">
        <v>2023</v>
      </c>
      <c r="P73" s="3" t="n">
        <v>2024</v>
      </c>
      <c r="Q73" s="3" t="n">
        <v>2025</v>
      </c>
      <c r="R73" s="3" t="n">
        <v>2026</v>
      </c>
      <c r="S73" s="3" t="n">
        <v>2027</v>
      </c>
      <c r="T73" s="3" t="n">
        <v>2028</v>
      </c>
      <c r="U73" s="3" t="n">
        <v>2029</v>
      </c>
      <c r="V73" s="3" t="n">
        <v>2030</v>
      </c>
    </row>
    <row r="74">
      <c r="A74" s="4" t="inlineStr">
        <is>
          <t>Jan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</row>
    <row r="75">
      <c r="A75" s="6" t="inlineStr">
        <is>
          <t>Feb</t>
        </is>
      </c>
    </row>
    <row r="76">
      <c r="A76" s="4" t="inlineStr">
        <is>
          <t>Mar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</row>
    <row r="77">
      <c r="A77" s="6" t="inlineStr">
        <is>
          <t>Apr</t>
        </is>
      </c>
    </row>
    <row r="78">
      <c r="A78" s="4" t="inlineStr">
        <is>
          <t>May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</row>
    <row r="79">
      <c r="A79" s="6" t="inlineStr">
        <is>
          <t>Jun</t>
        </is>
      </c>
    </row>
    <row r="80">
      <c r="A80" s="4" t="inlineStr">
        <is>
          <t>Jul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</row>
    <row r="81">
      <c r="A81" s="6" t="inlineStr">
        <is>
          <t>Aug</t>
        </is>
      </c>
    </row>
    <row r="82">
      <c r="A82" s="4" t="inlineStr">
        <is>
          <t>Sep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</row>
    <row r="83">
      <c r="A83" s="6" t="inlineStr">
        <is>
          <t>Oct</t>
        </is>
      </c>
    </row>
    <row r="84">
      <c r="A84" s="4" t="inlineStr">
        <is>
          <t>Nov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</row>
    <row r="85">
      <c r="A85" s="6" t="inlineStr">
        <is>
          <t>Dec</t>
        </is>
      </c>
    </row>
    <row r="86">
      <c r="A86" s="7" t="inlineStr">
        <is>
          <t xml:space="preserve">  Calendar-year Total</t>
        </is>
      </c>
      <c r="B86" s="7">
        <f>SUM(B74:B85)</f>
        <v/>
      </c>
      <c r="C86" s="7">
        <f>SUM(C74:C85)</f>
        <v/>
      </c>
      <c r="D86" s="7">
        <f>SUM(D74:D85)</f>
        <v/>
      </c>
      <c r="E86" s="7">
        <f>SUM(E74:E85)</f>
        <v/>
      </c>
      <c r="F86" s="7">
        <f>SUM(F74:F85)</f>
        <v/>
      </c>
      <c r="G86" s="7">
        <f>SUM(G74:G85)</f>
        <v/>
      </c>
      <c r="H86" s="7">
        <f>SUM(H74:H85)</f>
        <v/>
      </c>
      <c r="I86" s="7">
        <f>SUM(I74:I85)</f>
        <v/>
      </c>
      <c r="J86" s="7">
        <f>SUM(J74:J85)</f>
        <v/>
      </c>
      <c r="K86" s="7">
        <f>SUM(K74:K85)</f>
        <v/>
      </c>
      <c r="L86" s="7">
        <f>SUM(L74:L85)</f>
        <v/>
      </c>
      <c r="M86" s="7">
        <f>SUM(M74:M85)</f>
        <v/>
      </c>
      <c r="N86" s="7">
        <f>SUM(N74:N85)</f>
        <v/>
      </c>
      <c r="O86" s="7">
        <f>SUM(O74:O85)</f>
        <v/>
      </c>
      <c r="P86" s="7">
        <f>SUM(P74:P85)</f>
        <v/>
      </c>
      <c r="Q86" s="7">
        <f>SUM(Q74:Q85)</f>
        <v/>
      </c>
      <c r="R86" s="7">
        <f>SUM(R74:R85)</f>
        <v/>
      </c>
      <c r="S86" s="7">
        <f>SUM(S74:S85)</f>
        <v/>
      </c>
      <c r="T86" s="7">
        <f>SUM(T74:T85)</f>
        <v/>
      </c>
      <c r="U86" s="7">
        <f>SUM(U74:U85)</f>
        <v/>
      </c>
      <c r="V86" s="7">
        <f>SUM(V74:V85)</f>
        <v/>
      </c>
    </row>
    <row r="88">
      <c r="A88" s="10" t="inlineStr">
        <is>
          <t>US ETHANOL STOCKS</t>
        </is>
      </c>
    </row>
    <row r="89">
      <c r="A89" s="11" t="inlineStr">
        <is>
          <t>(million gallons)</t>
        </is>
      </c>
      <c r="B89" s="3" t="n">
        <v>2010</v>
      </c>
      <c r="C89" s="3" t="n">
        <v>2011</v>
      </c>
      <c r="D89" s="3" t="n">
        <v>2012</v>
      </c>
      <c r="E89" s="3" t="n">
        <v>2013</v>
      </c>
      <c r="F89" s="3" t="n">
        <v>2014</v>
      </c>
      <c r="G89" s="3" t="n">
        <v>2015</v>
      </c>
      <c r="H89" s="3" t="n">
        <v>2016</v>
      </c>
      <c r="I89" s="3" t="n">
        <v>2017</v>
      </c>
      <c r="J89" s="3" t="n">
        <v>2018</v>
      </c>
      <c r="K89" s="3" t="n">
        <v>2019</v>
      </c>
      <c r="L89" s="3" t="n">
        <v>2020</v>
      </c>
      <c r="M89" s="3" t="n">
        <v>2021</v>
      </c>
      <c r="N89" s="3" t="n">
        <v>2022</v>
      </c>
      <c r="O89" s="3" t="n">
        <v>2023</v>
      </c>
      <c r="P89" s="3" t="n">
        <v>2024</v>
      </c>
      <c r="Q89" s="3" t="n">
        <v>2025</v>
      </c>
      <c r="R89" s="3" t="n">
        <v>2026</v>
      </c>
      <c r="S89" s="3" t="n">
        <v>2027</v>
      </c>
      <c r="T89" s="3" t="n">
        <v>2028</v>
      </c>
      <c r="U89" s="3" t="n">
        <v>2029</v>
      </c>
      <c r="V89" s="3" t="n">
        <v>2030</v>
      </c>
    </row>
    <row r="90">
      <c r="A90" s="4" t="inlineStr">
        <is>
          <t>Jan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</row>
    <row r="91">
      <c r="A91" s="6" t="inlineStr">
        <is>
          <t>Feb</t>
        </is>
      </c>
    </row>
    <row r="92">
      <c r="A92" s="4" t="inlineStr">
        <is>
          <t>Mar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</row>
    <row r="93">
      <c r="A93" s="6" t="inlineStr">
        <is>
          <t>Apr</t>
        </is>
      </c>
    </row>
    <row r="94">
      <c r="A94" s="4" t="inlineStr">
        <is>
          <t>May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</row>
    <row r="95">
      <c r="A95" s="6" t="inlineStr">
        <is>
          <t>Jun</t>
        </is>
      </c>
    </row>
    <row r="96">
      <c r="A96" s="4" t="inlineStr">
        <is>
          <t>Jul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</row>
    <row r="97">
      <c r="A97" s="6" t="inlineStr">
        <is>
          <t>Aug</t>
        </is>
      </c>
    </row>
    <row r="98">
      <c r="A98" s="4" t="inlineStr">
        <is>
          <t>Sep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</row>
    <row r="99">
      <c r="A99" s="6" t="inlineStr">
        <is>
          <t>Oct</t>
        </is>
      </c>
    </row>
    <row r="100">
      <c r="A100" s="4" t="inlineStr">
        <is>
          <t>Nov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</row>
    <row r="101">
      <c r="A101" s="6" t="inlineStr">
        <is>
          <t>Dec</t>
        </is>
      </c>
    </row>
    <row r="102">
      <c r="A102" s="7" t="inlineStr">
        <is>
          <t xml:space="preserve">  Calendar-year Total</t>
        </is>
      </c>
      <c r="B102" s="7">
        <f>SUM(B90:B101)</f>
        <v/>
      </c>
      <c r="C102" s="7">
        <f>SUM(C90:C101)</f>
        <v/>
      </c>
      <c r="D102" s="7">
        <f>SUM(D90:D101)</f>
        <v/>
      </c>
      <c r="E102" s="7">
        <f>SUM(E90:E101)</f>
        <v/>
      </c>
      <c r="F102" s="7">
        <f>SUM(F90:F101)</f>
        <v/>
      </c>
      <c r="G102" s="7">
        <f>SUM(G90:G101)</f>
        <v/>
      </c>
      <c r="H102" s="7">
        <f>SUM(H90:H101)</f>
        <v/>
      </c>
      <c r="I102" s="7">
        <f>SUM(I90:I101)</f>
        <v/>
      </c>
      <c r="J102" s="7">
        <f>SUM(J90:J101)</f>
        <v/>
      </c>
      <c r="K102" s="7">
        <f>SUM(K90:K101)</f>
        <v/>
      </c>
      <c r="L102" s="7">
        <f>SUM(L90:L101)</f>
        <v/>
      </c>
      <c r="M102" s="7">
        <f>SUM(M90:M101)</f>
        <v/>
      </c>
      <c r="N102" s="7">
        <f>SUM(N90:N101)</f>
        <v/>
      </c>
      <c r="O102" s="7">
        <f>SUM(O90:O101)</f>
        <v/>
      </c>
      <c r="P102" s="7">
        <f>SUM(P90:P101)</f>
        <v/>
      </c>
      <c r="Q102" s="7">
        <f>SUM(Q90:Q101)</f>
        <v/>
      </c>
      <c r="R102" s="7">
        <f>SUM(R90:R101)</f>
        <v/>
      </c>
      <c r="S102" s="7">
        <f>SUM(S90:S101)</f>
        <v/>
      </c>
      <c r="T102" s="7">
        <f>SUM(T90:T101)</f>
        <v/>
      </c>
      <c r="U102" s="7">
        <f>SUM(U90:U101)</f>
        <v/>
      </c>
      <c r="V102" s="7">
        <f>SUM(V90:V101)</f>
        <v/>
      </c>
    </row>
    <row r="104">
      <c r="A104" s="10" t="inlineStr">
        <is>
          <t>US ETHANOL CAPACITY</t>
        </is>
      </c>
    </row>
    <row r="105">
      <c r="A105" s="11" t="inlineStr">
        <is>
          <t>(MMGY)</t>
        </is>
      </c>
      <c r="B105" s="3" t="n">
        <v>2010</v>
      </c>
      <c r="C105" s="3" t="n">
        <v>2011</v>
      </c>
      <c r="D105" s="3" t="n">
        <v>2012</v>
      </c>
      <c r="E105" s="3" t="n">
        <v>2013</v>
      </c>
      <c r="F105" s="3" t="n">
        <v>2014</v>
      </c>
      <c r="G105" s="3" t="n">
        <v>2015</v>
      </c>
      <c r="H105" s="3" t="n">
        <v>2016</v>
      </c>
      <c r="I105" s="3" t="n">
        <v>2017</v>
      </c>
      <c r="J105" s="3" t="n">
        <v>2018</v>
      </c>
      <c r="K105" s="3" t="n">
        <v>2019</v>
      </c>
      <c r="L105" s="3" t="n">
        <v>2020</v>
      </c>
      <c r="M105" s="3" t="n">
        <v>2021</v>
      </c>
      <c r="N105" s="3" t="n">
        <v>2022</v>
      </c>
      <c r="O105" s="3" t="n">
        <v>2023</v>
      </c>
      <c r="P105" s="3" t="n">
        <v>2024</v>
      </c>
      <c r="Q105" s="3" t="n">
        <v>2025</v>
      </c>
      <c r="R105" s="3" t="n">
        <v>2026</v>
      </c>
      <c r="S105" s="3" t="n">
        <v>2027</v>
      </c>
      <c r="T105" s="3" t="n">
        <v>2028</v>
      </c>
      <c r="U105" s="3" t="n">
        <v>2029</v>
      </c>
      <c r="V105" s="3" t="n">
        <v>2030</v>
      </c>
    </row>
    <row r="106">
      <c r="A106" s="4" t="inlineStr">
        <is>
          <t>Jan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</row>
    <row r="107">
      <c r="A107" s="6" t="inlineStr">
        <is>
          <t>Feb</t>
        </is>
      </c>
    </row>
    <row r="108">
      <c r="A108" s="4" t="inlineStr">
        <is>
          <t>Mar</t>
        </is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</row>
    <row r="109">
      <c r="A109" s="6" t="inlineStr">
        <is>
          <t>Apr</t>
        </is>
      </c>
    </row>
    <row r="110">
      <c r="A110" s="4" t="inlineStr">
        <is>
          <t>May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</row>
    <row r="111">
      <c r="A111" s="6" t="inlineStr">
        <is>
          <t>Jun</t>
        </is>
      </c>
    </row>
    <row r="112">
      <c r="A112" s="4" t="inlineStr">
        <is>
          <t>Jul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</row>
    <row r="113">
      <c r="A113" s="6" t="inlineStr">
        <is>
          <t>Aug</t>
        </is>
      </c>
    </row>
    <row r="114">
      <c r="A114" s="4" t="inlineStr">
        <is>
          <t>Sep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</row>
    <row r="115">
      <c r="A115" s="6" t="inlineStr">
        <is>
          <t>Oct</t>
        </is>
      </c>
    </row>
    <row r="116">
      <c r="A116" s="4" t="inlineStr">
        <is>
          <t>Nov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</row>
    <row r="117">
      <c r="A117" s="6" t="inlineStr">
        <is>
          <t>Dec</t>
        </is>
      </c>
    </row>
    <row r="118">
      <c r="A118" s="7" t="inlineStr">
        <is>
          <t xml:space="preserve">  Calendar-year Total</t>
        </is>
      </c>
      <c r="B118" s="7">
        <f>SUM(B106:B117)</f>
        <v/>
      </c>
      <c r="C118" s="7">
        <f>SUM(C106:C117)</f>
        <v/>
      </c>
      <c r="D118" s="7">
        <f>SUM(D106:D117)</f>
        <v/>
      </c>
      <c r="E118" s="7">
        <f>SUM(E106:E117)</f>
        <v/>
      </c>
      <c r="F118" s="7">
        <f>SUM(F106:F117)</f>
        <v/>
      </c>
      <c r="G118" s="7">
        <f>SUM(G106:G117)</f>
        <v/>
      </c>
      <c r="H118" s="7">
        <f>SUM(H106:H117)</f>
        <v/>
      </c>
      <c r="I118" s="7">
        <f>SUM(I106:I117)</f>
        <v/>
      </c>
      <c r="J118" s="7">
        <f>SUM(J106:J117)</f>
        <v/>
      </c>
      <c r="K118" s="7">
        <f>SUM(K106:K117)</f>
        <v/>
      </c>
      <c r="L118" s="7">
        <f>SUM(L106:L117)</f>
        <v/>
      </c>
      <c r="M118" s="7">
        <f>SUM(M106:M117)</f>
        <v/>
      </c>
      <c r="N118" s="7">
        <f>SUM(N106:N117)</f>
        <v/>
      </c>
      <c r="O118" s="7">
        <f>SUM(O106:O117)</f>
        <v/>
      </c>
      <c r="P118" s="7">
        <f>SUM(P106:P117)</f>
        <v/>
      </c>
      <c r="Q118" s="7">
        <f>SUM(Q106:Q117)</f>
        <v/>
      </c>
      <c r="R118" s="7">
        <f>SUM(R106:R117)</f>
        <v/>
      </c>
      <c r="S118" s="7">
        <f>SUM(S106:S117)</f>
        <v/>
      </c>
      <c r="T118" s="7">
        <f>SUM(T106:T117)</f>
        <v/>
      </c>
      <c r="U118" s="7">
        <f>SUM(U106:U117)</f>
        <v/>
      </c>
      <c r="V118" s="7">
        <f>SUM(V106:V117)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2026-04-07T13:48:43Z</dcterms:created>
  <dcterms:modified xmlns:dcterms="http://purl.org/dc/terms/" xmlns:xsi="http://www.w3.org/2001/XMLSchema-instance" xsi:type="dcterms:W3CDTF">2026-04-07T13:48:44Z</dcterms:modified>
</cp:coreProperties>
</file>