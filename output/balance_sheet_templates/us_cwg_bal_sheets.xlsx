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dev\RLC-Agent\output\balance_sheet_templates\"/>
    </mc:Choice>
  </mc:AlternateContent>
  <xr:revisionPtr revIDLastSave="0" documentId="13_ncr:1_{1059D6A9-07A9-497A-B6F2-1206594D0A04}" xr6:coauthVersionLast="47" xr6:coauthVersionMax="47" xr10:uidLastSave="{00000000-0000-0000-0000-000000000000}"/>
  <bookViews>
    <workbookView xWindow="3720" yWindow="2250" windowWidth="21600" windowHeight="11835" xr2:uid="{00000000-000D-0000-FFFF-FFFF00000000}"/>
  </bookViews>
  <sheets>
    <sheet name="Cwg" sheetId="1" r:id="rId1"/>
  </sheets>
  <externalReferences>
    <externalReference r:id="rId2"/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0" i="1" l="1"/>
  <c r="Y200" i="1"/>
  <c r="Z200" i="1"/>
  <c r="AA200" i="1"/>
  <c r="AB200" i="1"/>
  <c r="AC200" i="1"/>
  <c r="AD200" i="1"/>
  <c r="AE200" i="1"/>
  <c r="AF200" i="1"/>
  <c r="AG200" i="1"/>
  <c r="AH200" i="1"/>
  <c r="AI200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H111" i="1"/>
  <c r="AH112" i="1"/>
  <c r="AH113" i="1"/>
  <c r="AH114" i="1"/>
  <c r="AH115" i="1"/>
  <c r="AH116" i="1"/>
  <c r="AH110" i="1"/>
  <c r="AH106" i="1"/>
  <c r="AH107" i="1"/>
  <c r="AH108" i="1"/>
  <c r="AH109" i="1"/>
  <c r="Y105" i="1"/>
  <c r="Z105" i="1"/>
  <c r="AA105" i="1"/>
  <c r="X106" i="1"/>
  <c r="Y106" i="1"/>
  <c r="Z106" i="1"/>
  <c r="AA106" i="1"/>
  <c r="X107" i="1"/>
  <c r="Y107" i="1"/>
  <c r="Z107" i="1"/>
  <c r="AA107" i="1"/>
  <c r="X108" i="1"/>
  <c r="Y108" i="1"/>
  <c r="Z108" i="1"/>
  <c r="AA108" i="1"/>
  <c r="X109" i="1"/>
  <c r="Y109" i="1"/>
  <c r="Z109" i="1"/>
  <c r="AA109" i="1"/>
  <c r="X110" i="1"/>
  <c r="Y110" i="1"/>
  <c r="Z110" i="1"/>
  <c r="AA110" i="1"/>
  <c r="X111" i="1"/>
  <c r="Y111" i="1"/>
  <c r="Z111" i="1"/>
  <c r="AA111" i="1"/>
  <c r="X112" i="1"/>
  <c r="Y112" i="1"/>
  <c r="Z112" i="1"/>
  <c r="AA112" i="1"/>
  <c r="X113" i="1"/>
  <c r="Y113" i="1"/>
  <c r="Z113" i="1"/>
  <c r="AA113" i="1"/>
  <c r="X114" i="1"/>
  <c r="Y114" i="1"/>
  <c r="Z114" i="1"/>
  <c r="AA114" i="1"/>
  <c r="X115" i="1"/>
  <c r="Y115" i="1"/>
  <c r="Z115" i="1"/>
  <c r="AA115" i="1"/>
  <c r="X116" i="1"/>
  <c r="Y116" i="1"/>
  <c r="Z116" i="1"/>
  <c r="AA116" i="1"/>
  <c r="AB106" i="1"/>
  <c r="AC106" i="1"/>
  <c r="AD106" i="1"/>
  <c r="AE106" i="1"/>
  <c r="AF106" i="1"/>
  <c r="AG106" i="1"/>
  <c r="AB107" i="1"/>
  <c r="AC107" i="1"/>
  <c r="AD107" i="1"/>
  <c r="AE107" i="1"/>
  <c r="AF107" i="1"/>
  <c r="AG107" i="1"/>
  <c r="AB108" i="1"/>
  <c r="AC108" i="1"/>
  <c r="AD108" i="1"/>
  <c r="AE108" i="1"/>
  <c r="AF108" i="1"/>
  <c r="AG108" i="1"/>
  <c r="AB109" i="1"/>
  <c r="AC109" i="1"/>
  <c r="AD109" i="1"/>
  <c r="AE109" i="1"/>
  <c r="AF109" i="1"/>
  <c r="AG109" i="1"/>
  <c r="AB110" i="1"/>
  <c r="AC110" i="1"/>
  <c r="AD110" i="1"/>
  <c r="AE110" i="1"/>
  <c r="AF110" i="1"/>
  <c r="AG110" i="1"/>
  <c r="AB111" i="1"/>
  <c r="AC111" i="1"/>
  <c r="AD111" i="1"/>
  <c r="AE111" i="1"/>
  <c r="AF111" i="1"/>
  <c r="AG111" i="1"/>
  <c r="AB112" i="1"/>
  <c r="AC112" i="1"/>
  <c r="AD112" i="1"/>
  <c r="AE112" i="1"/>
  <c r="AF112" i="1"/>
  <c r="AG112" i="1"/>
  <c r="AB113" i="1"/>
  <c r="AC113" i="1"/>
  <c r="AD113" i="1"/>
  <c r="AE113" i="1"/>
  <c r="AF113" i="1"/>
  <c r="AG113" i="1"/>
  <c r="AB114" i="1"/>
  <c r="AC114" i="1"/>
  <c r="AD114" i="1"/>
  <c r="AE114" i="1"/>
  <c r="AF114" i="1"/>
  <c r="AG114" i="1"/>
  <c r="AB115" i="1"/>
  <c r="AC115" i="1"/>
  <c r="AD115" i="1"/>
  <c r="AE115" i="1"/>
  <c r="AF115" i="1"/>
  <c r="AG115" i="1"/>
  <c r="AB116" i="1"/>
  <c r="AC116" i="1"/>
  <c r="AD116" i="1"/>
  <c r="AE116" i="1"/>
  <c r="AF116" i="1"/>
  <c r="AG116" i="1"/>
  <c r="X104" i="1"/>
  <c r="Y104" i="1"/>
  <c r="Z104" i="1"/>
  <c r="AA104" i="1"/>
  <c r="AB104" i="1"/>
  <c r="AC104" i="1"/>
  <c r="AD104" i="1"/>
  <c r="AE104" i="1"/>
  <c r="AF104" i="1"/>
  <c r="AG104" i="1"/>
  <c r="AB105" i="1"/>
  <c r="AC105" i="1"/>
  <c r="AD105" i="1"/>
  <c r="AE105" i="1"/>
  <c r="AF105" i="1"/>
  <c r="AG105" i="1"/>
  <c r="AH104" i="1"/>
  <c r="AI104" i="1"/>
  <c r="AH105" i="1"/>
  <c r="AH10" i="1"/>
  <c r="AI10" i="1"/>
  <c r="AH11" i="1"/>
  <c r="AI11" i="1"/>
  <c r="Y10" i="1"/>
  <c r="Z10" i="1"/>
  <c r="AA10" i="1"/>
  <c r="AB10" i="1"/>
  <c r="AC10" i="1"/>
  <c r="AD10" i="1"/>
  <c r="AE10" i="1"/>
  <c r="AF10" i="1"/>
  <c r="AG10" i="1"/>
  <c r="Y11" i="1"/>
  <c r="Z11" i="1"/>
  <c r="AA11" i="1"/>
  <c r="AB11" i="1"/>
  <c r="AC11" i="1"/>
  <c r="AD11" i="1"/>
  <c r="AE11" i="1"/>
  <c r="AF11" i="1"/>
  <c r="AG11" i="1"/>
  <c r="X11" i="1"/>
  <c r="X10" i="1"/>
  <c r="Y168" i="1"/>
  <c r="Z168" i="1"/>
  <c r="AA168" i="1"/>
  <c r="AB168" i="1"/>
  <c r="AC168" i="1"/>
  <c r="AD168" i="1"/>
  <c r="AE168" i="1"/>
  <c r="AF168" i="1"/>
  <c r="AG168" i="1"/>
  <c r="AH168" i="1"/>
  <c r="AI168" i="1"/>
  <c r="X168" i="1"/>
  <c r="AH9" i="1"/>
  <c r="AI9" i="1"/>
  <c r="AI12" i="1" s="1"/>
  <c r="Y9" i="1"/>
  <c r="Z9" i="1"/>
  <c r="Z12" i="1" s="1"/>
  <c r="AA9" i="1"/>
  <c r="AA12" i="1" s="1"/>
  <c r="AB9" i="1"/>
  <c r="AC9" i="1"/>
  <c r="AC12" i="1" s="1"/>
  <c r="AD9" i="1"/>
  <c r="AD12" i="1" s="1"/>
  <c r="AE9" i="1"/>
  <c r="AF9" i="1"/>
  <c r="AG9" i="1"/>
  <c r="X9" i="1"/>
  <c r="X5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I85" i="1"/>
  <c r="AH85" i="1"/>
  <c r="X56" i="1"/>
  <c r="Y56" i="1"/>
  <c r="Z56" i="1"/>
  <c r="AA56" i="1"/>
  <c r="AB56" i="1"/>
  <c r="AC56" i="1"/>
  <c r="AD56" i="1"/>
  <c r="AE56" i="1"/>
  <c r="AF56" i="1"/>
  <c r="AG56" i="1"/>
  <c r="AH56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I56" i="1"/>
  <c r="AI69" i="1"/>
  <c r="AH69" i="1"/>
  <c r="U7" i="1"/>
  <c r="V7" i="1"/>
  <c r="W7" i="1"/>
  <c r="AI37" i="1"/>
  <c r="AH37" i="1"/>
  <c r="U6" i="1"/>
  <c r="V6" i="1"/>
  <c r="W6" i="1"/>
  <c r="X24" i="1"/>
  <c r="Y24" i="1"/>
  <c r="Z24" i="1"/>
  <c r="AA24" i="1"/>
  <c r="AB24" i="1"/>
  <c r="AC24" i="1"/>
  <c r="AD24" i="1"/>
  <c r="AE24" i="1"/>
  <c r="AF24" i="1"/>
  <c r="AG24" i="1"/>
  <c r="AH24" i="1"/>
  <c r="AI24" i="1"/>
  <c r="B3" i="1"/>
  <c r="B56" i="1" s="1"/>
  <c r="C3" i="1"/>
  <c r="C24" i="1" s="1"/>
  <c r="D3" i="1"/>
  <c r="D24" i="1" s="1"/>
  <c r="E3" i="1"/>
  <c r="E24" i="1" s="1"/>
  <c r="F3" i="1"/>
  <c r="F24" i="1" s="1"/>
  <c r="G3" i="1"/>
  <c r="G24" i="1" s="1"/>
  <c r="H3" i="1"/>
  <c r="H24" i="1" s="1"/>
  <c r="I3" i="1"/>
  <c r="I40" i="1" s="1"/>
  <c r="J3" i="1"/>
  <c r="J40" i="1" s="1"/>
  <c r="K3" i="1"/>
  <c r="K40" i="1" s="1"/>
  <c r="L3" i="1"/>
  <c r="L40" i="1" s="1"/>
  <c r="M3" i="1"/>
  <c r="M40" i="1" s="1"/>
  <c r="N3" i="1"/>
  <c r="N24" i="1" s="1"/>
  <c r="O3" i="1"/>
  <c r="O24" i="1" s="1"/>
  <c r="P3" i="1"/>
  <c r="P40" i="1" s="1"/>
  <c r="Q3" i="1"/>
  <c r="Q40" i="1" s="1"/>
  <c r="R3" i="1"/>
  <c r="R56" i="1" s="1"/>
  <c r="S3" i="1"/>
  <c r="S56" i="1" s="1"/>
  <c r="T3" i="1"/>
  <c r="T56" i="1" s="1"/>
  <c r="U3" i="1"/>
  <c r="U56" i="1" s="1"/>
  <c r="V3" i="1"/>
  <c r="V24" i="1" s="1"/>
  <c r="W3" i="1"/>
  <c r="W24" i="1" s="1"/>
  <c r="X12" i="1" l="1"/>
  <c r="AH12" i="1"/>
  <c r="Y117" i="1"/>
  <c r="W40" i="1"/>
  <c r="V40" i="1"/>
  <c r="G40" i="1"/>
  <c r="AG117" i="1"/>
  <c r="AF117" i="1"/>
  <c r="Q56" i="1"/>
  <c r="AE117" i="1"/>
  <c r="P56" i="1"/>
  <c r="AB12" i="1"/>
  <c r="O56" i="1"/>
  <c r="AC117" i="1"/>
  <c r="N56" i="1"/>
  <c r="T24" i="1"/>
  <c r="AA117" i="1"/>
  <c r="S24" i="1"/>
  <c r="Y12" i="1"/>
  <c r="AD117" i="1"/>
  <c r="Z117" i="1"/>
  <c r="R24" i="1"/>
  <c r="U24" i="1"/>
  <c r="Q24" i="1"/>
  <c r="AB117" i="1"/>
  <c r="P24" i="1"/>
  <c r="M24" i="1"/>
  <c r="L24" i="1"/>
  <c r="B24" i="1"/>
  <c r="AG12" i="1"/>
  <c r="O40" i="1"/>
  <c r="M56" i="1"/>
  <c r="AF12" i="1"/>
  <c r="N40" i="1"/>
  <c r="L56" i="1"/>
  <c r="AE12" i="1"/>
  <c r="C40" i="1"/>
  <c r="B40" i="1"/>
  <c r="W56" i="1"/>
  <c r="V56" i="1"/>
  <c r="AH117" i="1"/>
  <c r="H40" i="1"/>
  <c r="F40" i="1"/>
  <c r="E40" i="1"/>
  <c r="D40" i="1"/>
  <c r="K56" i="1"/>
  <c r="H56" i="1"/>
  <c r="J56" i="1"/>
  <c r="K24" i="1"/>
  <c r="G56" i="1"/>
  <c r="I56" i="1"/>
  <c r="J24" i="1"/>
  <c r="U40" i="1"/>
  <c r="F56" i="1"/>
  <c r="I24" i="1"/>
  <c r="T40" i="1"/>
  <c r="E56" i="1"/>
  <c r="S40" i="1"/>
  <c r="D56" i="1"/>
  <c r="R40" i="1"/>
  <c r="C56" i="1"/>
  <c r="X57" i="1" l="1"/>
  <c r="AG212" i="1"/>
  <c r="AG17" i="1" s="1"/>
  <c r="AF212" i="1"/>
  <c r="AF17" i="1" s="1"/>
  <c r="AE212" i="1"/>
  <c r="AE17" i="1" s="1"/>
  <c r="AD212" i="1"/>
  <c r="AD17" i="1" s="1"/>
  <c r="AC212" i="1"/>
  <c r="AC17" i="1" s="1"/>
  <c r="AB212" i="1"/>
  <c r="AB17" i="1" s="1"/>
  <c r="AA212" i="1"/>
  <c r="AA17" i="1" s="1"/>
  <c r="Z212" i="1"/>
  <c r="Z17" i="1" s="1"/>
  <c r="Y212" i="1"/>
  <c r="Y17" i="1" s="1"/>
  <c r="X212" i="1"/>
  <c r="X17" i="1" s="1"/>
  <c r="AG211" i="1"/>
  <c r="AF211" i="1"/>
  <c r="AE211" i="1"/>
  <c r="AD211" i="1"/>
  <c r="AC211" i="1"/>
  <c r="AB211" i="1"/>
  <c r="AA211" i="1"/>
  <c r="Z211" i="1"/>
  <c r="Y211" i="1"/>
  <c r="X211" i="1"/>
  <c r="AG210" i="1"/>
  <c r="AF210" i="1"/>
  <c r="AE210" i="1"/>
  <c r="AD210" i="1"/>
  <c r="AC210" i="1"/>
  <c r="AB210" i="1"/>
  <c r="AA210" i="1"/>
  <c r="Z210" i="1"/>
  <c r="Y210" i="1"/>
  <c r="X210" i="1"/>
  <c r="AG209" i="1"/>
  <c r="AF209" i="1"/>
  <c r="AE209" i="1"/>
  <c r="AD209" i="1"/>
  <c r="AC209" i="1"/>
  <c r="AB209" i="1"/>
  <c r="AA209" i="1"/>
  <c r="Z209" i="1"/>
  <c r="Y209" i="1"/>
  <c r="X209" i="1"/>
  <c r="AG208" i="1"/>
  <c r="AF208" i="1"/>
  <c r="AE208" i="1"/>
  <c r="AD208" i="1"/>
  <c r="AC208" i="1"/>
  <c r="AB208" i="1"/>
  <c r="AA208" i="1"/>
  <c r="Z208" i="1"/>
  <c r="Y208" i="1"/>
  <c r="X208" i="1"/>
  <c r="AG207" i="1"/>
  <c r="AF207" i="1"/>
  <c r="AE207" i="1"/>
  <c r="AD207" i="1"/>
  <c r="AC207" i="1"/>
  <c r="AB207" i="1"/>
  <c r="AA207" i="1"/>
  <c r="Z207" i="1"/>
  <c r="Y207" i="1"/>
  <c r="X207" i="1"/>
  <c r="AG206" i="1"/>
  <c r="AF206" i="1"/>
  <c r="AE206" i="1"/>
  <c r="AD206" i="1"/>
  <c r="AC206" i="1"/>
  <c r="AB206" i="1"/>
  <c r="AA206" i="1"/>
  <c r="Z206" i="1"/>
  <c r="Y206" i="1"/>
  <c r="X206" i="1"/>
  <c r="AH205" i="1"/>
  <c r="AG205" i="1"/>
  <c r="AF205" i="1"/>
  <c r="AE205" i="1"/>
  <c r="AD205" i="1"/>
  <c r="AC205" i="1"/>
  <c r="AB205" i="1"/>
  <c r="AA205" i="1"/>
  <c r="Z205" i="1"/>
  <c r="Y205" i="1"/>
  <c r="X205" i="1"/>
  <c r="AH204" i="1"/>
  <c r="AG204" i="1"/>
  <c r="AF204" i="1"/>
  <c r="AE204" i="1"/>
  <c r="AD204" i="1"/>
  <c r="AC204" i="1"/>
  <c r="AB204" i="1"/>
  <c r="AA204" i="1"/>
  <c r="Z204" i="1"/>
  <c r="Y204" i="1"/>
  <c r="X204" i="1"/>
  <c r="AH203" i="1"/>
  <c r="AG203" i="1"/>
  <c r="AF203" i="1"/>
  <c r="AE203" i="1"/>
  <c r="AD203" i="1"/>
  <c r="AC203" i="1"/>
  <c r="AB203" i="1"/>
  <c r="AA203" i="1"/>
  <c r="Z203" i="1"/>
  <c r="Y203" i="1"/>
  <c r="X203" i="1"/>
  <c r="AH202" i="1"/>
  <c r="AG202" i="1"/>
  <c r="AF202" i="1"/>
  <c r="AE202" i="1"/>
  <c r="AD202" i="1"/>
  <c r="AC202" i="1"/>
  <c r="AB202" i="1"/>
  <c r="AA202" i="1"/>
  <c r="Z202" i="1"/>
  <c r="Y202" i="1"/>
  <c r="X202" i="1"/>
  <c r="AH201" i="1"/>
  <c r="AG201" i="1"/>
  <c r="AF201" i="1"/>
  <c r="AE201" i="1"/>
  <c r="AD201" i="1"/>
  <c r="AC201" i="1"/>
  <c r="AB201" i="1"/>
  <c r="AA201" i="1"/>
  <c r="Z201" i="1"/>
  <c r="Y201" i="1"/>
  <c r="X201" i="1"/>
  <c r="AG84" i="1"/>
  <c r="AF84" i="1"/>
  <c r="AE84" i="1"/>
  <c r="AD84" i="1"/>
  <c r="AC84" i="1"/>
  <c r="AB84" i="1"/>
  <c r="AA84" i="1"/>
  <c r="Z84" i="1"/>
  <c r="Y84" i="1"/>
  <c r="X84" i="1"/>
  <c r="AG83" i="1"/>
  <c r="AF83" i="1"/>
  <c r="AE83" i="1"/>
  <c r="AD83" i="1"/>
  <c r="AC83" i="1"/>
  <c r="AB83" i="1"/>
  <c r="AA83" i="1"/>
  <c r="Z83" i="1"/>
  <c r="Y83" i="1"/>
  <c r="X83" i="1"/>
  <c r="AG82" i="1"/>
  <c r="AF82" i="1"/>
  <c r="AE82" i="1"/>
  <c r="AD82" i="1"/>
  <c r="AC82" i="1"/>
  <c r="AB82" i="1"/>
  <c r="AA82" i="1"/>
  <c r="Z82" i="1"/>
  <c r="Y82" i="1"/>
  <c r="X82" i="1"/>
  <c r="AG81" i="1"/>
  <c r="AF81" i="1"/>
  <c r="AE81" i="1"/>
  <c r="AD81" i="1"/>
  <c r="AC81" i="1"/>
  <c r="AB81" i="1"/>
  <c r="AA81" i="1"/>
  <c r="Z81" i="1"/>
  <c r="Y81" i="1"/>
  <c r="X81" i="1"/>
  <c r="AG80" i="1"/>
  <c r="AF80" i="1"/>
  <c r="AE80" i="1"/>
  <c r="AD80" i="1"/>
  <c r="AC80" i="1"/>
  <c r="AB80" i="1"/>
  <c r="AA80" i="1"/>
  <c r="Z80" i="1"/>
  <c r="Y80" i="1"/>
  <c r="X80" i="1"/>
  <c r="AG79" i="1"/>
  <c r="AF79" i="1"/>
  <c r="AE79" i="1"/>
  <c r="AD79" i="1"/>
  <c r="AC79" i="1"/>
  <c r="AB79" i="1"/>
  <c r="AA79" i="1"/>
  <c r="Z79" i="1"/>
  <c r="Y79" i="1"/>
  <c r="X79" i="1"/>
  <c r="AG78" i="1"/>
  <c r="AF78" i="1"/>
  <c r="AE78" i="1"/>
  <c r="AD78" i="1"/>
  <c r="AC78" i="1"/>
  <c r="AB78" i="1"/>
  <c r="AA78" i="1"/>
  <c r="Z78" i="1"/>
  <c r="Y78" i="1"/>
  <c r="X78" i="1"/>
  <c r="AH77" i="1"/>
  <c r="AG77" i="1"/>
  <c r="AF77" i="1"/>
  <c r="AE77" i="1"/>
  <c r="AD77" i="1"/>
  <c r="AC77" i="1"/>
  <c r="AB77" i="1"/>
  <c r="AA77" i="1"/>
  <c r="Z77" i="1"/>
  <c r="Y77" i="1"/>
  <c r="X77" i="1"/>
  <c r="AH76" i="1"/>
  <c r="AG76" i="1"/>
  <c r="AF76" i="1"/>
  <c r="AE76" i="1"/>
  <c r="AD76" i="1"/>
  <c r="AC76" i="1"/>
  <c r="AB76" i="1"/>
  <c r="AA76" i="1"/>
  <c r="Z76" i="1"/>
  <c r="Y76" i="1"/>
  <c r="X76" i="1"/>
  <c r="AH75" i="1"/>
  <c r="AG75" i="1"/>
  <c r="AF75" i="1"/>
  <c r="AE75" i="1"/>
  <c r="AD75" i="1"/>
  <c r="AC75" i="1"/>
  <c r="AB75" i="1"/>
  <c r="AA75" i="1"/>
  <c r="Z75" i="1"/>
  <c r="Y75" i="1"/>
  <c r="X75" i="1"/>
  <c r="AH74" i="1"/>
  <c r="AG74" i="1"/>
  <c r="AF74" i="1"/>
  <c r="AE74" i="1"/>
  <c r="AD74" i="1"/>
  <c r="AC74" i="1"/>
  <c r="AB74" i="1"/>
  <c r="AA74" i="1"/>
  <c r="Z74" i="1"/>
  <c r="Y74" i="1"/>
  <c r="X74" i="1"/>
  <c r="AH73" i="1"/>
  <c r="AG73" i="1"/>
  <c r="AF73" i="1"/>
  <c r="AE73" i="1"/>
  <c r="AD73" i="1"/>
  <c r="AC73" i="1"/>
  <c r="AB73" i="1"/>
  <c r="AA73" i="1"/>
  <c r="Z73" i="1"/>
  <c r="Y73" i="1"/>
  <c r="X73" i="1"/>
  <c r="AG68" i="1"/>
  <c r="AF68" i="1"/>
  <c r="AE68" i="1"/>
  <c r="AD68" i="1"/>
  <c r="AC68" i="1"/>
  <c r="AB68" i="1"/>
  <c r="AA68" i="1"/>
  <c r="Z68" i="1"/>
  <c r="Y68" i="1"/>
  <c r="X68" i="1"/>
  <c r="AG67" i="1"/>
  <c r="AF67" i="1"/>
  <c r="AE67" i="1"/>
  <c r="AD67" i="1"/>
  <c r="AC67" i="1"/>
  <c r="AB67" i="1"/>
  <c r="AA67" i="1"/>
  <c r="Z67" i="1"/>
  <c r="Y67" i="1"/>
  <c r="X67" i="1"/>
  <c r="AG66" i="1"/>
  <c r="AF66" i="1"/>
  <c r="AE66" i="1"/>
  <c r="AD66" i="1"/>
  <c r="AC66" i="1"/>
  <c r="AB66" i="1"/>
  <c r="AA66" i="1"/>
  <c r="Z66" i="1"/>
  <c r="Y66" i="1"/>
  <c r="X66" i="1"/>
  <c r="AG65" i="1"/>
  <c r="AF65" i="1"/>
  <c r="AE65" i="1"/>
  <c r="AD65" i="1"/>
  <c r="AC65" i="1"/>
  <c r="AB65" i="1"/>
  <c r="AA65" i="1"/>
  <c r="Z65" i="1"/>
  <c r="Y65" i="1"/>
  <c r="X65" i="1"/>
  <c r="AG64" i="1"/>
  <c r="AF64" i="1"/>
  <c r="AE64" i="1"/>
  <c r="AD64" i="1"/>
  <c r="AC64" i="1"/>
  <c r="AB64" i="1"/>
  <c r="AA64" i="1"/>
  <c r="Z64" i="1"/>
  <c r="Y64" i="1"/>
  <c r="X64" i="1"/>
  <c r="AG63" i="1"/>
  <c r="AF63" i="1"/>
  <c r="AE63" i="1"/>
  <c r="AD63" i="1"/>
  <c r="AC63" i="1"/>
  <c r="AB63" i="1"/>
  <c r="AA63" i="1"/>
  <c r="Z63" i="1"/>
  <c r="Y63" i="1"/>
  <c r="X63" i="1"/>
  <c r="AG62" i="1"/>
  <c r="AF62" i="1"/>
  <c r="AE62" i="1"/>
  <c r="AD62" i="1"/>
  <c r="AC62" i="1"/>
  <c r="AB62" i="1"/>
  <c r="AA62" i="1"/>
  <c r="Z62" i="1"/>
  <c r="Y62" i="1"/>
  <c r="X62" i="1"/>
  <c r="AH61" i="1"/>
  <c r="AG61" i="1"/>
  <c r="AF61" i="1"/>
  <c r="AE61" i="1"/>
  <c r="AD61" i="1"/>
  <c r="AC61" i="1"/>
  <c r="AB61" i="1"/>
  <c r="AA61" i="1"/>
  <c r="Z61" i="1"/>
  <c r="Y61" i="1"/>
  <c r="X61" i="1"/>
  <c r="AH60" i="1"/>
  <c r="AG60" i="1"/>
  <c r="AF60" i="1"/>
  <c r="AE60" i="1"/>
  <c r="AD60" i="1"/>
  <c r="AC60" i="1"/>
  <c r="AB60" i="1"/>
  <c r="AA60" i="1"/>
  <c r="Z60" i="1"/>
  <c r="Y60" i="1"/>
  <c r="X60" i="1"/>
  <c r="AH59" i="1"/>
  <c r="AG59" i="1"/>
  <c r="AF59" i="1"/>
  <c r="AE59" i="1"/>
  <c r="AD59" i="1"/>
  <c r="AC59" i="1"/>
  <c r="AB59" i="1"/>
  <c r="AA59" i="1"/>
  <c r="Z59" i="1"/>
  <c r="Y59" i="1"/>
  <c r="X59" i="1"/>
  <c r="AH58" i="1"/>
  <c r="AG58" i="1"/>
  <c r="AF58" i="1"/>
  <c r="AE58" i="1"/>
  <c r="AD58" i="1"/>
  <c r="AC58" i="1"/>
  <c r="AB58" i="1"/>
  <c r="AA58" i="1"/>
  <c r="Z58" i="1"/>
  <c r="Y58" i="1"/>
  <c r="X58" i="1"/>
  <c r="AH57" i="1"/>
  <c r="AG57" i="1"/>
  <c r="AF57" i="1"/>
  <c r="AE57" i="1"/>
  <c r="AD57" i="1"/>
  <c r="AC57" i="1"/>
  <c r="AB57" i="1"/>
  <c r="AA57" i="1"/>
  <c r="Z57" i="1"/>
  <c r="Y57" i="1"/>
  <c r="AG36" i="1"/>
  <c r="AF36" i="1"/>
  <c r="AE36" i="1"/>
  <c r="AD36" i="1"/>
  <c r="AC36" i="1"/>
  <c r="AB36" i="1"/>
  <c r="AA36" i="1"/>
  <c r="Z36" i="1"/>
  <c r="Y36" i="1"/>
  <c r="X36" i="1"/>
  <c r="AG35" i="1"/>
  <c r="AF35" i="1"/>
  <c r="AE35" i="1"/>
  <c r="AD35" i="1"/>
  <c r="AC35" i="1"/>
  <c r="AB35" i="1"/>
  <c r="AA35" i="1"/>
  <c r="Z35" i="1"/>
  <c r="Y35" i="1"/>
  <c r="X35" i="1"/>
  <c r="AG34" i="1"/>
  <c r="AF34" i="1"/>
  <c r="AE34" i="1"/>
  <c r="AD34" i="1"/>
  <c r="AC34" i="1"/>
  <c r="AB34" i="1"/>
  <c r="AA34" i="1"/>
  <c r="Z34" i="1"/>
  <c r="Y34" i="1"/>
  <c r="X34" i="1"/>
  <c r="AG33" i="1"/>
  <c r="AF33" i="1"/>
  <c r="AE33" i="1"/>
  <c r="AD33" i="1"/>
  <c r="AC33" i="1"/>
  <c r="AB33" i="1"/>
  <c r="AA33" i="1"/>
  <c r="Z33" i="1"/>
  <c r="Y33" i="1"/>
  <c r="X33" i="1"/>
  <c r="AG32" i="1"/>
  <c r="AF32" i="1"/>
  <c r="AE32" i="1"/>
  <c r="AD32" i="1"/>
  <c r="AC32" i="1"/>
  <c r="AB32" i="1"/>
  <c r="AA32" i="1"/>
  <c r="Z32" i="1"/>
  <c r="Y32" i="1"/>
  <c r="X32" i="1"/>
  <c r="AG31" i="1"/>
  <c r="AF31" i="1"/>
  <c r="AE31" i="1"/>
  <c r="AD31" i="1"/>
  <c r="AC31" i="1"/>
  <c r="AB31" i="1"/>
  <c r="AA31" i="1"/>
  <c r="Z31" i="1"/>
  <c r="Y31" i="1"/>
  <c r="X31" i="1"/>
  <c r="AG30" i="1"/>
  <c r="AF30" i="1"/>
  <c r="AE30" i="1"/>
  <c r="AD30" i="1"/>
  <c r="AC30" i="1"/>
  <c r="AB30" i="1"/>
  <c r="AA30" i="1"/>
  <c r="Z30" i="1"/>
  <c r="Y30" i="1"/>
  <c r="X30" i="1"/>
  <c r="AH29" i="1"/>
  <c r="AG29" i="1"/>
  <c r="AF29" i="1"/>
  <c r="AE29" i="1"/>
  <c r="AD29" i="1"/>
  <c r="AC29" i="1"/>
  <c r="AB29" i="1"/>
  <c r="AA29" i="1"/>
  <c r="Z29" i="1"/>
  <c r="Y29" i="1"/>
  <c r="X29" i="1"/>
  <c r="AH28" i="1"/>
  <c r="AG28" i="1"/>
  <c r="AF28" i="1"/>
  <c r="AE28" i="1"/>
  <c r="AD28" i="1"/>
  <c r="AC28" i="1"/>
  <c r="AB28" i="1"/>
  <c r="AA28" i="1"/>
  <c r="Z28" i="1"/>
  <c r="Y28" i="1"/>
  <c r="X28" i="1"/>
  <c r="AH27" i="1"/>
  <c r="AG27" i="1"/>
  <c r="AF27" i="1"/>
  <c r="AE27" i="1"/>
  <c r="AD27" i="1"/>
  <c r="AC27" i="1"/>
  <c r="AB27" i="1"/>
  <c r="AA27" i="1"/>
  <c r="Z27" i="1"/>
  <c r="Y27" i="1"/>
  <c r="X27" i="1"/>
  <c r="AH26" i="1"/>
  <c r="AG26" i="1"/>
  <c r="AF26" i="1"/>
  <c r="AE26" i="1"/>
  <c r="AD26" i="1"/>
  <c r="AC26" i="1"/>
  <c r="AB26" i="1"/>
  <c r="AA26" i="1"/>
  <c r="Z26" i="1"/>
  <c r="Y26" i="1"/>
  <c r="X26" i="1"/>
  <c r="AH25" i="1"/>
  <c r="AG25" i="1"/>
  <c r="AF25" i="1"/>
  <c r="AE25" i="1"/>
  <c r="AD25" i="1"/>
  <c r="AC25" i="1"/>
  <c r="AB25" i="1"/>
  <c r="AA25" i="1"/>
  <c r="Z25" i="1"/>
  <c r="Y25" i="1"/>
  <c r="X25" i="1"/>
  <c r="Y5" i="1" l="1"/>
  <c r="Z5" i="1"/>
  <c r="AA5" i="1"/>
  <c r="AB5" i="1"/>
  <c r="AC5" i="1"/>
  <c r="AD5" i="1"/>
  <c r="AE5" i="1"/>
  <c r="AF5" i="1"/>
  <c r="AG5" i="1"/>
  <c r="AH5" i="1"/>
  <c r="AH8" i="1" s="1"/>
  <c r="Z99" i="1"/>
  <c r="Z195" i="1" s="1"/>
  <c r="AA99" i="1"/>
  <c r="AA195" i="1" s="1"/>
  <c r="AB99" i="1"/>
  <c r="AB195" i="1" s="1"/>
  <c r="AC99" i="1"/>
  <c r="AC195" i="1" s="1"/>
  <c r="Z97" i="1"/>
  <c r="Z193" i="1" s="1"/>
  <c r="AD99" i="1"/>
  <c r="AD195" i="1" s="1"/>
  <c r="AA97" i="1"/>
  <c r="AA193" i="1" s="1"/>
  <c r="AB97" i="1"/>
  <c r="AB193" i="1" s="1"/>
  <c r="AC97" i="1"/>
  <c r="AC193" i="1" s="1"/>
  <c r="AA95" i="1"/>
  <c r="AA191" i="1" s="1"/>
  <c r="Z93" i="1"/>
  <c r="Z189" i="1" s="1"/>
  <c r="AB95" i="1"/>
  <c r="AB191" i="1" s="1"/>
  <c r="AA93" i="1"/>
  <c r="AA189" i="1" s="1"/>
  <c r="AB37" i="1"/>
  <c r="AB6" i="1" s="1"/>
  <c r="AA91" i="1"/>
  <c r="AA187" i="1" s="1"/>
  <c r="AB91" i="1"/>
  <c r="AB187" i="1" s="1"/>
  <c r="AC91" i="1"/>
  <c r="AC187" i="1" s="1"/>
  <c r="Z91" i="1"/>
  <c r="Z187" i="1" s="1"/>
  <c r="Z95" i="1"/>
  <c r="Z191" i="1" s="1"/>
  <c r="AA89" i="1"/>
  <c r="AA185" i="1" s="1"/>
  <c r="AB89" i="1"/>
  <c r="AB185" i="1" s="1"/>
  <c r="AC89" i="1"/>
  <c r="AC185" i="1" s="1"/>
  <c r="AA69" i="1"/>
  <c r="AA7" i="1" s="1"/>
  <c r="AC95" i="1"/>
  <c r="AC191" i="1" s="1"/>
  <c r="AD89" i="1"/>
  <c r="AD185" i="1" s="1"/>
  <c r="AD91" i="1"/>
  <c r="AD187" i="1" s="1"/>
  <c r="AD93" i="1"/>
  <c r="AD189" i="1" s="1"/>
  <c r="AD95" i="1"/>
  <c r="AD191" i="1" s="1"/>
  <c r="AD97" i="1"/>
  <c r="AD193" i="1" s="1"/>
  <c r="AE89" i="1"/>
  <c r="AE185" i="1" s="1"/>
  <c r="X85" i="1"/>
  <c r="X15" i="1" s="1"/>
  <c r="AE91" i="1"/>
  <c r="AE187" i="1" s="1"/>
  <c r="AE93" i="1"/>
  <c r="AE189" i="1" s="1"/>
  <c r="AE95" i="1"/>
  <c r="AE191" i="1" s="1"/>
  <c r="AE97" i="1"/>
  <c r="AE193" i="1" s="1"/>
  <c r="AE99" i="1"/>
  <c r="AE195" i="1" s="1"/>
  <c r="AF89" i="1"/>
  <c r="AF185" i="1" s="1"/>
  <c r="AF91" i="1"/>
  <c r="AF187" i="1" s="1"/>
  <c r="AF93" i="1"/>
  <c r="AF189" i="1" s="1"/>
  <c r="AF95" i="1"/>
  <c r="AF191" i="1" s="1"/>
  <c r="AF97" i="1"/>
  <c r="AF193" i="1" s="1"/>
  <c r="AF99" i="1"/>
  <c r="AF195" i="1" s="1"/>
  <c r="AG89" i="1"/>
  <c r="AG185" i="1" s="1"/>
  <c r="Z85" i="1"/>
  <c r="Z15" i="1" s="1"/>
  <c r="AG91" i="1"/>
  <c r="AG187" i="1" s="1"/>
  <c r="AG93" i="1"/>
  <c r="AG189" i="1" s="1"/>
  <c r="AG95" i="1"/>
  <c r="AG191" i="1" s="1"/>
  <c r="AG97" i="1"/>
  <c r="AG193" i="1" s="1"/>
  <c r="AG99" i="1"/>
  <c r="AG195" i="1" s="1"/>
  <c r="AH89" i="1"/>
  <c r="AH185" i="1" s="1"/>
  <c r="AC37" i="1"/>
  <c r="AC6" i="1" s="1"/>
  <c r="AE69" i="1"/>
  <c r="AE7" i="1" s="1"/>
  <c r="AF69" i="1"/>
  <c r="AF7" i="1" s="1"/>
  <c r="AA85" i="1"/>
  <c r="AA15" i="1" s="1"/>
  <c r="AH91" i="1"/>
  <c r="AH187" i="1" s="1"/>
  <c r="AH93" i="1"/>
  <c r="AH189" i="1" s="1"/>
  <c r="AF37" i="1"/>
  <c r="AF6" i="1" s="1"/>
  <c r="AD69" i="1"/>
  <c r="AD7" i="1" s="1"/>
  <c r="AG69" i="1"/>
  <c r="AG7" i="1" s="1"/>
  <c r="AB85" i="1"/>
  <c r="AB15" i="1" s="1"/>
  <c r="AG37" i="1"/>
  <c r="AG6" i="1" s="1"/>
  <c r="AG8" i="1" s="1"/>
  <c r="AG16" i="1" s="1"/>
  <c r="AF18" i="1" s="1"/>
  <c r="AC85" i="1"/>
  <c r="AC15" i="1" s="1"/>
  <c r="X90" i="1"/>
  <c r="X186" i="1" s="1"/>
  <c r="X92" i="1"/>
  <c r="X188" i="1" s="1"/>
  <c r="X94" i="1"/>
  <c r="X190" i="1" s="1"/>
  <c r="X96" i="1"/>
  <c r="X192" i="1" s="1"/>
  <c r="X98" i="1"/>
  <c r="X194" i="1" s="1"/>
  <c r="X100" i="1"/>
  <c r="X196" i="1" s="1"/>
  <c r="X69" i="1"/>
  <c r="X7" i="1" s="1"/>
  <c r="AC93" i="1"/>
  <c r="AC189" i="1" s="1"/>
  <c r="AD85" i="1"/>
  <c r="AD15" i="1" s="1"/>
  <c r="Y90" i="1"/>
  <c r="Y186" i="1" s="1"/>
  <c r="Y92" i="1"/>
  <c r="Y188" i="1" s="1"/>
  <c r="Y94" i="1"/>
  <c r="Y190" i="1" s="1"/>
  <c r="Y96" i="1"/>
  <c r="Y192" i="1" s="1"/>
  <c r="Y98" i="1"/>
  <c r="Y194" i="1" s="1"/>
  <c r="Y100" i="1"/>
  <c r="Y196" i="1" s="1"/>
  <c r="AE37" i="1"/>
  <c r="AE6" i="1" s="1"/>
  <c r="Y85" i="1"/>
  <c r="Y15" i="1" s="1"/>
  <c r="AE85" i="1"/>
  <c r="AE15" i="1" s="1"/>
  <c r="Z90" i="1"/>
  <c r="Z186" i="1" s="1"/>
  <c r="Z92" i="1"/>
  <c r="Z188" i="1" s="1"/>
  <c r="Z94" i="1"/>
  <c r="Z190" i="1" s="1"/>
  <c r="Z96" i="1"/>
  <c r="Z192" i="1" s="1"/>
  <c r="Z98" i="1"/>
  <c r="Z194" i="1" s="1"/>
  <c r="Z100" i="1"/>
  <c r="Z196" i="1" s="1"/>
  <c r="AD37" i="1"/>
  <c r="AD6" i="1" s="1"/>
  <c r="AF85" i="1"/>
  <c r="AF15" i="1" s="1"/>
  <c r="AA90" i="1"/>
  <c r="AA186" i="1" s="1"/>
  <c r="AA92" i="1"/>
  <c r="AA188" i="1" s="1"/>
  <c r="AA94" i="1"/>
  <c r="AA190" i="1" s="1"/>
  <c r="AA96" i="1"/>
  <c r="AA192" i="1" s="1"/>
  <c r="AA98" i="1"/>
  <c r="AA194" i="1" s="1"/>
  <c r="AA100" i="1"/>
  <c r="AA196" i="1" s="1"/>
  <c r="AC69" i="1"/>
  <c r="AC7" i="1" s="1"/>
  <c r="AG85" i="1"/>
  <c r="AG15" i="1" s="1"/>
  <c r="AB90" i="1"/>
  <c r="AB186" i="1" s="1"/>
  <c r="AB92" i="1"/>
  <c r="AB188" i="1" s="1"/>
  <c r="AB94" i="1"/>
  <c r="AB190" i="1" s="1"/>
  <c r="AB96" i="1"/>
  <c r="AB192" i="1" s="1"/>
  <c r="AB98" i="1"/>
  <c r="AB194" i="1" s="1"/>
  <c r="AB100" i="1"/>
  <c r="AB196" i="1" s="1"/>
  <c r="Y69" i="1"/>
  <c r="Y7" i="1" s="1"/>
  <c r="AC90" i="1"/>
  <c r="AC186" i="1" s="1"/>
  <c r="AC92" i="1"/>
  <c r="AC188" i="1" s="1"/>
  <c r="AC94" i="1"/>
  <c r="AC190" i="1" s="1"/>
  <c r="AC96" i="1"/>
  <c r="AC192" i="1" s="1"/>
  <c r="AC98" i="1"/>
  <c r="AC194" i="1" s="1"/>
  <c r="AC100" i="1"/>
  <c r="AC196" i="1" s="1"/>
  <c r="Z69" i="1"/>
  <c r="Z7" i="1" s="1"/>
  <c r="AD90" i="1"/>
  <c r="AD186" i="1" s="1"/>
  <c r="AD92" i="1"/>
  <c r="AD188" i="1" s="1"/>
  <c r="AD94" i="1"/>
  <c r="AD190" i="1" s="1"/>
  <c r="AD96" i="1"/>
  <c r="AD192" i="1" s="1"/>
  <c r="AD98" i="1"/>
  <c r="AD194" i="1" s="1"/>
  <c r="AD100" i="1"/>
  <c r="AD196" i="1" s="1"/>
  <c r="AB93" i="1"/>
  <c r="AB189" i="1" s="1"/>
  <c r="AE90" i="1"/>
  <c r="AE186" i="1" s="1"/>
  <c r="AE92" i="1"/>
  <c r="AE188" i="1" s="1"/>
  <c r="AE94" i="1"/>
  <c r="AE190" i="1" s="1"/>
  <c r="AE96" i="1"/>
  <c r="AE192" i="1" s="1"/>
  <c r="AE98" i="1"/>
  <c r="AE194" i="1" s="1"/>
  <c r="AE100" i="1"/>
  <c r="AE196" i="1" s="1"/>
  <c r="AF90" i="1"/>
  <c r="AF186" i="1" s="1"/>
  <c r="AF92" i="1"/>
  <c r="AF188" i="1" s="1"/>
  <c r="AF94" i="1"/>
  <c r="AF190" i="1" s="1"/>
  <c r="AF96" i="1"/>
  <c r="AF192" i="1" s="1"/>
  <c r="AF98" i="1"/>
  <c r="AF194" i="1" s="1"/>
  <c r="AF100" i="1"/>
  <c r="AF196" i="1" s="1"/>
  <c r="AG90" i="1"/>
  <c r="AG186" i="1" s="1"/>
  <c r="AG92" i="1"/>
  <c r="AG188" i="1" s="1"/>
  <c r="AG94" i="1"/>
  <c r="AG190" i="1" s="1"/>
  <c r="AG96" i="1"/>
  <c r="AG192" i="1" s="1"/>
  <c r="AG98" i="1"/>
  <c r="AG194" i="1" s="1"/>
  <c r="AG100" i="1"/>
  <c r="AG196" i="1" s="1"/>
  <c r="X37" i="1"/>
  <c r="X6" i="1" s="1"/>
  <c r="X89" i="1"/>
  <c r="AH90" i="1"/>
  <c r="AH186" i="1" s="1"/>
  <c r="AH92" i="1"/>
  <c r="AH188" i="1" s="1"/>
  <c r="AB69" i="1"/>
  <c r="AB7" i="1" s="1"/>
  <c r="Y37" i="1"/>
  <c r="Y6" i="1" s="1"/>
  <c r="Z37" i="1"/>
  <c r="Z6" i="1" s="1"/>
  <c r="X91" i="1"/>
  <c r="X187" i="1" s="1"/>
  <c r="X93" i="1"/>
  <c r="X189" i="1" s="1"/>
  <c r="X95" i="1"/>
  <c r="X191" i="1" s="1"/>
  <c r="X97" i="1"/>
  <c r="X193" i="1" s="1"/>
  <c r="X99" i="1"/>
  <c r="X195" i="1" s="1"/>
  <c r="Y89" i="1"/>
  <c r="Y185" i="1" s="1"/>
  <c r="AA37" i="1"/>
  <c r="AA6" i="1" s="1"/>
  <c r="Y91" i="1"/>
  <c r="Y187" i="1" s="1"/>
  <c r="Y93" i="1"/>
  <c r="Y189" i="1" s="1"/>
  <c r="Y95" i="1"/>
  <c r="Y191" i="1" s="1"/>
  <c r="Y97" i="1"/>
  <c r="Y193" i="1" s="1"/>
  <c r="Y99" i="1"/>
  <c r="Y195" i="1" s="1"/>
  <c r="Z89" i="1"/>
  <c r="Z185" i="1" s="1"/>
  <c r="AB8" i="1" l="1"/>
  <c r="AB16" i="1" s="1"/>
  <c r="AB14" i="1" s="1"/>
  <c r="AB13" i="1" s="1"/>
  <c r="AH34" i="1"/>
  <c r="AI34" i="1" s="1"/>
  <c r="AF8" i="1"/>
  <c r="AF16" i="1" s="1"/>
  <c r="AE18" i="1" s="1"/>
  <c r="AC197" i="1"/>
  <c r="AC8" i="1"/>
  <c r="AC16" i="1" s="1"/>
  <c r="AB18" i="1" s="1"/>
  <c r="AG14" i="1"/>
  <c r="AG13" i="1" s="1"/>
  <c r="AA8" i="1"/>
  <c r="AA16" i="1" s="1"/>
  <c r="X8" i="1"/>
  <c r="X16" i="1" s="1"/>
  <c r="X14" i="1" s="1"/>
  <c r="X13" i="1" s="1"/>
  <c r="AF14" i="1"/>
  <c r="AF13" i="1" s="1"/>
  <c r="AE197" i="1"/>
  <c r="AF197" i="1"/>
  <c r="AG197" i="1"/>
  <c r="Z197" i="1"/>
  <c r="AC14" i="1"/>
  <c r="AC13" i="1" s="1"/>
  <c r="AA197" i="1"/>
  <c r="AB197" i="1"/>
  <c r="AD197" i="1"/>
  <c r="AH190" i="1" s="1"/>
  <c r="X101" i="1"/>
  <c r="Z8" i="1"/>
  <c r="Z16" i="1" s="1"/>
  <c r="AI73" i="1"/>
  <c r="Y197" i="1"/>
  <c r="AH81" i="1"/>
  <c r="AI81" i="1" s="1"/>
  <c r="AH80" i="1"/>
  <c r="AI80" i="1" s="1"/>
  <c r="AF101" i="1"/>
  <c r="AI76" i="1"/>
  <c r="AH64" i="1"/>
  <c r="AI64" i="1" s="1"/>
  <c r="AH65" i="1"/>
  <c r="AI65" i="1" s="1"/>
  <c r="AH30" i="1"/>
  <c r="AI74" i="1"/>
  <c r="AH67" i="1"/>
  <c r="AI67" i="1" s="1"/>
  <c r="AD8" i="1"/>
  <c r="AD16" i="1" s="1"/>
  <c r="AC101" i="1"/>
  <c r="AI27" i="1"/>
  <c r="AI58" i="1"/>
  <c r="AI60" i="1"/>
  <c r="AH82" i="1"/>
  <c r="AI82" i="1" s="1"/>
  <c r="AI77" i="1"/>
  <c r="AB101" i="1"/>
  <c r="AH35" i="1"/>
  <c r="AI35" i="1" s="1"/>
  <c r="AE101" i="1"/>
  <c r="AH78" i="1"/>
  <c r="AH62" i="1"/>
  <c r="AD101" i="1"/>
  <c r="AI29" i="1"/>
  <c r="AH33" i="1"/>
  <c r="AI33" i="1" s="1"/>
  <c r="AI75" i="1"/>
  <c r="AA101" i="1"/>
  <c r="AI57" i="1"/>
  <c r="AI26" i="1"/>
  <c r="Y101" i="1"/>
  <c r="AH32" i="1"/>
  <c r="AI32" i="1" s="1"/>
  <c r="AI59" i="1"/>
  <c r="AE8" i="1"/>
  <c r="AE16" i="1" s="1"/>
  <c r="AG101" i="1"/>
  <c r="AI25" i="1"/>
  <c r="AH79" i="1"/>
  <c r="AI79" i="1" s="1"/>
  <c r="AH83" i="1"/>
  <c r="AI83" i="1" s="1"/>
  <c r="AH31" i="1"/>
  <c r="AI31" i="1" s="1"/>
  <c r="AH66" i="1"/>
  <c r="AI66" i="1" s="1"/>
  <c r="AI28" i="1"/>
  <c r="AI61" i="1"/>
  <c r="AH63" i="1"/>
  <c r="AI63" i="1" s="1"/>
  <c r="Y8" i="1"/>
  <c r="Y16" i="1" s="1"/>
  <c r="Z101" i="1"/>
  <c r="AA18" i="1" l="1"/>
  <c r="Y14" i="1"/>
  <c r="Y13" i="1" s="1"/>
  <c r="X18" i="1"/>
  <c r="AD14" i="1"/>
  <c r="AD13" i="1" s="1"/>
  <c r="AC18" i="1"/>
  <c r="AA14" i="1"/>
  <c r="AA13" i="1" s="1"/>
  <c r="Z18" i="1"/>
  <c r="Z14" i="1"/>
  <c r="Z13" i="1" s="1"/>
  <c r="Y18" i="1"/>
  <c r="AE14" i="1"/>
  <c r="AE13" i="1" s="1"/>
  <c r="AD18" i="1"/>
  <c r="AI187" i="1"/>
  <c r="AI91" i="1" s="1"/>
  <c r="AI185" i="1"/>
  <c r="AI189" i="1"/>
  <c r="AI93" i="1" s="1"/>
  <c r="AH195" i="1"/>
  <c r="AH99" i="1" s="1"/>
  <c r="AI89" i="1"/>
  <c r="AH191" i="1"/>
  <c r="AH194" i="1"/>
  <c r="AI188" i="1"/>
  <c r="AI92" i="1" s="1"/>
  <c r="AH193" i="1"/>
  <c r="AI186" i="1"/>
  <c r="AI90" i="1" s="1"/>
  <c r="AH192" i="1"/>
  <c r="AH196" i="1" s="1"/>
  <c r="AH100" i="1" s="1"/>
  <c r="AH94" i="1"/>
  <c r="AH206" i="1" s="1"/>
  <c r="AI190" i="1"/>
  <c r="AI94" i="1" s="1"/>
  <c r="AH84" i="1"/>
  <c r="AI78" i="1"/>
  <c r="AH36" i="1"/>
  <c r="AI30" i="1"/>
  <c r="AI36" i="1" s="1"/>
  <c r="AH68" i="1"/>
  <c r="AI62" i="1"/>
  <c r="AI68" i="1" s="1"/>
  <c r="AI84" i="1"/>
  <c r="AI195" i="1" l="1"/>
  <c r="AI99" i="1" s="1"/>
  <c r="AH96" i="1"/>
  <c r="AI192" i="1"/>
  <c r="AI96" i="1" s="1"/>
  <c r="AH98" i="1"/>
  <c r="AI194" i="1"/>
  <c r="AI98" i="1" s="1"/>
  <c r="AH95" i="1"/>
  <c r="AH207" i="1" s="1"/>
  <c r="AH208" i="1" s="1"/>
  <c r="AI191" i="1"/>
  <c r="AI95" i="1" s="1"/>
  <c r="AH97" i="1"/>
  <c r="AI193" i="1"/>
  <c r="AI97" i="1" s="1"/>
  <c r="AH101" i="1"/>
  <c r="AI196" i="1"/>
  <c r="AI100" i="1" s="1"/>
  <c r="AI101" i="1" s="1"/>
  <c r="AH209" i="1" l="1"/>
  <c r="AH210" i="1" s="1"/>
  <c r="AH211" i="1" s="1"/>
  <c r="AH212" i="1" s="1"/>
  <c r="AH17" i="1" s="1"/>
  <c r="AI201" i="1" l="1"/>
  <c r="AI202" i="1" s="1"/>
  <c r="AI203" i="1" s="1"/>
  <c r="AI204" i="1" s="1"/>
  <c r="AI205" i="1" s="1"/>
  <c r="AI206" i="1" s="1"/>
  <c r="AI207" i="1" s="1"/>
  <c r="AI208" i="1" s="1"/>
  <c r="AI209" i="1" s="1"/>
  <c r="AI210" i="1" s="1"/>
  <c r="AI211" i="1" s="1"/>
  <c r="AI212" i="1" s="1"/>
  <c r="AI17" i="1" s="1"/>
  <c r="AI5" i="1"/>
  <c r="AI8" i="1" s="1"/>
  <c r="AH16" i="1"/>
  <c r="AI16" i="1" l="1"/>
  <c r="AI14" i="1" s="1"/>
  <c r="AI13" i="1" s="1"/>
  <c r="AH14" i="1"/>
  <c r="AH13" i="1" s="1"/>
  <c r="AG18" i="1"/>
  <c r="X105" i="1"/>
  <c r="X117" i="1" l="1"/>
  <c r="X185" i="1"/>
  <c r="X197" i="1" s="1"/>
</calcChain>
</file>

<file path=xl/sharedStrings.xml><?xml version="1.0" encoding="utf-8"?>
<sst xmlns="http://schemas.openxmlformats.org/spreadsheetml/2006/main" count="210" uniqueCount="59">
  <si>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</si>
  <si>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</si>
  <si>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</si>
  <si>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</si>
  <si>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</si>
  <si>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</si>
  <si>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</si>
  <si>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</si>
  <si>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</si>
  <si>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</si>
  <si>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</si>
  <si>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</si>
  <si>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Production</t>
  </si>
  <si>
    <t>Imports</t>
  </si>
  <si>
    <t>Total Supply</t>
  </si>
  <si>
    <t>Exports</t>
  </si>
  <si>
    <t>(million pounds)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</si>
  <si>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</si>
  <si>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</si>
  <si>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</si>
  <si>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</si>
  <si>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</si>
  <si>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</si>
  <si>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</si>
  <si>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</si>
  <si>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</si>
  <si>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</si>
  <si>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</si>
  <si>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</si>
  <si>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 xml:space="preserve">  Marketing-year Total</t>
  </si>
  <si>
    <t xml:space="preserve">  Marketing-year Average</t>
  </si>
  <si>
    <t>UNITED STATES CWG IMPORTS</t>
  </si>
  <si>
    <t>UNITED STATES CWG EXPORTS</t>
  </si>
  <si>
    <t>UNITED STATES CWG DOMESTIC USE</t>
  </si>
  <si>
    <t>UNITED STATES CWG BIOMASS-BASED DIESEL USE</t>
  </si>
  <si>
    <t>UNITED STATES CWG BIODIESEL USE</t>
  </si>
  <si>
    <t>UNITED STATES CWG RENEWABLE DIESEL USE</t>
  </si>
  <si>
    <t>UNITED STATES CWG CO-PROCESSING USE</t>
  </si>
  <si>
    <t>UNITED STATES CWG NON-BIODIESEL USE</t>
  </si>
  <si>
    <t>UNITED STATES CWG STOCKS</t>
  </si>
  <si>
    <t>US CHOICE WHITE GREASE SUPPLY AND DEMAND</t>
  </si>
  <si>
    <t>US FATS AND GREASE COMPLEX</t>
  </si>
  <si>
    <t>Beginning Stocks (million pounds)</t>
  </si>
  <si>
    <t>Biodiesel Feedstock</t>
  </si>
  <si>
    <t>Sustainable Aviation Fuel Feedstock</t>
  </si>
  <si>
    <t>Total Biomass-Based Diesel Use</t>
  </si>
  <si>
    <t>Non-Biodiesel Domestic Use</t>
  </si>
  <si>
    <t>Total Domestic Use</t>
  </si>
  <si>
    <t>Total Demand</t>
  </si>
  <si>
    <t>Ending Stocks (Sep. 30)</t>
  </si>
  <si>
    <t>Bold, green numbers in shaded cells are RLC forecasts and estimates.</t>
  </si>
  <si>
    <t>US CHOICE WHITE GREASE PRODUCTION</t>
  </si>
  <si>
    <t>US CHOICE WHITE GREASE YIELD</t>
  </si>
  <si>
    <t>(pounds per head)</t>
  </si>
  <si>
    <t>Renewable Diesel/Co-Processing Feedstock</t>
  </si>
  <si>
    <t>US SUSTAINABLE AVIATION FUEL USE</t>
  </si>
  <si>
    <t>Days of Coverage</t>
  </si>
  <si>
    <t>Average Price - Chicago</t>
  </si>
  <si>
    <t>Average Price - Missouri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</si>
</sst>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);[Red]\(#,##0.000\)"/>
    <numFmt numFmtId="165" formatCode="#,##0.0_);[Red]\(#,##0.0\)"/>
  </numFmts>
  <fonts count="1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1F4E7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color theme="1"/>
      <name val="Bierstadt Display"/>
      <family val="2"/>
    </font>
    <font>
      <b/>
      <sz val="12"/>
      <color rgb="FF3C7D22"/>
      <name val="Bierstadt Display"/>
      <family val="2"/>
    </font>
    <font>
      <b/>
      <sz val="11"/>
      <color theme="0"/>
      <name val="Bierstadt Display"/>
      <family val="2"/>
    </font>
    <font>
      <sz val="11"/>
      <color theme="1"/>
      <name val="Bierstadt Display"/>
      <family val="2"/>
    </font>
    <font>
      <b/>
      <sz val="10"/>
      <color rgb="FF548235"/>
      <name val="Bierstadt Display"/>
      <family val="2"/>
    </font>
    <font>
      <b/>
      <sz val="11"/>
      <color theme="1"/>
      <name val="Bierstadt Display"/>
      <family val="2"/>
    </font>
    <font>
      <b/>
      <sz val="10"/>
      <color theme="0" tint="-0.34998626667073579"/>
      <name val="Bierstadt Display"/>
      <family val="2"/>
    </font>
    <font>
      <sz val="8"/>
      <color rgb="FF696969"/>
      <name val="Avenir Next LT Pro Demi"/>
      <family val="2"/>
    </font>
    <font>
      <sz val="10"/>
      <color rgb="FF696969"/>
      <name val="Avenir Next LT Pro Demi"/>
      <family val="2"/>
    </font>
    <font>
      <b/>
      <sz val="10"/>
      <color rgb="FF3C7D22"/>
      <name val="Avenir Next LT Pro Demi"/>
      <family val="2"/>
    </font>
    <font>
      <b/>
      <sz val="11"/>
      <color rgb="FF3C7D22"/>
      <name val="Bierstadt Display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rgb="FF3C7D2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3C7D22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rgb="FF3C7D22"/>
      </top>
      <bottom style="medium">
        <color rgb="FF3C7D22"/>
      </bottom>
      <diagonal/>
    </border>
    <border>
      <left/>
      <right/>
      <top style="thin">
        <color theme="1"/>
      </top>
      <bottom style="medium">
        <color rgb="FF3C7D22"/>
      </bottom>
      <diagonal/>
    </border>
    <border>
      <left/>
      <right/>
      <top style="medium">
        <color rgb="FF3C7D22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5" fillId="2" borderId="0" xfId="0" applyFont="1" applyFill="1"/>
    <xf numFmtId="0" fontId="6" fillId="2" borderId="0" xfId="0" applyFont="1" applyFill="1"/>
    <xf numFmtId="0" fontId="1" fillId="3" borderId="0" xfId="0" applyFont="1" applyFill="1" applyAlignment="1">
      <alignment horizontal="left"/>
    </xf>
    <xf numFmtId="0" fontId="7" fillId="4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/>
    <xf numFmtId="0" fontId="8" fillId="2" borderId="0" xfId="0" applyFont="1" applyFill="1"/>
    <xf numFmtId="0" fontId="8" fillId="2" borderId="2" xfId="0" applyFont="1" applyFill="1" applyBorder="1"/>
    <xf numFmtId="0" fontId="8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38" fontId="8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38" fontId="12" fillId="2" borderId="0" xfId="0" applyNumberFormat="1" applyFont="1" applyFill="1"/>
    <xf numFmtId="38" fontId="13" fillId="2" borderId="0" xfId="0" applyNumberFormat="1" applyFont="1" applyFill="1"/>
    <xf numFmtId="38" fontId="14" fillId="5" borderId="0" xfId="0" applyNumberFormat="1" applyFont="1" applyFill="1"/>
    <xf numFmtId="38" fontId="15" fillId="5" borderId="0" xfId="0" applyNumberFormat="1" applyFont="1" applyFill="1" applyAlignment="1">
      <alignment horizontal="center" vertical="center"/>
    </xf>
    <xf numFmtId="38" fontId="8" fillId="2" borderId="0" xfId="0" applyNumberFormat="1" applyFont="1" applyFill="1" applyAlignment="1">
      <alignment horizontal="center" vertical="center"/>
    </xf>
    <xf numFmtId="0" fontId="8" fillId="2" borderId="4" xfId="0" applyFont="1" applyFill="1" applyBorder="1"/>
    <xf numFmtId="38" fontId="8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/>
    <xf numFmtId="38" fontId="15" fillId="5" borderId="4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164" fontId="8" fillId="2" borderId="4" xfId="0" applyNumberFormat="1" applyFont="1" applyFill="1" applyBorder="1" applyAlignment="1">
      <alignment horizontal="center" vertical="center"/>
    </xf>
    <xf numFmtId="164" fontId="15" fillId="5" borderId="0" xfId="0" applyNumberFormat="1" applyFont="1" applyFill="1" applyAlignment="1">
      <alignment horizontal="center" vertical="center"/>
    </xf>
    <xf numFmtId="164" fontId="15" fillId="5" borderId="4" xfId="0" applyNumberFormat="1" applyFont="1" applyFill="1" applyBorder="1" applyAlignment="1">
      <alignment horizontal="center" vertical="center"/>
    </xf>
    <xf numFmtId="38" fontId="13" fillId="2" borderId="1" xfId="0" applyNumberFormat="1" applyFont="1" applyFill="1" applyBorder="1"/>
    <xf numFmtId="0" fontId="0" fillId="0" borderId="5" xfId="0" applyBorder="1"/>
    <xf numFmtId="165" fontId="13" fillId="2" borderId="0" xfId="0" applyNumberFormat="1" applyFont="1" applyFill="1"/>
    <xf numFmtId="38" fontId="13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3C7D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orem/RLC%20Dropbox/RLC%20Team%20Folder/RLC-Models/Oilseeds/new_models/us_sunflower_balance_sheets.xlsx" TargetMode="External"/><Relationship Id="rId2" Type="http://schemas.openxmlformats.org/officeDocument/2006/relationships/externalLinkPath" Target="file:///C:\Users\torem\RLC%20Dropbox\RLC%20Team%20Folder\RLC-Models\Oilseeds\new_models\us_sunflower_balance_sheets.xlsx" TargetMode="External"/><Relationship Id="rId1" Type="http://schemas.openxmlformats.org/officeDocument/2006/relationships/externalLinkPath" Target="/Users/torem/RLC%20Dropbox/RLC%20Team%20Folder/RLC-Models/Oilseeds/new_models/us_sunflower_balance_sheet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orem/RLC%20Dropbox/RLC%20Team%20Folder/RLC-Models/Oilseeds/new_models/us_oilseed_crush.xlsm" TargetMode="External"/><Relationship Id="rId2" Type="http://schemas.openxmlformats.org/officeDocument/2006/relationships/externalLinkPath" Target="file:///C:\Users\torem\RLC%20Dropbox\RLC%20Team%20Folder\RLC-Models\Oilseeds\new_models\us_oilseed_crush.xlsm" TargetMode="External"/><Relationship Id="rId1" Type="http://schemas.openxmlformats.org/officeDocument/2006/relationships/externalLinkPath" Target="/Users/torem/RLC%20Dropbox/RLC%20Team%20Folder/RLC-Models/Oilseeds/new_models/us_oilseed_crush.xlsm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orem/RLC%20Dropbox/RLC%20Team%20Folder/RLC-Models/Oilseeds/new_models/Archive/us_fats_greases_trade.xlsx" TargetMode="External"/><Relationship Id="rId2" Type="http://schemas.openxmlformats.org/officeDocument/2006/relationships/externalLinkPath" Target="file:///C:\Users\torem\RLC%20Dropbox\RLC%20Team%20Folder\RLC-Models\Oilseeds\new_models\Archive\us_fats_greases_trade.xlsx" TargetMode="External"/><Relationship Id="rId1" Type="http://schemas.openxmlformats.org/officeDocument/2006/relationships/externalLinkPath" Target="/Users/torem/RLC%20Dropbox/RLC%20Team%20Folder/RLC-Models/Oilseeds/new_models/Archive/us_fats_greases_tra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nflower_balance_sheet"/>
      <sheetName val="sun_meal_balance_sheet"/>
      <sheetName val="sunflower_oil_balance_sheet"/>
      <sheetName val="Oilseed Quarterly Use Template"/>
    </sheetNames>
    <sheetDataSet>
      <sheetData sheetId="0" refreshError="1"/>
      <sheetData sheetId="1" refreshError="1"/>
      <sheetData sheetId="2">
        <row r="3">
          <cell r="E3" t="str">
            <v>1993/94</v>
          </cell>
          <cell r="F3" t="str">
            <v>1994/95</v>
          </cell>
          <cell r="G3" t="str">
            <v>1995/96</v>
          </cell>
          <cell r="H3" t="str">
            <v>1996/97</v>
          </cell>
          <cell r="I3" t="str">
            <v>1997/98</v>
          </cell>
          <cell r="J3" t="str">
            <v>1998/99</v>
          </cell>
          <cell r="K3" t="str">
            <v>1999/00</v>
          </cell>
          <cell r="L3" t="str">
            <v>2000/01</v>
          </cell>
          <cell r="M3" t="str">
            <v>2001/02</v>
          </cell>
          <cell r="N3" t="str">
            <v>2002/03</v>
          </cell>
          <cell r="O3" t="str">
            <v>2003/04</v>
          </cell>
          <cell r="P3" t="str">
            <v>2004/05</v>
          </cell>
          <cell r="Q3" t="str">
            <v>2005/06</v>
          </cell>
          <cell r="R3" t="str">
            <v>2006/07</v>
          </cell>
          <cell r="S3" t="str">
            <v>2007/08</v>
          </cell>
          <cell r="T3" t="str">
            <v>2008/09</v>
          </cell>
          <cell r="U3" t="str">
            <v>2009/10</v>
          </cell>
          <cell r="V3" t="str">
            <v>2010/11</v>
          </cell>
          <cell r="W3" t="str">
            <v>2011/12</v>
          </cell>
          <cell r="X3" t="str">
            <v>2012/13</v>
          </cell>
          <cell r="Y3" t="str">
            <v>2013/14</v>
          </cell>
          <cell r="Z3" t="str">
            <v>2014/15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oy_crush"/>
      <sheetName val="canola_crush"/>
      <sheetName val="sunflower_crush"/>
      <sheetName val="cottonseed_crush"/>
      <sheetName val="peanut_crush"/>
      <sheetName val="NOPA US Crush"/>
      <sheetName val="NASS Low CI"/>
      <sheetName val="NASS Other Veg Oils"/>
      <sheetName val="Census Cru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42">
          <cell r="B442">
            <v>112681000</v>
          </cell>
          <cell r="D442">
            <v>11811000</v>
          </cell>
        </row>
        <row r="443">
          <cell r="B443">
            <v>111103000</v>
          </cell>
          <cell r="D443">
            <v>11969000</v>
          </cell>
        </row>
        <row r="444">
          <cell r="B444">
            <v>116462000</v>
          </cell>
          <cell r="D444">
            <v>12861000</v>
          </cell>
        </row>
        <row r="445">
          <cell r="B445">
            <v>115558000</v>
          </cell>
          <cell r="D445">
            <v>12825000</v>
          </cell>
        </row>
        <row r="446">
          <cell r="B446">
            <v>95777000</v>
          </cell>
          <cell r="D446">
            <v>12252000</v>
          </cell>
        </row>
        <row r="447">
          <cell r="B447">
            <v>114603000</v>
          </cell>
          <cell r="D447">
            <v>11268000</v>
          </cell>
        </row>
        <row r="448">
          <cell r="B448">
            <v>112216000</v>
          </cell>
          <cell r="D448">
            <v>13077000</v>
          </cell>
        </row>
        <row r="449">
          <cell r="B449">
            <v>116183000</v>
          </cell>
          <cell r="D449">
            <v>13914000</v>
          </cell>
        </row>
        <row r="450">
          <cell r="B450">
            <v>127696000</v>
          </cell>
          <cell r="D450">
            <v>13656000</v>
          </cell>
        </row>
        <row r="451">
          <cell r="B451">
            <v>121400000</v>
          </cell>
          <cell r="D451">
            <v>10463000</v>
          </cell>
        </row>
        <row r="452">
          <cell r="B452">
            <v>113025000</v>
          </cell>
          <cell r="D452">
            <v>13569000</v>
          </cell>
        </row>
        <row r="453">
          <cell r="B453">
            <v>120739000</v>
          </cell>
          <cell r="D453">
            <v>11287000</v>
          </cell>
        </row>
        <row r="454">
          <cell r="B454">
            <v>110196000</v>
          </cell>
          <cell r="D454">
            <v>8635000</v>
          </cell>
        </row>
        <row r="455">
          <cell r="B455">
            <v>101511000</v>
          </cell>
          <cell r="D455">
            <v>8197000</v>
          </cell>
        </row>
        <row r="456">
          <cell r="B456">
            <v>108828000</v>
          </cell>
          <cell r="D456">
            <v>7907000</v>
          </cell>
        </row>
        <row r="457">
          <cell r="B457">
            <v>118168000</v>
          </cell>
          <cell r="D457">
            <v>6357000</v>
          </cell>
        </row>
        <row r="458">
          <cell r="B458">
            <v>88859000</v>
          </cell>
          <cell r="D458">
            <v>7684000</v>
          </cell>
        </row>
        <row r="459">
          <cell r="B459">
            <v>111635000</v>
          </cell>
          <cell r="D459">
            <v>7282000</v>
          </cell>
        </row>
        <row r="460">
          <cell r="B460">
            <v>103468000</v>
          </cell>
          <cell r="D460">
            <v>8872000</v>
          </cell>
        </row>
        <row r="461">
          <cell r="B461">
            <v>108646000</v>
          </cell>
          <cell r="D461">
            <v>8098000</v>
          </cell>
        </row>
        <row r="462">
          <cell r="B462">
            <v>116982000</v>
          </cell>
          <cell r="D462">
            <v>8185000</v>
          </cell>
        </row>
        <row r="463">
          <cell r="B463">
            <v>103689000</v>
          </cell>
          <cell r="D463">
            <v>8523000</v>
          </cell>
        </row>
        <row r="464">
          <cell r="B464">
            <v>106903000</v>
          </cell>
          <cell r="D464">
            <v>19319000</v>
          </cell>
        </row>
        <row r="465">
          <cell r="B465">
            <v>113874000</v>
          </cell>
          <cell r="D465">
            <v>8902000</v>
          </cell>
        </row>
        <row r="466">
          <cell r="B466">
            <v>109976000</v>
          </cell>
          <cell r="D466">
            <v>8100000</v>
          </cell>
        </row>
        <row r="467">
          <cell r="B467">
            <v>104166000</v>
          </cell>
          <cell r="D467">
            <v>6997000</v>
          </cell>
        </row>
        <row r="468">
          <cell r="B468">
            <v>113594000</v>
          </cell>
          <cell r="D468">
            <v>7860000</v>
          </cell>
        </row>
        <row r="469">
          <cell r="B469">
            <v>99298000</v>
          </cell>
          <cell r="D469">
            <v>7308000</v>
          </cell>
        </row>
        <row r="470">
          <cell r="B470">
            <v>90095000</v>
          </cell>
          <cell r="D470">
            <v>8010000</v>
          </cell>
        </row>
        <row r="471">
          <cell r="B471">
            <v>113405000</v>
          </cell>
          <cell r="D471">
            <v>6944000</v>
          </cell>
        </row>
        <row r="472">
          <cell r="B472">
            <v>103973000</v>
          </cell>
          <cell r="D472">
            <v>8136000</v>
          </cell>
        </row>
        <row r="473">
          <cell r="B473">
            <v>104610000</v>
          </cell>
          <cell r="D473">
            <v>7529000</v>
          </cell>
        </row>
        <row r="474">
          <cell r="B474">
            <v>116736000</v>
          </cell>
          <cell r="D474">
            <v>9966000</v>
          </cell>
        </row>
        <row r="475">
          <cell r="B475">
            <v>118323000</v>
          </cell>
          <cell r="D475">
            <v>10529000</v>
          </cell>
        </row>
        <row r="476">
          <cell r="B476">
            <v>111538000</v>
          </cell>
          <cell r="D476">
            <v>10066000</v>
          </cell>
        </row>
        <row r="477">
          <cell r="B477">
            <v>128757000</v>
          </cell>
          <cell r="D477">
            <v>7744000</v>
          </cell>
        </row>
        <row r="478">
          <cell r="B478">
            <v>121016000</v>
          </cell>
          <cell r="D478">
            <v>7892000</v>
          </cell>
        </row>
        <row r="479">
          <cell r="B479">
            <v>105546000</v>
          </cell>
          <cell r="D479">
            <v>9013000</v>
          </cell>
        </row>
        <row r="480">
          <cell r="B480">
            <v>114886000</v>
          </cell>
          <cell r="D480">
            <v>5178000</v>
          </cell>
        </row>
        <row r="481">
          <cell r="B481">
            <v>110237000</v>
          </cell>
          <cell r="D481">
            <v>5296000</v>
          </cell>
        </row>
        <row r="482">
          <cell r="B482">
            <v>93335000</v>
          </cell>
          <cell r="D482">
            <v>4704000</v>
          </cell>
        </row>
        <row r="483">
          <cell r="B483">
            <v>107277000</v>
          </cell>
          <cell r="D483">
            <v>6610000</v>
          </cell>
        </row>
        <row r="484">
          <cell r="B484">
            <v>106205000</v>
          </cell>
          <cell r="D484">
            <v>7170000</v>
          </cell>
        </row>
        <row r="485">
          <cell r="B485">
            <v>114003000</v>
          </cell>
          <cell r="D485">
            <v>6564000</v>
          </cell>
        </row>
        <row r="486">
          <cell r="B486">
            <v>121381000</v>
          </cell>
          <cell r="D486">
            <v>8412000</v>
          </cell>
        </row>
        <row r="487">
          <cell r="B487">
            <v>112592000</v>
          </cell>
          <cell r="D487">
            <v>9738000</v>
          </cell>
        </row>
        <row r="488">
          <cell r="B488">
            <v>115706000</v>
          </cell>
          <cell r="D488">
            <v>10611000</v>
          </cell>
        </row>
        <row r="489">
          <cell r="B489">
            <v>125112000</v>
          </cell>
          <cell r="D489">
            <v>9920000</v>
          </cell>
        </row>
        <row r="490">
          <cell r="B490">
            <v>126508000</v>
          </cell>
          <cell r="D490">
            <v>10045000</v>
          </cell>
        </row>
        <row r="491">
          <cell r="B491">
            <v>88974000</v>
          </cell>
          <cell r="D491">
            <v>5829000</v>
          </cell>
        </row>
        <row r="492">
          <cell r="B492">
            <v>110913000</v>
          </cell>
          <cell r="D492">
            <v>8011000</v>
          </cell>
        </row>
        <row r="493">
          <cell r="B493">
            <v>114975000</v>
          </cell>
          <cell r="D493">
            <v>9152000</v>
          </cell>
        </row>
        <row r="494">
          <cell r="B494">
            <v>98436000</v>
          </cell>
          <cell r="D494">
            <v>8328000</v>
          </cell>
        </row>
        <row r="495">
          <cell r="B495">
            <v>104807000</v>
          </cell>
          <cell r="D495">
            <v>10100000</v>
          </cell>
        </row>
        <row r="496">
          <cell r="B496">
            <v>105618000</v>
          </cell>
          <cell r="D496">
            <v>9317000</v>
          </cell>
        </row>
        <row r="497">
          <cell r="B497">
            <v>96576000</v>
          </cell>
          <cell r="D497">
            <v>11586000</v>
          </cell>
        </row>
        <row r="498">
          <cell r="B498">
            <v>116917000</v>
          </cell>
          <cell r="D498">
            <v>13145000</v>
          </cell>
        </row>
        <row r="499">
          <cell r="B499">
            <v>110632000</v>
          </cell>
          <cell r="D499">
            <v>9577000</v>
          </cell>
        </row>
        <row r="500">
          <cell r="B500">
            <v>112172000</v>
          </cell>
          <cell r="D500">
            <v>13223000</v>
          </cell>
        </row>
        <row r="501">
          <cell r="B501">
            <v>108286000</v>
          </cell>
          <cell r="D501">
            <v>9877000</v>
          </cell>
        </row>
        <row r="502">
          <cell r="B502">
            <v>108982000</v>
          </cell>
          <cell r="D502">
            <v>11238000</v>
          </cell>
        </row>
        <row r="503">
          <cell r="B503">
            <v>97445000</v>
          </cell>
          <cell r="D503">
            <v>12373000</v>
          </cell>
        </row>
        <row r="504">
          <cell r="B504">
            <v>91738000</v>
          </cell>
          <cell r="D504">
            <v>6541000</v>
          </cell>
        </row>
        <row r="505">
          <cell r="B505">
            <v>88615000</v>
          </cell>
          <cell r="D505">
            <v>4529000</v>
          </cell>
        </row>
        <row r="506">
          <cell r="B506">
            <v>83645000</v>
          </cell>
          <cell r="D506">
            <v>4642000</v>
          </cell>
        </row>
        <row r="507">
          <cell r="B507">
            <v>96856000</v>
          </cell>
          <cell r="D507">
            <v>6313000</v>
          </cell>
        </row>
        <row r="508">
          <cell r="B508">
            <v>102844000</v>
          </cell>
          <cell r="D508">
            <v>7249000</v>
          </cell>
        </row>
        <row r="509">
          <cell r="B509">
            <v>103514000</v>
          </cell>
          <cell r="D509">
            <v>6701000</v>
          </cell>
        </row>
        <row r="510">
          <cell r="B510">
            <v>129988000</v>
          </cell>
          <cell r="D510">
            <v>9239000</v>
          </cell>
        </row>
        <row r="511">
          <cell r="B511">
            <v>123435000</v>
          </cell>
          <cell r="D511">
            <v>6315000</v>
          </cell>
        </row>
        <row r="512">
          <cell r="B512">
            <v>109463000</v>
          </cell>
          <cell r="D512">
            <v>8491000</v>
          </cell>
        </row>
        <row r="513">
          <cell r="B513">
            <v>119243000</v>
          </cell>
          <cell r="D513">
            <v>6770000</v>
          </cell>
        </row>
        <row r="514">
          <cell r="B514">
            <v>121744000</v>
          </cell>
          <cell r="D514">
            <v>6135000</v>
          </cell>
        </row>
        <row r="515">
          <cell r="B515">
            <v>121473000</v>
          </cell>
          <cell r="D515">
            <v>6101000</v>
          </cell>
        </row>
        <row r="516">
          <cell r="B516">
            <v>121177000</v>
          </cell>
          <cell r="D516">
            <v>5241000</v>
          </cell>
        </row>
        <row r="517">
          <cell r="B517">
            <v>113678000</v>
          </cell>
          <cell r="D517">
            <v>4131000</v>
          </cell>
        </row>
        <row r="518">
          <cell r="B518">
            <v>96405000</v>
          </cell>
          <cell r="D518">
            <v>4369000</v>
          </cell>
        </row>
        <row r="519">
          <cell r="B519">
            <v>114771000</v>
          </cell>
          <cell r="D519">
            <v>7363000</v>
          </cell>
        </row>
        <row r="520">
          <cell r="B520">
            <v>107242000</v>
          </cell>
          <cell r="D520">
            <v>5828000</v>
          </cell>
        </row>
        <row r="521">
          <cell r="B521">
            <v>108287000</v>
          </cell>
          <cell r="D521">
            <v>7153000</v>
          </cell>
        </row>
        <row r="522">
          <cell r="B522">
            <v>116593000</v>
          </cell>
          <cell r="D522">
            <v>6766000</v>
          </cell>
        </row>
        <row r="523">
          <cell r="B523">
            <v>110981000</v>
          </cell>
          <cell r="D523">
            <v>6654000</v>
          </cell>
        </row>
        <row r="524">
          <cell r="B524">
            <v>114801000</v>
          </cell>
          <cell r="D524">
            <v>7397000</v>
          </cell>
        </row>
        <row r="525">
          <cell r="B525">
            <v>119578000</v>
          </cell>
          <cell r="D525">
            <v>5752000</v>
          </cell>
        </row>
        <row r="526">
          <cell r="B526">
            <v>119429000</v>
          </cell>
          <cell r="D526">
            <v>4905000</v>
          </cell>
        </row>
        <row r="527">
          <cell r="B527">
            <v>103830000</v>
          </cell>
          <cell r="D527">
            <v>7374000</v>
          </cell>
        </row>
        <row r="528">
          <cell r="B528">
            <v>118053000</v>
          </cell>
          <cell r="D528">
            <v>6182000</v>
          </cell>
        </row>
        <row r="529">
          <cell r="B529">
            <v>109628000</v>
          </cell>
          <cell r="D529">
            <v>4802000</v>
          </cell>
        </row>
        <row r="530">
          <cell r="B530">
            <v>92937000</v>
          </cell>
          <cell r="D530">
            <v>6481000</v>
          </cell>
        </row>
        <row r="531">
          <cell r="B531">
            <v>126669000</v>
          </cell>
          <cell r="D531">
            <v>6947000</v>
          </cell>
        </row>
        <row r="532">
          <cell r="B532">
            <v>100468000</v>
          </cell>
          <cell r="D532">
            <v>9048000</v>
          </cell>
        </row>
        <row r="533">
          <cell r="B533">
            <v>104509000</v>
          </cell>
          <cell r="D533">
            <v>5700000</v>
          </cell>
        </row>
        <row r="534">
          <cell r="B534">
            <v>118975000</v>
          </cell>
          <cell r="D534">
            <v>6870000</v>
          </cell>
        </row>
        <row r="535">
          <cell r="B535">
            <v>112909000</v>
          </cell>
          <cell r="D535">
            <v>7276000</v>
          </cell>
        </row>
        <row r="536">
          <cell r="B536">
            <v>117828000</v>
          </cell>
          <cell r="D536">
            <v>8643000</v>
          </cell>
        </row>
        <row r="537">
          <cell r="B537">
            <v>114158000</v>
          </cell>
          <cell r="D537">
            <v>6313000</v>
          </cell>
        </row>
        <row r="538">
          <cell r="B538">
            <v>109828000</v>
          </cell>
          <cell r="D538">
            <v>6484000</v>
          </cell>
        </row>
        <row r="539">
          <cell r="B539">
            <v>97826000</v>
          </cell>
          <cell r="D539">
            <v>5694000</v>
          </cell>
        </row>
        <row r="540">
          <cell r="B540">
            <v>93367000</v>
          </cell>
          <cell r="D540">
            <v>13428000</v>
          </cell>
        </row>
        <row r="541">
          <cell r="B541">
            <v>103427000</v>
          </cell>
          <cell r="D541">
            <v>13417000</v>
          </cell>
        </row>
        <row r="542">
          <cell r="B542">
            <v>94425000</v>
          </cell>
          <cell r="D542">
            <v>6239000</v>
          </cell>
        </row>
        <row r="543">
          <cell r="B543">
            <v>112258000</v>
          </cell>
          <cell r="D543">
            <v>8976000</v>
          </cell>
        </row>
        <row r="544">
          <cell r="B544">
            <v>95907000</v>
          </cell>
          <cell r="D544">
            <v>9095000</v>
          </cell>
        </row>
        <row r="545">
          <cell r="B545">
            <v>93742000</v>
          </cell>
          <cell r="D545">
            <v>10816000</v>
          </cell>
        </row>
        <row r="546">
          <cell r="B546">
            <v>117111000</v>
          </cell>
          <cell r="D546">
            <v>6567000</v>
          </cell>
        </row>
        <row r="547">
          <cell r="B547">
            <v>101498000</v>
          </cell>
          <cell r="D547">
            <v>9840000</v>
          </cell>
        </row>
        <row r="548">
          <cell r="B548">
            <v>103403000</v>
          </cell>
          <cell r="D548">
            <v>10290000</v>
          </cell>
        </row>
        <row r="549">
          <cell r="B549">
            <v>108755000</v>
          </cell>
          <cell r="D549">
            <v>7206000</v>
          </cell>
        </row>
        <row r="550">
          <cell r="B550">
            <v>99641000</v>
          </cell>
          <cell r="D550">
            <v>12003000</v>
          </cell>
        </row>
        <row r="551">
          <cell r="B551">
            <v>104584000</v>
          </cell>
          <cell r="D551">
            <v>6818000</v>
          </cell>
        </row>
        <row r="552">
          <cell r="B552">
            <v>107514000</v>
          </cell>
          <cell r="D552">
            <v>7787000</v>
          </cell>
        </row>
        <row r="553">
          <cell r="B553">
            <v>98501000</v>
          </cell>
          <cell r="D553">
            <v>8897000</v>
          </cell>
        </row>
        <row r="554">
          <cell r="B554">
            <v>88064000</v>
          </cell>
          <cell r="D554">
            <v>5691000</v>
          </cell>
        </row>
        <row r="555">
          <cell r="B555">
            <v>104431000</v>
          </cell>
          <cell r="D555">
            <v>7079000</v>
          </cell>
        </row>
        <row r="556">
          <cell r="B556">
            <v>99707000</v>
          </cell>
          <cell r="D556">
            <v>5899000</v>
          </cell>
        </row>
        <row r="557">
          <cell r="B557">
            <v>99045000</v>
          </cell>
          <cell r="D557">
            <v>7200000</v>
          </cell>
        </row>
        <row r="558">
          <cell r="B558">
            <v>108953000</v>
          </cell>
          <cell r="D558">
            <v>6939000</v>
          </cell>
        </row>
        <row r="559">
          <cell r="B559">
            <v>107536000</v>
          </cell>
          <cell r="D559">
            <v>8851000</v>
          </cell>
        </row>
        <row r="560">
          <cell r="B560">
            <v>99941000</v>
          </cell>
          <cell r="D560">
            <v>8524000</v>
          </cell>
        </row>
        <row r="561">
          <cell r="B561">
            <v>108042000</v>
          </cell>
          <cell r="D561">
            <v>5224000</v>
          </cell>
        </row>
      </sheetData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dible Tallow Exports"/>
      <sheetName val="Edible Tallow Imports"/>
      <sheetName val="Inedible Tallow Exports"/>
      <sheetName val="Inedible Tallow Imports"/>
      <sheetName val="Yellow Grease Exports"/>
      <sheetName val="Yellow Grease Imports"/>
      <sheetName val="CWG Exports"/>
      <sheetName val="CWG Imports"/>
      <sheetName val="UCO Exports"/>
      <sheetName val="UCO Imports"/>
      <sheetName val="Lard Exports"/>
      <sheetName val="Lard Imports"/>
      <sheetName val="Poultry Fat Exports"/>
      <sheetName val="Poultry Fat Imports"/>
      <sheetName val="DCO Exports"/>
      <sheetName val="DCO Impo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213"/>
  <sheetViews>
    <sheetView tabSelected="1" zoomScale="85" zoomScaleNormal="85" workbookViewId="0">
      <pane xSplit="1" ySplit="3" topLeftCell="B105" activePane="bottomRight" state="frozen"/>
      <selection pane="topRight"/>
      <selection pane="bottomLeft"/>
      <selection pane="bottomRight" activeCell="A21" sqref="A21"/>
    </sheetView>
  </sheetViews>
  <sheetFormatPr defaultRowHeight="15" x14ac:dyDescent="0.25"/>
  <cols>
    <col min="1" max="1" width="38" customWidth="1"/>
    <col min="2" max="23" width="12" hidden="1" customWidth="1"/>
    <col min="24" max="35" width="12" customWidth="1"/>
  </cols>
  <sheetData>
    <row r="1" spans="1:35" ht="21" x14ac:dyDescent="0.35">
      <c r="A1" s="2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5" ht="15.75" x14ac:dyDescent="0.25">
      <c r="A2" s="3" t="s">
        <v>40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35" x14ac:dyDescent="0.25">
      <c r="A3" s="4"/>
      <c r="B3" s="5" t="str">
        <f>[1]sunflower_oil_balance_sheet!E$3</f>
        <v>1993/94</v>
      </c>
      <c r="C3" s="5" t="str">
        <f>[1]sunflower_oil_balance_sheet!F$3</f>
        <v>1994/95</v>
      </c>
      <c r="D3" s="5" t="str">
        <f>[1]sunflower_oil_balance_sheet!G$3</f>
        <v>1995/96</v>
      </c>
      <c r="E3" s="5" t="str">
        <f>[1]sunflower_oil_balance_sheet!H$3</f>
        <v>1996/97</v>
      </c>
      <c r="F3" s="5" t="str">
        <f>[1]sunflower_oil_balance_sheet!I$3</f>
        <v>1997/98</v>
      </c>
      <c r="G3" s="5" t="str">
        <f>[1]sunflower_oil_balance_sheet!J$3</f>
        <v>1998/99</v>
      </c>
      <c r="H3" s="5" t="str">
        <f>[1]sunflower_oil_balance_sheet!K$3</f>
        <v>1999/00</v>
      </c>
      <c r="I3" s="5" t="str">
        <f>[1]sunflower_oil_balance_sheet!L$3</f>
        <v>2000/01</v>
      </c>
      <c r="J3" s="5" t="str">
        <f>[1]sunflower_oil_balance_sheet!M$3</f>
        <v>2001/02</v>
      </c>
      <c r="K3" s="5" t="str">
        <f>[1]sunflower_oil_balance_sheet!N$3</f>
        <v>2002/03</v>
      </c>
      <c r="L3" s="5" t="str">
        <f>[1]sunflower_oil_balance_sheet!O$3</f>
        <v>2003/04</v>
      </c>
      <c r="M3" s="5" t="str">
        <f>[1]sunflower_oil_balance_sheet!P$3</f>
        <v>2004/05</v>
      </c>
      <c r="N3" s="5" t="str">
        <f>[1]sunflower_oil_balance_sheet!Q$3</f>
        <v>2005/06</v>
      </c>
      <c r="O3" s="5" t="str">
        <f>[1]sunflower_oil_balance_sheet!R$3</f>
        <v>2006/07</v>
      </c>
      <c r="P3" s="5" t="str">
        <f>[1]sunflower_oil_balance_sheet!S$3</f>
        <v>2007/08</v>
      </c>
      <c r="Q3" s="5" t="str">
        <f>[1]sunflower_oil_balance_sheet!T$3</f>
        <v>2008/09</v>
      </c>
      <c r="R3" s="5" t="str">
        <f>[1]sunflower_oil_balance_sheet!U$3</f>
        <v>2009/10</v>
      </c>
      <c r="S3" s="5" t="str">
        <f>[1]sunflower_oil_balance_sheet!V$3</f>
        <v>2010/11</v>
      </c>
      <c r="T3" s="5" t="str">
        <f>[1]sunflower_oil_balance_sheet!W$3</f>
        <v>2011/12</v>
      </c>
      <c r="U3" s="5" t="str">
        <f>[1]sunflower_oil_balance_sheet!X$3</f>
        <v>2012/13</v>
      </c>
      <c r="V3" s="5" t="str">
        <f>[1]sunflower_oil_balance_sheet!Y$3</f>
        <v>2013/14</v>
      </c>
      <c r="W3" s="5" t="str">
        <f>[1]sunflower_oil_balance_sheet!Z$3</f>
        <v>2014/15</v>
      </c>
      <c r="X3" s="5" t="s">
        <v>0</v>
      </c>
      <c r="Y3" s="5" t="s">
        <v>1</v>
      </c>
      <c r="Z3" s="5" t="s">
        <v>2</v>
      </c>
      <c r="AA3" s="5" t="s">
        <v>3</v>
      </c>
      <c r="AB3" s="5" t="s">
        <v>4</v>
      </c>
      <c r="AC3" s="5" t="s">
        <v>5</v>
      </c>
      <c r="AD3" s="5" t="s">
        <v>6</v>
      </c>
      <c r="AE3" s="5" t="s">
        <v>7</v>
      </c>
      <c r="AF3" s="5" t="s">
        <v>8</v>
      </c>
      <c r="AG3" s="5" t="s">
        <v>9</v>
      </c>
      <c r="AH3" s="5" t="s">
        <v>10</v>
      </c>
      <c r="AI3" s="5" t="s">
        <v>11</v>
      </c>
    </row>
    <row r="4" spans="1:35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19"/>
      <c r="AH4" s="6"/>
      <c r="AI4" s="6"/>
    </row>
    <row r="5" spans="1:35" x14ac:dyDescent="0.25">
      <c r="A5" s="8" t="s">
        <v>42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20">
        <f>W17</f>
        <v>0</v>
      </c>
      <c r="Y5" s="20">
        <f>X17</f>
        <v>13.077</v>
      </c>
      <c r="Z5" s="20">
        <f t="shared" ref="Z5:AI5" si="0">Y17</f>
        <v>8.8719999999999999</v>
      </c>
      <c r="AA5" s="20">
        <f t="shared" si="0"/>
        <v>8.1359999999999992</v>
      </c>
      <c r="AB5" s="20">
        <f t="shared" si="0"/>
        <v>7.17</v>
      </c>
      <c r="AC5" s="20">
        <f t="shared" si="0"/>
        <v>9.3170000000000002</v>
      </c>
      <c r="AD5" s="20">
        <f t="shared" si="0"/>
        <v>7.2489999999999997</v>
      </c>
      <c r="AE5" s="20">
        <f t="shared" si="0"/>
        <v>5.8280000000000003</v>
      </c>
      <c r="AF5" s="20">
        <f t="shared" si="0"/>
        <v>9.048</v>
      </c>
      <c r="AG5" s="20">
        <f t="shared" si="0"/>
        <v>9.0950000000000006</v>
      </c>
      <c r="AH5" s="21">
        <f t="shared" si="0"/>
        <v>5.899</v>
      </c>
      <c r="AI5" s="21" t="e">
        <f t="shared" si="0"/>
        <v>#DIV/0!</v>
      </c>
    </row>
    <row r="6" spans="1:35" x14ac:dyDescent="0.25">
      <c r="A6" s="8" t="s">
        <v>12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20">
        <f t="shared" ref="U6:AF6" si="1">U37</f>
        <v>0</v>
      </c>
      <c r="V6" s="20">
        <f t="shared" si="1"/>
        <v>0</v>
      </c>
      <c r="W6" s="20">
        <f t="shared" si="1"/>
        <v>0</v>
      </c>
      <c r="X6" s="20">
        <f t="shared" si="1"/>
        <v>778.4</v>
      </c>
      <c r="Y6" s="20">
        <f t="shared" si="1"/>
        <v>1341.7080000000001</v>
      </c>
      <c r="Z6" s="20">
        <f t="shared" si="1"/>
        <v>1284.6010000000001</v>
      </c>
      <c r="AA6" s="20">
        <f t="shared" si="1"/>
        <v>1338.4659999999999</v>
      </c>
      <c r="AB6" s="20">
        <f t="shared" si="1"/>
        <v>1339.0249999999999</v>
      </c>
      <c r="AC6" s="20">
        <f t="shared" si="1"/>
        <v>1214.7080000000001</v>
      </c>
      <c r="AD6" s="20">
        <f t="shared" si="1"/>
        <v>1382.133</v>
      </c>
      <c r="AE6" s="20">
        <f t="shared" si="1"/>
        <v>1341.2540000000001</v>
      </c>
      <c r="AF6" s="20">
        <f t="shared" si="1"/>
        <v>1275.4169999999999</v>
      </c>
      <c r="AG6" s="20">
        <f>AG37</f>
        <v>1226.951</v>
      </c>
      <c r="AH6" s="21">
        <v>1250</v>
      </c>
      <c r="AI6" s="21">
        <v>1250</v>
      </c>
    </row>
    <row r="7" spans="1:35" x14ac:dyDescent="0.25">
      <c r="A7" s="8" t="s">
        <v>13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20">
        <f t="shared" ref="U7:AF7" si="2">U69</f>
        <v>0</v>
      </c>
      <c r="V7" s="20">
        <f t="shared" si="2"/>
        <v>0</v>
      </c>
      <c r="W7" s="20">
        <f t="shared" si="2"/>
        <v>0</v>
      </c>
      <c r="X7" s="20">
        <f t="shared" si="2"/>
        <v>0</v>
      </c>
      <c r="Y7" s="20">
        <f t="shared" si="2"/>
        <v>0</v>
      </c>
      <c r="Z7" s="20">
        <f t="shared" si="2"/>
        <v>0</v>
      </c>
      <c r="AA7" s="20">
        <f t="shared" si="2"/>
        <v>0</v>
      </c>
      <c r="AB7" s="20">
        <f t="shared" si="2"/>
        <v>0</v>
      </c>
      <c r="AC7" s="20">
        <f t="shared" si="2"/>
        <v>0</v>
      </c>
      <c r="AD7" s="20">
        <f t="shared" si="2"/>
        <v>0</v>
      </c>
      <c r="AE7" s="20">
        <f t="shared" si="2"/>
        <v>0</v>
      </c>
      <c r="AF7" s="20">
        <f t="shared" si="2"/>
        <v>0</v>
      </c>
      <c r="AG7" s="20">
        <f>AG69</f>
        <v>0</v>
      </c>
      <c r="AH7" s="21">
        <v>75</v>
      </c>
      <c r="AI7" s="21">
        <v>75</v>
      </c>
    </row>
    <row r="8" spans="1:35" x14ac:dyDescent="0.25">
      <c r="A8" s="8" t="s">
        <v>14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20">
        <f>SUM(X5:X7)</f>
        <v>778.4</v>
      </c>
      <c r="Y8" s="20">
        <f t="shared" ref="Y8:AI8" si="3">SUM(Y5:Y7)</f>
        <v>1354.7850000000001</v>
      </c>
      <c r="Z8" s="20">
        <f t="shared" si="3"/>
        <v>1293.4730000000002</v>
      </c>
      <c r="AA8" s="20">
        <f t="shared" si="3"/>
        <v>1346.6019999999999</v>
      </c>
      <c r="AB8" s="20">
        <f t="shared" si="3"/>
        <v>1346.1949999999999</v>
      </c>
      <c r="AC8" s="20">
        <f t="shared" si="3"/>
        <v>1224.0250000000001</v>
      </c>
      <c r="AD8" s="20">
        <f t="shared" si="3"/>
        <v>1389.3820000000001</v>
      </c>
      <c r="AE8" s="20">
        <f t="shared" si="3"/>
        <v>1347.0820000000001</v>
      </c>
      <c r="AF8" s="20">
        <f t="shared" si="3"/>
        <v>1284.4649999999999</v>
      </c>
      <c r="AG8" s="20">
        <f t="shared" si="3"/>
        <v>1236.046</v>
      </c>
      <c r="AH8" s="21">
        <f t="shared" si="3"/>
        <v>1330.8989999999999</v>
      </c>
      <c r="AI8" s="21" t="e">
        <f t="shared" si="3"/>
        <v>#DIV/0!</v>
      </c>
    </row>
    <row r="9" spans="1:35" x14ac:dyDescent="0.25">
      <c r="A9" s="10" t="s">
        <v>43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33">
        <f>X133</f>
        <v>0</v>
      </c>
      <c r="Y9" s="33">
        <f t="shared" ref="Y9:AI9" si="4">Y133</f>
        <v>0</v>
      </c>
      <c r="Z9" s="33">
        <f t="shared" si="4"/>
        <v>0</v>
      </c>
      <c r="AA9" s="33">
        <f t="shared" si="4"/>
        <v>0</v>
      </c>
      <c r="AB9" s="33">
        <f t="shared" si="4"/>
        <v>0</v>
      </c>
      <c r="AC9" s="33">
        <f t="shared" si="4"/>
        <v>0</v>
      </c>
      <c r="AD9" s="33">
        <f t="shared" si="4"/>
        <v>0</v>
      </c>
      <c r="AE9" s="33">
        <f t="shared" si="4"/>
        <v>0</v>
      </c>
      <c r="AF9" s="33">
        <f t="shared" si="4"/>
        <v>0</v>
      </c>
      <c r="AG9" s="33">
        <f t="shared" si="4"/>
        <v>0</v>
      </c>
      <c r="AH9" s="33">
        <f>AH133</f>
        <v>0</v>
      </c>
      <c r="AI9" s="33">
        <f t="shared" si="4"/>
        <v>0</v>
      </c>
    </row>
    <row r="10" spans="1:35" x14ac:dyDescent="0.25">
      <c r="A10" s="8" t="s">
        <v>54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20">
        <f>X149+X165</f>
        <v>0</v>
      </c>
      <c r="Y10" s="20">
        <f t="shared" ref="Y10:AG10" si="5">Y149+Y165</f>
        <v>0</v>
      </c>
      <c r="Z10" s="20">
        <f t="shared" si="5"/>
        <v>0</v>
      </c>
      <c r="AA10" s="20">
        <f t="shared" si="5"/>
        <v>0</v>
      </c>
      <c r="AB10" s="20">
        <f t="shared" si="5"/>
        <v>0</v>
      </c>
      <c r="AC10" s="20">
        <f t="shared" si="5"/>
        <v>0</v>
      </c>
      <c r="AD10" s="20">
        <f t="shared" si="5"/>
        <v>0</v>
      </c>
      <c r="AE10" s="20">
        <f t="shared" si="5"/>
        <v>0</v>
      </c>
      <c r="AF10" s="20">
        <f t="shared" si="5"/>
        <v>0</v>
      </c>
      <c r="AG10" s="20">
        <f t="shared" si="5"/>
        <v>0</v>
      </c>
      <c r="AH10" s="20">
        <f t="shared" ref="AH10:AI10" si="6">AH149+AH165</f>
        <v>0</v>
      </c>
      <c r="AI10" s="20">
        <f t="shared" si="6"/>
        <v>0</v>
      </c>
    </row>
    <row r="11" spans="1:35" x14ac:dyDescent="0.25">
      <c r="A11" s="8" t="s">
        <v>44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20">
        <f>X181</f>
        <v>0</v>
      </c>
      <c r="Y11" s="20">
        <f t="shared" ref="Y11:AG11" si="7">Y181</f>
        <v>0</v>
      </c>
      <c r="Z11" s="20">
        <f t="shared" si="7"/>
        <v>0</v>
      </c>
      <c r="AA11" s="20">
        <f t="shared" si="7"/>
        <v>0</v>
      </c>
      <c r="AB11" s="20">
        <f t="shared" si="7"/>
        <v>0</v>
      </c>
      <c r="AC11" s="20">
        <f t="shared" si="7"/>
        <v>0</v>
      </c>
      <c r="AD11" s="20">
        <f t="shared" si="7"/>
        <v>0</v>
      </c>
      <c r="AE11" s="20">
        <f t="shared" si="7"/>
        <v>0</v>
      </c>
      <c r="AF11" s="20">
        <f t="shared" si="7"/>
        <v>0</v>
      </c>
      <c r="AG11" s="20">
        <f t="shared" si="7"/>
        <v>0</v>
      </c>
      <c r="AH11" s="20">
        <f t="shared" ref="AH11:AI11" si="8">AH181</f>
        <v>0</v>
      </c>
      <c r="AI11" s="20">
        <f t="shared" si="8"/>
        <v>0</v>
      </c>
    </row>
    <row r="12" spans="1:35" x14ac:dyDescent="0.25">
      <c r="A12" s="8" t="s">
        <v>45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20">
        <f>SUM(X9:X11)</f>
        <v>0</v>
      </c>
      <c r="Y12" s="20">
        <f t="shared" ref="Y12:AG12" si="9">SUM(Y9:Y11)</f>
        <v>0</v>
      </c>
      <c r="Z12" s="20">
        <f t="shared" si="9"/>
        <v>0</v>
      </c>
      <c r="AA12" s="20">
        <f t="shared" si="9"/>
        <v>0</v>
      </c>
      <c r="AB12" s="20">
        <f t="shared" si="9"/>
        <v>0</v>
      </c>
      <c r="AC12" s="20">
        <f t="shared" si="9"/>
        <v>0</v>
      </c>
      <c r="AD12" s="20">
        <f t="shared" si="9"/>
        <v>0</v>
      </c>
      <c r="AE12" s="20">
        <f t="shared" si="9"/>
        <v>0</v>
      </c>
      <c r="AF12" s="20">
        <f t="shared" si="9"/>
        <v>0</v>
      </c>
      <c r="AG12" s="20">
        <f t="shared" si="9"/>
        <v>0</v>
      </c>
      <c r="AH12" s="20">
        <f t="shared" ref="AH12" si="10">SUM(AH9:AH11)</f>
        <v>0</v>
      </c>
      <c r="AI12" s="20">
        <f t="shared" ref="AI12" si="11">SUM(AI9:AI11)</f>
        <v>0</v>
      </c>
    </row>
    <row r="13" spans="1:35" x14ac:dyDescent="0.25">
      <c r="A13" s="10" t="s">
        <v>46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33">
        <f>X14-X12</f>
        <v>765.32299999999998</v>
      </c>
      <c r="Y13" s="33">
        <f t="shared" ref="Y13:AG13" si="12">Y14-Y12</f>
        <v>1345.913</v>
      </c>
      <c r="Z13" s="33">
        <f t="shared" si="12"/>
        <v>1285.3370000000002</v>
      </c>
      <c r="AA13" s="33">
        <f t="shared" si="12"/>
        <v>1339.4319999999998</v>
      </c>
      <c r="AB13" s="33">
        <f t="shared" si="12"/>
        <v>1336.8779999999999</v>
      </c>
      <c r="AC13" s="33">
        <f t="shared" si="12"/>
        <v>1216.7760000000001</v>
      </c>
      <c r="AD13" s="33">
        <f t="shared" si="12"/>
        <v>1383.5540000000001</v>
      </c>
      <c r="AE13" s="33">
        <f t="shared" si="12"/>
        <v>1338.0340000000001</v>
      </c>
      <c r="AF13" s="33">
        <f t="shared" si="12"/>
        <v>1275.3699999999999</v>
      </c>
      <c r="AG13" s="33">
        <f t="shared" si="12"/>
        <v>1230.1470000000002</v>
      </c>
      <c r="AH13" s="33" t="e">
        <f t="shared" ref="AH13" si="13">AH14-AH12</f>
        <v>#DIV/0!</v>
      </c>
      <c r="AI13" s="33" t="e">
        <f t="shared" ref="AI13" si="14">AI14-AI12</f>
        <v>#DIV/0!</v>
      </c>
    </row>
    <row r="14" spans="1:35" x14ac:dyDescent="0.25">
      <c r="A14" s="8" t="s">
        <v>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20">
        <f>X16-X15</f>
        <v>765.32299999999998</v>
      </c>
      <c r="Y14" s="20">
        <f t="shared" ref="Y14:AG14" si="15">Y16-Y15</f>
        <v>1345.913</v>
      </c>
      <c r="Z14" s="20">
        <f t="shared" si="15"/>
        <v>1285.3370000000002</v>
      </c>
      <c r="AA14" s="20">
        <f t="shared" si="15"/>
        <v>1339.4319999999998</v>
      </c>
      <c r="AB14" s="20">
        <f t="shared" si="15"/>
        <v>1336.8779999999999</v>
      </c>
      <c r="AC14" s="20">
        <f t="shared" si="15"/>
        <v>1216.7760000000001</v>
      </c>
      <c r="AD14" s="20">
        <f t="shared" si="15"/>
        <v>1383.5540000000001</v>
      </c>
      <c r="AE14" s="20">
        <f t="shared" si="15"/>
        <v>1338.0340000000001</v>
      </c>
      <c r="AF14" s="20">
        <f t="shared" si="15"/>
        <v>1275.3699999999999</v>
      </c>
      <c r="AG14" s="20">
        <f t="shared" si="15"/>
        <v>1230.1470000000002</v>
      </c>
      <c r="AH14" s="20" t="e">
        <f t="shared" ref="AH14" si="16">AH16-AH15</f>
        <v>#DIV/0!</v>
      </c>
      <c r="AI14" s="20" t="e">
        <f t="shared" ref="AI14" si="17">AI16-AI15</f>
        <v>#DIV/0!</v>
      </c>
    </row>
    <row r="15" spans="1:35" x14ac:dyDescent="0.25">
      <c r="A15" s="8" t="s">
        <v>15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20">
        <f>X85</f>
        <v>0</v>
      </c>
      <c r="Y15" s="20">
        <f t="shared" ref="Y15:AG15" si="18">Y85</f>
        <v>0</v>
      </c>
      <c r="Z15" s="20">
        <f t="shared" si="18"/>
        <v>0</v>
      </c>
      <c r="AA15" s="20">
        <f t="shared" si="18"/>
        <v>0</v>
      </c>
      <c r="AB15" s="20">
        <f t="shared" si="18"/>
        <v>0</v>
      </c>
      <c r="AC15" s="20">
        <f t="shared" si="18"/>
        <v>0</v>
      </c>
      <c r="AD15" s="20">
        <f t="shared" si="18"/>
        <v>0</v>
      </c>
      <c r="AE15" s="20">
        <f t="shared" si="18"/>
        <v>0</v>
      </c>
      <c r="AF15" s="20">
        <f t="shared" si="18"/>
        <v>0</v>
      </c>
      <c r="AG15" s="20">
        <f t="shared" si="18"/>
        <v>0</v>
      </c>
      <c r="AH15" s="21">
        <v>0.5</v>
      </c>
      <c r="AI15" s="21">
        <v>0.5</v>
      </c>
    </row>
    <row r="16" spans="1:35" x14ac:dyDescent="0.25">
      <c r="A16" s="8" t="s">
        <v>48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20">
        <f>X8-X17</f>
        <v>765.32299999999998</v>
      </c>
      <c r="Y16" s="20">
        <f t="shared" ref="Y16:AG16" si="19">Y8-Y17</f>
        <v>1345.913</v>
      </c>
      <c r="Z16" s="20">
        <f t="shared" si="19"/>
        <v>1285.3370000000002</v>
      </c>
      <c r="AA16" s="20">
        <f t="shared" si="19"/>
        <v>1339.4319999999998</v>
      </c>
      <c r="AB16" s="20">
        <f t="shared" si="19"/>
        <v>1336.8779999999999</v>
      </c>
      <c r="AC16" s="20">
        <f t="shared" si="19"/>
        <v>1216.7760000000001</v>
      </c>
      <c r="AD16" s="20">
        <f t="shared" si="19"/>
        <v>1383.5540000000001</v>
      </c>
      <c r="AE16" s="20">
        <f t="shared" si="19"/>
        <v>1338.0340000000001</v>
      </c>
      <c r="AF16" s="20">
        <f t="shared" si="19"/>
        <v>1275.3699999999999</v>
      </c>
      <c r="AG16" s="20">
        <f t="shared" si="19"/>
        <v>1230.1470000000002</v>
      </c>
      <c r="AH16" s="20" t="e">
        <f t="shared" ref="AH16" si="20">AH8-AH17</f>
        <v>#DIV/0!</v>
      </c>
      <c r="AI16" s="20" t="e">
        <f t="shared" ref="AI16" si="21">AI8-AI17</f>
        <v>#DIV/0!</v>
      </c>
    </row>
    <row r="17" spans="1:35" x14ac:dyDescent="0.25">
      <c r="A17" s="10" t="s">
        <v>49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33">
        <f>X212</f>
        <v>13.077</v>
      </c>
      <c r="Y17" s="33">
        <f t="shared" ref="Y17:AG17" si="22">Y212</f>
        <v>8.8719999999999999</v>
      </c>
      <c r="Z17" s="33">
        <f t="shared" si="22"/>
        <v>8.1359999999999992</v>
      </c>
      <c r="AA17" s="33">
        <f t="shared" si="22"/>
        <v>7.17</v>
      </c>
      <c r="AB17" s="33">
        <f t="shared" si="22"/>
        <v>9.3170000000000002</v>
      </c>
      <c r="AC17" s="33">
        <f t="shared" si="22"/>
        <v>7.2489999999999997</v>
      </c>
      <c r="AD17" s="33">
        <f t="shared" si="22"/>
        <v>5.8280000000000003</v>
      </c>
      <c r="AE17" s="33">
        <f t="shared" si="22"/>
        <v>9.048</v>
      </c>
      <c r="AF17" s="33">
        <f t="shared" si="22"/>
        <v>9.0950000000000006</v>
      </c>
      <c r="AG17" s="33">
        <f t="shared" si="22"/>
        <v>5.899</v>
      </c>
      <c r="AH17" s="33" t="e">
        <f t="shared" ref="AH17:AI17" si="23">AH212</f>
        <v>#DIV/0!</v>
      </c>
      <c r="AI17" s="33" t="e">
        <f t="shared" si="23"/>
        <v>#DIV/0!</v>
      </c>
    </row>
    <row r="18" spans="1:35" x14ac:dyDescent="0.25">
      <c r="A18" s="8" t="s">
        <v>56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35">
        <f>X17/(Y16/365)</f>
        <v>3.5463696390479917</v>
      </c>
      <c r="Y18" s="35">
        <f t="shared" ref="Y18:AG18" si="24">Y17/(Z16/365)</f>
        <v>2.5194015266035281</v>
      </c>
      <c r="Z18" s="35">
        <f t="shared" si="24"/>
        <v>2.2170890347550305</v>
      </c>
      <c r="AA18" s="35">
        <f t="shared" si="24"/>
        <v>1.9575832648902893</v>
      </c>
      <c r="AB18" s="35">
        <f t="shared" si="24"/>
        <v>2.7948488464598249</v>
      </c>
      <c r="AC18" s="35">
        <f t="shared" si="24"/>
        <v>1.9123828921747903</v>
      </c>
      <c r="AD18" s="35">
        <f t="shared" si="24"/>
        <v>1.5898101244064053</v>
      </c>
      <c r="AE18" s="35">
        <f t="shared" si="24"/>
        <v>2.5894603134776579</v>
      </c>
      <c r="AF18" s="35">
        <f t="shared" si="24"/>
        <v>2.6986002485881766</v>
      </c>
      <c r="AG18" s="35" t="e">
        <f t="shared" si="24"/>
        <v>#DIV/0!</v>
      </c>
      <c r="AH18" s="20"/>
      <c r="AI18" s="20"/>
    </row>
    <row r="19" spans="1:35" x14ac:dyDescent="0.25">
      <c r="A19" s="9" t="s">
        <v>57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</row>
    <row r="20" spans="1:35" x14ac:dyDescent="0.25">
      <c r="A20" s="8" t="s">
        <v>58</v>
      </c>
    </row>
    <row r="21" spans="1:35" x14ac:dyDescent="0.25">
      <c r="A21" s="11" t="s">
        <v>50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3" spans="1:35" ht="15.75" thickBot="1" x14ac:dyDescent="0.3">
      <c r="A23" s="12" t="s">
        <v>51</v>
      </c>
      <c r="B23" s="13"/>
      <c r="C23" s="13"/>
      <c r="D23" s="13"/>
      <c r="E23" s="13"/>
      <c r="F23" s="13"/>
      <c r="G23" s="13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35" ht="15.75" thickBot="1" x14ac:dyDescent="0.3">
      <c r="A24" s="18" t="s">
        <v>16</v>
      </c>
      <c r="B24" s="15" t="str">
        <f t="shared" ref="B24:AH24" si="25">B3</f>
        <v>1993/94</v>
      </c>
      <c r="C24" s="15" t="str">
        <f t="shared" si="25"/>
        <v>1994/95</v>
      </c>
      <c r="D24" s="15" t="str">
        <f t="shared" si="25"/>
        <v>1995/96</v>
      </c>
      <c r="E24" s="15" t="str">
        <f t="shared" si="25"/>
        <v>1996/97</v>
      </c>
      <c r="F24" s="15" t="str">
        <f t="shared" si="25"/>
        <v>1997/98</v>
      </c>
      <c r="G24" s="15" t="str">
        <f t="shared" si="25"/>
        <v>1998/99</v>
      </c>
      <c r="H24" s="15" t="str">
        <f t="shared" si="25"/>
        <v>1999/00</v>
      </c>
      <c r="I24" s="15" t="str">
        <f t="shared" si="25"/>
        <v>2000/01</v>
      </c>
      <c r="J24" s="15" t="str">
        <f t="shared" si="25"/>
        <v>2001/02</v>
      </c>
      <c r="K24" s="15" t="str">
        <f t="shared" si="25"/>
        <v>2002/03</v>
      </c>
      <c r="L24" s="15" t="str">
        <f t="shared" si="25"/>
        <v>2003/04</v>
      </c>
      <c r="M24" s="15" t="str">
        <f t="shared" si="25"/>
        <v>2004/05</v>
      </c>
      <c r="N24" s="15" t="str">
        <f t="shared" si="25"/>
        <v>2005/06</v>
      </c>
      <c r="O24" s="15" t="str">
        <f t="shared" si="25"/>
        <v>2006/07</v>
      </c>
      <c r="P24" s="15" t="str">
        <f t="shared" si="25"/>
        <v>2007/08</v>
      </c>
      <c r="Q24" s="15" t="str">
        <f t="shared" si="25"/>
        <v>2008/09</v>
      </c>
      <c r="R24" s="15" t="str">
        <f t="shared" si="25"/>
        <v>2009/10</v>
      </c>
      <c r="S24" s="15" t="str">
        <f t="shared" si="25"/>
        <v>2010/11</v>
      </c>
      <c r="T24" s="15" t="str">
        <f t="shared" si="25"/>
        <v>2011/12</v>
      </c>
      <c r="U24" s="15" t="str">
        <f t="shared" si="25"/>
        <v>2012/13</v>
      </c>
      <c r="V24" s="15" t="str">
        <f t="shared" si="25"/>
        <v>2013/14</v>
      </c>
      <c r="W24" s="15" t="str">
        <f t="shared" si="25"/>
        <v>2014/15</v>
      </c>
      <c r="X24" s="15" t="str">
        <f t="shared" si="25"/>
        <v>2015/16</v>
      </c>
      <c r="Y24" s="15" t="str">
        <f t="shared" si="25"/>
        <v>2016/17</v>
      </c>
      <c r="Z24" s="15" t="str">
        <f t="shared" si="25"/>
        <v>2017/18</v>
      </c>
      <c r="AA24" s="15" t="str">
        <f t="shared" si="25"/>
        <v>2018/19</v>
      </c>
      <c r="AB24" s="15" t="str">
        <f t="shared" si="25"/>
        <v>2019/20</v>
      </c>
      <c r="AC24" s="15" t="str">
        <f t="shared" si="25"/>
        <v>2020/21</v>
      </c>
      <c r="AD24" s="15" t="str">
        <f t="shared" si="25"/>
        <v>2021/22</v>
      </c>
      <c r="AE24" s="15" t="str">
        <f t="shared" si="25"/>
        <v>2022/23</v>
      </c>
      <c r="AF24" s="15" t="str">
        <f t="shared" si="25"/>
        <v>2023/24</v>
      </c>
      <c r="AG24" s="15" t="str">
        <f t="shared" si="25"/>
        <v>2024/25</v>
      </c>
      <c r="AH24" s="15" t="str">
        <f t="shared" si="25"/>
        <v>2025/26</v>
      </c>
      <c r="AI24" s="15" t="str">
        <f>AI3</f>
        <v>2026/27</v>
      </c>
    </row>
    <row r="25" spans="1:35" x14ac:dyDescent="0.25">
      <c r="A25" s="8" t="s">
        <v>17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23">
        <f>'[2]NASS Low CI'!B437/1000000</f>
        <v>0</v>
      </c>
      <c r="Y25" s="23">
        <f>'[2]NASS Low CI'!B449/1000000</f>
        <v>116.18300000000001</v>
      </c>
      <c r="Z25" s="23">
        <f>'[2]NASS Low CI'!B461/1000000</f>
        <v>108.646</v>
      </c>
      <c r="AA25" s="23">
        <f>'[2]NASS Low CI'!B473/1000000</f>
        <v>104.61</v>
      </c>
      <c r="AB25" s="23">
        <f>'[2]NASS Low CI'!B485/1000000</f>
        <v>114.003</v>
      </c>
      <c r="AC25" s="23">
        <f>'[2]NASS Low CI'!B497/1000000</f>
        <v>96.575999999999993</v>
      </c>
      <c r="AD25" s="23">
        <f>'[2]NASS Low CI'!B509/1000000</f>
        <v>103.514</v>
      </c>
      <c r="AE25" s="23">
        <f>'[2]NASS Low CI'!B521/1000000</f>
        <v>108.28700000000001</v>
      </c>
      <c r="AF25" s="23">
        <f>'[2]NASS Low CI'!B533/1000000</f>
        <v>104.509</v>
      </c>
      <c r="AG25" s="23">
        <f>'[2]NASS Low CI'!B545/1000000</f>
        <v>93.742000000000004</v>
      </c>
      <c r="AH25" s="23">
        <f>'[2]NASS Low CI'!B557/1000000</f>
        <v>99.045000000000002</v>
      </c>
      <c r="AI25" s="22">
        <f t="shared" ref="AI25:AI29" si="26">AI$37*(SUM(AD25:AH25)/SUM(AD$37:AH$37))</f>
        <v>98.269815643118065</v>
      </c>
    </row>
    <row r="26" spans="1:35" x14ac:dyDescent="0.25">
      <c r="A26" s="8" t="s">
        <v>18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23">
        <f>'[2]NASS Low CI'!B438/1000000</f>
        <v>0</v>
      </c>
      <c r="Y26" s="23">
        <f>'[2]NASS Low CI'!B450/1000000</f>
        <v>127.696</v>
      </c>
      <c r="Z26" s="23">
        <f>'[2]NASS Low CI'!B462/1000000</f>
        <v>116.982</v>
      </c>
      <c r="AA26" s="23">
        <f>'[2]NASS Low CI'!B474/1000000</f>
        <v>116.736</v>
      </c>
      <c r="AB26" s="23">
        <f>'[2]NASS Low CI'!B486/1000000</f>
        <v>121.381</v>
      </c>
      <c r="AC26" s="23">
        <f>'[2]NASS Low CI'!B498/1000000</f>
        <v>116.917</v>
      </c>
      <c r="AD26" s="23">
        <f>'[2]NASS Low CI'!B510/1000000</f>
        <v>129.988</v>
      </c>
      <c r="AE26" s="23">
        <f>'[2]NASS Low CI'!B522/1000000</f>
        <v>116.593</v>
      </c>
      <c r="AF26" s="23">
        <f>'[2]NASS Low CI'!B534/1000000</f>
        <v>118.97499999999999</v>
      </c>
      <c r="AG26" s="23">
        <f>'[2]NASS Low CI'!B546/1000000</f>
        <v>117.111</v>
      </c>
      <c r="AH26" s="23">
        <f>'[2]NASS Low CI'!B558/1000000</f>
        <v>108.953</v>
      </c>
      <c r="AI26" s="22">
        <f t="shared" si="26"/>
        <v>114.19903933981443</v>
      </c>
    </row>
    <row r="27" spans="1:35" x14ac:dyDescent="0.25">
      <c r="A27" s="8" t="s">
        <v>19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23">
        <f>'[2]NASS Low CI'!B439/1000000</f>
        <v>0</v>
      </c>
      <c r="Y27" s="23">
        <f>'[2]NASS Low CI'!B451/1000000</f>
        <v>121.4</v>
      </c>
      <c r="Z27" s="23">
        <f>'[2]NASS Low CI'!B463/1000000</f>
        <v>103.68899999999999</v>
      </c>
      <c r="AA27" s="23">
        <f>'[2]NASS Low CI'!B475/1000000</f>
        <v>118.32299999999999</v>
      </c>
      <c r="AB27" s="23">
        <f>'[2]NASS Low CI'!B487/1000000</f>
        <v>112.592</v>
      </c>
      <c r="AC27" s="23">
        <f>'[2]NASS Low CI'!B499/1000000</f>
        <v>110.63200000000001</v>
      </c>
      <c r="AD27" s="23">
        <f>'[2]NASS Low CI'!B511/1000000</f>
        <v>123.435</v>
      </c>
      <c r="AE27" s="23">
        <f>'[2]NASS Low CI'!B523/1000000</f>
        <v>110.98099999999999</v>
      </c>
      <c r="AF27" s="23">
        <f>'[2]NASS Low CI'!B535/1000000</f>
        <v>112.90900000000001</v>
      </c>
      <c r="AG27" s="23">
        <f>'[2]NASS Low CI'!B547/1000000</f>
        <v>101.498</v>
      </c>
      <c r="AH27" s="23">
        <f>'[2]NASS Low CI'!B559/1000000</f>
        <v>107.536</v>
      </c>
      <c r="AI27" s="22">
        <f t="shared" si="26"/>
        <v>107.39269011875832</v>
      </c>
    </row>
    <row r="28" spans="1:35" x14ac:dyDescent="0.25">
      <c r="A28" s="8" t="s">
        <v>20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23">
        <f>'[2]NASS Low CI'!B440/1000000</f>
        <v>0</v>
      </c>
      <c r="Y28" s="23">
        <f>'[2]NASS Low CI'!B452/1000000</f>
        <v>113.02500000000001</v>
      </c>
      <c r="Z28" s="23">
        <f>'[2]NASS Low CI'!B464/1000000</f>
        <v>106.90300000000001</v>
      </c>
      <c r="AA28" s="23">
        <f>'[2]NASS Low CI'!B476/1000000</f>
        <v>111.538</v>
      </c>
      <c r="AB28" s="23">
        <f>'[2]NASS Low CI'!B488/1000000</f>
        <v>115.706</v>
      </c>
      <c r="AC28" s="23">
        <f>'[2]NASS Low CI'!B500/1000000</f>
        <v>112.172</v>
      </c>
      <c r="AD28" s="23">
        <f>'[2]NASS Low CI'!B512/1000000</f>
        <v>109.46299999999999</v>
      </c>
      <c r="AE28" s="23">
        <f>'[2]NASS Low CI'!B524/1000000</f>
        <v>114.801</v>
      </c>
      <c r="AF28" s="23">
        <f>'[2]NASS Low CI'!B536/1000000</f>
        <v>117.828</v>
      </c>
      <c r="AG28" s="23">
        <f>'[2]NASS Low CI'!B548/1000000</f>
        <v>103.40300000000001</v>
      </c>
      <c r="AH28" s="23">
        <f>'[2]NASS Low CI'!B560/1000000</f>
        <v>99.941000000000003</v>
      </c>
      <c r="AI28" s="22">
        <f t="shared" si="26"/>
        <v>105.28424870922387</v>
      </c>
    </row>
    <row r="29" spans="1:35" x14ac:dyDescent="0.25">
      <c r="A29" s="8" t="s">
        <v>21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23">
        <f>'[2]NASS Low CI'!B441/1000000</f>
        <v>0</v>
      </c>
      <c r="Y29" s="23">
        <f>'[2]NASS Low CI'!B453/1000000</f>
        <v>120.739</v>
      </c>
      <c r="Z29" s="23">
        <f>'[2]NASS Low CI'!B465/1000000</f>
        <v>113.874</v>
      </c>
      <c r="AA29" s="23">
        <f>'[2]NASS Low CI'!B477/1000000</f>
        <v>128.75700000000001</v>
      </c>
      <c r="AB29" s="23">
        <f>'[2]NASS Low CI'!B489/1000000</f>
        <v>125.11199999999999</v>
      </c>
      <c r="AC29" s="23">
        <f>'[2]NASS Low CI'!B501/1000000</f>
        <v>108.286</v>
      </c>
      <c r="AD29" s="23">
        <f>'[2]NASS Low CI'!B513/1000000</f>
        <v>119.24299999999999</v>
      </c>
      <c r="AE29" s="23">
        <f>'[2]NASS Low CI'!B525/1000000</f>
        <v>119.578</v>
      </c>
      <c r="AF29" s="23">
        <f>'[2]NASS Low CI'!B537/1000000</f>
        <v>114.158</v>
      </c>
      <c r="AG29" s="23">
        <f>'[2]NASS Low CI'!B549/1000000</f>
        <v>108.755</v>
      </c>
      <c r="AH29" s="23">
        <f>'[2]NASS Low CI'!B561/1000000</f>
        <v>108.042</v>
      </c>
      <c r="AI29" s="22">
        <f t="shared" si="26"/>
        <v>109.9825425761166</v>
      </c>
    </row>
    <row r="30" spans="1:35" x14ac:dyDescent="0.25">
      <c r="A30" s="8" t="s">
        <v>22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23">
        <f>'[2]NASS Low CI'!B442/1000000</f>
        <v>112.681</v>
      </c>
      <c r="Y30" s="23">
        <f>'[2]NASS Low CI'!B454/1000000</f>
        <v>110.196</v>
      </c>
      <c r="Z30" s="23">
        <f>'[2]NASS Low CI'!B466/1000000</f>
        <v>109.976</v>
      </c>
      <c r="AA30" s="23">
        <f>'[2]NASS Low CI'!B478/1000000</f>
        <v>121.01600000000001</v>
      </c>
      <c r="AB30" s="23">
        <f>'[2]NASS Low CI'!B490/1000000</f>
        <v>126.508</v>
      </c>
      <c r="AC30" s="23">
        <f>'[2]NASS Low CI'!B502/1000000</f>
        <v>108.982</v>
      </c>
      <c r="AD30" s="23">
        <f>'[2]NASS Low CI'!B514/1000000</f>
        <v>121.744</v>
      </c>
      <c r="AE30" s="23">
        <f>'[2]NASS Low CI'!B526/1000000</f>
        <v>119.429</v>
      </c>
      <c r="AF30" s="23">
        <f>'[2]NASS Low CI'!B538/1000000</f>
        <v>109.828</v>
      </c>
      <c r="AG30" s="23">
        <f>'[2]NASS Low CI'!B550/1000000</f>
        <v>99.641000000000005</v>
      </c>
      <c r="AH30" s="22">
        <f>AH$37*(SUM(AC30:AG30)/SUM(AC$37:AG$37))</f>
        <v>108.61486200603898</v>
      </c>
      <c r="AI30" s="22">
        <f>AI$37*(SUM(AD30:AH30)/SUM(AD$37:AH$37))</f>
        <v>107.95205771489945</v>
      </c>
    </row>
    <row r="31" spans="1:35" x14ac:dyDescent="0.25">
      <c r="A31" s="8" t="s">
        <v>23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23">
        <f>'[2]NASS Low CI'!B443/1000000</f>
        <v>111.10299999999999</v>
      </c>
      <c r="Y31" s="23">
        <f>'[2]NASS Low CI'!B455/1000000</f>
        <v>101.511</v>
      </c>
      <c r="Z31" s="23">
        <f>'[2]NASS Low CI'!B467/1000000</f>
        <v>104.166</v>
      </c>
      <c r="AA31" s="23">
        <f>'[2]NASS Low CI'!B479/1000000</f>
        <v>105.54600000000001</v>
      </c>
      <c r="AB31" s="23">
        <f>'[2]NASS Low CI'!B491/1000000</f>
        <v>88.974000000000004</v>
      </c>
      <c r="AC31" s="23">
        <f>'[2]NASS Low CI'!B503/1000000</f>
        <v>97.444999999999993</v>
      </c>
      <c r="AD31" s="23">
        <f>'[2]NASS Low CI'!B515/1000000</f>
        <v>121.473</v>
      </c>
      <c r="AE31" s="23">
        <f>'[2]NASS Low CI'!B527/1000000</f>
        <v>103.83</v>
      </c>
      <c r="AF31" s="23">
        <f>'[2]NASS Low CI'!B539/1000000</f>
        <v>97.825999999999993</v>
      </c>
      <c r="AG31" s="23">
        <f>'[2]NASS Low CI'!B551/1000000</f>
        <v>104.584</v>
      </c>
      <c r="AH31" s="22">
        <f t="shared" ref="AH31:AI35" si="27">AH$37*(SUM(AC31:AG31)/SUM(AC$37:AG$37))</f>
        <v>101.92551374023883</v>
      </c>
      <c r="AI31" s="22">
        <f t="shared" si="27"/>
        <v>102.2348964986011</v>
      </c>
    </row>
    <row r="32" spans="1:35" x14ac:dyDescent="0.25">
      <c r="A32" s="8" t="s">
        <v>24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23">
        <f>'[2]NASS Low CI'!B444/1000000</f>
        <v>116.462</v>
      </c>
      <c r="Y32" s="23">
        <f>'[2]NASS Low CI'!B456/1000000</f>
        <v>108.828</v>
      </c>
      <c r="Z32" s="23">
        <f>'[2]NASS Low CI'!B468/1000000</f>
        <v>113.59399999999999</v>
      </c>
      <c r="AA32" s="23">
        <f>'[2]NASS Low CI'!B480/1000000</f>
        <v>114.886</v>
      </c>
      <c r="AB32" s="23">
        <f>'[2]NASS Low CI'!B492/1000000</f>
        <v>110.913</v>
      </c>
      <c r="AC32" s="23">
        <f>'[2]NASS Low CI'!B504/1000000</f>
        <v>91.738</v>
      </c>
      <c r="AD32" s="23">
        <f>'[2]NASS Low CI'!B516/1000000</f>
        <v>121.17700000000001</v>
      </c>
      <c r="AE32" s="23">
        <f>'[2]NASS Low CI'!B528/1000000</f>
        <v>118.053</v>
      </c>
      <c r="AF32" s="23">
        <f>'[2]NASS Low CI'!B540/1000000</f>
        <v>93.367000000000004</v>
      </c>
      <c r="AG32" s="23">
        <f>'[2]NASS Low CI'!B552/1000000</f>
        <v>107.514</v>
      </c>
      <c r="AH32" s="22">
        <f t="shared" si="27"/>
        <v>103.22413932041842</v>
      </c>
      <c r="AI32" s="22">
        <f t="shared" si="27"/>
        <v>104.87872443452895</v>
      </c>
    </row>
    <row r="33" spans="1:35" x14ac:dyDescent="0.25">
      <c r="A33" s="8" t="s">
        <v>25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23">
        <f>'[2]NASS Low CI'!B445/1000000</f>
        <v>115.55800000000001</v>
      </c>
      <c r="Y33" s="23">
        <f>'[2]NASS Low CI'!B457/1000000</f>
        <v>118.16800000000001</v>
      </c>
      <c r="Z33" s="23">
        <f>'[2]NASS Low CI'!B469/1000000</f>
        <v>99.298000000000002</v>
      </c>
      <c r="AA33" s="23">
        <f>'[2]NASS Low CI'!B481/1000000</f>
        <v>110.23699999999999</v>
      </c>
      <c r="AB33" s="23">
        <f>'[2]NASS Low CI'!B493/1000000</f>
        <v>114.97499999999999</v>
      </c>
      <c r="AC33" s="23">
        <f>'[2]NASS Low CI'!B505/1000000</f>
        <v>88.614999999999995</v>
      </c>
      <c r="AD33" s="23">
        <f>'[2]NASS Low CI'!B517/1000000</f>
        <v>113.678</v>
      </c>
      <c r="AE33" s="23">
        <f>'[2]NASS Low CI'!B529/1000000</f>
        <v>109.628</v>
      </c>
      <c r="AF33" s="23">
        <f>'[2]NASS Low CI'!B541/1000000</f>
        <v>103.42700000000001</v>
      </c>
      <c r="AG33" s="23">
        <f>'[2]NASS Low CI'!B553/1000000</f>
        <v>98.501000000000005</v>
      </c>
      <c r="AH33" s="22">
        <f t="shared" si="27"/>
        <v>99.730601666370887</v>
      </c>
      <c r="AI33" s="22">
        <f t="shared" si="27"/>
        <v>101.33270206840187</v>
      </c>
    </row>
    <row r="34" spans="1:35" x14ac:dyDescent="0.25">
      <c r="A34" s="8" t="s">
        <v>26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23">
        <f>'[2]NASS Low CI'!B446/1000000</f>
        <v>95.777000000000001</v>
      </c>
      <c r="Y34" s="23">
        <f>'[2]NASS Low CI'!B458/1000000</f>
        <v>88.858999999999995</v>
      </c>
      <c r="Z34" s="23">
        <f>'[2]NASS Low CI'!B470/1000000</f>
        <v>90.094999999999999</v>
      </c>
      <c r="AA34" s="23">
        <f>'[2]NASS Low CI'!B482/1000000</f>
        <v>93.334999999999994</v>
      </c>
      <c r="AB34" s="23">
        <f>'[2]NASS Low CI'!B494/1000000</f>
        <v>98.436000000000007</v>
      </c>
      <c r="AC34" s="23">
        <f>'[2]NASS Low CI'!B506/1000000</f>
        <v>83.644999999999996</v>
      </c>
      <c r="AD34" s="23">
        <f>'[2]NASS Low CI'!B518/1000000</f>
        <v>96.405000000000001</v>
      </c>
      <c r="AE34" s="23">
        <f>'[2]NASS Low CI'!B530/1000000</f>
        <v>92.936999999999998</v>
      </c>
      <c r="AF34" s="23">
        <f>'[2]NASS Low CI'!B542/1000000</f>
        <v>94.424999999999997</v>
      </c>
      <c r="AG34" s="23">
        <f>'[2]NASS Low CI'!B554/1000000</f>
        <v>88.063999999999993</v>
      </c>
      <c r="AH34" s="22">
        <f t="shared" si="27"/>
        <v>88.401253139719913</v>
      </c>
      <c r="AI34" s="22">
        <f t="shared" si="27"/>
        <v>88.837566650475495</v>
      </c>
    </row>
    <row r="35" spans="1:35" x14ac:dyDescent="0.25">
      <c r="A35" s="8" t="s">
        <v>27</v>
      </c>
      <c r="B35" s="8"/>
      <c r="C35" s="8"/>
      <c r="D35" s="8"/>
      <c r="E35" s="8"/>
      <c r="F35" s="8"/>
      <c r="G35" s="8"/>
      <c r="H35" s="23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23">
        <f>'[2]NASS Low CI'!B447/1000000</f>
        <v>114.60299999999999</v>
      </c>
      <c r="Y35" s="23">
        <f>'[2]NASS Low CI'!B459/1000000</f>
        <v>111.63500000000001</v>
      </c>
      <c r="Z35" s="23">
        <f>'[2]NASS Low CI'!B471/1000000</f>
        <v>113.405</v>
      </c>
      <c r="AA35" s="23">
        <f>'[2]NASS Low CI'!B483/1000000</f>
        <v>107.277</v>
      </c>
      <c r="AB35" s="23">
        <f>'[2]NASS Low CI'!B495/1000000</f>
        <v>104.807</v>
      </c>
      <c r="AC35" s="23">
        <f>'[2]NASS Low CI'!B507/1000000</f>
        <v>96.855999999999995</v>
      </c>
      <c r="AD35" s="23">
        <f>'[2]NASS Low CI'!B519/1000000</f>
        <v>114.771</v>
      </c>
      <c r="AE35" s="23">
        <f>'[2]NASS Low CI'!B531/1000000</f>
        <v>126.669</v>
      </c>
      <c r="AF35" s="23">
        <f>'[2]NASS Low CI'!B543/1000000</f>
        <v>112.258</v>
      </c>
      <c r="AG35" s="23">
        <f>'[2]NASS Low CI'!B555/1000000</f>
        <v>104.431</v>
      </c>
      <c r="AH35" s="22">
        <f t="shared" si="27"/>
        <v>107.71449971842085</v>
      </c>
      <c r="AI35" s="22">
        <f t="shared" si="27"/>
        <v>109.22346114824079</v>
      </c>
    </row>
    <row r="36" spans="1:35" x14ac:dyDescent="0.25">
      <c r="A36" s="8" t="s">
        <v>28</v>
      </c>
      <c r="B36" s="8"/>
      <c r="C36" s="8"/>
      <c r="D36" s="8"/>
      <c r="E36" s="8"/>
      <c r="F36" s="8"/>
      <c r="G36" s="8"/>
      <c r="H36" s="23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23">
        <f>'[2]NASS Low CI'!B448/1000000</f>
        <v>112.21599999999999</v>
      </c>
      <c r="Y36" s="23">
        <f>'[2]NASS Low CI'!B460/1000000</f>
        <v>103.468</v>
      </c>
      <c r="Z36" s="23">
        <f>'[2]NASS Low CI'!B472/1000000</f>
        <v>103.973</v>
      </c>
      <c r="AA36" s="23">
        <f>'[2]NASS Low CI'!B484/1000000</f>
        <v>106.205</v>
      </c>
      <c r="AB36" s="23">
        <f>'[2]NASS Low CI'!B496/1000000</f>
        <v>105.61799999999999</v>
      </c>
      <c r="AC36" s="23">
        <f>'[2]NASS Low CI'!B508/1000000</f>
        <v>102.84399999999999</v>
      </c>
      <c r="AD36" s="23">
        <f>'[2]NASS Low CI'!B520/1000000</f>
        <v>107.242</v>
      </c>
      <c r="AE36" s="23">
        <f>'[2]NASS Low CI'!B532/1000000</f>
        <v>100.468</v>
      </c>
      <c r="AF36" s="23">
        <f>'[2]NASS Low CI'!B544/1000000</f>
        <v>95.906999999999996</v>
      </c>
      <c r="AG36" s="23">
        <f>'[2]NASS Low CI'!B556/1000000</f>
        <v>99.706999999999994</v>
      </c>
      <c r="AH36" s="22">
        <f>AH37-SUM(AH25:AH35)</f>
        <v>116.87213040879192</v>
      </c>
      <c r="AI36" s="22">
        <f>AI37-SUM(AI25:AI35)</f>
        <v>100.41225509782089</v>
      </c>
    </row>
    <row r="37" spans="1:35" ht="15.75" thickBot="1" x14ac:dyDescent="0.3">
      <c r="A37" s="24" t="s">
        <v>29</v>
      </c>
      <c r="B37" s="24"/>
      <c r="C37" s="24"/>
      <c r="D37" s="24"/>
      <c r="E37" s="24"/>
      <c r="F37" s="24"/>
      <c r="G37" s="24"/>
      <c r="H37" s="25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5">
        <f>SUM(X25:X36)</f>
        <v>778.4</v>
      </c>
      <c r="Y37" s="25">
        <f t="shared" ref="Y37:AG37" si="28">SUM(Y25:Y36)</f>
        <v>1341.7080000000001</v>
      </c>
      <c r="Z37" s="25">
        <f t="shared" si="28"/>
        <v>1284.6010000000001</v>
      </c>
      <c r="AA37" s="25">
        <f t="shared" si="28"/>
        <v>1338.4659999999999</v>
      </c>
      <c r="AB37" s="25">
        <f t="shared" si="28"/>
        <v>1339.0249999999999</v>
      </c>
      <c r="AC37" s="25">
        <f t="shared" si="28"/>
        <v>1214.7080000000001</v>
      </c>
      <c r="AD37" s="25">
        <f t="shared" si="28"/>
        <v>1382.133</v>
      </c>
      <c r="AE37" s="25">
        <f t="shared" si="28"/>
        <v>1341.2540000000001</v>
      </c>
      <c r="AF37" s="17">
        <f t="shared" si="28"/>
        <v>1275.4169999999999</v>
      </c>
      <c r="AG37" s="17">
        <f t="shared" si="28"/>
        <v>1226.951</v>
      </c>
      <c r="AH37" s="27">
        <f>AH6</f>
        <v>1250</v>
      </c>
      <c r="AI37" s="27">
        <f>AI6</f>
        <v>1250</v>
      </c>
    </row>
    <row r="39" spans="1:35" ht="15.75" thickBot="1" x14ac:dyDescent="0.3">
      <c r="A39" s="12" t="s">
        <v>52</v>
      </c>
      <c r="B39" s="13"/>
      <c r="C39" s="13"/>
      <c r="D39" s="13"/>
      <c r="E39" s="13"/>
      <c r="F39" s="13"/>
      <c r="G39" s="13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35" ht="15.75" thickBot="1" x14ac:dyDescent="0.3">
      <c r="A40" s="18" t="s">
        <v>53</v>
      </c>
      <c r="B40" s="29" t="str">
        <f t="shared" ref="B40:AH40" si="29">B3</f>
        <v>1993/94</v>
      </c>
      <c r="C40" s="29" t="str">
        <f t="shared" si="29"/>
        <v>1994/95</v>
      </c>
      <c r="D40" s="29" t="str">
        <f t="shared" si="29"/>
        <v>1995/96</v>
      </c>
      <c r="E40" s="29" t="str">
        <f t="shared" si="29"/>
        <v>1996/97</v>
      </c>
      <c r="F40" s="29" t="str">
        <f t="shared" si="29"/>
        <v>1997/98</v>
      </c>
      <c r="G40" s="29" t="str">
        <f t="shared" si="29"/>
        <v>1998/99</v>
      </c>
      <c r="H40" s="29" t="str">
        <f t="shared" si="29"/>
        <v>1999/00</v>
      </c>
      <c r="I40" s="29" t="str">
        <f t="shared" si="29"/>
        <v>2000/01</v>
      </c>
      <c r="J40" s="29" t="str">
        <f t="shared" si="29"/>
        <v>2001/02</v>
      </c>
      <c r="K40" s="29" t="str">
        <f t="shared" si="29"/>
        <v>2002/03</v>
      </c>
      <c r="L40" s="29" t="str">
        <f t="shared" si="29"/>
        <v>2003/04</v>
      </c>
      <c r="M40" s="29" t="str">
        <f t="shared" si="29"/>
        <v>2004/05</v>
      </c>
      <c r="N40" s="29" t="str">
        <f t="shared" si="29"/>
        <v>2005/06</v>
      </c>
      <c r="O40" s="29" t="str">
        <f t="shared" si="29"/>
        <v>2006/07</v>
      </c>
      <c r="P40" s="29" t="str">
        <f t="shared" si="29"/>
        <v>2007/08</v>
      </c>
      <c r="Q40" s="29" t="str">
        <f t="shared" si="29"/>
        <v>2008/09</v>
      </c>
      <c r="R40" s="29" t="str">
        <f t="shared" si="29"/>
        <v>2009/10</v>
      </c>
      <c r="S40" s="29" t="str">
        <f t="shared" si="29"/>
        <v>2010/11</v>
      </c>
      <c r="T40" s="29" t="str">
        <f t="shared" si="29"/>
        <v>2011/12</v>
      </c>
      <c r="U40" s="29" t="str">
        <f t="shared" si="29"/>
        <v>2012/13</v>
      </c>
      <c r="V40" s="29" t="str">
        <f t="shared" si="29"/>
        <v>2013/14</v>
      </c>
      <c r="W40" s="29" t="str">
        <f t="shared" si="29"/>
        <v>2014/15</v>
      </c>
      <c r="X40" s="29" t="str">
        <f t="shared" si="29"/>
        <v>2015/16</v>
      </c>
      <c r="Y40" s="29" t="str">
        <f t="shared" si="29"/>
        <v>2016/17</v>
      </c>
      <c r="Z40" s="29" t="str">
        <f t="shared" si="29"/>
        <v>2017/18</v>
      </c>
      <c r="AA40" s="29" t="str">
        <f t="shared" si="29"/>
        <v>2018/19</v>
      </c>
      <c r="AB40" s="29" t="str">
        <f t="shared" si="29"/>
        <v>2019/20</v>
      </c>
      <c r="AC40" s="29" t="str">
        <f t="shared" si="29"/>
        <v>2020/21</v>
      </c>
      <c r="AD40" s="29" t="str">
        <f t="shared" si="29"/>
        <v>2021/22</v>
      </c>
      <c r="AE40" s="29" t="str">
        <f t="shared" si="29"/>
        <v>2022/23</v>
      </c>
      <c r="AF40" s="29" t="str">
        <f t="shared" si="29"/>
        <v>2023/24</v>
      </c>
      <c r="AG40" s="29" t="str">
        <f t="shared" si="29"/>
        <v>2024/25</v>
      </c>
      <c r="AH40" s="29" t="str">
        <f t="shared" si="29"/>
        <v>2025/26</v>
      </c>
      <c r="AI40" s="29" t="str">
        <f>AI3</f>
        <v>2026/27</v>
      </c>
    </row>
    <row r="41" spans="1:35" x14ac:dyDescent="0.25">
      <c r="A41" s="8" t="s">
        <v>17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16"/>
    </row>
    <row r="42" spans="1:35" x14ac:dyDescent="0.25">
      <c r="A42" s="8" t="s">
        <v>18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16"/>
    </row>
    <row r="43" spans="1:35" x14ac:dyDescent="0.25">
      <c r="A43" s="8" t="s">
        <v>19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16"/>
    </row>
    <row r="44" spans="1:35" x14ac:dyDescent="0.25">
      <c r="A44" s="8" t="s">
        <v>20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16"/>
    </row>
    <row r="45" spans="1:35" x14ac:dyDescent="0.25">
      <c r="A45" s="8" t="s">
        <v>21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16"/>
    </row>
    <row r="46" spans="1:35" x14ac:dyDescent="0.25">
      <c r="A46" s="8" t="s">
        <v>22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2"/>
      <c r="AI46" s="16"/>
    </row>
    <row r="47" spans="1:35" x14ac:dyDescent="0.25">
      <c r="A47" s="8" t="s">
        <v>23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2"/>
      <c r="AI47" s="16"/>
    </row>
    <row r="48" spans="1:35" x14ac:dyDescent="0.25">
      <c r="A48" s="8" t="s">
        <v>24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2"/>
      <c r="AI48" s="16"/>
    </row>
    <row r="49" spans="1:35" x14ac:dyDescent="0.25">
      <c r="A49" s="8" t="s">
        <v>25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2"/>
      <c r="AI49" s="16"/>
    </row>
    <row r="50" spans="1:35" x14ac:dyDescent="0.25">
      <c r="A50" s="8" t="s">
        <v>26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2"/>
      <c r="AI50" s="16"/>
    </row>
    <row r="51" spans="1:35" x14ac:dyDescent="0.25">
      <c r="A51" s="8" t="s">
        <v>27</v>
      </c>
      <c r="B51" s="8"/>
      <c r="C51" s="8"/>
      <c r="D51" s="8"/>
      <c r="E51" s="8"/>
      <c r="F51" s="8"/>
      <c r="G51" s="8"/>
      <c r="H51" s="2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2"/>
      <c r="AI51" s="16"/>
    </row>
    <row r="52" spans="1:35" x14ac:dyDescent="0.25">
      <c r="A52" s="8" t="s">
        <v>28</v>
      </c>
      <c r="B52" s="8"/>
      <c r="C52" s="8"/>
      <c r="D52" s="8"/>
      <c r="E52" s="8"/>
      <c r="F52" s="8"/>
      <c r="G52" s="8"/>
      <c r="H52" s="23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2"/>
      <c r="AI52" s="16"/>
    </row>
    <row r="53" spans="1:35" ht="15.75" thickBot="1" x14ac:dyDescent="0.3">
      <c r="A53" s="24" t="s">
        <v>30</v>
      </c>
      <c r="B53" s="24"/>
      <c r="C53" s="24"/>
      <c r="D53" s="24"/>
      <c r="E53" s="24"/>
      <c r="F53" s="24"/>
      <c r="G53" s="24"/>
      <c r="H53" s="25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5"/>
      <c r="Y53" s="25"/>
      <c r="Z53" s="25"/>
      <c r="AA53" s="25"/>
      <c r="AB53" s="25"/>
      <c r="AC53" s="25"/>
      <c r="AD53" s="25"/>
      <c r="AE53" s="25"/>
      <c r="AF53" s="17"/>
      <c r="AG53" s="17"/>
      <c r="AH53" s="17"/>
      <c r="AI53" s="17"/>
    </row>
    <row r="55" spans="1:35" ht="15.75" thickBot="1" x14ac:dyDescent="0.3">
      <c r="A55" s="12" t="s">
        <v>31</v>
      </c>
      <c r="B55" s="13"/>
      <c r="C55" s="13"/>
      <c r="D55" s="13"/>
      <c r="E55" s="13"/>
      <c r="F55" s="13"/>
      <c r="G55" s="13"/>
      <c r="H55" s="1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35" ht="15.75" thickBot="1" x14ac:dyDescent="0.3">
      <c r="A56" s="18" t="s">
        <v>16</v>
      </c>
      <c r="B56" s="29" t="str">
        <f t="shared" ref="B56:AH56" si="30">B3</f>
        <v>1993/94</v>
      </c>
      <c r="C56" s="29" t="str">
        <f t="shared" si="30"/>
        <v>1994/95</v>
      </c>
      <c r="D56" s="29" t="str">
        <f t="shared" si="30"/>
        <v>1995/96</v>
      </c>
      <c r="E56" s="29" t="str">
        <f t="shared" si="30"/>
        <v>1996/97</v>
      </c>
      <c r="F56" s="29" t="str">
        <f t="shared" si="30"/>
        <v>1997/98</v>
      </c>
      <c r="G56" s="29" t="str">
        <f t="shared" si="30"/>
        <v>1998/99</v>
      </c>
      <c r="H56" s="29" t="str">
        <f t="shared" si="30"/>
        <v>1999/00</v>
      </c>
      <c r="I56" s="29" t="str">
        <f t="shared" si="30"/>
        <v>2000/01</v>
      </c>
      <c r="J56" s="29" t="str">
        <f t="shared" si="30"/>
        <v>2001/02</v>
      </c>
      <c r="K56" s="29" t="str">
        <f t="shared" si="30"/>
        <v>2002/03</v>
      </c>
      <c r="L56" s="29" t="str">
        <f t="shared" si="30"/>
        <v>2003/04</v>
      </c>
      <c r="M56" s="29" t="str">
        <f t="shared" si="30"/>
        <v>2004/05</v>
      </c>
      <c r="N56" s="29" t="str">
        <f t="shared" si="30"/>
        <v>2005/06</v>
      </c>
      <c r="O56" s="29" t="str">
        <f t="shared" si="30"/>
        <v>2006/07</v>
      </c>
      <c r="P56" s="29" t="str">
        <f t="shared" si="30"/>
        <v>2007/08</v>
      </c>
      <c r="Q56" s="29" t="str">
        <f t="shared" si="30"/>
        <v>2008/09</v>
      </c>
      <c r="R56" s="29" t="str">
        <f t="shared" si="30"/>
        <v>2009/10</v>
      </c>
      <c r="S56" s="29" t="str">
        <f t="shared" si="30"/>
        <v>2010/11</v>
      </c>
      <c r="T56" s="29" t="str">
        <f t="shared" si="30"/>
        <v>2011/12</v>
      </c>
      <c r="U56" s="29" t="str">
        <f t="shared" si="30"/>
        <v>2012/13</v>
      </c>
      <c r="V56" s="29" t="str">
        <f t="shared" si="30"/>
        <v>2013/14</v>
      </c>
      <c r="W56" s="29" t="str">
        <f t="shared" si="30"/>
        <v>2014/15</v>
      </c>
      <c r="X56" s="29" t="str">
        <f t="shared" si="30"/>
        <v>2015/16</v>
      </c>
      <c r="Y56" s="29" t="str">
        <f t="shared" si="30"/>
        <v>2016/17</v>
      </c>
      <c r="Z56" s="29" t="str">
        <f t="shared" si="30"/>
        <v>2017/18</v>
      </c>
      <c r="AA56" s="29" t="str">
        <f t="shared" si="30"/>
        <v>2018/19</v>
      </c>
      <c r="AB56" s="29" t="str">
        <f t="shared" si="30"/>
        <v>2019/20</v>
      </c>
      <c r="AC56" s="29" t="str">
        <f t="shared" si="30"/>
        <v>2020/21</v>
      </c>
      <c r="AD56" s="29" t="str">
        <f t="shared" si="30"/>
        <v>2021/22</v>
      </c>
      <c r="AE56" s="29" t="str">
        <f t="shared" si="30"/>
        <v>2022/23</v>
      </c>
      <c r="AF56" s="29" t="str">
        <f t="shared" si="30"/>
        <v>2023/24</v>
      </c>
      <c r="AG56" s="29" t="str">
        <f t="shared" si="30"/>
        <v>2024/25</v>
      </c>
      <c r="AH56" s="29" t="str">
        <f t="shared" si="30"/>
        <v>2025/26</v>
      </c>
      <c r="AI56" s="29" t="str">
        <f>AI3</f>
        <v>2026/27</v>
      </c>
    </row>
    <row r="57" spans="1:35" x14ac:dyDescent="0.25">
      <c r="A57" s="8" t="s">
        <v>17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23">
        <f>'[3]CWG Imports'!AW$217</f>
        <v>0</v>
      </c>
      <c r="Y57" s="23">
        <f>'[3]CWG Imports'!BI$217</f>
        <v>0</v>
      </c>
      <c r="Z57" s="23">
        <f>'[3]CWG Imports'!BU$217</f>
        <v>0</v>
      </c>
      <c r="AA57" s="23">
        <f>'[3]CWG Imports'!CG$217</f>
        <v>0</v>
      </c>
      <c r="AB57" s="23">
        <f>'[3]CWG Imports'!CS$217</f>
        <v>0</v>
      </c>
      <c r="AC57" s="23">
        <f>'[3]CWG Imports'!DE$217</f>
        <v>0</v>
      </c>
      <c r="AD57" s="23">
        <f>'[3]CWG Imports'!DQ$217</f>
        <v>0</v>
      </c>
      <c r="AE57" s="23">
        <f>'[3]CWG Imports'!EC$217</f>
        <v>0</v>
      </c>
      <c r="AF57" s="23">
        <f>'[3]CWG Imports'!EO$217</f>
        <v>0</v>
      </c>
      <c r="AG57" s="23">
        <f>'[3]CWG Imports'!FA$217</f>
        <v>0</v>
      </c>
      <c r="AH57" s="23">
        <f>'[3]CWG Imports'!FM$217</f>
        <v>0</v>
      </c>
      <c r="AI57" s="22">
        <f t="shared" ref="AI57:AI61" si="31">AI$69*(SUM(AD57:AH57)/SUM(AD$69:AH$69))</f>
        <v>0</v>
      </c>
    </row>
    <row r="58" spans="1:35" x14ac:dyDescent="0.25">
      <c r="A58" s="8" t="s">
        <v>18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23">
        <f>'[3]CWG Imports'!AX$217</f>
        <v>0</v>
      </c>
      <c r="Y58" s="23">
        <f>'[3]CWG Imports'!BJ$217</f>
        <v>0</v>
      </c>
      <c r="Z58" s="23">
        <f>'[3]CWG Imports'!BV$217</f>
        <v>0</v>
      </c>
      <c r="AA58" s="23">
        <f>'[3]CWG Imports'!CH$217</f>
        <v>0</v>
      </c>
      <c r="AB58" s="23">
        <f>'[3]CWG Imports'!CT$217</f>
        <v>0</v>
      </c>
      <c r="AC58" s="23">
        <f>'[3]CWG Imports'!DF$217</f>
        <v>0</v>
      </c>
      <c r="AD58" s="23">
        <f>'[3]CWG Imports'!DR$217</f>
        <v>0</v>
      </c>
      <c r="AE58" s="23">
        <f>'[3]CWG Imports'!ED$217</f>
        <v>0</v>
      </c>
      <c r="AF58" s="23">
        <f>'[3]CWG Imports'!EP$217</f>
        <v>0</v>
      </c>
      <c r="AG58" s="23">
        <f>'[3]CWG Imports'!FB$217</f>
        <v>0</v>
      </c>
      <c r="AH58" s="23">
        <f>'[3]CWG Imports'!FN$217</f>
        <v>0</v>
      </c>
      <c r="AI58" s="22">
        <f t="shared" si="31"/>
        <v>0</v>
      </c>
    </row>
    <row r="59" spans="1:35" x14ac:dyDescent="0.25">
      <c r="A59" s="8" t="s">
        <v>19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23">
        <f>'[3]CWG Imports'!AY$217</f>
        <v>0</v>
      </c>
      <c r="Y59" s="23">
        <f>'[3]CWG Imports'!BK$217</f>
        <v>0</v>
      </c>
      <c r="Z59" s="23">
        <f>'[3]CWG Imports'!BW$217</f>
        <v>0</v>
      </c>
      <c r="AA59" s="23">
        <f>'[3]CWG Imports'!CI$217</f>
        <v>0</v>
      </c>
      <c r="AB59" s="23">
        <f>'[3]CWG Imports'!CU$217</f>
        <v>0</v>
      </c>
      <c r="AC59" s="23">
        <f>'[3]CWG Imports'!DG$217</f>
        <v>0</v>
      </c>
      <c r="AD59" s="23">
        <f>'[3]CWG Imports'!DS$217</f>
        <v>0</v>
      </c>
      <c r="AE59" s="23">
        <f>'[3]CWG Imports'!EE$217</f>
        <v>0</v>
      </c>
      <c r="AF59" s="23">
        <f>'[3]CWG Imports'!EQ$217</f>
        <v>0</v>
      </c>
      <c r="AG59" s="23">
        <f>'[3]CWG Imports'!FC$217</f>
        <v>0</v>
      </c>
      <c r="AH59" s="23">
        <f>'[3]CWG Imports'!FO$217</f>
        <v>0</v>
      </c>
      <c r="AI59" s="22">
        <f t="shared" si="31"/>
        <v>0</v>
      </c>
    </row>
    <row r="60" spans="1:35" x14ac:dyDescent="0.25">
      <c r="A60" s="8" t="s">
        <v>20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23">
        <f>'[3]CWG Imports'!AZ$217</f>
        <v>0</v>
      </c>
      <c r="Y60" s="23">
        <f>'[3]CWG Imports'!BL$217</f>
        <v>0</v>
      </c>
      <c r="Z60" s="23">
        <f>'[3]CWG Imports'!BX$217</f>
        <v>0</v>
      </c>
      <c r="AA60" s="23">
        <f>'[3]CWG Imports'!CJ$217</f>
        <v>0</v>
      </c>
      <c r="AB60" s="23">
        <f>'[3]CWG Imports'!CV$217</f>
        <v>0</v>
      </c>
      <c r="AC60" s="23">
        <f>'[3]CWG Imports'!DH$217</f>
        <v>0</v>
      </c>
      <c r="AD60" s="23">
        <f>'[3]CWG Imports'!DT$217</f>
        <v>0</v>
      </c>
      <c r="AE60" s="23">
        <f>'[3]CWG Imports'!EF$217</f>
        <v>0</v>
      </c>
      <c r="AF60" s="23">
        <f>'[3]CWG Imports'!ER$217</f>
        <v>0</v>
      </c>
      <c r="AG60" s="23">
        <f>'[3]CWG Imports'!FD$217</f>
        <v>0</v>
      </c>
      <c r="AH60" s="23">
        <f>'[3]CWG Imports'!FP$217</f>
        <v>0</v>
      </c>
      <c r="AI60" s="22">
        <f t="shared" si="31"/>
        <v>0</v>
      </c>
    </row>
    <row r="61" spans="1:35" x14ac:dyDescent="0.25">
      <c r="A61" s="8" t="s">
        <v>21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23">
        <f>'[3]CWG Imports'!BA$217</f>
        <v>0</v>
      </c>
      <c r="Y61" s="23">
        <f>'[3]CWG Imports'!BM$217</f>
        <v>0</v>
      </c>
      <c r="Z61" s="23">
        <f>'[3]CWG Imports'!BY$217</f>
        <v>0</v>
      </c>
      <c r="AA61" s="23">
        <f>'[3]CWG Imports'!CK$217</f>
        <v>0</v>
      </c>
      <c r="AB61" s="23">
        <f>'[3]CWG Imports'!CW$217</f>
        <v>0</v>
      </c>
      <c r="AC61" s="23">
        <f>'[3]CWG Imports'!DI$217</f>
        <v>0</v>
      </c>
      <c r="AD61" s="23">
        <f>'[3]CWG Imports'!DU$217</f>
        <v>0</v>
      </c>
      <c r="AE61" s="23">
        <f>'[3]CWG Imports'!EG$217</f>
        <v>0</v>
      </c>
      <c r="AF61" s="23">
        <f>'[3]CWG Imports'!ES$217</f>
        <v>0</v>
      </c>
      <c r="AG61" s="23">
        <f>'[3]CWG Imports'!FE$217</f>
        <v>0</v>
      </c>
      <c r="AH61" s="23">
        <f>'[3]CWG Imports'!FQ$217</f>
        <v>0</v>
      </c>
      <c r="AI61" s="22">
        <f t="shared" si="31"/>
        <v>0</v>
      </c>
    </row>
    <row r="62" spans="1:35" x14ac:dyDescent="0.25">
      <c r="A62" s="8" t="s">
        <v>22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23">
        <f>'[3]CWG Imports'!BB$217</f>
        <v>0</v>
      </c>
      <c r="Y62" s="23">
        <f>'[3]CWG Imports'!BN$217</f>
        <v>0</v>
      </c>
      <c r="Z62" s="23">
        <f>'[3]CWG Imports'!BZ$217</f>
        <v>0</v>
      </c>
      <c r="AA62" s="23">
        <f>'[3]CWG Imports'!CL$217</f>
        <v>0</v>
      </c>
      <c r="AB62" s="23">
        <f>'[3]CWG Imports'!CX$217</f>
        <v>0</v>
      </c>
      <c r="AC62" s="23">
        <f>'[3]CWG Imports'!DJ$217</f>
        <v>0</v>
      </c>
      <c r="AD62" s="23">
        <f>'[3]CWG Imports'!DV$217</f>
        <v>0</v>
      </c>
      <c r="AE62" s="23">
        <f>'[3]CWG Imports'!EH$217</f>
        <v>0</v>
      </c>
      <c r="AF62" s="23">
        <f>'[3]CWG Imports'!ET$217</f>
        <v>0</v>
      </c>
      <c r="AG62" s="23">
        <f>'[3]CWG Imports'!FF$217</f>
        <v>0</v>
      </c>
      <c r="AH62" s="22" t="e">
        <f>AH$69*(SUM(AC62:AG62)/SUM(AC$69:AG$69))</f>
        <v>#DIV/0!</v>
      </c>
      <c r="AI62" s="22" t="e">
        <f>AI$69*(SUM(AD62:AH62)/SUM(AD$69:AH$69))</f>
        <v>#DIV/0!</v>
      </c>
    </row>
    <row r="63" spans="1:35" x14ac:dyDescent="0.25">
      <c r="A63" s="8" t="s">
        <v>23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23">
        <f>'[3]CWG Imports'!BC$217</f>
        <v>0</v>
      </c>
      <c r="Y63" s="23">
        <f>'[3]CWG Imports'!BO$217</f>
        <v>0</v>
      </c>
      <c r="Z63" s="23">
        <f>'[3]CWG Imports'!CA$217</f>
        <v>0</v>
      </c>
      <c r="AA63" s="23">
        <f>'[3]CWG Imports'!CM$217</f>
        <v>0</v>
      </c>
      <c r="AB63" s="23">
        <f>'[3]CWG Imports'!CY$217</f>
        <v>0</v>
      </c>
      <c r="AC63" s="23">
        <f>'[3]CWG Imports'!DK$217</f>
        <v>0</v>
      </c>
      <c r="AD63" s="23">
        <f>'[3]CWG Imports'!DW$217</f>
        <v>0</v>
      </c>
      <c r="AE63" s="23">
        <f>'[3]CWG Imports'!EI$217</f>
        <v>0</v>
      </c>
      <c r="AF63" s="23">
        <f>'[3]CWG Imports'!EU$217</f>
        <v>0</v>
      </c>
      <c r="AG63" s="23">
        <f>'[3]CWG Imports'!FG$217</f>
        <v>0</v>
      </c>
      <c r="AH63" s="22" t="e">
        <f t="shared" ref="AH63:AI67" si="32">AH$69*(SUM(AC63:AG63)/SUM(AC$69:AG$69))</f>
        <v>#DIV/0!</v>
      </c>
      <c r="AI63" s="22" t="e">
        <f t="shared" si="32"/>
        <v>#DIV/0!</v>
      </c>
    </row>
    <row r="64" spans="1:35" x14ac:dyDescent="0.25">
      <c r="A64" s="8" t="s">
        <v>24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23">
        <f>'[3]CWG Imports'!BD$217</f>
        <v>0</v>
      </c>
      <c r="Y64" s="23">
        <f>'[3]CWG Imports'!BP$217</f>
        <v>0</v>
      </c>
      <c r="Z64" s="23">
        <f>'[3]CWG Imports'!CB$217</f>
        <v>0</v>
      </c>
      <c r="AA64" s="23">
        <f>'[3]CWG Imports'!CN$217</f>
        <v>0</v>
      </c>
      <c r="AB64" s="23">
        <f>'[3]CWG Imports'!CZ$217</f>
        <v>0</v>
      </c>
      <c r="AC64" s="23">
        <f>'[3]CWG Imports'!DL$217</f>
        <v>0</v>
      </c>
      <c r="AD64" s="23">
        <f>'[3]CWG Imports'!DX$217</f>
        <v>0</v>
      </c>
      <c r="AE64" s="23">
        <f>'[3]CWG Imports'!EJ$217</f>
        <v>0</v>
      </c>
      <c r="AF64" s="23">
        <f>'[3]CWG Imports'!EV$217</f>
        <v>0</v>
      </c>
      <c r="AG64" s="23">
        <f>'[3]CWG Imports'!FH$217</f>
        <v>0</v>
      </c>
      <c r="AH64" s="22" t="e">
        <f t="shared" si="32"/>
        <v>#DIV/0!</v>
      </c>
      <c r="AI64" s="22" t="e">
        <f t="shared" si="32"/>
        <v>#DIV/0!</v>
      </c>
    </row>
    <row r="65" spans="1:35" x14ac:dyDescent="0.25">
      <c r="A65" s="8" t="s">
        <v>25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23">
        <f>'[3]CWG Imports'!BE$217</f>
        <v>0</v>
      </c>
      <c r="Y65" s="23">
        <f>'[3]CWG Imports'!BQ$217</f>
        <v>0</v>
      </c>
      <c r="Z65" s="23">
        <f>'[3]CWG Imports'!CC$217</f>
        <v>0</v>
      </c>
      <c r="AA65" s="23">
        <f>'[3]CWG Imports'!CO$217</f>
        <v>0</v>
      </c>
      <c r="AB65" s="23">
        <f>'[3]CWG Imports'!DA$217</f>
        <v>0</v>
      </c>
      <c r="AC65" s="23">
        <f>'[3]CWG Imports'!DM$217</f>
        <v>0</v>
      </c>
      <c r="AD65" s="23">
        <f>'[3]CWG Imports'!DY$217</f>
        <v>0</v>
      </c>
      <c r="AE65" s="23">
        <f>'[3]CWG Imports'!EK$217</f>
        <v>0</v>
      </c>
      <c r="AF65" s="23">
        <f>'[3]CWG Imports'!EW$217</f>
        <v>0</v>
      </c>
      <c r="AG65" s="23">
        <f>'[3]CWG Imports'!FI$217</f>
        <v>0</v>
      </c>
      <c r="AH65" s="22" t="e">
        <f t="shared" si="32"/>
        <v>#DIV/0!</v>
      </c>
      <c r="AI65" s="22" t="e">
        <f t="shared" si="32"/>
        <v>#DIV/0!</v>
      </c>
    </row>
    <row r="66" spans="1:35" x14ac:dyDescent="0.25">
      <c r="A66" s="8" t="s">
        <v>26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23">
        <f>'[3]CWG Imports'!BF$217</f>
        <v>0</v>
      </c>
      <c r="Y66" s="23">
        <f>'[3]CWG Imports'!BR$217</f>
        <v>0</v>
      </c>
      <c r="Z66" s="23">
        <f>'[3]CWG Imports'!CD$217</f>
        <v>0</v>
      </c>
      <c r="AA66" s="23">
        <f>'[3]CWG Imports'!CP$217</f>
        <v>0</v>
      </c>
      <c r="AB66" s="23">
        <f>'[3]CWG Imports'!DB$217</f>
        <v>0</v>
      </c>
      <c r="AC66" s="23">
        <f>'[3]CWG Imports'!DN$217</f>
        <v>0</v>
      </c>
      <c r="AD66" s="23">
        <f>'[3]CWG Imports'!DZ$217</f>
        <v>0</v>
      </c>
      <c r="AE66" s="23">
        <f>'[3]CWG Imports'!EL$217</f>
        <v>0</v>
      </c>
      <c r="AF66" s="23">
        <f>'[3]CWG Imports'!EX$217</f>
        <v>0</v>
      </c>
      <c r="AG66" s="23">
        <f>'[3]CWG Imports'!FJ$217</f>
        <v>0</v>
      </c>
      <c r="AH66" s="22" t="e">
        <f t="shared" si="32"/>
        <v>#DIV/0!</v>
      </c>
      <c r="AI66" s="22" t="e">
        <f t="shared" si="32"/>
        <v>#DIV/0!</v>
      </c>
    </row>
    <row r="67" spans="1:35" x14ac:dyDescent="0.25">
      <c r="A67" s="8" t="s">
        <v>27</v>
      </c>
      <c r="B67" s="8"/>
      <c r="C67" s="8"/>
      <c r="D67" s="8"/>
      <c r="E67" s="8"/>
      <c r="F67" s="8"/>
      <c r="G67" s="8"/>
      <c r="H67" s="23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23">
        <f>'[3]CWG Imports'!BG$217</f>
        <v>0</v>
      </c>
      <c r="Y67" s="23">
        <f>'[3]CWG Imports'!BS$217</f>
        <v>0</v>
      </c>
      <c r="Z67" s="23">
        <f>'[3]CWG Imports'!CE$217</f>
        <v>0</v>
      </c>
      <c r="AA67" s="23">
        <f>'[3]CWG Imports'!CQ$217</f>
        <v>0</v>
      </c>
      <c r="AB67" s="23">
        <f>'[3]CWG Imports'!DC$217</f>
        <v>0</v>
      </c>
      <c r="AC67" s="23">
        <f>'[3]CWG Imports'!DO$217</f>
        <v>0</v>
      </c>
      <c r="AD67" s="23">
        <f>'[3]CWG Imports'!EA$217</f>
        <v>0</v>
      </c>
      <c r="AE67" s="23">
        <f>'[3]CWG Imports'!EM$217</f>
        <v>0</v>
      </c>
      <c r="AF67" s="23">
        <f>'[3]CWG Imports'!EY$217</f>
        <v>0</v>
      </c>
      <c r="AG67" s="23">
        <f>'[3]CWG Imports'!FK$217</f>
        <v>0</v>
      </c>
      <c r="AH67" s="22" t="e">
        <f t="shared" si="32"/>
        <v>#DIV/0!</v>
      </c>
      <c r="AI67" s="22" t="e">
        <f t="shared" si="32"/>
        <v>#DIV/0!</v>
      </c>
    </row>
    <row r="68" spans="1:35" x14ac:dyDescent="0.25">
      <c r="A68" s="8" t="s">
        <v>28</v>
      </c>
      <c r="B68" s="8"/>
      <c r="C68" s="8"/>
      <c r="D68" s="8"/>
      <c r="E68" s="8"/>
      <c r="F68" s="8"/>
      <c r="G68" s="8"/>
      <c r="H68" s="23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23">
        <f>'[3]CWG Imports'!BH$217</f>
        <v>0</v>
      </c>
      <c r="Y68" s="23">
        <f>'[3]CWG Imports'!BT$217</f>
        <v>0</v>
      </c>
      <c r="Z68" s="23">
        <f>'[3]CWG Imports'!CF$217</f>
        <v>0</v>
      </c>
      <c r="AA68" s="23">
        <f>'[3]CWG Imports'!CR$217</f>
        <v>0</v>
      </c>
      <c r="AB68" s="23">
        <f>'[3]CWG Imports'!DD$217</f>
        <v>0</v>
      </c>
      <c r="AC68" s="23">
        <f>'[3]CWG Imports'!DP$217</f>
        <v>0</v>
      </c>
      <c r="AD68" s="23">
        <f>'[3]CWG Imports'!EB$217</f>
        <v>0</v>
      </c>
      <c r="AE68" s="23">
        <f>'[3]CWG Imports'!EN$217</f>
        <v>0</v>
      </c>
      <c r="AF68" s="23">
        <f>'[3]CWG Imports'!EZ$217</f>
        <v>0</v>
      </c>
      <c r="AG68" s="23">
        <f>'[3]CWG Imports'!FL$217</f>
        <v>0</v>
      </c>
      <c r="AH68" s="22" t="e">
        <f>AH69-SUM(AH57:AH67)</f>
        <v>#DIV/0!</v>
      </c>
      <c r="AI68" s="22" t="e">
        <f>AI69-SUM(AI57:AI67)</f>
        <v>#DIV/0!</v>
      </c>
    </row>
    <row r="69" spans="1:35" ht="15.75" thickBot="1" x14ac:dyDescent="0.3">
      <c r="A69" s="24" t="s">
        <v>29</v>
      </c>
      <c r="B69" s="24"/>
      <c r="C69" s="24"/>
      <c r="D69" s="24"/>
      <c r="E69" s="24"/>
      <c r="F69" s="24"/>
      <c r="G69" s="24"/>
      <c r="H69" s="25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5">
        <f t="shared" ref="X69:AF69" si="33">SUM(X57:X68)</f>
        <v>0</v>
      </c>
      <c r="Y69" s="25">
        <f t="shared" si="33"/>
        <v>0</v>
      </c>
      <c r="Z69" s="25">
        <f t="shared" si="33"/>
        <v>0</v>
      </c>
      <c r="AA69" s="25">
        <f t="shared" si="33"/>
        <v>0</v>
      </c>
      <c r="AB69" s="25">
        <f t="shared" si="33"/>
        <v>0</v>
      </c>
      <c r="AC69" s="25">
        <f t="shared" si="33"/>
        <v>0</v>
      </c>
      <c r="AD69" s="25">
        <f t="shared" si="33"/>
        <v>0</v>
      </c>
      <c r="AE69" s="25">
        <f t="shared" si="33"/>
        <v>0</v>
      </c>
      <c r="AF69" s="25">
        <f t="shared" si="33"/>
        <v>0</v>
      </c>
      <c r="AG69" s="25">
        <f>SUM(AG57:AG68)</f>
        <v>0</v>
      </c>
      <c r="AH69" s="27">
        <f>AH7</f>
        <v>75</v>
      </c>
      <c r="AI69" s="27">
        <f>AI7</f>
        <v>75</v>
      </c>
    </row>
    <row r="71" spans="1:35" ht="15.75" thickBot="1" x14ac:dyDescent="0.3">
      <c r="A71" s="12" t="s">
        <v>32</v>
      </c>
      <c r="B71" s="13"/>
      <c r="C71" s="13"/>
      <c r="D71" s="13"/>
      <c r="E71" s="13"/>
      <c r="F71" s="13"/>
      <c r="G71" s="13"/>
      <c r="H71" s="1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35" ht="15.75" thickBot="1" x14ac:dyDescent="0.3">
      <c r="A72" s="18" t="s">
        <v>16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 t="str">
        <f t="shared" ref="X72:AH72" si="34">X3</f>
        <v>2015/16</v>
      </c>
      <c r="Y72" s="15" t="str">
        <f t="shared" si="34"/>
        <v>2016/17</v>
      </c>
      <c r="Z72" s="15" t="str">
        <f t="shared" si="34"/>
        <v>2017/18</v>
      </c>
      <c r="AA72" s="15" t="str">
        <f t="shared" si="34"/>
        <v>2018/19</v>
      </c>
      <c r="AB72" s="15" t="str">
        <f t="shared" si="34"/>
        <v>2019/20</v>
      </c>
      <c r="AC72" s="15" t="str">
        <f t="shared" si="34"/>
        <v>2020/21</v>
      </c>
      <c r="AD72" s="15" t="str">
        <f t="shared" si="34"/>
        <v>2021/22</v>
      </c>
      <c r="AE72" s="15" t="str">
        <f t="shared" si="34"/>
        <v>2022/23</v>
      </c>
      <c r="AF72" s="15" t="str">
        <f t="shared" si="34"/>
        <v>2023/24</v>
      </c>
      <c r="AG72" s="15" t="str">
        <f t="shared" si="34"/>
        <v>2024/25</v>
      </c>
      <c r="AH72" s="15" t="str">
        <f t="shared" si="34"/>
        <v>2025/26</v>
      </c>
      <c r="AI72" s="15" t="str">
        <f>AI3</f>
        <v>2026/27</v>
      </c>
    </row>
    <row r="73" spans="1:35" x14ac:dyDescent="0.25">
      <c r="A73" s="8" t="s">
        <v>17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28">
        <f>'[3]CWG Exports'!AW$217</f>
        <v>0</v>
      </c>
      <c r="Y73" s="28">
        <f>'[3]CWG Exports'!BI$217</f>
        <v>0</v>
      </c>
      <c r="Z73" s="28">
        <f>'[3]CWG Exports'!BU$217</f>
        <v>0</v>
      </c>
      <c r="AA73" s="28">
        <f>'[3]CWG Exports'!CG$217</f>
        <v>0</v>
      </c>
      <c r="AB73" s="28">
        <f>'[3]CWG Exports'!CS$217</f>
        <v>0</v>
      </c>
      <c r="AC73" s="28">
        <f>'[3]CWG Exports'!DE$217</f>
        <v>0</v>
      </c>
      <c r="AD73" s="28">
        <f>'[3]CWG Exports'!DQ$217</f>
        <v>0</v>
      </c>
      <c r="AE73" s="28">
        <f>'[3]CWG Exports'!EC$217</f>
        <v>0</v>
      </c>
      <c r="AF73" s="28">
        <f>'[3]CWG Exports'!EO$217</f>
        <v>0</v>
      </c>
      <c r="AG73" s="28">
        <f>'[3]CWG Exports'!FA$217</f>
        <v>0</v>
      </c>
      <c r="AH73" s="28">
        <f>'[3]CWG Exports'!FM$217</f>
        <v>0</v>
      </c>
      <c r="AI73" s="31">
        <f t="shared" ref="AI73:AI77" si="35">AI$85*(SUM(AD73:AH73)/SUM(AD$85:AH$85))</f>
        <v>0</v>
      </c>
    </row>
    <row r="74" spans="1:35" x14ac:dyDescent="0.25">
      <c r="A74" s="8" t="s">
        <v>18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28">
        <f>'[3]CWG Exports'!AX$217</f>
        <v>0</v>
      </c>
      <c r="Y74" s="28">
        <f>'[3]CWG Exports'!BJ$217</f>
        <v>0</v>
      </c>
      <c r="Z74" s="28">
        <f>'[3]CWG Exports'!BV$217</f>
        <v>0</v>
      </c>
      <c r="AA74" s="28">
        <f>'[3]CWG Exports'!CH$217</f>
        <v>0</v>
      </c>
      <c r="AB74" s="28">
        <f>'[3]CWG Exports'!CT$217</f>
        <v>0</v>
      </c>
      <c r="AC74" s="28">
        <f>'[3]CWG Exports'!DF$217</f>
        <v>0</v>
      </c>
      <c r="AD74" s="28">
        <f>'[3]CWG Exports'!DR$217</f>
        <v>0</v>
      </c>
      <c r="AE74" s="28">
        <f>'[3]CWG Exports'!ED$217</f>
        <v>0</v>
      </c>
      <c r="AF74" s="28">
        <f>'[3]CWG Exports'!EP$217</f>
        <v>0</v>
      </c>
      <c r="AG74" s="28">
        <f>'[3]CWG Exports'!FB$217</f>
        <v>0</v>
      </c>
      <c r="AH74" s="28">
        <f>'[3]CWG Exports'!FN$217</f>
        <v>0</v>
      </c>
      <c r="AI74" s="31">
        <f t="shared" si="35"/>
        <v>0</v>
      </c>
    </row>
    <row r="75" spans="1:35" x14ac:dyDescent="0.25">
      <c r="A75" s="8" t="s">
        <v>19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28">
        <f>'[3]CWG Exports'!AY$217</f>
        <v>0</v>
      </c>
      <c r="Y75" s="28">
        <f>'[3]CWG Exports'!BK$217</f>
        <v>0</v>
      </c>
      <c r="Z75" s="28">
        <f>'[3]CWG Exports'!BW$217</f>
        <v>0</v>
      </c>
      <c r="AA75" s="28">
        <f>'[3]CWG Exports'!CI$217</f>
        <v>0</v>
      </c>
      <c r="AB75" s="28">
        <f>'[3]CWG Exports'!CU$217</f>
        <v>0</v>
      </c>
      <c r="AC75" s="28">
        <f>'[3]CWG Exports'!DG$217</f>
        <v>0</v>
      </c>
      <c r="AD75" s="28">
        <f>'[3]CWG Exports'!DS$217</f>
        <v>0</v>
      </c>
      <c r="AE75" s="28">
        <f>'[3]CWG Exports'!EE$217</f>
        <v>0</v>
      </c>
      <c r="AF75" s="28">
        <f>'[3]CWG Exports'!EQ$217</f>
        <v>0</v>
      </c>
      <c r="AG75" s="28">
        <f>'[3]CWG Exports'!FC$217</f>
        <v>0</v>
      </c>
      <c r="AH75" s="28">
        <f>'[3]CWG Exports'!FO$217</f>
        <v>0</v>
      </c>
      <c r="AI75" s="31">
        <f t="shared" si="35"/>
        <v>0</v>
      </c>
    </row>
    <row r="76" spans="1:35" x14ac:dyDescent="0.25">
      <c r="A76" s="8" t="s">
        <v>20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28">
        <f>'[3]CWG Exports'!AZ$217</f>
        <v>0</v>
      </c>
      <c r="Y76" s="28">
        <f>'[3]CWG Exports'!BL$217</f>
        <v>0</v>
      </c>
      <c r="Z76" s="28">
        <f>'[3]CWG Exports'!BX$217</f>
        <v>0</v>
      </c>
      <c r="AA76" s="28">
        <f>'[3]CWG Exports'!CJ$217</f>
        <v>0</v>
      </c>
      <c r="AB76" s="28">
        <f>'[3]CWG Exports'!CV$217</f>
        <v>0</v>
      </c>
      <c r="AC76" s="28">
        <f>'[3]CWG Exports'!DH$217</f>
        <v>0</v>
      </c>
      <c r="AD76" s="28">
        <f>'[3]CWG Exports'!DT$217</f>
        <v>0</v>
      </c>
      <c r="AE76" s="28">
        <f>'[3]CWG Exports'!EF$217</f>
        <v>0</v>
      </c>
      <c r="AF76" s="28">
        <f>'[3]CWG Exports'!ER$217</f>
        <v>0</v>
      </c>
      <c r="AG76" s="28">
        <f>'[3]CWG Exports'!FD$217</f>
        <v>0</v>
      </c>
      <c r="AH76" s="28">
        <f>'[3]CWG Exports'!FP$217</f>
        <v>0</v>
      </c>
      <c r="AI76" s="31">
        <f t="shared" si="35"/>
        <v>0</v>
      </c>
    </row>
    <row r="77" spans="1:35" x14ac:dyDescent="0.25">
      <c r="A77" s="8" t="s">
        <v>21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28">
        <f>'[3]CWG Exports'!BA$217</f>
        <v>0</v>
      </c>
      <c r="Y77" s="28">
        <f>'[3]CWG Exports'!BM$217</f>
        <v>0</v>
      </c>
      <c r="Z77" s="28">
        <f>'[3]CWG Exports'!BY$217</f>
        <v>0</v>
      </c>
      <c r="AA77" s="28">
        <f>'[3]CWG Exports'!CK$217</f>
        <v>0</v>
      </c>
      <c r="AB77" s="28">
        <f>'[3]CWG Exports'!CW$217</f>
        <v>0</v>
      </c>
      <c r="AC77" s="28">
        <f>'[3]CWG Exports'!DI$217</f>
        <v>0</v>
      </c>
      <c r="AD77" s="28">
        <f>'[3]CWG Exports'!DU$217</f>
        <v>0</v>
      </c>
      <c r="AE77" s="28">
        <f>'[3]CWG Exports'!EG$217</f>
        <v>0</v>
      </c>
      <c r="AF77" s="28">
        <f>'[3]CWG Exports'!ES$217</f>
        <v>0</v>
      </c>
      <c r="AG77" s="28">
        <f>'[3]CWG Exports'!FE$217</f>
        <v>0</v>
      </c>
      <c r="AH77" s="28">
        <f>'[3]CWG Exports'!FQ$217</f>
        <v>0</v>
      </c>
      <c r="AI77" s="31">
        <f t="shared" si="35"/>
        <v>0</v>
      </c>
    </row>
    <row r="78" spans="1:35" x14ac:dyDescent="0.25">
      <c r="A78" s="8" t="s">
        <v>22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28">
        <f>'[3]CWG Exports'!BB$217</f>
        <v>0</v>
      </c>
      <c r="Y78" s="28">
        <f>'[3]CWG Exports'!BN$217</f>
        <v>0</v>
      </c>
      <c r="Z78" s="28">
        <f>'[3]CWG Exports'!BZ$217</f>
        <v>0</v>
      </c>
      <c r="AA78" s="28">
        <f>'[3]CWG Exports'!CL$217</f>
        <v>0</v>
      </c>
      <c r="AB78" s="28">
        <f>'[3]CWG Exports'!CX$217</f>
        <v>0</v>
      </c>
      <c r="AC78" s="28">
        <f>'[3]CWG Exports'!DJ$217</f>
        <v>0</v>
      </c>
      <c r="AD78" s="28">
        <f>'[3]CWG Exports'!DV$217</f>
        <v>0</v>
      </c>
      <c r="AE78" s="28">
        <f>'[3]CWG Exports'!EH$217</f>
        <v>0</v>
      </c>
      <c r="AF78" s="28">
        <f>'[3]CWG Exports'!ET$217</f>
        <v>0</v>
      </c>
      <c r="AG78" s="28">
        <f>'[3]CWG Exports'!FF$217</f>
        <v>0</v>
      </c>
      <c r="AH78" s="31" t="e">
        <f>AH$85*(SUM(AC78:AG78)/SUM(AC$85:AG$85))</f>
        <v>#DIV/0!</v>
      </c>
      <c r="AI78" s="31" t="e">
        <f>AI$85*(SUM(AD78:AH78)/SUM(AD$85:AH$85))</f>
        <v>#DIV/0!</v>
      </c>
    </row>
    <row r="79" spans="1:35" x14ac:dyDescent="0.25">
      <c r="A79" s="8" t="s">
        <v>23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28">
        <f>'[3]CWG Exports'!BC$217</f>
        <v>0</v>
      </c>
      <c r="Y79" s="28">
        <f>'[3]CWG Exports'!BO$217</f>
        <v>0</v>
      </c>
      <c r="Z79" s="28">
        <f>'[3]CWG Exports'!CA$217</f>
        <v>0</v>
      </c>
      <c r="AA79" s="28">
        <f>'[3]CWG Exports'!CM$217</f>
        <v>0</v>
      </c>
      <c r="AB79" s="28">
        <f>'[3]CWG Exports'!CY$217</f>
        <v>0</v>
      </c>
      <c r="AC79" s="28">
        <f>'[3]CWG Exports'!DK$217</f>
        <v>0</v>
      </c>
      <c r="AD79" s="28">
        <f>'[3]CWG Exports'!DW$217</f>
        <v>0</v>
      </c>
      <c r="AE79" s="28">
        <f>'[3]CWG Exports'!EI$217</f>
        <v>0</v>
      </c>
      <c r="AF79" s="28">
        <f>'[3]CWG Exports'!EU$217</f>
        <v>0</v>
      </c>
      <c r="AG79" s="28">
        <f>'[3]CWG Exports'!FG$217</f>
        <v>0</v>
      </c>
      <c r="AH79" s="31" t="e">
        <f t="shared" ref="AH79:AI83" si="36">AH$85*(SUM(AC79:AG79)/SUM(AC$85:AG$85))</f>
        <v>#DIV/0!</v>
      </c>
      <c r="AI79" s="31" t="e">
        <f t="shared" si="36"/>
        <v>#DIV/0!</v>
      </c>
    </row>
    <row r="80" spans="1:35" x14ac:dyDescent="0.25">
      <c r="A80" s="8" t="s">
        <v>24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28">
        <f>'[3]CWG Exports'!BD$217</f>
        <v>0</v>
      </c>
      <c r="Y80" s="28">
        <f>'[3]CWG Exports'!BP$217</f>
        <v>0</v>
      </c>
      <c r="Z80" s="28">
        <f>'[3]CWG Exports'!CB$217</f>
        <v>0</v>
      </c>
      <c r="AA80" s="28">
        <f>'[3]CWG Exports'!CN$217</f>
        <v>0</v>
      </c>
      <c r="AB80" s="28">
        <f>'[3]CWG Exports'!CZ$217</f>
        <v>0</v>
      </c>
      <c r="AC80" s="28">
        <f>'[3]CWG Exports'!DL$217</f>
        <v>0</v>
      </c>
      <c r="AD80" s="28">
        <f>'[3]CWG Exports'!DX$217</f>
        <v>0</v>
      </c>
      <c r="AE80" s="28">
        <f>'[3]CWG Exports'!EJ$217</f>
        <v>0</v>
      </c>
      <c r="AF80" s="28">
        <f>'[3]CWG Exports'!EV$217</f>
        <v>0</v>
      </c>
      <c r="AG80" s="28">
        <f>'[3]CWG Exports'!FH$217</f>
        <v>0</v>
      </c>
      <c r="AH80" s="31" t="e">
        <f t="shared" si="36"/>
        <v>#DIV/0!</v>
      </c>
      <c r="AI80" s="31" t="e">
        <f t="shared" si="36"/>
        <v>#DIV/0!</v>
      </c>
    </row>
    <row r="81" spans="1:35" x14ac:dyDescent="0.25">
      <c r="A81" s="8" t="s">
        <v>25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28">
        <f>'[3]CWG Exports'!BE$217</f>
        <v>0</v>
      </c>
      <c r="Y81" s="28">
        <f>'[3]CWG Exports'!BQ$217</f>
        <v>0</v>
      </c>
      <c r="Z81" s="28">
        <f>'[3]CWG Exports'!CC$217</f>
        <v>0</v>
      </c>
      <c r="AA81" s="28">
        <f>'[3]CWG Exports'!CO$217</f>
        <v>0</v>
      </c>
      <c r="AB81" s="28">
        <f>'[3]CWG Exports'!DA$217</f>
        <v>0</v>
      </c>
      <c r="AC81" s="28">
        <f>'[3]CWG Exports'!DM$217</f>
        <v>0</v>
      </c>
      <c r="AD81" s="28">
        <f>'[3]CWG Exports'!DY$217</f>
        <v>0</v>
      </c>
      <c r="AE81" s="28">
        <f>'[3]CWG Exports'!EK$217</f>
        <v>0</v>
      </c>
      <c r="AF81" s="28">
        <f>'[3]CWG Exports'!EW$217</f>
        <v>0</v>
      </c>
      <c r="AG81" s="28">
        <f>'[3]CWG Exports'!FI$217</f>
        <v>0</v>
      </c>
      <c r="AH81" s="31" t="e">
        <f t="shared" si="36"/>
        <v>#DIV/0!</v>
      </c>
      <c r="AI81" s="31" t="e">
        <f t="shared" si="36"/>
        <v>#DIV/0!</v>
      </c>
    </row>
    <row r="82" spans="1:35" x14ac:dyDescent="0.25">
      <c r="A82" s="8" t="s">
        <v>26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28">
        <f>'[3]CWG Exports'!BF$217</f>
        <v>0</v>
      </c>
      <c r="Y82" s="28">
        <f>'[3]CWG Exports'!BR$217</f>
        <v>0</v>
      </c>
      <c r="Z82" s="28">
        <f>'[3]CWG Exports'!CD$217</f>
        <v>0</v>
      </c>
      <c r="AA82" s="28">
        <f>'[3]CWG Exports'!CP$217</f>
        <v>0</v>
      </c>
      <c r="AB82" s="28">
        <f>'[3]CWG Exports'!DB$217</f>
        <v>0</v>
      </c>
      <c r="AC82" s="28">
        <f>'[3]CWG Exports'!DN$217</f>
        <v>0</v>
      </c>
      <c r="AD82" s="28">
        <f>'[3]CWG Exports'!DZ$217</f>
        <v>0</v>
      </c>
      <c r="AE82" s="28">
        <f>'[3]CWG Exports'!EL$217</f>
        <v>0</v>
      </c>
      <c r="AF82" s="28">
        <f>'[3]CWG Exports'!EX$217</f>
        <v>0</v>
      </c>
      <c r="AG82" s="28">
        <f>'[3]CWG Exports'!FJ$217</f>
        <v>0</v>
      </c>
      <c r="AH82" s="31" t="e">
        <f t="shared" si="36"/>
        <v>#DIV/0!</v>
      </c>
      <c r="AI82" s="31" t="e">
        <f t="shared" si="36"/>
        <v>#DIV/0!</v>
      </c>
    </row>
    <row r="83" spans="1:35" x14ac:dyDescent="0.25">
      <c r="A83" s="8" t="s">
        <v>27</v>
      </c>
      <c r="B83" s="8"/>
      <c r="C83" s="8"/>
      <c r="D83" s="8"/>
      <c r="E83" s="8"/>
      <c r="F83" s="8"/>
      <c r="G83" s="8"/>
      <c r="H83" s="23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28">
        <f>'[3]CWG Exports'!BG$217</f>
        <v>0</v>
      </c>
      <c r="Y83" s="28">
        <f>'[3]CWG Exports'!BS$217</f>
        <v>0</v>
      </c>
      <c r="Z83" s="28">
        <f>'[3]CWG Exports'!CE$217</f>
        <v>0</v>
      </c>
      <c r="AA83" s="28">
        <f>'[3]CWG Exports'!CQ$217</f>
        <v>0</v>
      </c>
      <c r="AB83" s="28">
        <f>'[3]CWG Exports'!DC$217</f>
        <v>0</v>
      </c>
      <c r="AC83" s="28">
        <f>'[3]CWG Exports'!DO$217</f>
        <v>0</v>
      </c>
      <c r="AD83" s="28">
        <f>'[3]CWG Exports'!EA$217</f>
        <v>0</v>
      </c>
      <c r="AE83" s="28">
        <f>'[3]CWG Exports'!EM$217</f>
        <v>0</v>
      </c>
      <c r="AF83" s="28">
        <f>'[3]CWG Exports'!EY$217</f>
        <v>0</v>
      </c>
      <c r="AG83" s="28">
        <f>'[3]CWG Exports'!FK$217</f>
        <v>0</v>
      </c>
      <c r="AH83" s="31" t="e">
        <f t="shared" si="36"/>
        <v>#DIV/0!</v>
      </c>
      <c r="AI83" s="31" t="e">
        <f t="shared" si="36"/>
        <v>#DIV/0!</v>
      </c>
    </row>
    <row r="84" spans="1:35" x14ac:dyDescent="0.25">
      <c r="A84" s="8" t="s">
        <v>28</v>
      </c>
      <c r="B84" s="8"/>
      <c r="C84" s="8"/>
      <c r="D84" s="8"/>
      <c r="E84" s="8"/>
      <c r="F84" s="8"/>
      <c r="G84" s="8"/>
      <c r="H84" s="23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28">
        <f>'[3]CWG Exports'!BH$217</f>
        <v>0</v>
      </c>
      <c r="Y84" s="28">
        <f>'[3]CWG Exports'!BT$217</f>
        <v>0</v>
      </c>
      <c r="Z84" s="28">
        <f>'[3]CWG Exports'!CF$217</f>
        <v>0</v>
      </c>
      <c r="AA84" s="28">
        <f>'[3]CWG Exports'!CR$217</f>
        <v>0</v>
      </c>
      <c r="AB84" s="28">
        <f>'[3]CWG Exports'!DD$217</f>
        <v>0</v>
      </c>
      <c r="AC84" s="28">
        <f>'[3]CWG Exports'!DP$217</f>
        <v>0</v>
      </c>
      <c r="AD84" s="28">
        <f>'[3]CWG Exports'!EB$217</f>
        <v>0</v>
      </c>
      <c r="AE84" s="28">
        <f>'[3]CWG Exports'!EN$217</f>
        <v>0</v>
      </c>
      <c r="AF84" s="28">
        <f>'[3]CWG Exports'!EZ$217</f>
        <v>0</v>
      </c>
      <c r="AG84" s="28">
        <f>'[3]CWG Exports'!FL$217</f>
        <v>0</v>
      </c>
      <c r="AH84" s="31" t="e">
        <f>AH85-SUM(AH73:AH83)</f>
        <v>#DIV/0!</v>
      </c>
      <c r="AI84" s="31" t="e">
        <f>AI85-SUM(AI73:AI83)</f>
        <v>#DIV/0!</v>
      </c>
    </row>
    <row r="85" spans="1:35" ht="15.75" thickBot="1" x14ac:dyDescent="0.3">
      <c r="A85" s="24" t="s">
        <v>29</v>
      </c>
      <c r="B85" s="24"/>
      <c r="C85" s="24"/>
      <c r="D85" s="24"/>
      <c r="E85" s="24"/>
      <c r="F85" s="24"/>
      <c r="G85" s="24"/>
      <c r="H85" s="25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30">
        <f t="shared" ref="X85:AF85" si="37">SUM(X73:X84)</f>
        <v>0</v>
      </c>
      <c r="Y85" s="30">
        <f t="shared" si="37"/>
        <v>0</v>
      </c>
      <c r="Z85" s="30">
        <f t="shared" si="37"/>
        <v>0</v>
      </c>
      <c r="AA85" s="30">
        <f t="shared" si="37"/>
        <v>0</v>
      </c>
      <c r="AB85" s="30">
        <f t="shared" si="37"/>
        <v>0</v>
      </c>
      <c r="AC85" s="30">
        <f t="shared" si="37"/>
        <v>0</v>
      </c>
      <c r="AD85" s="30">
        <f t="shared" si="37"/>
        <v>0</v>
      </c>
      <c r="AE85" s="30">
        <f t="shared" si="37"/>
        <v>0</v>
      </c>
      <c r="AF85" s="30">
        <f t="shared" si="37"/>
        <v>0</v>
      </c>
      <c r="AG85" s="30">
        <f>SUM(AG73:AG84)</f>
        <v>0</v>
      </c>
      <c r="AH85" s="32">
        <f>AH15</f>
        <v>0.5</v>
      </c>
      <c r="AI85" s="32">
        <f>AI15</f>
        <v>0.5</v>
      </c>
    </row>
    <row r="87" spans="1:35" ht="15.75" thickBot="1" x14ac:dyDescent="0.3">
      <c r="A87" s="12" t="s">
        <v>33</v>
      </c>
      <c r="B87" s="13"/>
      <c r="C87" s="13"/>
      <c r="D87" s="13"/>
      <c r="E87" s="13"/>
      <c r="F87" s="13"/>
      <c r="G87" s="13"/>
      <c r="H87" s="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35" ht="15.75" thickBot="1" x14ac:dyDescent="0.3">
      <c r="A88" s="18" t="s">
        <v>16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spans="1:35" x14ac:dyDescent="0.25">
      <c r="A89" s="8" t="s">
        <v>17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23">
        <f>W212+X25+X57-X73-X201</f>
        <v>0</v>
      </c>
      <c r="Y89" s="23">
        <f>X212+Y25+Y57-Y73-Y201</f>
        <v>115.34600000000002</v>
      </c>
      <c r="Z89" s="23">
        <f t="shared" ref="Z89:AG89" si="38">Y212+Z25+Z57-Z73-Z201</f>
        <v>109.42</v>
      </c>
      <c r="AA89" s="23">
        <f t="shared" si="38"/>
        <v>105.217</v>
      </c>
      <c r="AB89" s="23">
        <f t="shared" si="38"/>
        <v>114.60900000000001</v>
      </c>
      <c r="AC89" s="23">
        <f t="shared" si="38"/>
        <v>94.307000000000002</v>
      </c>
      <c r="AD89" s="23">
        <f t="shared" si="38"/>
        <v>104.062</v>
      </c>
      <c r="AE89" s="23">
        <f t="shared" si="38"/>
        <v>106.962</v>
      </c>
      <c r="AF89" s="23">
        <f t="shared" si="38"/>
        <v>107.857</v>
      </c>
      <c r="AG89" s="23">
        <f t="shared" si="38"/>
        <v>92.021000000000001</v>
      </c>
      <c r="AH89" s="23">
        <f t="shared" ref="AH89" si="39">AG212+AH25+AH57-AH73-AH201</f>
        <v>97.744</v>
      </c>
      <c r="AI89" s="22">
        <f t="shared" ref="AI89:AI100" si="40">AI105+AI185</f>
        <v>98.240826109812943</v>
      </c>
    </row>
    <row r="90" spans="1:35" x14ac:dyDescent="0.25">
      <c r="A90" s="8" t="s">
        <v>18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23">
        <f>X201+X26+X58-X74-X202</f>
        <v>0</v>
      </c>
      <c r="Y90" s="23">
        <f>Y201+Y26+Y58-Y74-Y202</f>
        <v>127.95399999999998</v>
      </c>
      <c r="Z90" s="23">
        <f t="shared" ref="Z90:AG90" si="41">Z201+Z26+Z58-Z74-Z202</f>
        <v>116.895</v>
      </c>
      <c r="AA90" s="23">
        <f t="shared" si="41"/>
        <v>114.29900000000001</v>
      </c>
      <c r="AB90" s="23">
        <f t="shared" si="41"/>
        <v>119.53299999999999</v>
      </c>
      <c r="AC90" s="23">
        <f t="shared" si="41"/>
        <v>115.35800000000002</v>
      </c>
      <c r="AD90" s="23">
        <f t="shared" si="41"/>
        <v>127.44999999999999</v>
      </c>
      <c r="AE90" s="23">
        <f t="shared" si="41"/>
        <v>116.98</v>
      </c>
      <c r="AF90" s="23">
        <f t="shared" si="41"/>
        <v>117.80499999999999</v>
      </c>
      <c r="AG90" s="23">
        <f t="shared" si="41"/>
        <v>121.36000000000001</v>
      </c>
      <c r="AH90" s="23">
        <f t="shared" ref="AH90" si="42">AH201+AH26+AH58-AH74-AH202</f>
        <v>109.214</v>
      </c>
      <c r="AI90" s="22">
        <f t="shared" si="40"/>
        <v>114.49622308114505</v>
      </c>
    </row>
    <row r="91" spans="1:35" x14ac:dyDescent="0.25">
      <c r="A91" s="8" t="s">
        <v>19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23">
        <f t="shared" ref="X91" si="43">X202+X27+X59-X75-X203</f>
        <v>0</v>
      </c>
      <c r="Y91" s="23">
        <f t="shared" ref="Y91:AG91" si="44">Y202+Y27+Y59-Y75-Y203</f>
        <v>124.59300000000002</v>
      </c>
      <c r="Z91" s="23">
        <f t="shared" si="44"/>
        <v>103.351</v>
      </c>
      <c r="AA91" s="23">
        <f t="shared" si="44"/>
        <v>117.75999999999999</v>
      </c>
      <c r="AB91" s="23">
        <f t="shared" si="44"/>
        <v>111.26600000000001</v>
      </c>
      <c r="AC91" s="23">
        <f t="shared" si="44"/>
        <v>114.2</v>
      </c>
      <c r="AD91" s="23">
        <f t="shared" si="44"/>
        <v>126.35900000000001</v>
      </c>
      <c r="AE91" s="23">
        <f t="shared" si="44"/>
        <v>111.093</v>
      </c>
      <c r="AF91" s="23">
        <f t="shared" si="44"/>
        <v>112.50300000000001</v>
      </c>
      <c r="AG91" s="23">
        <f t="shared" si="44"/>
        <v>98.224999999999994</v>
      </c>
      <c r="AH91" s="23">
        <f t="shared" ref="AH91" si="45">AH202+AH27+AH59-AH75-AH203</f>
        <v>105.624</v>
      </c>
      <c r="AI91" s="22">
        <f t="shared" si="40"/>
        <v>106.96272547689132</v>
      </c>
    </row>
    <row r="92" spans="1:35" x14ac:dyDescent="0.25">
      <c r="A92" s="8" t="s">
        <v>20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23">
        <f t="shared" ref="X92" si="46">X203+X28+X60-X76-X204</f>
        <v>0</v>
      </c>
      <c r="Y92" s="23">
        <f t="shared" ref="Y92:AG92" si="47">Y203+Y28+Y60-Y76-Y204</f>
        <v>109.919</v>
      </c>
      <c r="Z92" s="23">
        <f t="shared" si="47"/>
        <v>96.106999999999999</v>
      </c>
      <c r="AA92" s="23">
        <f t="shared" si="47"/>
        <v>112.00099999999999</v>
      </c>
      <c r="AB92" s="23">
        <f t="shared" si="47"/>
        <v>114.833</v>
      </c>
      <c r="AC92" s="23">
        <f t="shared" si="47"/>
        <v>108.526</v>
      </c>
      <c r="AD92" s="23">
        <f t="shared" si="47"/>
        <v>107.28699999999999</v>
      </c>
      <c r="AE92" s="23">
        <f t="shared" si="47"/>
        <v>114.05799999999999</v>
      </c>
      <c r="AF92" s="23">
        <f t="shared" si="47"/>
        <v>116.461</v>
      </c>
      <c r="AG92" s="23">
        <f t="shared" si="47"/>
        <v>102.953</v>
      </c>
      <c r="AH92" s="23">
        <f t="shared" ref="AH92" si="48">AH203+AH28+AH60-AH76-AH204</f>
        <v>100.268</v>
      </c>
      <c r="AI92" s="22">
        <f t="shared" si="40"/>
        <v>104.4949521429713</v>
      </c>
    </row>
    <row r="93" spans="1:35" x14ac:dyDescent="0.25">
      <c r="A93" s="8" t="s">
        <v>21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23">
        <f t="shared" ref="X93" si="49">X204+X29+X61-X77-X205</f>
        <v>0</v>
      </c>
      <c r="Y93" s="23">
        <f t="shared" ref="Y93:AG93" si="50">Y204+Y29+Y61-Y77-Y205</f>
        <v>123.02099999999999</v>
      </c>
      <c r="Z93" s="23">
        <f t="shared" si="50"/>
        <v>124.29099999999998</v>
      </c>
      <c r="AA93" s="23">
        <f t="shared" si="50"/>
        <v>131.07900000000001</v>
      </c>
      <c r="AB93" s="23">
        <f t="shared" si="50"/>
        <v>125.80299999999998</v>
      </c>
      <c r="AC93" s="23">
        <f t="shared" si="50"/>
        <v>111.63200000000001</v>
      </c>
      <c r="AD93" s="23">
        <f t="shared" si="50"/>
        <v>120.964</v>
      </c>
      <c r="AE93" s="23">
        <f t="shared" si="50"/>
        <v>121.22300000000001</v>
      </c>
      <c r="AF93" s="23">
        <f t="shared" si="50"/>
        <v>116.488</v>
      </c>
      <c r="AG93" s="23">
        <f t="shared" si="50"/>
        <v>111.83899999999998</v>
      </c>
      <c r="AH93" s="23">
        <f t="shared" ref="AH93" si="51">AH204+AH29+AH61-AH77-AH205</f>
        <v>111.342</v>
      </c>
      <c r="AI93" s="22">
        <f t="shared" si="40"/>
        <v>112.3807404697006</v>
      </c>
    </row>
    <row r="94" spans="1:35" x14ac:dyDescent="0.25">
      <c r="A94" s="8" t="s">
        <v>22</v>
      </c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23">
        <f t="shared" ref="X94" si="52">X205+X30+X62-X78-X206</f>
        <v>100.87</v>
      </c>
      <c r="Y94" s="23">
        <f t="shared" ref="Y94:AG94" si="53">Y205+Y30+Y62-Y78-Y206</f>
        <v>112.848</v>
      </c>
      <c r="Z94" s="23">
        <f t="shared" si="53"/>
        <v>110.77800000000001</v>
      </c>
      <c r="AA94" s="23">
        <f t="shared" si="53"/>
        <v>120.86799999999999</v>
      </c>
      <c r="AB94" s="23">
        <f t="shared" si="53"/>
        <v>126.383</v>
      </c>
      <c r="AC94" s="23">
        <f t="shared" si="53"/>
        <v>107.621</v>
      </c>
      <c r="AD94" s="23">
        <f t="shared" si="53"/>
        <v>122.379</v>
      </c>
      <c r="AE94" s="23">
        <f t="shared" si="53"/>
        <v>120.276</v>
      </c>
      <c r="AF94" s="23">
        <f t="shared" si="53"/>
        <v>109.65700000000001</v>
      </c>
      <c r="AG94" s="23">
        <f t="shared" si="53"/>
        <v>94.844000000000008</v>
      </c>
      <c r="AH94" s="22">
        <f t="shared" ref="AH94:AH100" si="54">AH110+AH190</f>
        <v>107.61701682572972</v>
      </c>
      <c r="AI94" s="22">
        <f t="shared" si="40"/>
        <v>107.14988317295891</v>
      </c>
    </row>
    <row r="95" spans="1:35" x14ac:dyDescent="0.25">
      <c r="A95" s="8" t="s">
        <v>23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23">
        <f t="shared" ref="X95" si="55">X206+X31+X63-X79-X207</f>
        <v>110.94499999999999</v>
      </c>
      <c r="Y95" s="23">
        <f t="shared" ref="Y95:AG95" si="56">Y206+Y31+Y63-Y79-Y207</f>
        <v>101.949</v>
      </c>
      <c r="Z95" s="23">
        <f t="shared" si="56"/>
        <v>105.26899999999999</v>
      </c>
      <c r="AA95" s="23">
        <f t="shared" si="56"/>
        <v>104.425</v>
      </c>
      <c r="AB95" s="23">
        <f t="shared" si="56"/>
        <v>93.190000000000012</v>
      </c>
      <c r="AC95" s="23">
        <f t="shared" si="56"/>
        <v>96.309999999999988</v>
      </c>
      <c r="AD95" s="23">
        <f t="shared" si="56"/>
        <v>121.50700000000001</v>
      </c>
      <c r="AE95" s="23">
        <f t="shared" si="56"/>
        <v>101.361</v>
      </c>
      <c r="AF95" s="23">
        <f t="shared" si="56"/>
        <v>98.615999999999985</v>
      </c>
      <c r="AG95" s="23">
        <f t="shared" si="56"/>
        <v>109.76900000000001</v>
      </c>
      <c r="AH95" s="22">
        <f t="shared" si="54"/>
        <v>102.33797768766991</v>
      </c>
      <c r="AI95" s="22">
        <f t="shared" si="40"/>
        <v>103.05874508553978</v>
      </c>
    </row>
    <row r="96" spans="1:35" x14ac:dyDescent="0.25">
      <c r="A96" s="8" t="s">
        <v>24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23">
        <f t="shared" ref="X96" si="57">X207+X32+X64-X80-X208</f>
        <v>115.57000000000001</v>
      </c>
      <c r="Y96" s="23">
        <f t="shared" ref="Y96:AG96" si="58">Y207+Y32+Y64-Y80-Y208</f>
        <v>109.11800000000001</v>
      </c>
      <c r="Z96" s="23">
        <f t="shared" si="58"/>
        <v>112.73099999999999</v>
      </c>
      <c r="AA96" s="23">
        <f t="shared" si="58"/>
        <v>118.721</v>
      </c>
      <c r="AB96" s="23">
        <f t="shared" si="58"/>
        <v>108.73099999999999</v>
      </c>
      <c r="AC96" s="23">
        <f t="shared" si="58"/>
        <v>97.570000000000007</v>
      </c>
      <c r="AD96" s="23">
        <f t="shared" si="58"/>
        <v>122.03700000000001</v>
      </c>
      <c r="AE96" s="23">
        <f t="shared" si="58"/>
        <v>119.24499999999999</v>
      </c>
      <c r="AF96" s="23">
        <f t="shared" si="58"/>
        <v>85.63300000000001</v>
      </c>
      <c r="AG96" s="23">
        <f t="shared" si="58"/>
        <v>106.54499999999999</v>
      </c>
      <c r="AH96" s="22">
        <f t="shared" si="54"/>
        <v>103.01051493657317</v>
      </c>
      <c r="AI96" s="22">
        <f t="shared" si="40"/>
        <v>103.61490421811177</v>
      </c>
    </row>
    <row r="97" spans="1:35" x14ac:dyDescent="0.25">
      <c r="A97" s="8" t="s">
        <v>25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23">
        <f t="shared" ref="X97" si="59">X208+X33+X65-X81-X209</f>
        <v>115.59400000000001</v>
      </c>
      <c r="Y97" s="23">
        <f t="shared" ref="Y97:AG97" si="60">Y208+Y33+Y65-Y81-Y209</f>
        <v>119.718</v>
      </c>
      <c r="Z97" s="23">
        <f t="shared" si="60"/>
        <v>99.85</v>
      </c>
      <c r="AA97" s="23">
        <f t="shared" si="60"/>
        <v>110.11899999999999</v>
      </c>
      <c r="AB97" s="23">
        <f t="shared" si="60"/>
        <v>113.83399999999999</v>
      </c>
      <c r="AC97" s="23">
        <f t="shared" si="60"/>
        <v>90.626999999999995</v>
      </c>
      <c r="AD97" s="23">
        <f t="shared" si="60"/>
        <v>114.788</v>
      </c>
      <c r="AE97" s="23">
        <f t="shared" si="60"/>
        <v>111.00800000000001</v>
      </c>
      <c r="AF97" s="23">
        <f t="shared" si="60"/>
        <v>103.438</v>
      </c>
      <c r="AG97" s="23">
        <f t="shared" si="60"/>
        <v>97.391000000000005</v>
      </c>
      <c r="AH97" s="22">
        <f t="shared" si="54"/>
        <v>100.33782436391981</v>
      </c>
      <c r="AI97" s="22">
        <f t="shared" si="40"/>
        <v>101.77857133383877</v>
      </c>
    </row>
    <row r="98" spans="1:35" x14ac:dyDescent="0.25">
      <c r="A98" s="8" t="s">
        <v>26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23">
        <f t="shared" ref="X98" si="61">X209+X34+X66-X82-X210</f>
        <v>96.350000000000009</v>
      </c>
      <c r="Y98" s="23">
        <f t="shared" ref="Y98:AG98" si="62">Y209+Y34+Y66-Y82-Y210</f>
        <v>87.531999999999996</v>
      </c>
      <c r="Z98" s="23">
        <f t="shared" si="62"/>
        <v>89.392999999999986</v>
      </c>
      <c r="AA98" s="23">
        <f t="shared" si="62"/>
        <v>93.927000000000007</v>
      </c>
      <c r="AB98" s="23">
        <f t="shared" si="62"/>
        <v>99.26</v>
      </c>
      <c r="AC98" s="23">
        <f t="shared" si="62"/>
        <v>83.531999999999996</v>
      </c>
      <c r="AD98" s="23">
        <f t="shared" si="62"/>
        <v>96.167000000000002</v>
      </c>
      <c r="AE98" s="23">
        <f t="shared" si="62"/>
        <v>91.25800000000001</v>
      </c>
      <c r="AF98" s="23">
        <f t="shared" si="62"/>
        <v>101.60299999999999</v>
      </c>
      <c r="AG98" s="23">
        <f t="shared" si="62"/>
        <v>91.27</v>
      </c>
      <c r="AH98" s="22">
        <f t="shared" si="54"/>
        <v>89.974892459994237</v>
      </c>
      <c r="AI98" s="22">
        <f t="shared" si="40"/>
        <v>90.829373380152532</v>
      </c>
    </row>
    <row r="99" spans="1:35" x14ac:dyDescent="0.25">
      <c r="A99" s="8" t="s">
        <v>27</v>
      </c>
      <c r="B99" s="8"/>
      <c r="C99" s="8"/>
      <c r="D99" s="8"/>
      <c r="E99" s="8"/>
      <c r="F99" s="8"/>
      <c r="G99" s="8"/>
      <c r="H99" s="23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23">
        <f t="shared" ref="X99" si="63">X210+X35+X67-X83-X211</f>
        <v>115.58699999999999</v>
      </c>
      <c r="Y99" s="23">
        <f t="shared" ref="Y99:AG99" si="64">Y210+Y35+Y67-Y83-Y211</f>
        <v>112.03700000000001</v>
      </c>
      <c r="Z99" s="23">
        <f t="shared" si="64"/>
        <v>114.471</v>
      </c>
      <c r="AA99" s="23">
        <f t="shared" si="64"/>
        <v>105.371</v>
      </c>
      <c r="AB99" s="23">
        <f t="shared" si="64"/>
        <v>103.03500000000001</v>
      </c>
      <c r="AC99" s="23">
        <f t="shared" si="64"/>
        <v>95.184999999999988</v>
      </c>
      <c r="AD99" s="23">
        <f t="shared" si="64"/>
        <v>111.777</v>
      </c>
      <c r="AE99" s="23">
        <f t="shared" si="64"/>
        <v>126.203</v>
      </c>
      <c r="AF99" s="23">
        <f t="shared" si="64"/>
        <v>109.521</v>
      </c>
      <c r="AG99" s="23">
        <f t="shared" si="64"/>
        <v>103.04300000000001</v>
      </c>
      <c r="AH99" s="22">
        <f t="shared" si="54"/>
        <v>105.8618633708475</v>
      </c>
      <c r="AI99" s="22">
        <f t="shared" si="40"/>
        <v>107.46525416477428</v>
      </c>
    </row>
    <row r="100" spans="1:35" x14ac:dyDescent="0.25">
      <c r="A100" s="8" t="s">
        <v>28</v>
      </c>
      <c r="B100" s="8"/>
      <c r="C100" s="8"/>
      <c r="D100" s="8"/>
      <c r="E100" s="8"/>
      <c r="F100" s="8"/>
      <c r="G100" s="8"/>
      <c r="H100" s="23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23">
        <f t="shared" ref="X100" si="65">X211+X36+X68-X84-X212</f>
        <v>110.407</v>
      </c>
      <c r="Y100" s="23">
        <f t="shared" ref="Y100:AG100" si="66">Y211+Y36+Y68-Y84-Y212</f>
        <v>101.878</v>
      </c>
      <c r="Z100" s="23">
        <f t="shared" si="66"/>
        <v>102.78100000000001</v>
      </c>
      <c r="AA100" s="23">
        <f t="shared" si="66"/>
        <v>105.645</v>
      </c>
      <c r="AB100" s="23">
        <f t="shared" si="66"/>
        <v>106.40099999999998</v>
      </c>
      <c r="AC100" s="23">
        <f t="shared" si="66"/>
        <v>101.908</v>
      </c>
      <c r="AD100" s="23">
        <f t="shared" si="66"/>
        <v>108.777</v>
      </c>
      <c r="AE100" s="23">
        <f t="shared" si="66"/>
        <v>98.367000000000004</v>
      </c>
      <c r="AF100" s="23">
        <f t="shared" si="66"/>
        <v>95.787999999999997</v>
      </c>
      <c r="AG100" s="23">
        <f t="shared" si="66"/>
        <v>100.88699999999999</v>
      </c>
      <c r="AH100" s="22">
        <f t="shared" si="54"/>
        <v>116.6679103552658</v>
      </c>
      <c r="AI100" s="22">
        <f t="shared" si="40"/>
        <v>100.52780136410274</v>
      </c>
    </row>
    <row r="101" spans="1:35" ht="15.75" thickBot="1" x14ac:dyDescent="0.3">
      <c r="A101" s="24" t="s">
        <v>29</v>
      </c>
      <c r="B101" s="24"/>
      <c r="C101" s="24"/>
      <c r="D101" s="24"/>
      <c r="E101" s="24"/>
      <c r="F101" s="24"/>
      <c r="G101" s="24"/>
      <c r="H101" s="25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5">
        <f>SUM(X89:X100)</f>
        <v>765.32299999999998</v>
      </c>
      <c r="Y101" s="25">
        <f t="shared" ref="Y101:AG101" si="67">SUM(Y89:Y100)</f>
        <v>1345.9129999999998</v>
      </c>
      <c r="Z101" s="25">
        <f t="shared" si="67"/>
        <v>1285.337</v>
      </c>
      <c r="AA101" s="25">
        <f t="shared" si="67"/>
        <v>1339.4319999999998</v>
      </c>
      <c r="AB101" s="25">
        <f t="shared" si="67"/>
        <v>1336.8780000000002</v>
      </c>
      <c r="AC101" s="25">
        <f t="shared" si="67"/>
        <v>1216.7759999999998</v>
      </c>
      <c r="AD101" s="25">
        <f t="shared" si="67"/>
        <v>1383.5540000000001</v>
      </c>
      <c r="AE101" s="25">
        <f t="shared" si="67"/>
        <v>1338.0339999999999</v>
      </c>
      <c r="AF101" s="25">
        <f t="shared" si="67"/>
        <v>1275.3700000000001</v>
      </c>
      <c r="AG101" s="25">
        <f t="shared" si="67"/>
        <v>1230.1469999999997</v>
      </c>
      <c r="AH101" s="27">
        <f t="shared" ref="AH101" si="68">SUM(AH89:AH100)</f>
        <v>1250</v>
      </c>
      <c r="AI101" s="27">
        <f t="shared" ref="AI101" si="69">SUM(AI89:AI100)</f>
        <v>1251</v>
      </c>
    </row>
    <row r="103" spans="1:35" ht="15.75" thickBot="1" x14ac:dyDescent="0.3">
      <c r="A103" s="12" t="s">
        <v>34</v>
      </c>
      <c r="B103" s="13"/>
      <c r="C103" s="13"/>
      <c r="D103" s="13"/>
      <c r="E103" s="13"/>
      <c r="F103" s="13"/>
      <c r="G103" s="13"/>
      <c r="H103" s="1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35" ht="15.75" thickBot="1" x14ac:dyDescent="0.3">
      <c r="A104" s="18" t="s">
        <v>16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 t="str">
        <f t="shared" ref="X104:AF104" si="70">X3</f>
        <v>2015/16</v>
      </c>
      <c r="Y104" s="15" t="str">
        <f t="shared" si="70"/>
        <v>2016/17</v>
      </c>
      <c r="Z104" s="15" t="str">
        <f t="shared" si="70"/>
        <v>2017/18</v>
      </c>
      <c r="AA104" s="15" t="str">
        <f t="shared" si="70"/>
        <v>2018/19</v>
      </c>
      <c r="AB104" s="15" t="str">
        <f t="shared" si="70"/>
        <v>2019/20</v>
      </c>
      <c r="AC104" s="15" t="str">
        <f t="shared" si="70"/>
        <v>2020/21</v>
      </c>
      <c r="AD104" s="15" t="str">
        <f t="shared" si="70"/>
        <v>2021/22</v>
      </c>
      <c r="AE104" s="15" t="str">
        <f t="shared" si="70"/>
        <v>2022/23</v>
      </c>
      <c r="AF104" s="15" t="str">
        <f t="shared" si="70"/>
        <v>2023/24</v>
      </c>
      <c r="AG104" s="15" t="str">
        <f t="shared" ref="AG104" si="71">AG3</f>
        <v>2024/25</v>
      </c>
      <c r="AH104" s="15" t="str">
        <f>AH3</f>
        <v>2025/26</v>
      </c>
      <c r="AI104" s="15" t="str">
        <f>AI3</f>
        <v>2026/27</v>
      </c>
    </row>
    <row r="105" spans="1:35" x14ac:dyDescent="0.25">
      <c r="A105" s="8" t="s">
        <v>17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23">
        <f t="shared" ref="X105:AA105" si="72">X121+X137+X153+X169</f>
        <v>0</v>
      </c>
      <c r="Y105" s="23">
        <f t="shared" si="72"/>
        <v>0</v>
      </c>
      <c r="Z105" s="23">
        <f t="shared" si="72"/>
        <v>0</v>
      </c>
      <c r="AA105" s="23">
        <f t="shared" si="72"/>
        <v>0</v>
      </c>
      <c r="AB105" s="23">
        <f t="shared" ref="AB105:AG105" si="73">AB121+AB137+AB153+AB169</f>
        <v>0</v>
      </c>
      <c r="AC105" s="23">
        <f t="shared" si="73"/>
        <v>0</v>
      </c>
      <c r="AD105" s="23">
        <f t="shared" si="73"/>
        <v>0</v>
      </c>
      <c r="AE105" s="23">
        <f t="shared" si="73"/>
        <v>0</v>
      </c>
      <c r="AF105" s="23">
        <f t="shared" si="73"/>
        <v>0</v>
      </c>
      <c r="AG105" s="23">
        <f t="shared" si="73"/>
        <v>0</v>
      </c>
      <c r="AH105" s="23">
        <f>AH121+AH137+AH153+AH169</f>
        <v>0</v>
      </c>
      <c r="AI105" s="16"/>
    </row>
    <row r="106" spans="1:35" x14ac:dyDescent="0.25">
      <c r="A106" s="8" t="s">
        <v>18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23">
        <f t="shared" ref="X106:AA106" si="74">X122+X138+X154+X170</f>
        <v>0</v>
      </c>
      <c r="Y106" s="23">
        <f t="shared" si="74"/>
        <v>0</v>
      </c>
      <c r="Z106" s="23">
        <f t="shared" si="74"/>
        <v>0</v>
      </c>
      <c r="AA106" s="23">
        <f t="shared" si="74"/>
        <v>0</v>
      </c>
      <c r="AB106" s="23">
        <f t="shared" ref="AB106:AH106" si="75">AB122+AB138+AB154+AB170</f>
        <v>0</v>
      </c>
      <c r="AC106" s="23">
        <f t="shared" si="75"/>
        <v>0</v>
      </c>
      <c r="AD106" s="23">
        <f t="shared" si="75"/>
        <v>0</v>
      </c>
      <c r="AE106" s="23">
        <f t="shared" si="75"/>
        <v>0</v>
      </c>
      <c r="AF106" s="23">
        <f t="shared" si="75"/>
        <v>0</v>
      </c>
      <c r="AG106" s="23">
        <f t="shared" si="75"/>
        <v>0</v>
      </c>
      <c r="AH106" s="23">
        <f t="shared" si="75"/>
        <v>0</v>
      </c>
      <c r="AI106" s="16"/>
    </row>
    <row r="107" spans="1:35" x14ac:dyDescent="0.25">
      <c r="A107" s="8" t="s">
        <v>19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23">
        <f t="shared" ref="X107:AA107" si="76">X123+X139+X155+X171</f>
        <v>0</v>
      </c>
      <c r="Y107" s="23">
        <f t="shared" si="76"/>
        <v>0</v>
      </c>
      <c r="Z107" s="23">
        <f t="shared" si="76"/>
        <v>0</v>
      </c>
      <c r="AA107" s="23">
        <f t="shared" si="76"/>
        <v>0</v>
      </c>
      <c r="AB107" s="23">
        <f t="shared" ref="AB107:AH107" si="77">AB123+AB139+AB155+AB171</f>
        <v>0</v>
      </c>
      <c r="AC107" s="23">
        <f t="shared" si="77"/>
        <v>0</v>
      </c>
      <c r="AD107" s="23">
        <f t="shared" si="77"/>
        <v>0</v>
      </c>
      <c r="AE107" s="23">
        <f t="shared" si="77"/>
        <v>0</v>
      </c>
      <c r="AF107" s="23">
        <f t="shared" si="77"/>
        <v>0</v>
      </c>
      <c r="AG107" s="23">
        <f t="shared" si="77"/>
        <v>0</v>
      </c>
      <c r="AH107" s="23">
        <f t="shared" si="77"/>
        <v>0</v>
      </c>
      <c r="AI107" s="16"/>
    </row>
    <row r="108" spans="1:35" x14ac:dyDescent="0.25">
      <c r="A108" s="8" t="s">
        <v>20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23">
        <f t="shared" ref="X108:AA108" si="78">X124+X140+X156+X172</f>
        <v>0</v>
      </c>
      <c r="Y108" s="23">
        <f t="shared" si="78"/>
        <v>0</v>
      </c>
      <c r="Z108" s="23">
        <f t="shared" si="78"/>
        <v>0</v>
      </c>
      <c r="AA108" s="23">
        <f t="shared" si="78"/>
        <v>0</v>
      </c>
      <c r="AB108" s="23">
        <f t="shared" ref="AB108:AH108" si="79">AB124+AB140+AB156+AB172</f>
        <v>0</v>
      </c>
      <c r="AC108" s="23">
        <f t="shared" si="79"/>
        <v>0</v>
      </c>
      <c r="AD108" s="23">
        <f t="shared" si="79"/>
        <v>0</v>
      </c>
      <c r="AE108" s="23">
        <f t="shared" si="79"/>
        <v>0</v>
      </c>
      <c r="AF108" s="23">
        <f t="shared" si="79"/>
        <v>0</v>
      </c>
      <c r="AG108" s="23">
        <f t="shared" si="79"/>
        <v>0</v>
      </c>
      <c r="AH108" s="23">
        <f t="shared" si="79"/>
        <v>0</v>
      </c>
      <c r="AI108" s="16"/>
    </row>
    <row r="109" spans="1:35" x14ac:dyDescent="0.25">
      <c r="A109" s="8" t="s">
        <v>21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23">
        <f t="shared" ref="X109:AA109" si="80">X125+X141+X157+X173</f>
        <v>0</v>
      </c>
      <c r="Y109" s="23">
        <f t="shared" si="80"/>
        <v>0</v>
      </c>
      <c r="Z109" s="23">
        <f t="shared" si="80"/>
        <v>0</v>
      </c>
      <c r="AA109" s="23">
        <f t="shared" si="80"/>
        <v>0</v>
      </c>
      <c r="AB109" s="23">
        <f t="shared" ref="AB109:AH109" si="81">AB125+AB141+AB157+AB173</f>
        <v>0</v>
      </c>
      <c r="AC109" s="23">
        <f t="shared" si="81"/>
        <v>0</v>
      </c>
      <c r="AD109" s="23">
        <f t="shared" si="81"/>
        <v>0</v>
      </c>
      <c r="AE109" s="23">
        <f t="shared" si="81"/>
        <v>0</v>
      </c>
      <c r="AF109" s="23">
        <f t="shared" si="81"/>
        <v>0</v>
      </c>
      <c r="AG109" s="23">
        <f t="shared" si="81"/>
        <v>0</v>
      </c>
      <c r="AH109" s="23">
        <f t="shared" si="81"/>
        <v>0</v>
      </c>
      <c r="AI109" s="16"/>
    </row>
    <row r="110" spans="1:35" x14ac:dyDescent="0.25">
      <c r="A110" s="8" t="s">
        <v>22</v>
      </c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23">
        <f t="shared" ref="X110:AA110" si="82">X126+X142+X158+X174</f>
        <v>0</v>
      </c>
      <c r="Y110" s="23">
        <f t="shared" si="82"/>
        <v>0</v>
      </c>
      <c r="Z110" s="23">
        <f t="shared" si="82"/>
        <v>0</v>
      </c>
      <c r="AA110" s="23">
        <f t="shared" si="82"/>
        <v>0</v>
      </c>
      <c r="AB110" s="23">
        <f t="shared" ref="AB110:AG110" si="83">AB126+AB142+AB158+AB174</f>
        <v>0</v>
      </c>
      <c r="AC110" s="23">
        <f t="shared" si="83"/>
        <v>0</v>
      </c>
      <c r="AD110" s="23">
        <f t="shared" si="83"/>
        <v>0</v>
      </c>
      <c r="AE110" s="23">
        <f t="shared" si="83"/>
        <v>0</v>
      </c>
      <c r="AF110" s="23">
        <f t="shared" si="83"/>
        <v>0</v>
      </c>
      <c r="AG110" s="23">
        <f t="shared" si="83"/>
        <v>0</v>
      </c>
      <c r="AH110" s="22">
        <f>AH126+AH142+AH158+AH174</f>
        <v>0</v>
      </c>
      <c r="AI110" s="16"/>
    </row>
    <row r="111" spans="1:35" x14ac:dyDescent="0.25">
      <c r="A111" s="8" t="s">
        <v>23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23">
        <f t="shared" ref="X111:AA111" si="84">X127+X143+X159+X175</f>
        <v>0</v>
      </c>
      <c r="Y111" s="23">
        <f t="shared" si="84"/>
        <v>0</v>
      </c>
      <c r="Z111" s="23">
        <f t="shared" si="84"/>
        <v>0</v>
      </c>
      <c r="AA111" s="23">
        <f t="shared" si="84"/>
        <v>0</v>
      </c>
      <c r="AB111" s="23">
        <f t="shared" ref="AB111:AH111" si="85">AB127+AB143+AB159+AB175</f>
        <v>0</v>
      </c>
      <c r="AC111" s="23">
        <f t="shared" si="85"/>
        <v>0</v>
      </c>
      <c r="AD111" s="23">
        <f t="shared" si="85"/>
        <v>0</v>
      </c>
      <c r="AE111" s="23">
        <f t="shared" si="85"/>
        <v>0</v>
      </c>
      <c r="AF111" s="23">
        <f t="shared" si="85"/>
        <v>0</v>
      </c>
      <c r="AG111" s="23">
        <f t="shared" si="85"/>
        <v>0</v>
      </c>
      <c r="AH111" s="22">
        <f t="shared" si="85"/>
        <v>0</v>
      </c>
      <c r="AI111" s="16"/>
    </row>
    <row r="112" spans="1:35" x14ac:dyDescent="0.25">
      <c r="A112" s="8" t="s">
        <v>24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23">
        <f t="shared" ref="X112:AA112" si="86">X128+X144+X160+X176</f>
        <v>0</v>
      </c>
      <c r="Y112" s="23">
        <f t="shared" si="86"/>
        <v>0</v>
      </c>
      <c r="Z112" s="23">
        <f t="shared" si="86"/>
        <v>0</v>
      </c>
      <c r="AA112" s="23">
        <f t="shared" si="86"/>
        <v>0</v>
      </c>
      <c r="AB112" s="23">
        <f t="shared" ref="AB112:AH112" si="87">AB128+AB144+AB160+AB176</f>
        <v>0</v>
      </c>
      <c r="AC112" s="23">
        <f t="shared" si="87"/>
        <v>0</v>
      </c>
      <c r="AD112" s="23">
        <f t="shared" si="87"/>
        <v>0</v>
      </c>
      <c r="AE112" s="23">
        <f t="shared" si="87"/>
        <v>0</v>
      </c>
      <c r="AF112" s="23">
        <f t="shared" si="87"/>
        <v>0</v>
      </c>
      <c r="AG112" s="23">
        <f t="shared" si="87"/>
        <v>0</v>
      </c>
      <c r="AH112" s="22">
        <f t="shared" si="87"/>
        <v>0</v>
      </c>
      <c r="AI112" s="16"/>
    </row>
    <row r="113" spans="1:35" x14ac:dyDescent="0.25">
      <c r="A113" s="8" t="s">
        <v>25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23">
        <f t="shared" ref="X113:AA113" si="88">X129+X145+X161+X177</f>
        <v>0</v>
      </c>
      <c r="Y113" s="23">
        <f t="shared" si="88"/>
        <v>0</v>
      </c>
      <c r="Z113" s="23">
        <f t="shared" si="88"/>
        <v>0</v>
      </c>
      <c r="AA113" s="23">
        <f t="shared" si="88"/>
        <v>0</v>
      </c>
      <c r="AB113" s="23">
        <f t="shared" ref="AB113:AH113" si="89">AB129+AB145+AB161+AB177</f>
        <v>0</v>
      </c>
      <c r="AC113" s="23">
        <f t="shared" si="89"/>
        <v>0</v>
      </c>
      <c r="AD113" s="23">
        <f t="shared" si="89"/>
        <v>0</v>
      </c>
      <c r="AE113" s="23">
        <f t="shared" si="89"/>
        <v>0</v>
      </c>
      <c r="AF113" s="23">
        <f t="shared" si="89"/>
        <v>0</v>
      </c>
      <c r="AG113" s="23">
        <f t="shared" si="89"/>
        <v>0</v>
      </c>
      <c r="AH113" s="22">
        <f t="shared" si="89"/>
        <v>0</v>
      </c>
      <c r="AI113" s="16"/>
    </row>
    <row r="114" spans="1:35" x14ac:dyDescent="0.25">
      <c r="A114" s="8" t="s">
        <v>26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23">
        <f t="shared" ref="X114:AA114" si="90">X130+X146+X162+X178</f>
        <v>0</v>
      </c>
      <c r="Y114" s="23">
        <f t="shared" si="90"/>
        <v>0</v>
      </c>
      <c r="Z114" s="23">
        <f t="shared" si="90"/>
        <v>0</v>
      </c>
      <c r="AA114" s="23">
        <f t="shared" si="90"/>
        <v>0</v>
      </c>
      <c r="AB114" s="23">
        <f t="shared" ref="AB114:AH114" si="91">AB130+AB146+AB162+AB178</f>
        <v>0</v>
      </c>
      <c r="AC114" s="23">
        <f t="shared" si="91"/>
        <v>0</v>
      </c>
      <c r="AD114" s="23">
        <f t="shared" si="91"/>
        <v>0</v>
      </c>
      <c r="AE114" s="23">
        <f t="shared" si="91"/>
        <v>0</v>
      </c>
      <c r="AF114" s="23">
        <f t="shared" si="91"/>
        <v>0</v>
      </c>
      <c r="AG114" s="23">
        <f t="shared" si="91"/>
        <v>0</v>
      </c>
      <c r="AH114" s="22">
        <f t="shared" si="91"/>
        <v>0</v>
      </c>
      <c r="AI114" s="16"/>
    </row>
    <row r="115" spans="1:35" x14ac:dyDescent="0.25">
      <c r="A115" s="8" t="s">
        <v>27</v>
      </c>
      <c r="B115" s="8"/>
      <c r="C115" s="8"/>
      <c r="D115" s="8"/>
      <c r="E115" s="8"/>
      <c r="F115" s="8"/>
      <c r="G115" s="8"/>
      <c r="H115" s="23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23">
        <f t="shared" ref="X115:AA115" si="92">X131+X147+X163+X179</f>
        <v>0</v>
      </c>
      <c r="Y115" s="23">
        <f t="shared" si="92"/>
        <v>0</v>
      </c>
      <c r="Z115" s="23">
        <f t="shared" si="92"/>
        <v>0</v>
      </c>
      <c r="AA115" s="23">
        <f t="shared" si="92"/>
        <v>0</v>
      </c>
      <c r="AB115" s="23">
        <f t="shared" ref="AB115:AH115" si="93">AB131+AB147+AB163+AB179</f>
        <v>0</v>
      </c>
      <c r="AC115" s="23">
        <f t="shared" si="93"/>
        <v>0</v>
      </c>
      <c r="AD115" s="23">
        <f t="shared" si="93"/>
        <v>0</v>
      </c>
      <c r="AE115" s="23">
        <f t="shared" si="93"/>
        <v>0</v>
      </c>
      <c r="AF115" s="23">
        <f t="shared" si="93"/>
        <v>0</v>
      </c>
      <c r="AG115" s="23">
        <f t="shared" si="93"/>
        <v>0</v>
      </c>
      <c r="AH115" s="22">
        <f t="shared" si="93"/>
        <v>0</v>
      </c>
      <c r="AI115" s="16"/>
    </row>
    <row r="116" spans="1:35" x14ac:dyDescent="0.25">
      <c r="A116" s="8" t="s">
        <v>28</v>
      </c>
      <c r="B116" s="8"/>
      <c r="C116" s="8"/>
      <c r="D116" s="8"/>
      <c r="E116" s="8"/>
      <c r="F116" s="8"/>
      <c r="G116" s="8"/>
      <c r="H116" s="23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23">
        <f t="shared" ref="X116:AA116" si="94">X132+X148+X164+X180</f>
        <v>0</v>
      </c>
      <c r="Y116" s="23">
        <f t="shared" si="94"/>
        <v>0</v>
      </c>
      <c r="Z116" s="23">
        <f t="shared" si="94"/>
        <v>0</v>
      </c>
      <c r="AA116" s="23">
        <f t="shared" si="94"/>
        <v>0</v>
      </c>
      <c r="AB116" s="23">
        <f t="shared" ref="AB116:AH116" si="95">AB132+AB148+AB164+AB180</f>
        <v>0</v>
      </c>
      <c r="AC116" s="23">
        <f t="shared" si="95"/>
        <v>0</v>
      </c>
      <c r="AD116" s="23">
        <f t="shared" si="95"/>
        <v>0</v>
      </c>
      <c r="AE116" s="23">
        <f t="shared" si="95"/>
        <v>0</v>
      </c>
      <c r="AF116" s="23">
        <f t="shared" si="95"/>
        <v>0</v>
      </c>
      <c r="AG116" s="23">
        <f t="shared" si="95"/>
        <v>0</v>
      </c>
      <c r="AH116" s="22">
        <f t="shared" si="95"/>
        <v>0</v>
      </c>
      <c r="AI116" s="22"/>
    </row>
    <row r="117" spans="1:35" ht="15.75" thickBot="1" x14ac:dyDescent="0.3">
      <c r="A117" s="24" t="s">
        <v>29</v>
      </c>
      <c r="B117" s="24"/>
      <c r="C117" s="24"/>
      <c r="D117" s="24"/>
      <c r="E117" s="24"/>
      <c r="F117" s="24"/>
      <c r="G117" s="24"/>
      <c r="H117" s="25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5">
        <f>SUM(X105:X116)</f>
        <v>0</v>
      </c>
      <c r="Y117" s="25">
        <f t="shared" ref="Y117:AH117" si="96">SUM(Y105:Y116)</f>
        <v>0</v>
      </c>
      <c r="Z117" s="25">
        <f t="shared" si="96"/>
        <v>0</v>
      </c>
      <c r="AA117" s="25">
        <f t="shared" si="96"/>
        <v>0</v>
      </c>
      <c r="AB117" s="25">
        <f t="shared" si="96"/>
        <v>0</v>
      </c>
      <c r="AC117" s="25">
        <f t="shared" si="96"/>
        <v>0</v>
      </c>
      <c r="AD117" s="25">
        <f t="shared" si="96"/>
        <v>0</v>
      </c>
      <c r="AE117" s="25">
        <f t="shared" si="96"/>
        <v>0</v>
      </c>
      <c r="AF117" s="25">
        <f t="shared" si="96"/>
        <v>0</v>
      </c>
      <c r="AG117" s="25">
        <f t="shared" si="96"/>
        <v>0</v>
      </c>
      <c r="AH117" s="27">
        <f t="shared" si="96"/>
        <v>0</v>
      </c>
      <c r="AI117" s="27"/>
    </row>
    <row r="119" spans="1:35" ht="15.75" thickBot="1" x14ac:dyDescent="0.3">
      <c r="A119" s="12" t="s">
        <v>35</v>
      </c>
      <c r="B119" s="13"/>
      <c r="C119" s="13"/>
      <c r="D119" s="13"/>
      <c r="E119" s="13"/>
      <c r="F119" s="13"/>
      <c r="G119" s="13"/>
      <c r="H119" s="1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35" ht="15.75" thickBot="1" x14ac:dyDescent="0.3">
      <c r="A120" s="18" t="s">
        <v>16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spans="1:35" x14ac:dyDescent="0.25">
      <c r="A121" s="8" t="s">
        <v>17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16"/>
    </row>
    <row r="122" spans="1:35" x14ac:dyDescent="0.25">
      <c r="A122" s="8" t="s">
        <v>18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16"/>
    </row>
    <row r="123" spans="1:35" x14ac:dyDescent="0.25">
      <c r="A123" s="8" t="s">
        <v>19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16"/>
    </row>
    <row r="124" spans="1:35" x14ac:dyDescent="0.25">
      <c r="A124" s="8" t="s">
        <v>20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16"/>
    </row>
    <row r="125" spans="1:35" x14ac:dyDescent="0.25">
      <c r="A125" s="8" t="s">
        <v>21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16"/>
    </row>
    <row r="126" spans="1:35" x14ac:dyDescent="0.25">
      <c r="A126" s="8" t="s">
        <v>22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2"/>
      <c r="AI126" s="16"/>
    </row>
    <row r="127" spans="1:35" x14ac:dyDescent="0.25">
      <c r="A127" s="8" t="s">
        <v>23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2"/>
      <c r="AI127" s="16"/>
    </row>
    <row r="128" spans="1:35" x14ac:dyDescent="0.25">
      <c r="A128" s="8" t="s">
        <v>24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2"/>
      <c r="AI128" s="16"/>
    </row>
    <row r="129" spans="1:35" x14ac:dyDescent="0.25">
      <c r="A129" s="8" t="s">
        <v>25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2"/>
      <c r="AI129" s="16"/>
    </row>
    <row r="130" spans="1:35" x14ac:dyDescent="0.25">
      <c r="A130" s="8" t="s">
        <v>26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2"/>
      <c r="AI130" s="16"/>
    </row>
    <row r="131" spans="1:35" x14ac:dyDescent="0.25">
      <c r="A131" s="8" t="s">
        <v>27</v>
      </c>
      <c r="B131" s="8"/>
      <c r="C131" s="8"/>
      <c r="D131" s="8"/>
      <c r="E131" s="8"/>
      <c r="F131" s="8"/>
      <c r="G131" s="8"/>
      <c r="H131" s="23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2"/>
      <c r="AI131" s="16"/>
    </row>
    <row r="132" spans="1:35" x14ac:dyDescent="0.25">
      <c r="A132" s="8" t="s">
        <v>28</v>
      </c>
      <c r="B132" s="8"/>
      <c r="C132" s="8"/>
      <c r="D132" s="8"/>
      <c r="E132" s="8"/>
      <c r="F132" s="8"/>
      <c r="G132" s="8"/>
      <c r="H132" s="23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2"/>
      <c r="AI132" s="22"/>
    </row>
    <row r="133" spans="1:35" ht="15.75" thickBot="1" x14ac:dyDescent="0.3">
      <c r="A133" s="24" t="s">
        <v>29</v>
      </c>
      <c r="B133" s="24"/>
      <c r="C133" s="24"/>
      <c r="D133" s="24"/>
      <c r="E133" s="24"/>
      <c r="F133" s="24"/>
      <c r="G133" s="24"/>
      <c r="H133" s="25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5"/>
      <c r="Y133" s="25"/>
      <c r="Z133" s="25"/>
      <c r="AA133" s="25"/>
      <c r="AB133" s="25"/>
      <c r="AC133" s="25"/>
      <c r="AD133" s="25"/>
      <c r="AE133" s="25"/>
      <c r="AF133" s="17"/>
      <c r="AG133" s="17"/>
      <c r="AH133" s="27"/>
      <c r="AI133" s="27"/>
    </row>
    <row r="135" spans="1:35" ht="15.75" thickBot="1" x14ac:dyDescent="0.3">
      <c r="A135" s="12" t="s">
        <v>36</v>
      </c>
      <c r="B135" s="13"/>
      <c r="C135" s="13"/>
      <c r="D135" s="13"/>
      <c r="E135" s="13"/>
      <c r="F135" s="13"/>
      <c r="G135" s="13"/>
      <c r="H135" s="1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35" ht="15.75" thickBot="1" x14ac:dyDescent="0.3">
      <c r="A136" s="18" t="s">
        <v>16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spans="1:35" x14ac:dyDescent="0.25">
      <c r="A137" s="8" t="s">
        <v>17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16"/>
    </row>
    <row r="138" spans="1:35" x14ac:dyDescent="0.25">
      <c r="A138" s="8" t="s">
        <v>18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16"/>
    </row>
    <row r="139" spans="1:35" x14ac:dyDescent="0.25">
      <c r="A139" s="8" t="s">
        <v>19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16"/>
    </row>
    <row r="140" spans="1:35" x14ac:dyDescent="0.25">
      <c r="A140" s="8" t="s">
        <v>20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16"/>
    </row>
    <row r="141" spans="1:35" x14ac:dyDescent="0.25">
      <c r="A141" s="8" t="s">
        <v>21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16"/>
    </row>
    <row r="142" spans="1:35" x14ac:dyDescent="0.25">
      <c r="A142" s="8" t="s">
        <v>22</v>
      </c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2"/>
      <c r="AI142" s="16"/>
    </row>
    <row r="143" spans="1:35" x14ac:dyDescent="0.25">
      <c r="A143" s="8" t="s">
        <v>23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2"/>
      <c r="AI143" s="16"/>
    </row>
    <row r="144" spans="1:35" x14ac:dyDescent="0.25">
      <c r="A144" s="8" t="s">
        <v>24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2"/>
      <c r="AI144" s="16"/>
    </row>
    <row r="145" spans="1:35" x14ac:dyDescent="0.25">
      <c r="A145" s="8" t="s">
        <v>25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2"/>
      <c r="AI145" s="16"/>
    </row>
    <row r="146" spans="1:35" x14ac:dyDescent="0.25">
      <c r="A146" s="8" t="s">
        <v>26</v>
      </c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2"/>
      <c r="AI146" s="16"/>
    </row>
    <row r="147" spans="1:35" x14ac:dyDescent="0.25">
      <c r="A147" s="8" t="s">
        <v>27</v>
      </c>
      <c r="B147" s="8"/>
      <c r="C147" s="8"/>
      <c r="D147" s="8"/>
      <c r="E147" s="8"/>
      <c r="F147" s="8"/>
      <c r="G147" s="8"/>
      <c r="H147" s="2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2"/>
      <c r="AI147" s="16"/>
    </row>
    <row r="148" spans="1:35" x14ac:dyDescent="0.25">
      <c r="A148" s="8" t="s">
        <v>28</v>
      </c>
      <c r="B148" s="8"/>
      <c r="C148" s="8"/>
      <c r="D148" s="8"/>
      <c r="E148" s="8"/>
      <c r="F148" s="8"/>
      <c r="G148" s="8"/>
      <c r="H148" s="23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2"/>
      <c r="AI148" s="22"/>
    </row>
    <row r="149" spans="1:35" ht="15.75" thickBot="1" x14ac:dyDescent="0.3">
      <c r="A149" s="24" t="s">
        <v>29</v>
      </c>
      <c r="B149" s="24"/>
      <c r="C149" s="24"/>
      <c r="D149" s="24"/>
      <c r="E149" s="24"/>
      <c r="F149" s="24"/>
      <c r="G149" s="24"/>
      <c r="H149" s="25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5"/>
      <c r="Y149" s="25"/>
      <c r="Z149" s="25"/>
      <c r="AA149" s="25"/>
      <c r="AB149" s="25"/>
      <c r="AC149" s="25"/>
      <c r="AD149" s="25"/>
      <c r="AE149" s="25"/>
      <c r="AF149" s="17"/>
      <c r="AG149" s="17"/>
      <c r="AH149" s="27"/>
      <c r="AI149" s="27"/>
    </row>
    <row r="151" spans="1:35" ht="15.75" thickBot="1" x14ac:dyDescent="0.3">
      <c r="A151" s="12" t="s">
        <v>37</v>
      </c>
      <c r="B151" s="13"/>
      <c r="C151" s="13"/>
      <c r="D151" s="13"/>
      <c r="E151" s="13"/>
      <c r="F151" s="13"/>
      <c r="G151" s="13"/>
      <c r="H151" s="1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35" ht="15.75" thickBot="1" x14ac:dyDescent="0.3">
      <c r="A152" s="18" t="s">
        <v>16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spans="1:35" x14ac:dyDescent="0.25">
      <c r="A153" s="8" t="s">
        <v>17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16"/>
    </row>
    <row r="154" spans="1:35" x14ac:dyDescent="0.25">
      <c r="A154" s="8" t="s">
        <v>18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16"/>
    </row>
    <row r="155" spans="1:35" x14ac:dyDescent="0.25">
      <c r="A155" s="8" t="s">
        <v>19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16"/>
    </row>
    <row r="156" spans="1:35" x14ac:dyDescent="0.25">
      <c r="A156" s="8" t="s">
        <v>20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16"/>
    </row>
    <row r="157" spans="1:35" x14ac:dyDescent="0.25">
      <c r="A157" s="8" t="s">
        <v>21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16"/>
    </row>
    <row r="158" spans="1:35" x14ac:dyDescent="0.25">
      <c r="A158" s="8" t="s">
        <v>22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2"/>
      <c r="AI158" s="16"/>
    </row>
    <row r="159" spans="1:35" x14ac:dyDescent="0.25">
      <c r="A159" s="8" t="s">
        <v>23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2"/>
      <c r="AI159" s="16"/>
    </row>
    <row r="160" spans="1:35" x14ac:dyDescent="0.25">
      <c r="A160" s="8" t="s">
        <v>24</v>
      </c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2"/>
      <c r="AI160" s="16"/>
    </row>
    <row r="161" spans="1:35" x14ac:dyDescent="0.25">
      <c r="A161" s="8" t="s">
        <v>25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2"/>
      <c r="AI161" s="16"/>
    </row>
    <row r="162" spans="1:35" x14ac:dyDescent="0.25">
      <c r="A162" s="8" t="s">
        <v>26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2"/>
      <c r="AI162" s="16"/>
    </row>
    <row r="163" spans="1:35" x14ac:dyDescent="0.25">
      <c r="A163" s="8" t="s">
        <v>27</v>
      </c>
      <c r="B163" s="8"/>
      <c r="C163" s="8"/>
      <c r="D163" s="8"/>
      <c r="E163" s="8"/>
      <c r="F163" s="8"/>
      <c r="G163" s="8"/>
      <c r="H163" s="23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2"/>
      <c r="AI163" s="16"/>
    </row>
    <row r="164" spans="1:35" x14ac:dyDescent="0.25">
      <c r="A164" s="8" t="s">
        <v>28</v>
      </c>
      <c r="B164" s="8"/>
      <c r="C164" s="8"/>
      <c r="D164" s="8"/>
      <c r="E164" s="8"/>
      <c r="F164" s="8"/>
      <c r="G164" s="8"/>
      <c r="H164" s="23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2"/>
      <c r="AI164" s="22"/>
    </row>
    <row r="165" spans="1:35" ht="15.75" thickBot="1" x14ac:dyDescent="0.3">
      <c r="A165" s="24" t="s">
        <v>29</v>
      </c>
      <c r="B165" s="24"/>
      <c r="C165" s="24"/>
      <c r="D165" s="24"/>
      <c r="E165" s="24"/>
      <c r="F165" s="24"/>
      <c r="G165" s="24"/>
      <c r="H165" s="25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5"/>
      <c r="Y165" s="25"/>
      <c r="Z165" s="25"/>
      <c r="AA165" s="25"/>
      <c r="AB165" s="25"/>
      <c r="AC165" s="25"/>
      <c r="AD165" s="25"/>
      <c r="AE165" s="25"/>
      <c r="AF165" s="17"/>
      <c r="AG165" s="17"/>
      <c r="AH165" s="27"/>
      <c r="AI165" s="27"/>
    </row>
    <row r="167" spans="1:35" ht="15.75" thickBot="1" x14ac:dyDescent="0.3">
      <c r="A167" s="12" t="s">
        <v>55</v>
      </c>
    </row>
    <row r="168" spans="1:35" ht="15.75" thickBot="1" x14ac:dyDescent="0.3">
      <c r="A168" s="18" t="s">
        <v>16</v>
      </c>
      <c r="X168" s="15" t="str">
        <f>X3</f>
        <v>2015/16</v>
      </c>
      <c r="Y168" s="15" t="str">
        <f t="shared" ref="Y168:AI168" si="97">Y3</f>
        <v>2016/17</v>
      </c>
      <c r="Z168" s="15" t="str">
        <f t="shared" si="97"/>
        <v>2017/18</v>
      </c>
      <c r="AA168" s="15" t="str">
        <f t="shared" si="97"/>
        <v>2018/19</v>
      </c>
      <c r="AB168" s="15" t="str">
        <f t="shared" si="97"/>
        <v>2019/20</v>
      </c>
      <c r="AC168" s="15" t="str">
        <f t="shared" si="97"/>
        <v>2020/21</v>
      </c>
      <c r="AD168" s="15" t="str">
        <f t="shared" si="97"/>
        <v>2021/22</v>
      </c>
      <c r="AE168" s="15" t="str">
        <f t="shared" si="97"/>
        <v>2022/23</v>
      </c>
      <c r="AF168" s="15" t="str">
        <f t="shared" si="97"/>
        <v>2023/24</v>
      </c>
      <c r="AG168" s="15" t="str">
        <f t="shared" si="97"/>
        <v>2024/25</v>
      </c>
      <c r="AH168" s="15" t="str">
        <f t="shared" si="97"/>
        <v>2025/26</v>
      </c>
      <c r="AI168" s="15" t="str">
        <f t="shared" si="97"/>
        <v>2026/27</v>
      </c>
    </row>
    <row r="169" spans="1:35" x14ac:dyDescent="0.25">
      <c r="A169" s="8" t="s">
        <v>17</v>
      </c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2"/>
    </row>
    <row r="170" spans="1:35" x14ac:dyDescent="0.25">
      <c r="A170" s="8" t="s">
        <v>18</v>
      </c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2"/>
    </row>
    <row r="171" spans="1:35" x14ac:dyDescent="0.25">
      <c r="A171" s="8" t="s">
        <v>19</v>
      </c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2"/>
    </row>
    <row r="172" spans="1:35" x14ac:dyDescent="0.25">
      <c r="A172" s="8" t="s">
        <v>20</v>
      </c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2"/>
    </row>
    <row r="173" spans="1:35" x14ac:dyDescent="0.25">
      <c r="A173" s="8" t="s">
        <v>21</v>
      </c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2"/>
    </row>
    <row r="174" spans="1:35" x14ac:dyDescent="0.25">
      <c r="A174" s="8" t="s">
        <v>22</v>
      </c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2"/>
      <c r="AI174" s="22"/>
    </row>
    <row r="175" spans="1:35" x14ac:dyDescent="0.25">
      <c r="A175" s="8" t="s">
        <v>23</v>
      </c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2"/>
      <c r="AI175" s="22"/>
    </row>
    <row r="176" spans="1:35" x14ac:dyDescent="0.25">
      <c r="A176" s="8" t="s">
        <v>24</v>
      </c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2"/>
      <c r="AI176" s="22"/>
    </row>
    <row r="177" spans="1:35" x14ac:dyDescent="0.25">
      <c r="A177" s="8" t="s">
        <v>25</v>
      </c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2"/>
      <c r="AI177" s="22"/>
    </row>
    <row r="178" spans="1:35" x14ac:dyDescent="0.25">
      <c r="A178" s="8" t="s">
        <v>26</v>
      </c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2"/>
      <c r="AI178" s="22"/>
    </row>
    <row r="179" spans="1:35" x14ac:dyDescent="0.25">
      <c r="A179" s="8" t="s">
        <v>27</v>
      </c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2"/>
      <c r="AI179" s="22"/>
    </row>
    <row r="180" spans="1:35" x14ac:dyDescent="0.25">
      <c r="A180" s="8" t="s">
        <v>28</v>
      </c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2"/>
      <c r="AI180" s="22"/>
    </row>
    <row r="181" spans="1:35" ht="15.75" thickBot="1" x14ac:dyDescent="0.3">
      <c r="A181" s="24" t="s">
        <v>29</v>
      </c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7"/>
      <c r="AI181" s="27"/>
    </row>
    <row r="183" spans="1:35" ht="15.75" thickBot="1" x14ac:dyDescent="0.3">
      <c r="A183" s="12" t="s">
        <v>38</v>
      </c>
      <c r="B183" s="13"/>
      <c r="C183" s="13"/>
      <c r="D183" s="13"/>
      <c r="E183" s="13"/>
      <c r="F183" s="13"/>
      <c r="G183" s="13"/>
      <c r="H183" s="1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35" ht="15.75" thickBot="1" x14ac:dyDescent="0.3">
      <c r="A184" s="18" t="s">
        <v>16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 t="str">
        <f t="shared" ref="X184:AH184" si="98">X3</f>
        <v>2015/16</v>
      </c>
      <c r="Y184" s="15" t="str">
        <f t="shared" si="98"/>
        <v>2016/17</v>
      </c>
      <c r="Z184" s="15" t="str">
        <f t="shared" si="98"/>
        <v>2017/18</v>
      </c>
      <c r="AA184" s="15" t="str">
        <f t="shared" si="98"/>
        <v>2018/19</v>
      </c>
      <c r="AB184" s="15" t="str">
        <f t="shared" si="98"/>
        <v>2019/20</v>
      </c>
      <c r="AC184" s="15" t="str">
        <f t="shared" si="98"/>
        <v>2020/21</v>
      </c>
      <c r="AD184" s="15" t="str">
        <f t="shared" si="98"/>
        <v>2021/22</v>
      </c>
      <c r="AE184" s="15" t="str">
        <f t="shared" si="98"/>
        <v>2022/23</v>
      </c>
      <c r="AF184" s="15" t="str">
        <f t="shared" si="98"/>
        <v>2023/24</v>
      </c>
      <c r="AG184" s="15" t="str">
        <f t="shared" si="98"/>
        <v>2024/25</v>
      </c>
      <c r="AH184" s="15" t="str">
        <f t="shared" si="98"/>
        <v>2025/26</v>
      </c>
      <c r="AI184" s="15" t="str">
        <f>AI3</f>
        <v>2026/27</v>
      </c>
    </row>
    <row r="185" spans="1:35" x14ac:dyDescent="0.25">
      <c r="A185" s="8" t="s">
        <v>17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23">
        <f>X89-X105</f>
        <v>0</v>
      </c>
      <c r="Y185" s="23">
        <f t="shared" ref="Y185:AG185" si="99">Y89-Y105</f>
        <v>115.34600000000002</v>
      </c>
      <c r="Z185" s="23">
        <f t="shared" si="99"/>
        <v>109.42</v>
      </c>
      <c r="AA185" s="23">
        <f t="shared" si="99"/>
        <v>105.217</v>
      </c>
      <c r="AB185" s="23">
        <f t="shared" si="99"/>
        <v>114.60900000000001</v>
      </c>
      <c r="AC185" s="23">
        <f t="shared" si="99"/>
        <v>94.307000000000002</v>
      </c>
      <c r="AD185" s="23">
        <f t="shared" si="99"/>
        <v>104.062</v>
      </c>
      <c r="AE185" s="23">
        <f t="shared" si="99"/>
        <v>106.962</v>
      </c>
      <c r="AF185" s="23">
        <f t="shared" si="99"/>
        <v>107.857</v>
      </c>
      <c r="AG185" s="23">
        <f t="shared" si="99"/>
        <v>92.021000000000001</v>
      </c>
      <c r="AH185" s="23">
        <f t="shared" ref="AH185" si="100">AH89-AH105</f>
        <v>97.744</v>
      </c>
      <c r="AI185" s="22">
        <f t="shared" ref="AI185:AI189" si="101">AI$197*(SUM(AD185:AH185)/SUM(AD$197:AH$197))</f>
        <v>98.240826109812943</v>
      </c>
    </row>
    <row r="186" spans="1:35" x14ac:dyDescent="0.25">
      <c r="A186" s="8" t="s">
        <v>18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23">
        <f t="shared" ref="X186:AG196" si="102">X90-X106</f>
        <v>0</v>
      </c>
      <c r="Y186" s="23">
        <f t="shared" si="102"/>
        <v>127.95399999999998</v>
      </c>
      <c r="Z186" s="23">
        <f t="shared" si="102"/>
        <v>116.895</v>
      </c>
      <c r="AA186" s="23">
        <f t="shared" si="102"/>
        <v>114.29900000000001</v>
      </c>
      <c r="AB186" s="23">
        <f t="shared" si="102"/>
        <v>119.53299999999999</v>
      </c>
      <c r="AC186" s="23">
        <f t="shared" si="102"/>
        <v>115.35800000000002</v>
      </c>
      <c r="AD186" s="23">
        <f t="shared" si="102"/>
        <v>127.44999999999999</v>
      </c>
      <c r="AE186" s="23">
        <f t="shared" si="102"/>
        <v>116.98</v>
      </c>
      <c r="AF186" s="23">
        <f t="shared" si="102"/>
        <v>117.80499999999999</v>
      </c>
      <c r="AG186" s="23">
        <f t="shared" si="102"/>
        <v>121.36000000000001</v>
      </c>
      <c r="AH186" s="23">
        <f t="shared" ref="AH186" si="103">AH90-AH106</f>
        <v>109.214</v>
      </c>
      <c r="AI186" s="22">
        <f t="shared" si="101"/>
        <v>114.49622308114505</v>
      </c>
    </row>
    <row r="187" spans="1:35" x14ac:dyDescent="0.25">
      <c r="A187" s="8" t="s">
        <v>19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23">
        <f t="shared" si="102"/>
        <v>0</v>
      </c>
      <c r="Y187" s="23">
        <f t="shared" si="102"/>
        <v>124.59300000000002</v>
      </c>
      <c r="Z187" s="23">
        <f t="shared" si="102"/>
        <v>103.351</v>
      </c>
      <c r="AA187" s="23">
        <f t="shared" si="102"/>
        <v>117.75999999999999</v>
      </c>
      <c r="AB187" s="23">
        <f t="shared" si="102"/>
        <v>111.26600000000001</v>
      </c>
      <c r="AC187" s="23">
        <f t="shared" si="102"/>
        <v>114.2</v>
      </c>
      <c r="AD187" s="23">
        <f t="shared" si="102"/>
        <v>126.35900000000001</v>
      </c>
      <c r="AE187" s="23">
        <f t="shared" si="102"/>
        <v>111.093</v>
      </c>
      <c r="AF187" s="23">
        <f t="shared" si="102"/>
        <v>112.50300000000001</v>
      </c>
      <c r="AG187" s="23">
        <f t="shared" si="102"/>
        <v>98.224999999999994</v>
      </c>
      <c r="AH187" s="23">
        <f t="shared" ref="AH187" si="104">AH91-AH107</f>
        <v>105.624</v>
      </c>
      <c r="AI187" s="22">
        <f t="shared" si="101"/>
        <v>106.96272547689132</v>
      </c>
    </row>
    <row r="188" spans="1:35" x14ac:dyDescent="0.25">
      <c r="A188" s="8" t="s">
        <v>20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23">
        <f t="shared" si="102"/>
        <v>0</v>
      </c>
      <c r="Y188" s="23">
        <f t="shared" si="102"/>
        <v>109.919</v>
      </c>
      <c r="Z188" s="23">
        <f t="shared" si="102"/>
        <v>96.106999999999999</v>
      </c>
      <c r="AA188" s="23">
        <f t="shared" si="102"/>
        <v>112.00099999999999</v>
      </c>
      <c r="AB188" s="23">
        <f t="shared" si="102"/>
        <v>114.833</v>
      </c>
      <c r="AC188" s="23">
        <f t="shared" si="102"/>
        <v>108.526</v>
      </c>
      <c r="AD188" s="23">
        <f t="shared" si="102"/>
        <v>107.28699999999999</v>
      </c>
      <c r="AE188" s="23">
        <f t="shared" si="102"/>
        <v>114.05799999999999</v>
      </c>
      <c r="AF188" s="23">
        <f t="shared" si="102"/>
        <v>116.461</v>
      </c>
      <c r="AG188" s="23">
        <f t="shared" si="102"/>
        <v>102.953</v>
      </c>
      <c r="AH188" s="23">
        <f t="shared" ref="AH188" si="105">AH92-AH108</f>
        <v>100.268</v>
      </c>
      <c r="AI188" s="22">
        <f t="shared" si="101"/>
        <v>104.4949521429713</v>
      </c>
    </row>
    <row r="189" spans="1:35" x14ac:dyDescent="0.25">
      <c r="A189" s="8" t="s">
        <v>21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23">
        <f t="shared" si="102"/>
        <v>0</v>
      </c>
      <c r="Y189" s="23">
        <f t="shared" si="102"/>
        <v>123.02099999999999</v>
      </c>
      <c r="Z189" s="23">
        <f t="shared" si="102"/>
        <v>124.29099999999998</v>
      </c>
      <c r="AA189" s="23">
        <f t="shared" si="102"/>
        <v>131.07900000000001</v>
      </c>
      <c r="AB189" s="23">
        <f t="shared" si="102"/>
        <v>125.80299999999998</v>
      </c>
      <c r="AC189" s="23">
        <f t="shared" si="102"/>
        <v>111.63200000000001</v>
      </c>
      <c r="AD189" s="23">
        <f t="shared" si="102"/>
        <v>120.964</v>
      </c>
      <c r="AE189" s="23">
        <f t="shared" si="102"/>
        <v>121.22300000000001</v>
      </c>
      <c r="AF189" s="23">
        <f t="shared" si="102"/>
        <v>116.488</v>
      </c>
      <c r="AG189" s="23">
        <f t="shared" si="102"/>
        <v>111.83899999999998</v>
      </c>
      <c r="AH189" s="23">
        <f t="shared" ref="AH189" si="106">AH93-AH109</f>
        <v>111.342</v>
      </c>
      <c r="AI189" s="22">
        <f t="shared" si="101"/>
        <v>112.3807404697006</v>
      </c>
    </row>
    <row r="190" spans="1:35" x14ac:dyDescent="0.25">
      <c r="A190" s="8" t="s">
        <v>22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23">
        <f t="shared" si="102"/>
        <v>100.87</v>
      </c>
      <c r="Y190" s="23">
        <f t="shared" si="102"/>
        <v>112.848</v>
      </c>
      <c r="Z190" s="23">
        <f t="shared" si="102"/>
        <v>110.77800000000001</v>
      </c>
      <c r="AA190" s="23">
        <f t="shared" si="102"/>
        <v>120.86799999999999</v>
      </c>
      <c r="AB190" s="23">
        <f t="shared" si="102"/>
        <v>126.383</v>
      </c>
      <c r="AC190" s="23">
        <f t="shared" si="102"/>
        <v>107.621</v>
      </c>
      <c r="AD190" s="23">
        <f t="shared" si="102"/>
        <v>122.379</v>
      </c>
      <c r="AE190" s="23">
        <f t="shared" si="102"/>
        <v>120.276</v>
      </c>
      <c r="AF190" s="23">
        <f t="shared" si="102"/>
        <v>109.65700000000001</v>
      </c>
      <c r="AG190" s="23">
        <f t="shared" si="102"/>
        <v>94.844000000000008</v>
      </c>
      <c r="AH190" s="22">
        <f>AH$197*(SUM(AC190:AG190)/SUM(AC$197:AG$197))</f>
        <v>107.61701682572972</v>
      </c>
      <c r="AI190" s="22">
        <f>AI$197*(SUM(AD190:AH190)/SUM(AD$197:AH$197))</f>
        <v>107.14988317295891</v>
      </c>
    </row>
    <row r="191" spans="1:35" x14ac:dyDescent="0.25">
      <c r="A191" s="8" t="s">
        <v>23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23">
        <f t="shared" si="102"/>
        <v>110.94499999999999</v>
      </c>
      <c r="Y191" s="23">
        <f t="shared" si="102"/>
        <v>101.949</v>
      </c>
      <c r="Z191" s="23">
        <f t="shared" si="102"/>
        <v>105.26899999999999</v>
      </c>
      <c r="AA191" s="23">
        <f t="shared" si="102"/>
        <v>104.425</v>
      </c>
      <c r="AB191" s="23">
        <f t="shared" si="102"/>
        <v>93.190000000000012</v>
      </c>
      <c r="AC191" s="23">
        <f t="shared" si="102"/>
        <v>96.309999999999988</v>
      </c>
      <c r="AD191" s="23">
        <f t="shared" si="102"/>
        <v>121.50700000000001</v>
      </c>
      <c r="AE191" s="23">
        <f t="shared" si="102"/>
        <v>101.361</v>
      </c>
      <c r="AF191" s="23">
        <f t="shared" si="102"/>
        <v>98.615999999999985</v>
      </c>
      <c r="AG191" s="23">
        <f t="shared" si="102"/>
        <v>109.76900000000001</v>
      </c>
      <c r="AH191" s="22">
        <f t="shared" ref="AH191:AI195" si="107">AH$197*(SUM(AC191:AG191)/SUM(AC$197:AG$197))</f>
        <v>102.33797768766991</v>
      </c>
      <c r="AI191" s="22">
        <f t="shared" si="107"/>
        <v>103.05874508553978</v>
      </c>
    </row>
    <row r="192" spans="1:35" x14ac:dyDescent="0.25">
      <c r="A192" s="8" t="s">
        <v>24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23">
        <f t="shared" si="102"/>
        <v>115.57000000000001</v>
      </c>
      <c r="Y192" s="23">
        <f t="shared" si="102"/>
        <v>109.11800000000001</v>
      </c>
      <c r="Z192" s="23">
        <f t="shared" si="102"/>
        <v>112.73099999999999</v>
      </c>
      <c r="AA192" s="23">
        <f t="shared" si="102"/>
        <v>118.721</v>
      </c>
      <c r="AB192" s="23">
        <f t="shared" si="102"/>
        <v>108.73099999999999</v>
      </c>
      <c r="AC192" s="23">
        <f t="shared" si="102"/>
        <v>97.570000000000007</v>
      </c>
      <c r="AD192" s="23">
        <f t="shared" si="102"/>
        <v>122.03700000000001</v>
      </c>
      <c r="AE192" s="23">
        <f t="shared" si="102"/>
        <v>119.24499999999999</v>
      </c>
      <c r="AF192" s="23">
        <f t="shared" si="102"/>
        <v>85.63300000000001</v>
      </c>
      <c r="AG192" s="23">
        <f t="shared" si="102"/>
        <v>106.54499999999999</v>
      </c>
      <c r="AH192" s="22">
        <f t="shared" si="107"/>
        <v>103.01051493657317</v>
      </c>
      <c r="AI192" s="22">
        <f t="shared" si="107"/>
        <v>103.61490421811177</v>
      </c>
    </row>
    <row r="193" spans="1:35" x14ac:dyDescent="0.25">
      <c r="A193" s="8" t="s">
        <v>25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23">
        <f t="shared" si="102"/>
        <v>115.59400000000001</v>
      </c>
      <c r="Y193" s="23">
        <f t="shared" si="102"/>
        <v>119.718</v>
      </c>
      <c r="Z193" s="23">
        <f t="shared" si="102"/>
        <v>99.85</v>
      </c>
      <c r="AA193" s="23">
        <f t="shared" si="102"/>
        <v>110.11899999999999</v>
      </c>
      <c r="AB193" s="23">
        <f t="shared" si="102"/>
        <v>113.83399999999999</v>
      </c>
      <c r="AC193" s="23">
        <f t="shared" si="102"/>
        <v>90.626999999999995</v>
      </c>
      <c r="AD193" s="23">
        <f t="shared" si="102"/>
        <v>114.788</v>
      </c>
      <c r="AE193" s="23">
        <f t="shared" si="102"/>
        <v>111.00800000000001</v>
      </c>
      <c r="AF193" s="23">
        <f t="shared" si="102"/>
        <v>103.438</v>
      </c>
      <c r="AG193" s="23">
        <f t="shared" si="102"/>
        <v>97.391000000000005</v>
      </c>
      <c r="AH193" s="22">
        <f t="shared" si="107"/>
        <v>100.33782436391981</v>
      </c>
      <c r="AI193" s="22">
        <f t="shared" si="107"/>
        <v>101.77857133383877</v>
      </c>
    </row>
    <row r="194" spans="1:35" x14ac:dyDescent="0.25">
      <c r="A194" s="8" t="s">
        <v>26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23">
        <f t="shared" si="102"/>
        <v>96.350000000000009</v>
      </c>
      <c r="Y194" s="23">
        <f t="shared" si="102"/>
        <v>87.531999999999996</v>
      </c>
      <c r="Z194" s="23">
        <f t="shared" si="102"/>
        <v>89.392999999999986</v>
      </c>
      <c r="AA194" s="23">
        <f t="shared" si="102"/>
        <v>93.927000000000007</v>
      </c>
      <c r="AB194" s="23">
        <f t="shared" si="102"/>
        <v>99.26</v>
      </c>
      <c r="AC194" s="23">
        <f t="shared" si="102"/>
        <v>83.531999999999996</v>
      </c>
      <c r="AD194" s="23">
        <f t="shared" si="102"/>
        <v>96.167000000000002</v>
      </c>
      <c r="AE194" s="23">
        <f t="shared" si="102"/>
        <v>91.25800000000001</v>
      </c>
      <c r="AF194" s="23">
        <f t="shared" si="102"/>
        <v>101.60299999999999</v>
      </c>
      <c r="AG194" s="23">
        <f t="shared" si="102"/>
        <v>91.27</v>
      </c>
      <c r="AH194" s="22">
        <f t="shared" si="107"/>
        <v>89.974892459994237</v>
      </c>
      <c r="AI194" s="22">
        <f t="shared" si="107"/>
        <v>90.829373380152532</v>
      </c>
    </row>
    <row r="195" spans="1:35" x14ac:dyDescent="0.25">
      <c r="A195" s="8" t="s">
        <v>27</v>
      </c>
      <c r="B195" s="8"/>
      <c r="C195" s="8"/>
      <c r="D195" s="8"/>
      <c r="E195" s="8"/>
      <c r="F195" s="8"/>
      <c r="G195" s="8"/>
      <c r="H195" s="23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23">
        <f t="shared" si="102"/>
        <v>115.58699999999999</v>
      </c>
      <c r="Y195" s="23">
        <f t="shared" si="102"/>
        <v>112.03700000000001</v>
      </c>
      <c r="Z195" s="23">
        <f t="shared" si="102"/>
        <v>114.471</v>
      </c>
      <c r="AA195" s="23">
        <f t="shared" si="102"/>
        <v>105.371</v>
      </c>
      <c r="AB195" s="23">
        <f t="shared" si="102"/>
        <v>103.03500000000001</v>
      </c>
      <c r="AC195" s="23">
        <f t="shared" si="102"/>
        <v>95.184999999999988</v>
      </c>
      <c r="AD195" s="23">
        <f t="shared" si="102"/>
        <v>111.777</v>
      </c>
      <c r="AE195" s="23">
        <f t="shared" si="102"/>
        <v>126.203</v>
      </c>
      <c r="AF195" s="23">
        <f t="shared" si="102"/>
        <v>109.521</v>
      </c>
      <c r="AG195" s="23">
        <f t="shared" si="102"/>
        <v>103.04300000000001</v>
      </c>
      <c r="AH195" s="22">
        <f t="shared" si="107"/>
        <v>105.8618633708475</v>
      </c>
      <c r="AI195" s="22">
        <f t="shared" si="107"/>
        <v>107.46525416477428</v>
      </c>
    </row>
    <row r="196" spans="1:35" x14ac:dyDescent="0.25">
      <c r="A196" s="8" t="s">
        <v>28</v>
      </c>
      <c r="B196" s="8"/>
      <c r="C196" s="8"/>
      <c r="D196" s="8"/>
      <c r="E196" s="8"/>
      <c r="F196" s="8"/>
      <c r="G196" s="8"/>
      <c r="H196" s="23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23">
        <f t="shared" si="102"/>
        <v>110.407</v>
      </c>
      <c r="Y196" s="23">
        <f t="shared" si="102"/>
        <v>101.878</v>
      </c>
      <c r="Z196" s="23">
        <f t="shared" si="102"/>
        <v>102.78100000000001</v>
      </c>
      <c r="AA196" s="23">
        <f t="shared" si="102"/>
        <v>105.645</v>
      </c>
      <c r="AB196" s="23">
        <f t="shared" si="102"/>
        <v>106.40099999999998</v>
      </c>
      <c r="AC196" s="23">
        <f t="shared" si="102"/>
        <v>101.908</v>
      </c>
      <c r="AD196" s="23">
        <f t="shared" si="102"/>
        <v>108.777</v>
      </c>
      <c r="AE196" s="23">
        <f t="shared" si="102"/>
        <v>98.367000000000004</v>
      </c>
      <c r="AF196" s="23">
        <f t="shared" si="102"/>
        <v>95.787999999999997</v>
      </c>
      <c r="AG196" s="23">
        <f t="shared" si="102"/>
        <v>100.88699999999999</v>
      </c>
      <c r="AH196" s="22">
        <f>AH197-SUM(AH185:AH195)</f>
        <v>116.6679103552658</v>
      </c>
      <c r="AI196" s="22">
        <f>AI197-SUM(AI185:AI195)</f>
        <v>100.52780136410274</v>
      </c>
    </row>
    <row r="197" spans="1:35" ht="15.75" thickBot="1" x14ac:dyDescent="0.3">
      <c r="A197" s="24" t="s">
        <v>29</v>
      </c>
      <c r="B197" s="24"/>
      <c r="C197" s="24"/>
      <c r="D197" s="24"/>
      <c r="E197" s="24"/>
      <c r="F197" s="24"/>
      <c r="G197" s="24"/>
      <c r="H197" s="25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17">
        <f t="shared" ref="X197:AF197" si="108">SUM(X185:X196)</f>
        <v>765.32299999999998</v>
      </c>
      <c r="Y197" s="17">
        <f t="shared" si="108"/>
        <v>1345.9129999999998</v>
      </c>
      <c r="Z197" s="17">
        <f t="shared" si="108"/>
        <v>1285.337</v>
      </c>
      <c r="AA197" s="17">
        <f t="shared" si="108"/>
        <v>1339.4319999999998</v>
      </c>
      <c r="AB197" s="17">
        <f t="shared" si="108"/>
        <v>1336.8780000000002</v>
      </c>
      <c r="AC197" s="17">
        <f t="shared" si="108"/>
        <v>1216.7759999999998</v>
      </c>
      <c r="AD197" s="17">
        <f t="shared" si="108"/>
        <v>1383.5540000000001</v>
      </c>
      <c r="AE197" s="17">
        <f t="shared" si="108"/>
        <v>1338.0339999999999</v>
      </c>
      <c r="AF197" s="17">
        <f t="shared" si="108"/>
        <v>1275.3700000000001</v>
      </c>
      <c r="AG197" s="17">
        <f>SUM(AG185:AG196)</f>
        <v>1230.1469999999997</v>
      </c>
      <c r="AH197" s="27">
        <v>1250</v>
      </c>
      <c r="AI197" s="27">
        <v>1251</v>
      </c>
    </row>
    <row r="199" spans="1:35" ht="15.75" thickBot="1" x14ac:dyDescent="0.3">
      <c r="A199" s="12" t="s">
        <v>39</v>
      </c>
      <c r="B199" s="13"/>
      <c r="C199" s="13"/>
      <c r="D199" s="13"/>
      <c r="E199" s="13"/>
      <c r="F199" s="13"/>
      <c r="G199" s="13"/>
      <c r="H199" s="1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35" ht="15.75" thickBot="1" x14ac:dyDescent="0.3">
      <c r="A200" s="18" t="s">
        <v>16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 t="str">
        <f t="shared" ref="X200:AH200" si="109">X3</f>
        <v>2015/16</v>
      </c>
      <c r="Y200" s="15" t="str">
        <f t="shared" si="109"/>
        <v>2016/17</v>
      </c>
      <c r="Z200" s="15" t="str">
        <f t="shared" si="109"/>
        <v>2017/18</v>
      </c>
      <c r="AA200" s="15" t="str">
        <f t="shared" si="109"/>
        <v>2018/19</v>
      </c>
      <c r="AB200" s="15" t="str">
        <f t="shared" si="109"/>
        <v>2019/20</v>
      </c>
      <c r="AC200" s="15" t="str">
        <f t="shared" si="109"/>
        <v>2020/21</v>
      </c>
      <c r="AD200" s="15" t="str">
        <f t="shared" si="109"/>
        <v>2021/22</v>
      </c>
      <c r="AE200" s="15" t="str">
        <f t="shared" si="109"/>
        <v>2022/23</v>
      </c>
      <c r="AF200" s="15" t="str">
        <f t="shared" si="109"/>
        <v>2023/24</v>
      </c>
      <c r="AG200" s="15" t="str">
        <f t="shared" si="109"/>
        <v>2024/25</v>
      </c>
      <c r="AH200" s="15" t="str">
        <f t="shared" si="109"/>
        <v>2025/26</v>
      </c>
      <c r="AI200" s="15" t="str">
        <f>AI3</f>
        <v>2026/27</v>
      </c>
    </row>
    <row r="201" spans="1:35" x14ac:dyDescent="0.25">
      <c r="A201" s="8" t="s">
        <v>17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23">
        <f>'[2]NASS Low CI'!D437/1000000</f>
        <v>0</v>
      </c>
      <c r="Y201" s="23">
        <f>'[2]NASS Low CI'!D449/1000000</f>
        <v>13.914</v>
      </c>
      <c r="Z201" s="23">
        <f>'[2]NASS Low CI'!D461/1000000</f>
        <v>8.0980000000000008</v>
      </c>
      <c r="AA201" s="23">
        <f>'[2]NASS Low CI'!D473/1000000</f>
        <v>7.5289999999999999</v>
      </c>
      <c r="AB201" s="23">
        <f>'[2]NASS Low CI'!D485/1000000</f>
        <v>6.5640000000000001</v>
      </c>
      <c r="AC201" s="23">
        <f>'[2]NASS Low CI'!D497/1000000</f>
        <v>11.586</v>
      </c>
      <c r="AD201" s="23">
        <f>'[2]NASS Low CI'!D509/1000000</f>
        <v>6.7009999999999996</v>
      </c>
      <c r="AE201" s="23">
        <f>'[2]NASS Low CI'!D521/1000000</f>
        <v>7.1529999999999996</v>
      </c>
      <c r="AF201" s="23">
        <f>'[2]NASS Low CI'!D533/1000000</f>
        <v>5.7</v>
      </c>
      <c r="AG201" s="23">
        <f>'[2]NASS Low CI'!D545/1000000</f>
        <v>10.816000000000001</v>
      </c>
      <c r="AH201" s="23">
        <f>'[2]NASS Low CI'!D557/1000000</f>
        <v>7.2</v>
      </c>
      <c r="AI201" s="22" t="e">
        <f>AH212+AI25+AI57-AI73-AI89</f>
        <v>#DIV/0!</v>
      </c>
    </row>
    <row r="202" spans="1:35" x14ac:dyDescent="0.25">
      <c r="A202" s="8" t="s">
        <v>18</v>
      </c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23">
        <f>'[2]NASS Low CI'!D438/1000000</f>
        <v>0</v>
      </c>
      <c r="Y202" s="23">
        <f>'[2]NASS Low CI'!D450/1000000</f>
        <v>13.656000000000001</v>
      </c>
      <c r="Z202" s="23">
        <f>'[2]NASS Low CI'!D462/1000000</f>
        <v>8.1850000000000005</v>
      </c>
      <c r="AA202" s="23">
        <f>'[2]NASS Low CI'!D474/1000000</f>
        <v>9.9659999999999993</v>
      </c>
      <c r="AB202" s="23">
        <f>'[2]NASS Low CI'!D486/1000000</f>
        <v>8.4120000000000008</v>
      </c>
      <c r="AC202" s="23">
        <f>'[2]NASS Low CI'!D498/1000000</f>
        <v>13.145</v>
      </c>
      <c r="AD202" s="23">
        <f>'[2]NASS Low CI'!D510/1000000</f>
        <v>9.2390000000000008</v>
      </c>
      <c r="AE202" s="23">
        <f>'[2]NASS Low CI'!D522/1000000</f>
        <v>6.766</v>
      </c>
      <c r="AF202" s="23">
        <f>'[2]NASS Low CI'!D534/1000000</f>
        <v>6.87</v>
      </c>
      <c r="AG202" s="23">
        <f>'[2]NASS Low CI'!D546/1000000</f>
        <v>6.5670000000000002</v>
      </c>
      <c r="AH202" s="23">
        <f>'[2]NASS Low CI'!D558/1000000</f>
        <v>6.9390000000000001</v>
      </c>
      <c r="AI202" s="22" t="e">
        <f t="shared" ref="AI202:AI205" si="110">AI201+AI26+AI58-AI74-AI90</f>
        <v>#DIV/0!</v>
      </c>
    </row>
    <row r="203" spans="1:35" x14ac:dyDescent="0.25">
      <c r="A203" s="8" t="s">
        <v>19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23">
        <f>'[2]NASS Low CI'!D439/1000000</f>
        <v>0</v>
      </c>
      <c r="Y203" s="23">
        <f>'[2]NASS Low CI'!D451/1000000</f>
        <v>10.462999999999999</v>
      </c>
      <c r="Z203" s="23">
        <f>'[2]NASS Low CI'!D463/1000000</f>
        <v>8.5229999999999997</v>
      </c>
      <c r="AA203" s="23">
        <f>'[2]NASS Low CI'!D475/1000000</f>
        <v>10.529</v>
      </c>
      <c r="AB203" s="23">
        <f>'[2]NASS Low CI'!D487/1000000</f>
        <v>9.7379999999999995</v>
      </c>
      <c r="AC203" s="23">
        <f>'[2]NASS Low CI'!D499/1000000</f>
        <v>9.577</v>
      </c>
      <c r="AD203" s="23">
        <f>'[2]NASS Low CI'!D511/1000000</f>
        <v>6.3150000000000004</v>
      </c>
      <c r="AE203" s="23">
        <f>'[2]NASS Low CI'!D523/1000000</f>
        <v>6.6539999999999999</v>
      </c>
      <c r="AF203" s="23">
        <f>'[2]NASS Low CI'!D535/1000000</f>
        <v>7.2759999999999998</v>
      </c>
      <c r="AG203" s="23">
        <f>'[2]NASS Low CI'!D547/1000000</f>
        <v>9.84</v>
      </c>
      <c r="AH203" s="23">
        <f>'[2]NASS Low CI'!D559/1000000</f>
        <v>8.8510000000000009</v>
      </c>
      <c r="AI203" s="22" t="e">
        <f t="shared" si="110"/>
        <v>#DIV/0!</v>
      </c>
    </row>
    <row r="204" spans="1:35" x14ac:dyDescent="0.25">
      <c r="A204" s="8" t="s">
        <v>20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23">
        <f>'[2]NASS Low CI'!D440/1000000</f>
        <v>0</v>
      </c>
      <c r="Y204" s="23">
        <f>'[2]NASS Low CI'!D452/1000000</f>
        <v>13.569000000000001</v>
      </c>
      <c r="Z204" s="23">
        <f>'[2]NASS Low CI'!D464/1000000</f>
        <v>19.318999999999999</v>
      </c>
      <c r="AA204" s="23">
        <f>'[2]NASS Low CI'!D476/1000000</f>
        <v>10.066000000000001</v>
      </c>
      <c r="AB204" s="23">
        <f>'[2]NASS Low CI'!D488/1000000</f>
        <v>10.611000000000001</v>
      </c>
      <c r="AC204" s="23">
        <f>'[2]NASS Low CI'!D500/1000000</f>
        <v>13.223000000000001</v>
      </c>
      <c r="AD204" s="23">
        <f>'[2]NASS Low CI'!D512/1000000</f>
        <v>8.4909999999999997</v>
      </c>
      <c r="AE204" s="23">
        <f>'[2]NASS Low CI'!D524/1000000</f>
        <v>7.3970000000000002</v>
      </c>
      <c r="AF204" s="23">
        <f>'[2]NASS Low CI'!D536/1000000</f>
        <v>8.6430000000000007</v>
      </c>
      <c r="AG204" s="23">
        <f>'[2]NASS Low CI'!D548/1000000</f>
        <v>10.29</v>
      </c>
      <c r="AH204" s="23">
        <f>'[2]NASS Low CI'!D560/1000000</f>
        <v>8.5239999999999991</v>
      </c>
      <c r="AI204" s="22" t="e">
        <f t="shared" si="110"/>
        <v>#DIV/0!</v>
      </c>
    </row>
    <row r="205" spans="1:35" x14ac:dyDescent="0.25">
      <c r="A205" s="8" t="s">
        <v>21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23">
        <f>'[2]NASS Low CI'!D441/1000000</f>
        <v>0</v>
      </c>
      <c r="Y205" s="23">
        <f>'[2]NASS Low CI'!D453/1000000</f>
        <v>11.287000000000001</v>
      </c>
      <c r="Z205" s="23">
        <f>'[2]NASS Low CI'!D465/1000000</f>
        <v>8.9019999999999992</v>
      </c>
      <c r="AA205" s="23">
        <f>'[2]NASS Low CI'!D477/1000000</f>
        <v>7.7439999999999998</v>
      </c>
      <c r="AB205" s="23">
        <f>'[2]NASS Low CI'!D489/1000000</f>
        <v>9.92</v>
      </c>
      <c r="AC205" s="23">
        <f>'[2]NASS Low CI'!D501/1000000</f>
        <v>9.8770000000000007</v>
      </c>
      <c r="AD205" s="23">
        <f>'[2]NASS Low CI'!D513/1000000</f>
        <v>6.77</v>
      </c>
      <c r="AE205" s="23">
        <f>'[2]NASS Low CI'!D525/1000000</f>
        <v>5.7519999999999998</v>
      </c>
      <c r="AF205" s="23">
        <f>'[2]NASS Low CI'!D537/1000000</f>
        <v>6.3129999999999997</v>
      </c>
      <c r="AG205" s="23">
        <f>'[2]NASS Low CI'!D549/1000000</f>
        <v>7.2060000000000004</v>
      </c>
      <c r="AH205" s="23">
        <f>'[2]NASS Low CI'!D561/1000000</f>
        <v>5.2240000000000002</v>
      </c>
      <c r="AI205" s="22" t="e">
        <f t="shared" si="110"/>
        <v>#DIV/0!</v>
      </c>
    </row>
    <row r="206" spans="1:35" x14ac:dyDescent="0.25">
      <c r="A206" s="8" t="s">
        <v>22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23">
        <f>'[2]NASS Low CI'!D442/1000000</f>
        <v>11.811</v>
      </c>
      <c r="Y206" s="23">
        <f>'[2]NASS Low CI'!D454/1000000</f>
        <v>8.6349999999999998</v>
      </c>
      <c r="Z206" s="23">
        <f>'[2]NASS Low CI'!D466/1000000</f>
        <v>8.1</v>
      </c>
      <c r="AA206" s="23">
        <f>'[2]NASS Low CI'!D478/1000000</f>
        <v>7.8920000000000003</v>
      </c>
      <c r="AB206" s="23">
        <f>'[2]NASS Low CI'!D490/1000000</f>
        <v>10.045</v>
      </c>
      <c r="AC206" s="23">
        <f>'[2]NASS Low CI'!D502/1000000</f>
        <v>11.238</v>
      </c>
      <c r="AD206" s="23">
        <f>'[2]NASS Low CI'!D514/1000000</f>
        <v>6.1349999999999998</v>
      </c>
      <c r="AE206" s="23">
        <f>'[2]NASS Low CI'!D526/1000000</f>
        <v>4.9050000000000002</v>
      </c>
      <c r="AF206" s="23">
        <f>'[2]NASS Low CI'!D538/1000000</f>
        <v>6.484</v>
      </c>
      <c r="AG206" s="23">
        <f>'[2]NASS Low CI'!D550/1000000</f>
        <v>12.003</v>
      </c>
      <c r="AH206" s="22" t="e">
        <f>AH205+AH30+AH62-AH78-AH94</f>
        <v>#DIV/0!</v>
      </c>
      <c r="AI206" s="22" t="e">
        <f>AI205+AI30+AI62-AI78-AI94</f>
        <v>#DIV/0!</v>
      </c>
    </row>
    <row r="207" spans="1:35" x14ac:dyDescent="0.25">
      <c r="A207" s="8" t="s">
        <v>23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23">
        <f>'[2]NASS Low CI'!D443/1000000</f>
        <v>11.968999999999999</v>
      </c>
      <c r="Y207" s="23">
        <f>'[2]NASS Low CI'!D455/1000000</f>
        <v>8.1969999999999992</v>
      </c>
      <c r="Z207" s="23">
        <f>'[2]NASS Low CI'!D467/1000000</f>
        <v>6.9969999999999999</v>
      </c>
      <c r="AA207" s="23">
        <f>'[2]NASS Low CI'!D479/1000000</f>
        <v>9.0129999999999999</v>
      </c>
      <c r="AB207" s="23">
        <f>'[2]NASS Low CI'!D491/1000000</f>
        <v>5.8289999999999997</v>
      </c>
      <c r="AC207" s="23">
        <f>'[2]NASS Low CI'!D503/1000000</f>
        <v>12.372999999999999</v>
      </c>
      <c r="AD207" s="23">
        <f>'[2]NASS Low CI'!D515/1000000</f>
        <v>6.101</v>
      </c>
      <c r="AE207" s="23">
        <f>'[2]NASS Low CI'!D527/1000000</f>
        <v>7.3739999999999997</v>
      </c>
      <c r="AF207" s="23">
        <f>'[2]NASS Low CI'!D539/1000000</f>
        <v>5.694</v>
      </c>
      <c r="AG207" s="23">
        <f>'[2]NASS Low CI'!D551/1000000</f>
        <v>6.8179999999999996</v>
      </c>
      <c r="AH207" s="22" t="e">
        <f t="shared" ref="AH207:AI212" si="111">AH206+AH31+AH63-AH79-AH95</f>
        <v>#DIV/0!</v>
      </c>
      <c r="AI207" s="22" t="e">
        <f t="shared" si="111"/>
        <v>#DIV/0!</v>
      </c>
    </row>
    <row r="208" spans="1:35" x14ac:dyDescent="0.25">
      <c r="A208" s="8" t="s">
        <v>24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23">
        <f>'[2]NASS Low CI'!D444/1000000</f>
        <v>12.861000000000001</v>
      </c>
      <c r="Y208" s="23">
        <f>'[2]NASS Low CI'!D456/1000000</f>
        <v>7.907</v>
      </c>
      <c r="Z208" s="23">
        <f>'[2]NASS Low CI'!D468/1000000</f>
        <v>7.86</v>
      </c>
      <c r="AA208" s="23">
        <f>'[2]NASS Low CI'!D480/1000000</f>
        <v>5.1779999999999999</v>
      </c>
      <c r="AB208" s="23">
        <f>'[2]NASS Low CI'!D492/1000000</f>
        <v>8.0109999999999992</v>
      </c>
      <c r="AC208" s="23">
        <f>'[2]NASS Low CI'!D504/1000000</f>
        <v>6.5410000000000004</v>
      </c>
      <c r="AD208" s="23">
        <f>'[2]NASS Low CI'!D516/1000000</f>
        <v>5.2409999999999997</v>
      </c>
      <c r="AE208" s="23">
        <f>'[2]NASS Low CI'!D528/1000000</f>
        <v>6.1820000000000004</v>
      </c>
      <c r="AF208" s="23">
        <f>'[2]NASS Low CI'!D540/1000000</f>
        <v>13.428000000000001</v>
      </c>
      <c r="AG208" s="23">
        <f>'[2]NASS Low CI'!D552/1000000</f>
        <v>7.7869999999999999</v>
      </c>
      <c r="AH208" s="22" t="e">
        <f t="shared" si="111"/>
        <v>#DIV/0!</v>
      </c>
      <c r="AI208" s="22" t="e">
        <f t="shared" si="111"/>
        <v>#DIV/0!</v>
      </c>
    </row>
    <row r="209" spans="1:35" x14ac:dyDescent="0.25">
      <c r="A209" s="8" t="s">
        <v>25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23">
        <f>'[2]NASS Low CI'!D445/1000000</f>
        <v>12.824999999999999</v>
      </c>
      <c r="Y209" s="23">
        <f>'[2]NASS Low CI'!D457/1000000</f>
        <v>6.3570000000000002</v>
      </c>
      <c r="Z209" s="23">
        <f>'[2]NASS Low CI'!D469/1000000</f>
        <v>7.3079999999999998</v>
      </c>
      <c r="AA209" s="23">
        <f>'[2]NASS Low CI'!D481/1000000</f>
        <v>5.2960000000000003</v>
      </c>
      <c r="AB209" s="23">
        <f>'[2]NASS Low CI'!D493/1000000</f>
        <v>9.1519999999999992</v>
      </c>
      <c r="AC209" s="23">
        <f>'[2]NASS Low CI'!D505/1000000</f>
        <v>4.5289999999999999</v>
      </c>
      <c r="AD209" s="23">
        <f>'[2]NASS Low CI'!D517/1000000</f>
        <v>4.1310000000000002</v>
      </c>
      <c r="AE209" s="23">
        <f>'[2]NASS Low CI'!D529/1000000</f>
        <v>4.8019999999999996</v>
      </c>
      <c r="AF209" s="23">
        <f>'[2]NASS Low CI'!D541/1000000</f>
        <v>13.417</v>
      </c>
      <c r="AG209" s="23">
        <f>'[2]NASS Low CI'!D553/1000000</f>
        <v>8.8970000000000002</v>
      </c>
      <c r="AH209" s="22" t="e">
        <f t="shared" si="111"/>
        <v>#DIV/0!</v>
      </c>
      <c r="AI209" s="22" t="e">
        <f t="shared" si="111"/>
        <v>#DIV/0!</v>
      </c>
    </row>
    <row r="210" spans="1:35" x14ac:dyDescent="0.25">
      <c r="A210" s="8" t="s">
        <v>26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23">
        <f>'[2]NASS Low CI'!D446/1000000</f>
        <v>12.252000000000001</v>
      </c>
      <c r="Y210" s="23">
        <f>'[2]NASS Low CI'!D458/1000000</f>
        <v>7.6840000000000002</v>
      </c>
      <c r="Z210" s="23">
        <f>'[2]NASS Low CI'!D470/1000000</f>
        <v>8.01</v>
      </c>
      <c r="AA210" s="23">
        <f>'[2]NASS Low CI'!D482/1000000</f>
        <v>4.7039999999999997</v>
      </c>
      <c r="AB210" s="23">
        <f>'[2]NASS Low CI'!D494/1000000</f>
        <v>8.3279999999999994</v>
      </c>
      <c r="AC210" s="23">
        <f>'[2]NASS Low CI'!D506/1000000</f>
        <v>4.6420000000000003</v>
      </c>
      <c r="AD210" s="23">
        <f>'[2]NASS Low CI'!D518/1000000</f>
        <v>4.3689999999999998</v>
      </c>
      <c r="AE210" s="23">
        <f>'[2]NASS Low CI'!D530/1000000</f>
        <v>6.4809999999999999</v>
      </c>
      <c r="AF210" s="23">
        <f>'[2]NASS Low CI'!D542/1000000</f>
        <v>6.2389999999999999</v>
      </c>
      <c r="AG210" s="23">
        <f>'[2]NASS Low CI'!D554/1000000</f>
        <v>5.6909999999999998</v>
      </c>
      <c r="AH210" s="22" t="e">
        <f t="shared" si="111"/>
        <v>#DIV/0!</v>
      </c>
      <c r="AI210" s="22" t="e">
        <f t="shared" si="111"/>
        <v>#DIV/0!</v>
      </c>
    </row>
    <row r="211" spans="1:35" x14ac:dyDescent="0.25">
      <c r="A211" s="8" t="s">
        <v>27</v>
      </c>
      <c r="B211" s="8"/>
      <c r="C211" s="8"/>
      <c r="D211" s="8"/>
      <c r="E211" s="8"/>
      <c r="F211" s="8"/>
      <c r="G211" s="8"/>
      <c r="H211" s="23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23">
        <f>'[2]NASS Low CI'!D447/1000000</f>
        <v>11.268000000000001</v>
      </c>
      <c r="Y211" s="23">
        <f>'[2]NASS Low CI'!D459/1000000</f>
        <v>7.282</v>
      </c>
      <c r="Z211" s="23">
        <f>'[2]NASS Low CI'!D471/1000000</f>
        <v>6.944</v>
      </c>
      <c r="AA211" s="23">
        <f>'[2]NASS Low CI'!D483/1000000</f>
        <v>6.61</v>
      </c>
      <c r="AB211" s="23">
        <f>'[2]NASS Low CI'!D495/1000000</f>
        <v>10.1</v>
      </c>
      <c r="AC211" s="23">
        <f>'[2]NASS Low CI'!D507/1000000</f>
        <v>6.3129999999999997</v>
      </c>
      <c r="AD211" s="23">
        <f>'[2]NASS Low CI'!D519/1000000</f>
        <v>7.3630000000000004</v>
      </c>
      <c r="AE211" s="23">
        <f>'[2]NASS Low CI'!D531/1000000</f>
        <v>6.9470000000000001</v>
      </c>
      <c r="AF211" s="23">
        <f>'[2]NASS Low CI'!D543/1000000</f>
        <v>8.9760000000000009</v>
      </c>
      <c r="AG211" s="23">
        <f>'[2]NASS Low CI'!D555/1000000</f>
        <v>7.0789999999999997</v>
      </c>
      <c r="AH211" s="22" t="e">
        <f t="shared" si="111"/>
        <v>#DIV/0!</v>
      </c>
      <c r="AI211" s="22" t="e">
        <f t="shared" si="111"/>
        <v>#DIV/0!</v>
      </c>
    </row>
    <row r="212" spans="1:35" ht="15.75" thickBot="1" x14ac:dyDescent="0.3">
      <c r="A212" s="8" t="s">
        <v>28</v>
      </c>
      <c r="B212" s="8"/>
      <c r="C212" s="8"/>
      <c r="D212" s="8"/>
      <c r="E212" s="8"/>
      <c r="F212" s="8"/>
      <c r="G212" s="8"/>
      <c r="H212" s="23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23">
        <f>'[2]NASS Low CI'!D448/1000000</f>
        <v>13.077</v>
      </c>
      <c r="Y212" s="23">
        <f>'[2]NASS Low CI'!D460/1000000</f>
        <v>8.8719999999999999</v>
      </c>
      <c r="Z212" s="23">
        <f>'[2]NASS Low CI'!D472/1000000</f>
        <v>8.1359999999999992</v>
      </c>
      <c r="AA212" s="23">
        <f>'[2]NASS Low CI'!D484/1000000</f>
        <v>7.17</v>
      </c>
      <c r="AB212" s="23">
        <f>'[2]NASS Low CI'!D496/1000000</f>
        <v>9.3170000000000002</v>
      </c>
      <c r="AC212" s="23">
        <f>'[2]NASS Low CI'!D508/1000000</f>
        <v>7.2489999999999997</v>
      </c>
      <c r="AD212" s="23">
        <f>'[2]NASS Low CI'!D520/1000000</f>
        <v>5.8280000000000003</v>
      </c>
      <c r="AE212" s="23">
        <f>'[2]NASS Low CI'!D532/1000000</f>
        <v>9.048</v>
      </c>
      <c r="AF212" s="23">
        <f>'[2]NASS Low CI'!D544/1000000</f>
        <v>9.0950000000000006</v>
      </c>
      <c r="AG212" s="23">
        <f>'[2]NASS Low CI'!D556/1000000</f>
        <v>5.899</v>
      </c>
      <c r="AH212" s="22" t="e">
        <f t="shared" si="111"/>
        <v>#DIV/0!</v>
      </c>
      <c r="AI212" s="22" t="e">
        <f t="shared" si="111"/>
        <v>#DIV/0!</v>
      </c>
    </row>
    <row r="213" spans="1:35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2026-03-31T07:44:13Z</dcterms:created>
  <dcterms:modified xsi:type="dcterms:W3CDTF">2026-04-29T11:07:05Z</dcterms:modified>
</cp:coreProperties>
</file>